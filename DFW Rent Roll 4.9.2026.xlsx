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t Roll" sheetId="1" state="visible" r:id="rId3"/>
    <sheet name="Summary" sheetId="2" state="visible" r:id="rId4"/>
  </sheets>
  <definedNames>
    <definedName function="false" hidden="true" localSheetId="0" name="_xlnm._FilterDatabase" vbProcedure="false">'Rent Roll'!$A$1:$L$65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<sst xmlns="http://schemas.openxmlformats.org/spreadsheetml/2006/main" count="1137" uniqueCount="446">
  <si>
    <t xml:space="preserve">Property</t>
  </si>
  <si>
    <t xml:space="preserve">Suite</t>
  </si>
  <si>
    <t xml:space="preserve">Tenant</t>
  </si>
  <si>
    <t xml:space="preserve">SF</t>
  </si>
  <si>
    <t xml:space="preserve">Lease Start</t>
  </si>
  <si>
    <t xml:space="preserve">Lease End</t>
  </si>
  <si>
    <t xml:space="preserve">Annual Rent</t>
  </si>
  <si>
    <t xml:space="preserve">Rent PSF</t>
  </si>
  <si>
    <t xml:space="preserve">Market Rent PSF</t>
  </si>
  <si>
    <t xml:space="preserve">Loss-to-Lease PSF</t>
  </si>
  <si>
    <t xml:space="preserve">Status</t>
  </si>
  <si>
    <t xml:space="preserve">Notes</t>
  </si>
  <si>
    <t xml:space="preserve">Carrollton</t>
  </si>
  <si>
    <t xml:space="preserve">100</t>
  </si>
  <si>
    <t xml:space="preserve">Titan Glass LLC</t>
  </si>
  <si>
    <t xml:space="preserve">Oct-2023</t>
  </si>
  <si>
    <t xml:space="preserve">Mar-2027</t>
  </si>
  <si>
    <t xml:space="preserve">Occupied</t>
  </si>
  <si>
    <t xml:space="preserve">Shop; Guarantor: Adren Savitch</t>
  </si>
  <si>
    <t xml:space="preserve">104</t>
  </si>
  <si>
    <t xml:space="preserve">Fluonics Inc.</t>
  </si>
  <si>
    <t xml:space="preserve">Oct-2024</t>
  </si>
  <si>
    <t xml:space="preserve">Mar-2028</t>
  </si>
  <si>
    <t xml:space="preserve">Shop; Guarantor: Fluonics Co. Ltd (Korea)</t>
  </si>
  <si>
    <t xml:space="preserve">108</t>
  </si>
  <si>
    <t xml:space="preserve">Bath Touch Metals Inc.</t>
  </si>
  <si>
    <t xml:space="preserve">Dec-2023</t>
  </si>
  <si>
    <t xml:space="preserve">May-2027</t>
  </si>
  <si>
    <t xml:space="preserve">Shop; assumed to vacate at expiration</t>
  </si>
  <si>
    <t xml:space="preserve">112</t>
  </si>
  <si>
    <t xml:space="preserve">VACANT</t>
  </si>
  <si>
    <t xml:space="preserve">Vacant</t>
  </si>
  <si>
    <t xml:space="preserve">Shop; future lease-up Jan-2027 in OM</t>
  </si>
  <si>
    <t xml:space="preserve">116</t>
  </si>
  <si>
    <t xml:space="preserve">Vivax Systems Inc.</t>
  </si>
  <si>
    <t xml:space="preserve">Mar-2025</t>
  </si>
  <si>
    <t xml:space="preserve">Sep-2028</t>
  </si>
  <si>
    <t xml:space="preserve">Shop; Guarantor: Haresh Busa</t>
  </si>
  <si>
    <t xml:space="preserve">120</t>
  </si>
  <si>
    <t xml:space="preserve">KJLux Auto LLC</t>
  </si>
  <si>
    <t xml:space="preserve">Sep-2027</t>
  </si>
  <si>
    <t xml:space="preserve">Shop; Guarantor: Kristopher Johnson / Isaac Wilke</t>
  </si>
  <si>
    <t xml:space="preserve">124</t>
  </si>
  <si>
    <t xml:space="preserve">CervComm Technology Group LLC</t>
  </si>
  <si>
    <t xml:space="preserve">Shop; Guarantor: Jacob/Christine Cervantes</t>
  </si>
  <si>
    <t xml:space="preserve">128</t>
  </si>
  <si>
    <t xml:space="preserve">FirstCall Mechanical Group Texas LLC</t>
  </si>
  <si>
    <t xml:space="preserve">Shop</t>
  </si>
  <si>
    <t xml:space="preserve">132</t>
  </si>
  <si>
    <t xml:space="preserve">The Vicla Shop LLC</t>
  </si>
  <si>
    <t xml:space="preserve">Nov-2028</t>
  </si>
  <si>
    <t xml:space="preserve">Shop; Guarantor: Luth Wende / Rodney Ramos</t>
  </si>
  <si>
    <t xml:space="preserve">136</t>
  </si>
  <si>
    <t xml:space="preserve">March Motorsports LLC</t>
  </si>
  <si>
    <t xml:space="preserve">Shop; Guarantor: Dalton March</t>
  </si>
  <si>
    <t xml:space="preserve">200</t>
  </si>
  <si>
    <t xml:space="preserve">Wada Precision Dental Laboratories USA</t>
  </si>
  <si>
    <t xml:space="preserve">Nov-2023</t>
  </si>
  <si>
    <t xml:space="preserve">Oct-2028</t>
  </si>
  <si>
    <t xml:space="preserve">Studio; Guarantor: Takeshi Kutsumizu</t>
  </si>
  <si>
    <t xml:space="preserve">204</t>
  </si>
  <si>
    <t xml:space="preserve">J. Auto Solutions LLC</t>
  </si>
  <si>
    <t xml:space="preserve">Mar-2026</t>
  </si>
  <si>
    <t xml:space="preserve">Feb-2027</t>
  </si>
  <si>
    <t xml:space="preserve">Studio; Guarantor: Xuan Luo</t>
  </si>
  <si>
    <t xml:space="preserve">208</t>
  </si>
  <si>
    <t xml:space="preserve">LK Tools Inc.</t>
  </si>
  <si>
    <t xml:space="preserve">Jul-2025</t>
  </si>
  <si>
    <t xml:space="preserve">Dec-2028</t>
  </si>
  <si>
    <t xml:space="preserve">Studio; Guarantor: Justin Baucum</t>
  </si>
  <si>
    <t xml:space="preserve">212</t>
  </si>
  <si>
    <t xml:space="preserve">Isembard Corporation</t>
  </si>
  <si>
    <t xml:space="preserve">Jan-2025</t>
  </si>
  <si>
    <t xml:space="preserve">Dec-2029</t>
  </si>
  <si>
    <t xml:space="preserve">Studio; Guarantor: Sean Pae</t>
  </si>
  <si>
    <t xml:space="preserve">220</t>
  </si>
  <si>
    <t xml:space="preserve">Cryofuture Inc.</t>
  </si>
  <si>
    <t xml:space="preserve">Apr-2024</t>
  </si>
  <si>
    <t xml:space="preserve">Studio; assumed to vacate; Guarantor: Angel Naomi Baker</t>
  </si>
  <si>
    <t xml:space="preserve">228</t>
  </si>
  <si>
    <t xml:space="preserve">MD Management Holdings LLC</t>
  </si>
  <si>
    <t xml:space="preserve">Aug-2025</t>
  </si>
  <si>
    <t xml:space="preserve">Jul-2027</t>
  </si>
  <si>
    <t xml:space="preserve">Studio; Guarantor: Micah Driver</t>
  </si>
  <si>
    <t xml:space="preserve">232</t>
  </si>
  <si>
    <t xml:space="preserve">236</t>
  </si>
  <si>
    <t xml:space="preserve">Republic RX LLC</t>
  </si>
  <si>
    <t xml:space="preserve">Aug-2024</t>
  </si>
  <si>
    <t xml:space="preserve">Feb-2028</t>
  </si>
  <si>
    <t xml:space="preserve">Studio; Guarantor: Tung Nguyen</t>
  </si>
  <si>
    <t xml:space="preserve">240</t>
  </si>
  <si>
    <t xml:space="preserve">Studio; future lease-up Jul-2026 in OM</t>
  </si>
  <si>
    <t xml:space="preserve">300</t>
  </si>
  <si>
    <t xml:space="preserve">Studio; future lease-up Nov-2026 in OM</t>
  </si>
  <si>
    <t xml:space="preserve">304</t>
  </si>
  <si>
    <t xml:space="preserve">Jeremy Brewer &amp; Thien Hoang</t>
  </si>
  <si>
    <t xml:space="preserve">Jan-2029</t>
  </si>
  <si>
    <t xml:space="preserve">Studio</t>
  </si>
  <si>
    <t xml:space="preserve">316</t>
  </si>
  <si>
    <t xml:space="preserve">CS Tuning Club LLC</t>
  </si>
  <si>
    <t xml:space="preserve">Jan-2026</t>
  </si>
  <si>
    <t xml:space="preserve">Jul-2029</t>
  </si>
  <si>
    <t xml:space="preserve">Studio; Guarantor: Hsi (Sean) Chou</t>
  </si>
  <si>
    <t xml:space="preserve">320</t>
  </si>
  <si>
    <t xml:space="preserve">Horvez Holdings Inc.</t>
  </si>
  <si>
    <t xml:space="preserve">May-2025</t>
  </si>
  <si>
    <t xml:space="preserve">Studio; Guarantor: Aixa Alvarez</t>
  </si>
  <si>
    <t xml:space="preserve">324</t>
  </si>
  <si>
    <t xml:space="preserve">Dec-2025</t>
  </si>
  <si>
    <t xml:space="preserve">328</t>
  </si>
  <si>
    <t xml:space="preserve">Delio LLC</t>
  </si>
  <si>
    <t xml:space="preserve">Nov-2025</t>
  </si>
  <si>
    <t xml:space="preserve">May-2029</t>
  </si>
  <si>
    <t xml:space="preserve">Studio; Guarantor: Blue Swan Health</t>
  </si>
  <si>
    <t xml:space="preserve">332</t>
  </si>
  <si>
    <t xml:space="preserve">Studio; future lease-up Sep-2026 in OM</t>
  </si>
  <si>
    <t xml:space="preserve">336</t>
  </si>
  <si>
    <t xml:space="preserve">TMII Enterprises LLC</t>
  </si>
  <si>
    <t xml:space="preserve">Nov-2027</t>
  </si>
  <si>
    <t xml:space="preserve">Studio; Guarantor: Joseph McCusker</t>
  </si>
  <si>
    <t xml:space="preserve">340</t>
  </si>
  <si>
    <t xml:space="preserve">Jun-2024</t>
  </si>
  <si>
    <t xml:space="preserve">400</t>
  </si>
  <si>
    <t xml:space="preserve">Egnite Electric LLC</t>
  </si>
  <si>
    <t xml:space="preserve">Oct-2030</t>
  </si>
  <si>
    <t xml:space="preserve">Shop; Guarantor: Jazziel Perea Perez</t>
  </si>
  <si>
    <t xml:space="preserve">412</t>
  </si>
  <si>
    <t xml:space="preserve">Feb-2026</t>
  </si>
  <si>
    <t xml:space="preserve">416</t>
  </si>
  <si>
    <t xml:space="preserve">Apr-2025</t>
  </si>
  <si>
    <t xml:space="preserve">Mar-2029</t>
  </si>
  <si>
    <t xml:space="preserve">Shop; Guarantor: Richard Simon</t>
  </si>
  <si>
    <t xml:space="preserve">420</t>
  </si>
  <si>
    <t xml:space="preserve">DT Creations Inc.</t>
  </si>
  <si>
    <t xml:space="preserve">Feb-2025</t>
  </si>
  <si>
    <t xml:space="preserve">Jul-2028</t>
  </si>
  <si>
    <t xml:space="preserve">Shop; Guarantor: Jazziel Ruben Perea</t>
  </si>
  <si>
    <t xml:space="preserve">424</t>
  </si>
  <si>
    <t xml:space="preserve">Metro Elevator DFW Inc.</t>
  </si>
  <si>
    <t xml:space="preserve">Shop; Guarantor: Brad Hager</t>
  </si>
  <si>
    <t xml:space="preserve">428</t>
  </si>
  <si>
    <t xml:space="preserve">Shop; Guarantor: Metro Elevator Holdings</t>
  </si>
  <si>
    <t xml:space="preserve">432</t>
  </si>
  <si>
    <t xml:space="preserve">Apr-2028</t>
  </si>
  <si>
    <t xml:space="preserve">440</t>
  </si>
  <si>
    <t xml:space="preserve">Prime Facility Maintenance Inc.</t>
  </si>
  <si>
    <t xml:space="preserve">Aug-2028</t>
  </si>
  <si>
    <t xml:space="preserve">Shop; Guarantor: Seferino Marquez</t>
  </si>
  <si>
    <t xml:space="preserve">Frisco</t>
  </si>
  <si>
    <t xml:space="preserve">101</t>
  </si>
  <si>
    <t xml:space="preserve">Legacy Respiratory Care &amp; Medical Equipment Inc</t>
  </si>
  <si>
    <t xml:space="preserve">Guarantor: Anthony Aguilar / Primrose Homehealth</t>
  </si>
  <si>
    <t xml:space="preserve">102</t>
  </si>
  <si>
    <t xml:space="preserve">Redden Companies LLC</t>
  </si>
  <si>
    <t xml:space="preserve">Guarantor: Brooke Redden</t>
  </si>
  <si>
    <t xml:space="preserve">103</t>
  </si>
  <si>
    <t xml:space="preserve">Axis Water Technologies</t>
  </si>
  <si>
    <t xml:space="preserve">Guarantor: Adren Savitch</t>
  </si>
  <si>
    <t xml:space="preserve">105</t>
  </si>
  <si>
    <t xml:space="preserve">Louder Group LLC</t>
  </si>
  <si>
    <t xml:space="preserve">Guarantor: Maro Radenovic</t>
  </si>
  <si>
    <t xml:space="preserve">106</t>
  </si>
  <si>
    <t xml:space="preserve">107</t>
  </si>
  <si>
    <t xml:space="preserve">Foundation Werks LLC</t>
  </si>
  <si>
    <t xml:space="preserve">Guarantor: Seneca McField</t>
  </si>
  <si>
    <t xml:space="preserve">JHBT Investments LLC</t>
  </si>
  <si>
    <t xml:space="preserve">Jun-2025</t>
  </si>
  <si>
    <t xml:space="preserve">Guarantor: Jonathon Hunter</t>
  </si>
  <si>
    <t xml:space="preserve">109</t>
  </si>
  <si>
    <t xml:space="preserve">Terrace Design Group LLC</t>
  </si>
  <si>
    <t xml:space="preserve">Assumed to vacate; Guarantor: Collin Jarrell</t>
  </si>
  <si>
    <t xml:space="preserve">110</t>
  </si>
  <si>
    <t xml:space="preserve">Dallas Closet Design LLC</t>
  </si>
  <si>
    <t xml:space="preserve">Guarantor: Shannon Swarbrick</t>
  </si>
  <si>
    <t xml:space="preserve">111</t>
  </si>
  <si>
    <t xml:space="preserve">Proficient Roofing LLC</t>
  </si>
  <si>
    <t xml:space="preserve">Guarantor: Juan Tapia</t>
  </si>
  <si>
    <t xml:space="preserve">201</t>
  </si>
  <si>
    <t xml:space="preserve">ProXcellence LLC</t>
  </si>
  <si>
    <t xml:space="preserve">Guarantor: Li (Michelle) Li</t>
  </si>
  <si>
    <t xml:space="preserve">202</t>
  </si>
  <si>
    <t xml:space="preserve">RBM Services Inc.</t>
  </si>
  <si>
    <t xml:space="preserve">203</t>
  </si>
  <si>
    <t xml:space="preserve">La Dotta Coffee &amp; Tea Inc.</t>
  </si>
  <si>
    <t xml:space="preserve">205</t>
  </si>
  <si>
    <t xml:space="preserve">Top Hids Inc.</t>
  </si>
  <si>
    <t xml:space="preserve">Guarantor: Dr. Robert Koukol</t>
  </si>
  <si>
    <t xml:space="preserve">206</t>
  </si>
  <si>
    <t xml:space="preserve">Legacy Luxury Detail</t>
  </si>
  <si>
    <t xml:space="preserve">Guarantor: Andrew Sawyer</t>
  </si>
  <si>
    <t xml:space="preserve">207</t>
  </si>
  <si>
    <t xml:space="preserve">Centec LLC</t>
  </si>
  <si>
    <t xml:space="preserve">Mar-2030</t>
  </si>
  <si>
    <t xml:space="preserve">Guarantor: Hisham Amir Habra</t>
  </si>
  <si>
    <t xml:space="preserve">Bridging Biosciences LLC</t>
  </si>
  <si>
    <t xml:space="preserve">Guarantor: Erica Strakh</t>
  </si>
  <si>
    <t xml:space="preserve">209</t>
  </si>
  <si>
    <t xml:space="preserve">Talent Tree Agency LLC</t>
  </si>
  <si>
    <t xml:space="preserve">Guarantor: Tapley Holland</t>
  </si>
  <si>
    <t xml:space="preserve">210</t>
  </si>
  <si>
    <t xml:space="preserve">Fore Fathers Apparel LLC</t>
  </si>
  <si>
    <t xml:space="preserve">Guarantor: Haley Nosker</t>
  </si>
  <si>
    <t xml:space="preserve">211</t>
  </si>
  <si>
    <t xml:space="preserve">Nosson LLC</t>
  </si>
  <si>
    <t xml:space="preserve">Oct-2025</t>
  </si>
  <si>
    <t xml:space="preserve">Guarantor: Brett Seidl</t>
  </si>
  <si>
    <t xml:space="preserve">301</t>
  </si>
  <si>
    <t xml:space="preserve">Brett Nicole Interiors LLC</t>
  </si>
  <si>
    <t xml:space="preserve">Guarantor: Priscilla Moore</t>
  </si>
  <si>
    <t xml:space="preserve">302</t>
  </si>
  <si>
    <t xml:space="preserve">Ineapple Corp.</t>
  </si>
  <si>
    <t xml:space="preserve">303</t>
  </si>
  <si>
    <t xml:space="preserve">Me Ra Koh Photography Inc.</t>
  </si>
  <si>
    <t xml:space="preserve">Sep-2025</t>
  </si>
  <si>
    <t xml:space="preserve">Aug-2030</t>
  </si>
  <si>
    <t xml:space="preserve">Guarantor: Brian / Me Ra Tausend</t>
  </si>
  <si>
    <t xml:space="preserve">Defensify LLC</t>
  </si>
  <si>
    <t xml:space="preserve">Guarantor: Maria Cecilia Hocson</t>
  </si>
  <si>
    <t xml:space="preserve">305</t>
  </si>
  <si>
    <t xml:space="preserve">SHM Legacy LLC</t>
  </si>
  <si>
    <t xml:space="preserve">Guarantor: Addison R. Vest</t>
  </si>
  <si>
    <t xml:space="preserve">306</t>
  </si>
  <si>
    <t xml:space="preserve">SenseAbilities InSync PLLC</t>
  </si>
  <si>
    <t xml:space="preserve">Assumed to vacate; Guarantor: Andrew Martin</t>
  </si>
  <si>
    <t xml:space="preserve">Mesquite</t>
  </si>
  <si>
    <t xml:space="preserve">Cosmic Grounding LLC</t>
  </si>
  <si>
    <t xml:space="preserve">Nov-2022</t>
  </si>
  <si>
    <t xml:space="preserve">Feb-2029</t>
  </si>
  <si>
    <t xml:space="preserve">Shop; SPEC RENEW; Guarantor: Mike Grecia Alfaro; 1 remaining 3yr option @ 102.5%</t>
  </si>
  <si>
    <t xml:space="preserve">Laguna Looks LLC</t>
  </si>
  <si>
    <t xml:space="preserve">Shop; Guarantor: Tyler Gilroyed; Two 3yr options @ FMV</t>
  </si>
  <si>
    <t xml:space="preserve">Shop; future lease-up Oct-2026</t>
  </si>
  <si>
    <t xml:space="preserve">Shop; future lease-up Jul-2026</t>
  </si>
  <si>
    <t xml:space="preserve">Shop; future lease-up Sep-2026</t>
  </si>
  <si>
    <t xml:space="preserve">Angel Wings Transport Service LLC</t>
  </si>
  <si>
    <t xml:space="preserve">Sep-2024</t>
  </si>
  <si>
    <t xml:space="preserve">Shop; Guarantor: Montgomery T. Hedgecoth; Two 5yr options @ FMV</t>
  </si>
  <si>
    <t xml:space="preserve">Mirau Enterprises LLC</t>
  </si>
  <si>
    <t xml:space="preserve">Sep-2022</t>
  </si>
  <si>
    <t xml:space="preserve">Aug-2027</t>
  </si>
  <si>
    <t xml:space="preserve">Shop; Guarantor: Michael Mirau; Two 3yr options @ 102.5%</t>
  </si>
  <si>
    <t xml:space="preserve">Bryan Long Flowers LLC</t>
  </si>
  <si>
    <t xml:space="preserve">Shop; Guarantor: Bryan Long; 1yr renewal option @ 102.5%</t>
  </si>
  <si>
    <t xml:space="preserve">Shop; Guarantor: Bryan Long; 3yr option @ 102.5% with 2.5% annual increases</t>
  </si>
  <si>
    <t xml:space="preserve">Power Engineering Services Inc.</t>
  </si>
  <si>
    <t xml:space="preserve">Apr-2023</t>
  </si>
  <si>
    <t xml:space="preserve">Oct-2026</t>
  </si>
  <si>
    <t xml:space="preserve">Shop; Guarantor: Daniel Staudt; Two 3yr options</t>
  </si>
  <si>
    <t xml:space="preserve">A&amp;G Dental Ceramics Inc.</t>
  </si>
  <si>
    <t xml:space="preserve">Shop; Guarantor: Jose S. Alvarez; Two 3yr options @ FMV</t>
  </si>
  <si>
    <t xml:space="preserve">Madd Cheer Inc.</t>
  </si>
  <si>
    <t xml:space="preserve">Shop; SPEC RENEW; Guarantor: Jasmine Masters</t>
  </si>
  <si>
    <t xml:space="preserve">Studio; future lease-up Nov-2026</t>
  </si>
  <si>
    <t xml:space="preserve">Mesquite Signs LLC</t>
  </si>
  <si>
    <t xml:space="preserve">May-2026</t>
  </si>
  <si>
    <t xml:space="preserve">Studio; MTM through 06/26; Guarantor: Todd Rumaner</t>
  </si>
  <si>
    <t xml:space="preserve">Sep-2023</t>
  </si>
  <si>
    <t xml:space="preserve">Studio; assumed vacate 02/27; Guarantor: Todd Rumaner</t>
  </si>
  <si>
    <t xml:space="preserve">Studio; future lease-up Aug-2026</t>
  </si>
  <si>
    <t xml:space="preserve">Studio; SPEC VACATE Voltiva LLC 12/25; future lease-up Dec-2026</t>
  </si>
  <si>
    <t xml:space="preserve">Climate Control Heating &amp; Air LLC</t>
  </si>
  <si>
    <t xml:space="preserve">Studio; Guarantor: Juan Quinones Jr.</t>
  </si>
  <si>
    <t xml:space="preserve">The Lash Empire LLC</t>
  </si>
  <si>
    <t xml:space="preserve">Studio; Guarantor: Delia Aguero</t>
  </si>
  <si>
    <t xml:space="preserve">Richard Rome</t>
  </si>
  <si>
    <t xml:space="preserve">Studio; assumed vacate 05/27; Guarantor: Richard Rome</t>
  </si>
  <si>
    <t xml:space="preserve">Studio; future lease-up Sep-2026</t>
  </si>
  <si>
    <t xml:space="preserve">e2 Power LLC</t>
  </si>
  <si>
    <t xml:space="preserve">Mar-2023</t>
  </si>
  <si>
    <t xml:space="preserve">Aug-2026</t>
  </si>
  <si>
    <t xml:space="preserve">Studio; assumed vacate 08/26; Guarantor: Michael Stephens</t>
  </si>
  <si>
    <t xml:space="preserve">Lewisville</t>
  </si>
  <si>
    <t xml:space="preserve">Designer Countertops LLC</t>
  </si>
  <si>
    <t xml:space="preserve">Jul-2023</t>
  </si>
  <si>
    <t xml:space="preserve">Dec-2026</t>
  </si>
  <si>
    <t xml:space="preserve">Shop; assumed vacate 12/26; Guarantor: Dan Villareal Jr.</t>
  </si>
  <si>
    <t xml:space="preserve">Tasman Geosciences Inc.</t>
  </si>
  <si>
    <t xml:space="preserve">Jun-2029</t>
  </si>
  <si>
    <t xml:space="preserve">Shop; Two 3yr options @ FMV</t>
  </si>
  <si>
    <t xml:space="preserve">McWhorter Coffee LLC</t>
  </si>
  <si>
    <t xml:space="preserve">Jun-2023</t>
  </si>
  <si>
    <t xml:space="preserve">Nov-2026</t>
  </si>
  <si>
    <t xml:space="preserve">Shop; Guarantor: James McWhorter; Two 3yr options</t>
  </si>
  <si>
    <t xml:space="preserve">Alff Construction LLC</t>
  </si>
  <si>
    <t xml:space="preserve">Shop; Guarantor: Austin Alff; Two 3yr options</t>
  </si>
  <si>
    <t xml:space="preserve">Immersive Tech Inc</t>
  </si>
  <si>
    <t xml:space="preserve">Mar-2024</t>
  </si>
  <si>
    <t xml:space="preserve">Shop; assumed vacate 08/27; Guarantor: Erik Maltais</t>
  </si>
  <si>
    <t xml:space="preserve">425 Apparel LLC</t>
  </si>
  <si>
    <t xml:space="preserve">Shop; Guarantor: Corey Lemle; Two 3yr options @ FMV</t>
  </si>
  <si>
    <t xml:space="preserve">Greenco Construction Services Inc.</t>
  </si>
  <si>
    <t xml:space="preserve">Aug-2023</t>
  </si>
  <si>
    <t xml:space="preserve">Jan-2027</t>
  </si>
  <si>
    <t xml:space="preserve">Shop; Guarantor: Tad Bush; Two 3yr options</t>
  </si>
  <si>
    <t xml:space="preserve">Morrison Construction Company Inc.</t>
  </si>
  <si>
    <t xml:space="preserve">Shop; Guarantor: William J. Gilbert; Two 3yr options</t>
  </si>
  <si>
    <t xml:space="preserve">ShipSquad LLC</t>
  </si>
  <si>
    <t xml:space="preserve">Shop; Guarantor: Greg Weese / Levi Bayard / Shane Brown</t>
  </si>
  <si>
    <t xml:space="preserve">Next Level Telecommunications LLC</t>
  </si>
  <si>
    <t xml:space="preserve">Shop; Guarantor: Robert Cook; Two 3yr options</t>
  </si>
  <si>
    <t xml:space="preserve">WideOrbit LLC</t>
  </si>
  <si>
    <t xml:space="preserve">Shop; Two 3yr options</t>
  </si>
  <si>
    <t xml:space="preserve">Nova Lume LLC</t>
  </si>
  <si>
    <t xml:space="preserve">Feb-2024</t>
  </si>
  <si>
    <t xml:space="preserve">Jan-2028</t>
  </si>
  <si>
    <t xml:space="preserve">Shop; Guarantor: James D. Casey Jr.; Two 3yr options</t>
  </si>
  <si>
    <t xml:space="preserve">Easy Flex Texas Inc.</t>
  </si>
  <si>
    <t xml:space="preserve">Shop; Guarantor: Yoon Oh</t>
  </si>
  <si>
    <t xml:space="preserve">Amazing Life Foundation</t>
  </si>
  <si>
    <t xml:space="preserve">Shop; short-term lease; Two 3yr options @ FMV</t>
  </si>
  <si>
    <t xml:space="preserve">Range Roofing LLC</t>
  </si>
  <si>
    <t xml:space="preserve">Shop; assumed vacate 05/27; Guarantor: Shawn Newell</t>
  </si>
  <si>
    <t xml:space="preserve">Texas Best Solar LLC</t>
  </si>
  <si>
    <t xml:space="preserve">Studio; Guarantor: Richard Dietrichson; Two 3yr options</t>
  </si>
  <si>
    <t xml:space="preserve">Texas Doors &amp; Closets LLC</t>
  </si>
  <si>
    <t xml:space="preserve">Studio; Guarantor: Josiah Rogers; Two 3yr options</t>
  </si>
  <si>
    <t xml:space="preserve">Jan-2024</t>
  </si>
  <si>
    <t xml:space="preserve">Jun-2027</t>
  </si>
  <si>
    <t xml:space="preserve">Studio; Guarantor: Todd Rumaner; Two 3yr options</t>
  </si>
  <si>
    <t xml:space="preserve">Fidler Marketing Inc.</t>
  </si>
  <si>
    <t xml:space="preserve">May-2024</t>
  </si>
  <si>
    <t xml:space="preserve">Oct-2027</t>
  </si>
  <si>
    <t xml:space="preserve">Studio; Guarantor: Leland Tate Jr.; Two 3yr options @ FMV</t>
  </si>
  <si>
    <t xml:space="preserve">Moonshot 3D LLC</t>
  </si>
  <si>
    <t xml:space="preserve">Studio; Guarantor: Adnan Hussaini; Two 3yr options</t>
  </si>
  <si>
    <t xml:space="preserve">307</t>
  </si>
  <si>
    <t xml:space="preserve">Streamlined Operations Group LLC</t>
  </si>
  <si>
    <t xml:space="preserve">Studio; assumed vacate 05/27; Guarantor: Edmund Sullivan</t>
  </si>
  <si>
    <t xml:space="preserve">308</t>
  </si>
  <si>
    <t xml:space="preserve">Truly Nolen of America Inc.</t>
  </si>
  <si>
    <t xml:space="preserve">May-2028</t>
  </si>
  <si>
    <t xml:space="preserve">Studio; Two 3yr options; Guarantor: Truly Nolen of America Inc.</t>
  </si>
  <si>
    <t xml:space="preserve">Roanoke</t>
  </si>
  <si>
    <t xml:space="preserve">100A</t>
  </si>
  <si>
    <t xml:space="preserve">Suncoast Enclosures USA LLC</t>
  </si>
  <si>
    <t xml:space="preserve">Shop; Guarantor: Suncoast Built USA Inc.; Two 3yr options @ FMV</t>
  </si>
  <si>
    <t xml:space="preserve">100B</t>
  </si>
  <si>
    <t xml:space="preserve">Feb-2023</t>
  </si>
  <si>
    <t xml:space="preserve">104A</t>
  </si>
  <si>
    <t xml:space="preserve">Morrill Enterprises LLC</t>
  </si>
  <si>
    <t xml:space="preserve">Shop; Guarantor: Chad Morrill; Two 3yr options @ FMV</t>
  </si>
  <si>
    <t xml:space="preserve">104B</t>
  </si>
  <si>
    <t xml:space="preserve">Shop; future lease-up Jun-2026</t>
  </si>
  <si>
    <t xml:space="preserve">108A</t>
  </si>
  <si>
    <t xml:space="preserve">Upright Roofing and Construction LLC</t>
  </si>
  <si>
    <t xml:space="preserve">Shop; Guarantor: Ryan Robinson; Two 3yr options @ FMV</t>
  </si>
  <si>
    <t xml:space="preserve">108B</t>
  </si>
  <si>
    <t xml:space="preserve">Jul-2026</t>
  </si>
  <si>
    <t xml:space="preserve">Shop; future lease-up Aug-2026</t>
  </si>
  <si>
    <t xml:space="preserve">112A</t>
  </si>
  <si>
    <t xml:space="preserve">Capitan Boot Company LLC</t>
  </si>
  <si>
    <t xml:space="preserve">Shop; Guarantor: Joseph Marciante; Two 3yr options @ FMV</t>
  </si>
  <si>
    <t xml:space="preserve">112B</t>
  </si>
  <si>
    <t xml:space="preserve">116A</t>
  </si>
  <si>
    <t xml:space="preserve">Texas Upholstery and Trim LLC</t>
  </si>
  <si>
    <t xml:space="preserve">Shop; Guarantor: P. Valentino Gomez; Two 3yr options @ FMV</t>
  </si>
  <si>
    <t xml:space="preserve">116B</t>
  </si>
  <si>
    <t xml:space="preserve">120A</t>
  </si>
  <si>
    <t xml:space="preserve">Mark Ettinger, MD</t>
  </si>
  <si>
    <t xml:space="preserve">Shop; Guarantor: Mark Ettinger MD; Two 3yr options @ FMV</t>
  </si>
  <si>
    <t xml:space="preserve">120B</t>
  </si>
  <si>
    <t xml:space="preserve">124A</t>
  </si>
  <si>
    <t xml:space="preserve">NCullum Enterprises LLC</t>
  </si>
  <si>
    <t xml:space="preserve">Shop; Guarantor: John Seager; Two 3yr options @ FMV</t>
  </si>
  <si>
    <t xml:space="preserve">124B</t>
  </si>
  <si>
    <t xml:space="preserve">128A</t>
  </si>
  <si>
    <t xml:space="preserve">SouthStar Sports Group LLC</t>
  </si>
  <si>
    <t xml:space="preserve">Shop; Guarantor: Liang Kien Yew; Two 3yr options @ FMV</t>
  </si>
  <si>
    <t xml:space="preserve">128B</t>
  </si>
  <si>
    <t xml:space="preserve">Dallas Roboter Inc.</t>
  </si>
  <si>
    <t xml:space="preserve">Sep-2026</t>
  </si>
  <si>
    <t xml:space="preserve">Shop; short-term lease; Guarantor: Isaac Cullum</t>
  </si>
  <si>
    <t xml:space="preserve">132A</t>
  </si>
  <si>
    <t xml:space="preserve">B&amp;A Floors LLC</t>
  </si>
  <si>
    <t xml:space="preserve">Shop; Guarantor: Benson Kelly; Two 3yr options @ FMV</t>
  </si>
  <si>
    <t xml:space="preserve">132B</t>
  </si>
  <si>
    <t xml:space="preserve">JK Family Enterprises Inc.</t>
  </si>
  <si>
    <t xml:space="preserve">Studio; Guarantor: Kirby Harris; Two 3yr options @ FMV</t>
  </si>
  <si>
    <t xml:space="preserve">Plano</t>
  </si>
  <si>
    <t xml:space="preserve">MG International Inc.</t>
  </si>
  <si>
    <t xml:space="preserve">Shop; Guarantor: Mike Ghani; Two 3yr options @ 102.5%</t>
  </si>
  <si>
    <t xml:space="preserve">TPL Services LLC</t>
  </si>
  <si>
    <t xml:space="preserve">Shop; Guarantor: Michael Rentz; Two 3yr options @ 102.5%</t>
  </si>
  <si>
    <t xml:space="preserve">B.Cannon LLC</t>
  </si>
  <si>
    <t xml:space="preserve">Shop; Guarantor: Brianna Cannon; Two 3yr options @ 102.5%</t>
  </si>
  <si>
    <t xml:space="preserve">Chickadee Lane Estate and Moving Sales LLC</t>
  </si>
  <si>
    <t xml:space="preserve">Shop; Guarantor: Rebecca Davison; Two 3yr options @ FMV</t>
  </si>
  <si>
    <t xml:space="preserve">Amy Chandy Consulting LLC</t>
  </si>
  <si>
    <t xml:space="preserve">Shop; Guarantor: Amy Chandy; Two 3yr options @ 102.5%</t>
  </si>
  <si>
    <t xml:space="preserve">Shop; future lease-up Nov-2026</t>
  </si>
  <si>
    <t xml:space="preserve">Ipomoea Build Co LLC</t>
  </si>
  <si>
    <t xml:space="preserve">Shop; Two 3yr options @ 102.5%</t>
  </si>
  <si>
    <t xml:space="preserve">Humble Crew Auto Spa LLC</t>
  </si>
  <si>
    <t xml:space="preserve">Shop; Guarantor: Pran Shree; Two 3yr options @ FMV</t>
  </si>
  <si>
    <t xml:space="preserve">Xpress Restoration LLC</t>
  </si>
  <si>
    <t xml:space="preserve">Shop; Guarantor: Farhan Furniturewala; Two 3yr options @ 102.5%</t>
  </si>
  <si>
    <t xml:space="preserve">Sunstone Properties LLC</t>
  </si>
  <si>
    <t xml:space="preserve">Shop; Guarantor: Derek Shaw; Two 3yr options @ 102.5%</t>
  </si>
  <si>
    <t xml:space="preserve">Grand Bazaar Dallas LLC</t>
  </si>
  <si>
    <t xml:space="preserve">Shop; assumed vacate 06/27; Guarantor: Darren Buttle</t>
  </si>
  <si>
    <t xml:space="preserve">113</t>
  </si>
  <si>
    <t xml:space="preserve">ABF USA Ltd.</t>
  </si>
  <si>
    <t xml:space="preserve">Aug-2029</t>
  </si>
  <si>
    <t xml:space="preserve">Shop; Guarantor: Jesse Xiong; Two 3yr options @ FMV</t>
  </si>
  <si>
    <t xml:space="preserve">Thoughtful Integrations LLC</t>
  </si>
  <si>
    <t xml:space="preserve">Shop; assumed vacate 07/26; Guarantor: Cody Crossland</t>
  </si>
  <si>
    <t xml:space="preserve">Nation Wide Building Material USA LLC</t>
  </si>
  <si>
    <t xml:space="preserve">Shop; Guarantor: Kevin Carpenter; Two 3yr options @ FMV</t>
  </si>
  <si>
    <t xml:space="preserve">Aushill Construction LLC</t>
  </si>
  <si>
    <t xml:space="preserve">Shop; Guarantor: Joseph Mrak III; Two 3yr options @ FMV</t>
  </si>
  <si>
    <t xml:space="preserve">EnLiSense LLC</t>
  </si>
  <si>
    <t xml:space="preserve">Shop; Guarantor: Laurence Daggett; Two 3yr options @ 102.5%</t>
  </si>
  <si>
    <t xml:space="preserve">Dallas Wax LLC</t>
  </si>
  <si>
    <t xml:space="preserve">Shop; Guarantor: Dr. Sriram Muthukumar; Two 3yr options @ 102.5%</t>
  </si>
  <si>
    <t xml:space="preserve">Initech Roofing Inc.</t>
  </si>
  <si>
    <t xml:space="preserve">Shop; Guarantor: Nereida (Neddy) Hurtado; Two 3yr options @ FMV</t>
  </si>
  <si>
    <t xml:space="preserve">C&amp;W Stoneworks</t>
  </si>
  <si>
    <t xml:space="preserve">Shop; Guarantor: Chuck Anumele; Two 3yr options @ 102.5%</t>
  </si>
  <si>
    <t xml:space="preserve">Liland's Special Event Productions Inc.</t>
  </si>
  <si>
    <t xml:space="preserve">Shop; Guarantor: Alisah Phronebarger; Two 3yr options @ FMV</t>
  </si>
  <si>
    <t xml:space="preserve">Playtime Hospitality LLC</t>
  </si>
  <si>
    <t xml:space="preserve">Shop; Guarantor: Imoisi Ehiametalor; Two 3yr options @ 102.5%</t>
  </si>
  <si>
    <t xml:space="preserve">Lechanelactive llc</t>
  </si>
  <si>
    <t xml:space="preserve">Shop; assumed vacate 12/26; Guarantor: Thomas Bell</t>
  </si>
  <si>
    <t xml:space="preserve">Cartoli LLC</t>
  </si>
  <si>
    <t xml:space="preserve">Shop; Guarantor: Shazad Ali Abdullah; Two 3yr options @ 102.5%</t>
  </si>
  <si>
    <t xml:space="preserve">Shop; assumed vacate 08/27; Guarantor: Laurence Daggett</t>
  </si>
  <si>
    <t xml:space="preserve">Cantecc Construction LLC</t>
  </si>
  <si>
    <t xml:space="preserve">Shop; Guarantor: Jared Whitehead / Brian Edwards; Two 3yr options @ 102.5%</t>
  </si>
  <si>
    <t xml:space="preserve">High Point Access LLC</t>
  </si>
  <si>
    <t xml:space="preserve">Shop; Guarantor: Matt Tehrani; Two 3yr options @ 102.5%</t>
  </si>
  <si>
    <t xml:space="preserve">Capture Creative Studios LLC</t>
  </si>
  <si>
    <t xml:space="preserve">Shop; actual expiration 02/14/28; assumed vacate; Guarantor: Jonny Phi Ngo</t>
  </si>
  <si>
    <t xml:space="preserve">Big D Mechanical LLC</t>
  </si>
  <si>
    <t xml:space="preserve">Shop; Guarantor: Zach Dallman; Two 3yr options @ 102.5%</t>
  </si>
  <si>
    <t xml:space="preserve">TOTAL / AVG</t>
  </si>
  <si>
    <t xml:space="preserve">Total SF</t>
  </si>
  <si>
    <t xml:space="preserve">Occupied SF</t>
  </si>
  <si>
    <t xml:space="preserve">Vacant SF</t>
  </si>
  <si>
    <t xml:space="preserve">Occupancy %</t>
  </si>
  <si>
    <t xml:space="preserve"># Units</t>
  </si>
  <si>
    <t xml:space="preserve">Annual In-Place Rent</t>
  </si>
  <si>
    <t xml:space="preserve">Avg In-Place PSF</t>
  </si>
  <si>
    <t xml:space="preserve">Avg Market PSF</t>
  </si>
  <si>
    <t xml:space="preserve">LTL %</t>
  </si>
  <si>
    <t xml:space="preserve">Portfolio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</si>
</sst>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\$#,##0;&quot;($&quot;#,##0\);\-"/>
    <numFmt numFmtId="167" formatCode="\$#,##0.00;&quot;($&quot;#,##0.00\);\-"/>
    <numFmt numFmtId="168" formatCode="0.0%"/>
    <numFmt numFmtId="169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8"/>
    <col collapsed="false" customWidth="true" hidden="false" outlineLevel="0" max="3" min="3" style="1" width="42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1" min="11" style="1" width="11"/>
    <col collapsed="false" customWidth="true" hidden="false" outlineLevel="0" max="12" min="12" style="1" width="5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3" t="s">
        <v>12</v>
      </c>
      <c r="B2" s="3" t="s">
        <v>13</v>
      </c>
      <c r="C2" s="3" t="s">
        <v>14</v>
      </c>
      <c r="D2" s="4" t="n">
        <v>2600</v>
      </c>
      <c r="E2" s="3" t="s">
        <v>15</v>
      </c>
      <c r="F2" s="3" t="s">
        <v>16</v>
      </c>
      <c r="G2" s="5" t="n">
        <v>38926</v>
      </c>
      <c r="H2" s="6" t="n">
        <f aca="false">IF(D2=0,0,G2/D2)</f>
        <v>14.9715384615385</v>
      </c>
      <c r="I2" s="6" t="n">
        <v>18</v>
      </c>
      <c r="J2" s="6" t="n">
        <f aca="false">IF(G2=0,0,I2-H2)</f>
        <v>3.02846153846154</v>
      </c>
      <c r="K2" s="3" t="s">
        <v>17</v>
      </c>
      <c r="L2" s="3" t="s">
        <v>18</v>
      </c>
    </row>
    <row r="3" customFormat="false" ht="15" hidden="false" customHeight="true" outlineLevel="0" collapsed="false">
      <c r="A3" s="3" t="s">
        <v>12</v>
      </c>
      <c r="B3" s="3" t="s">
        <v>19</v>
      </c>
      <c r="C3" s="3" t="s">
        <v>20</v>
      </c>
      <c r="D3" s="4" t="n">
        <v>2600</v>
      </c>
      <c r="E3" s="3" t="s">
        <v>21</v>
      </c>
      <c r="F3" s="3" t="s">
        <v>22</v>
      </c>
      <c r="G3" s="5" t="n">
        <v>42640</v>
      </c>
      <c r="H3" s="6" t="n">
        <f aca="false">IF(D3=0,0,G3/D3)</f>
        <v>16.4</v>
      </c>
      <c r="I3" s="6" t="n">
        <v>18</v>
      </c>
      <c r="J3" s="6" t="n">
        <f aca="false">IF(G3=0,0,I3-H3)</f>
        <v>1.6</v>
      </c>
      <c r="K3" s="3" t="s">
        <v>17</v>
      </c>
      <c r="L3" s="3" t="s">
        <v>23</v>
      </c>
    </row>
    <row r="4" customFormat="false" ht="15" hidden="false" customHeight="true" outlineLevel="0" collapsed="false">
      <c r="A4" s="3" t="s">
        <v>12</v>
      </c>
      <c r="B4" s="3" t="s">
        <v>24</v>
      </c>
      <c r="C4" s="3" t="s">
        <v>25</v>
      </c>
      <c r="D4" s="4" t="n">
        <v>2600</v>
      </c>
      <c r="E4" s="3" t="s">
        <v>26</v>
      </c>
      <c r="F4" s="3" t="s">
        <v>27</v>
      </c>
      <c r="G4" s="5" t="n">
        <v>40291</v>
      </c>
      <c r="H4" s="6" t="n">
        <f aca="false">IF(D4=0,0,G4/D4)</f>
        <v>15.4965384615385</v>
      </c>
      <c r="I4" s="6" t="n">
        <v>18</v>
      </c>
      <c r="J4" s="6" t="n">
        <f aca="false">IF(G4=0,0,I4-H4)</f>
        <v>2.50346153846154</v>
      </c>
      <c r="K4" s="3" t="s">
        <v>17</v>
      </c>
      <c r="L4" s="3" t="s">
        <v>28</v>
      </c>
    </row>
    <row r="5" customFormat="false" ht="15" hidden="false" customHeight="true" outlineLevel="0" collapsed="false">
      <c r="A5" s="3" t="s">
        <v>12</v>
      </c>
      <c r="B5" s="3" t="s">
        <v>29</v>
      </c>
      <c r="C5" s="3" t="s">
        <v>30</v>
      </c>
      <c r="D5" s="4" t="n">
        <v>2600</v>
      </c>
      <c r="E5" s="3"/>
      <c r="F5" s="3"/>
      <c r="G5" s="5" t="n">
        <v>0</v>
      </c>
      <c r="H5" s="6" t="n">
        <f aca="false">IF(D5=0,0,G5/D5)</f>
        <v>0</v>
      </c>
      <c r="I5" s="6" t="n">
        <v>18</v>
      </c>
      <c r="J5" s="6" t="n">
        <f aca="false">IF(G5=0,0,I5-H5)</f>
        <v>0</v>
      </c>
      <c r="K5" s="3" t="s">
        <v>31</v>
      </c>
      <c r="L5" s="3" t="s">
        <v>32</v>
      </c>
    </row>
    <row r="6" customFormat="false" ht="15" hidden="false" customHeight="true" outlineLevel="0" collapsed="false">
      <c r="A6" s="3" t="s">
        <v>12</v>
      </c>
      <c r="B6" s="3" t="s">
        <v>33</v>
      </c>
      <c r="C6" s="3" t="s">
        <v>34</v>
      </c>
      <c r="D6" s="4" t="n">
        <v>2600</v>
      </c>
      <c r="E6" s="3" t="s">
        <v>35</v>
      </c>
      <c r="F6" s="3" t="s">
        <v>36</v>
      </c>
      <c r="G6" s="5" t="n">
        <v>45305</v>
      </c>
      <c r="H6" s="6" t="n">
        <f aca="false">IF(D6=0,0,G6/D6)</f>
        <v>17.425</v>
      </c>
      <c r="I6" s="6" t="n">
        <v>18</v>
      </c>
      <c r="J6" s="6" t="n">
        <f aca="false">IF(G6=0,0,I6-H6)</f>
        <v>0.574999999999999</v>
      </c>
      <c r="K6" s="3" t="s">
        <v>17</v>
      </c>
      <c r="L6" s="3" t="s">
        <v>37</v>
      </c>
    </row>
    <row r="7" customFormat="false" ht="15" hidden="false" customHeight="true" outlineLevel="0" collapsed="false">
      <c r="A7" s="3" t="s">
        <v>12</v>
      </c>
      <c r="B7" s="3" t="s">
        <v>38</v>
      </c>
      <c r="C7" s="3" t="s">
        <v>39</v>
      </c>
      <c r="D7" s="4" t="n">
        <v>2600</v>
      </c>
      <c r="E7" s="3" t="s">
        <v>15</v>
      </c>
      <c r="F7" s="3" t="s">
        <v>40</v>
      </c>
      <c r="G7" s="5" t="n">
        <v>40291</v>
      </c>
      <c r="H7" s="6" t="n">
        <f aca="false">IF(D7=0,0,G7/D7)</f>
        <v>15.4965384615385</v>
      </c>
      <c r="I7" s="6" t="n">
        <v>18</v>
      </c>
      <c r="J7" s="6" t="n">
        <f aca="false">IF(G7=0,0,I7-H7)</f>
        <v>2.50346153846154</v>
      </c>
      <c r="K7" s="3" t="s">
        <v>17</v>
      </c>
      <c r="L7" s="3" t="s">
        <v>41</v>
      </c>
    </row>
    <row r="8" customFormat="false" ht="15" hidden="false" customHeight="true" outlineLevel="0" collapsed="false">
      <c r="A8" s="3" t="s">
        <v>12</v>
      </c>
      <c r="B8" s="3" t="s">
        <v>42</v>
      </c>
      <c r="C8" s="3" t="s">
        <v>43</v>
      </c>
      <c r="D8" s="4" t="n">
        <v>2600</v>
      </c>
      <c r="E8" s="3" t="s">
        <v>15</v>
      </c>
      <c r="F8" s="3" t="s">
        <v>40</v>
      </c>
      <c r="G8" s="5" t="n">
        <v>40291</v>
      </c>
      <c r="H8" s="6" t="n">
        <f aca="false">IF(D8=0,0,G8/D8)</f>
        <v>15.4965384615385</v>
      </c>
      <c r="I8" s="6" t="n">
        <v>18</v>
      </c>
      <c r="J8" s="6" t="n">
        <f aca="false">IF(G8=0,0,I8-H8)</f>
        <v>2.50346153846154</v>
      </c>
      <c r="K8" s="3" t="s">
        <v>17</v>
      </c>
      <c r="L8" s="3" t="s">
        <v>44</v>
      </c>
    </row>
    <row r="9" customFormat="false" ht="15" hidden="false" customHeight="true" outlineLevel="0" collapsed="false">
      <c r="A9" s="3" t="s">
        <v>12</v>
      </c>
      <c r="B9" s="3" t="s">
        <v>45</v>
      </c>
      <c r="C9" s="3" t="s">
        <v>46</v>
      </c>
      <c r="D9" s="4" t="n">
        <v>2600</v>
      </c>
      <c r="E9" s="3" t="s">
        <v>15</v>
      </c>
      <c r="F9" s="3" t="s">
        <v>16</v>
      </c>
      <c r="G9" s="5" t="n">
        <v>40291</v>
      </c>
      <c r="H9" s="6" t="n">
        <f aca="false">IF(D9=0,0,G9/D9)</f>
        <v>15.4965384615385</v>
      </c>
      <c r="I9" s="6" t="n">
        <v>18</v>
      </c>
      <c r="J9" s="6" t="n">
        <f aca="false">IF(G9=0,0,I9-H9)</f>
        <v>2.50346153846154</v>
      </c>
      <c r="K9" s="3" t="s">
        <v>17</v>
      </c>
      <c r="L9" s="3" t="s">
        <v>47</v>
      </c>
    </row>
    <row r="10" customFormat="false" ht="15" hidden="false" customHeight="true" outlineLevel="0" collapsed="false">
      <c r="A10" s="3" t="s">
        <v>12</v>
      </c>
      <c r="B10" s="3" t="s">
        <v>48</v>
      </c>
      <c r="C10" s="3" t="s">
        <v>49</v>
      </c>
      <c r="D10" s="4" t="n">
        <v>2600</v>
      </c>
      <c r="E10" s="3" t="s">
        <v>26</v>
      </c>
      <c r="F10" s="3" t="s">
        <v>50</v>
      </c>
      <c r="G10" s="5" t="n">
        <v>40291</v>
      </c>
      <c r="H10" s="6" t="n">
        <f aca="false">IF(D10=0,0,G10/D10)</f>
        <v>15.4965384615385</v>
      </c>
      <c r="I10" s="6" t="n">
        <v>18</v>
      </c>
      <c r="J10" s="6" t="n">
        <f aca="false">IF(G10=0,0,I10-H10)</f>
        <v>2.50346153846154</v>
      </c>
      <c r="K10" s="3" t="s">
        <v>17</v>
      </c>
      <c r="L10" s="3" t="s">
        <v>51</v>
      </c>
    </row>
    <row r="11" customFormat="false" ht="15" hidden="false" customHeight="true" outlineLevel="0" collapsed="false">
      <c r="A11" s="3" t="s">
        <v>12</v>
      </c>
      <c r="B11" s="3" t="s">
        <v>52</v>
      </c>
      <c r="C11" s="3" t="s">
        <v>53</v>
      </c>
      <c r="D11" s="4" t="n">
        <v>4525</v>
      </c>
      <c r="E11" s="3" t="s">
        <v>26</v>
      </c>
      <c r="F11" s="3" t="s">
        <v>27</v>
      </c>
      <c r="G11" s="5" t="n">
        <v>70123</v>
      </c>
      <c r="H11" s="6" t="n">
        <f aca="false">IF(D11=0,0,G11/D11)</f>
        <v>15.4967955801105</v>
      </c>
      <c r="I11" s="6" t="n">
        <v>18</v>
      </c>
      <c r="J11" s="6" t="n">
        <f aca="false">IF(G11=0,0,I11-H11)</f>
        <v>2.5032044198895</v>
      </c>
      <c r="K11" s="3" t="s">
        <v>17</v>
      </c>
      <c r="L11" s="3" t="s">
        <v>54</v>
      </c>
    </row>
    <row r="12" customFormat="false" ht="15" hidden="false" customHeight="true" outlineLevel="0" collapsed="false">
      <c r="A12" s="3" t="s">
        <v>12</v>
      </c>
      <c r="B12" s="3" t="s">
        <v>55</v>
      </c>
      <c r="C12" s="3" t="s">
        <v>56</v>
      </c>
      <c r="D12" s="4" t="n">
        <v>1870</v>
      </c>
      <c r="E12" s="3" t="s">
        <v>57</v>
      </c>
      <c r="F12" s="3" t="s">
        <v>58</v>
      </c>
      <c r="G12" s="5" t="n">
        <v>28979</v>
      </c>
      <c r="H12" s="6" t="n">
        <f aca="false">IF(D12=0,0,G12/D12)</f>
        <v>15.4967914438503</v>
      </c>
      <c r="I12" s="6" t="n">
        <v>16</v>
      </c>
      <c r="J12" s="6" t="n">
        <f aca="false">IF(G12=0,0,I12-H12)</f>
        <v>0.503208556149733</v>
      </c>
      <c r="K12" s="3" t="s">
        <v>17</v>
      </c>
      <c r="L12" s="3" t="s">
        <v>59</v>
      </c>
    </row>
    <row r="13" customFormat="false" ht="15" hidden="false" customHeight="true" outlineLevel="0" collapsed="false">
      <c r="A13" s="3" t="s">
        <v>12</v>
      </c>
      <c r="B13" s="3" t="s">
        <v>60</v>
      </c>
      <c r="C13" s="3" t="s">
        <v>61</v>
      </c>
      <c r="D13" s="4" t="n">
        <v>1870</v>
      </c>
      <c r="E13" s="3" t="s">
        <v>62</v>
      </c>
      <c r="F13" s="3" t="s">
        <v>63</v>
      </c>
      <c r="G13" s="5" t="n">
        <v>29920</v>
      </c>
      <c r="H13" s="6" t="n">
        <f aca="false">IF(D13=0,0,G13/D13)</f>
        <v>16</v>
      </c>
      <c r="I13" s="6" t="n">
        <v>16</v>
      </c>
      <c r="J13" s="6" t="n">
        <f aca="false">IF(G13=0,0,I13-H13)</f>
        <v>0</v>
      </c>
      <c r="K13" s="3" t="s">
        <v>17</v>
      </c>
      <c r="L13" s="3" t="s">
        <v>64</v>
      </c>
    </row>
    <row r="14" customFormat="false" ht="15" hidden="false" customHeight="true" outlineLevel="0" collapsed="false">
      <c r="A14" s="3" t="s">
        <v>12</v>
      </c>
      <c r="B14" s="3" t="s">
        <v>65</v>
      </c>
      <c r="C14" s="3" t="s">
        <v>66</v>
      </c>
      <c r="D14" s="4" t="n">
        <v>1870</v>
      </c>
      <c r="E14" s="3" t="s">
        <v>67</v>
      </c>
      <c r="F14" s="3" t="s">
        <v>68</v>
      </c>
      <c r="G14" s="5" t="n">
        <v>26180</v>
      </c>
      <c r="H14" s="6" t="n">
        <f aca="false">IF(D14=0,0,G14/D14)</f>
        <v>14</v>
      </c>
      <c r="I14" s="6" t="n">
        <v>16</v>
      </c>
      <c r="J14" s="6" t="n">
        <f aca="false">IF(G14=0,0,I14-H14)</f>
        <v>2</v>
      </c>
      <c r="K14" s="3" t="s">
        <v>17</v>
      </c>
      <c r="L14" s="3" t="s">
        <v>69</v>
      </c>
    </row>
    <row r="15" customFormat="false" ht="15" hidden="false" customHeight="true" outlineLevel="0" collapsed="false">
      <c r="A15" s="3" t="s">
        <v>12</v>
      </c>
      <c r="B15" s="3" t="s">
        <v>70</v>
      </c>
      <c r="C15" s="3" t="s">
        <v>71</v>
      </c>
      <c r="D15" s="4" t="n">
        <v>3230</v>
      </c>
      <c r="E15" s="3" t="s">
        <v>72</v>
      </c>
      <c r="F15" s="3" t="s">
        <v>73</v>
      </c>
      <c r="G15" s="5" t="n">
        <v>56283</v>
      </c>
      <c r="H15" s="6" t="n">
        <f aca="false">IF(D15=0,0,G15/D15)</f>
        <v>17.4250773993808</v>
      </c>
      <c r="I15" s="6" t="n">
        <v>16</v>
      </c>
      <c r="J15" s="6" t="n">
        <f aca="false">IF(G15=0,0,I15-H15)</f>
        <v>-1.4250773993808</v>
      </c>
      <c r="K15" s="3" t="s">
        <v>17</v>
      </c>
      <c r="L15" s="3" t="s">
        <v>74</v>
      </c>
    </row>
    <row r="16" customFormat="false" ht="15" hidden="false" customHeight="true" outlineLevel="0" collapsed="false">
      <c r="A16" s="3" t="s">
        <v>12</v>
      </c>
      <c r="B16" s="3" t="s">
        <v>75</v>
      </c>
      <c r="C16" s="3" t="s">
        <v>76</v>
      </c>
      <c r="D16" s="4" t="n">
        <v>3230</v>
      </c>
      <c r="E16" s="3" t="s">
        <v>77</v>
      </c>
      <c r="F16" s="3" t="s">
        <v>40</v>
      </c>
      <c r="G16" s="5" t="n">
        <v>50054</v>
      </c>
      <c r="H16" s="6" t="n">
        <f aca="false">IF(D16=0,0,G16/D16)</f>
        <v>15.4965944272446</v>
      </c>
      <c r="I16" s="6" t="n">
        <v>16</v>
      </c>
      <c r="J16" s="6" t="n">
        <f aca="false">IF(G16=0,0,I16-H16)</f>
        <v>0.503405572755417</v>
      </c>
      <c r="K16" s="3" t="s">
        <v>17</v>
      </c>
      <c r="L16" s="3" t="s">
        <v>78</v>
      </c>
    </row>
    <row r="17" customFormat="false" ht="15" hidden="false" customHeight="true" outlineLevel="0" collapsed="false">
      <c r="A17" s="3" t="s">
        <v>12</v>
      </c>
      <c r="B17" s="3" t="s">
        <v>79</v>
      </c>
      <c r="C17" s="3" t="s">
        <v>80</v>
      </c>
      <c r="D17" s="4" t="n">
        <v>1870</v>
      </c>
      <c r="E17" s="3" t="s">
        <v>81</v>
      </c>
      <c r="F17" s="3" t="s">
        <v>82</v>
      </c>
      <c r="G17" s="5" t="n">
        <v>26180</v>
      </c>
      <c r="H17" s="6" t="n">
        <f aca="false">IF(D17=0,0,G17/D17)</f>
        <v>14</v>
      </c>
      <c r="I17" s="6" t="n">
        <v>16</v>
      </c>
      <c r="J17" s="6" t="n">
        <f aca="false">IF(G17=0,0,I17-H17)</f>
        <v>2</v>
      </c>
      <c r="K17" s="3" t="s">
        <v>17</v>
      </c>
      <c r="L17" s="3" t="s">
        <v>83</v>
      </c>
    </row>
    <row r="18" customFormat="false" ht="15" hidden="false" customHeight="true" outlineLevel="0" collapsed="false">
      <c r="A18" s="3" t="s">
        <v>12</v>
      </c>
      <c r="B18" s="3" t="s">
        <v>84</v>
      </c>
      <c r="C18" s="3" t="s">
        <v>80</v>
      </c>
      <c r="D18" s="4" t="n">
        <v>1870</v>
      </c>
      <c r="E18" s="3" t="s">
        <v>81</v>
      </c>
      <c r="F18" s="3" t="s">
        <v>82</v>
      </c>
      <c r="G18" s="5" t="n">
        <v>26180</v>
      </c>
      <c r="H18" s="6" t="n">
        <f aca="false">IF(D18=0,0,G18/D18)</f>
        <v>14</v>
      </c>
      <c r="I18" s="6" t="n">
        <v>16</v>
      </c>
      <c r="J18" s="6" t="n">
        <f aca="false">IF(G18=0,0,I18-H18)</f>
        <v>2</v>
      </c>
      <c r="K18" s="3" t="s">
        <v>17</v>
      </c>
      <c r="L18" s="3" t="s">
        <v>83</v>
      </c>
    </row>
    <row r="19" customFormat="false" ht="15" hidden="false" customHeight="true" outlineLevel="0" collapsed="false">
      <c r="A19" s="3" t="s">
        <v>12</v>
      </c>
      <c r="B19" s="3" t="s">
        <v>85</v>
      </c>
      <c r="C19" s="3" t="s">
        <v>86</v>
      </c>
      <c r="D19" s="4" t="n">
        <v>1870</v>
      </c>
      <c r="E19" s="3" t="s">
        <v>87</v>
      </c>
      <c r="F19" s="3" t="s">
        <v>88</v>
      </c>
      <c r="G19" s="5" t="n">
        <v>30668</v>
      </c>
      <c r="H19" s="6" t="n">
        <f aca="false">IF(D19=0,0,G19/D19)</f>
        <v>16.4</v>
      </c>
      <c r="I19" s="6" t="n">
        <v>16</v>
      </c>
      <c r="J19" s="6" t="n">
        <f aca="false">IF(G19=0,0,I19-H19)</f>
        <v>-0.399999999999999</v>
      </c>
      <c r="K19" s="3" t="s">
        <v>17</v>
      </c>
      <c r="L19" s="3" t="s">
        <v>89</v>
      </c>
    </row>
    <row r="20" customFormat="false" ht="15" hidden="false" customHeight="true" outlineLevel="0" collapsed="false">
      <c r="A20" s="3" t="s">
        <v>12</v>
      </c>
      <c r="B20" s="3" t="s">
        <v>90</v>
      </c>
      <c r="C20" s="3" t="s">
        <v>30</v>
      </c>
      <c r="D20" s="4" t="n">
        <v>1870</v>
      </c>
      <c r="E20" s="3"/>
      <c r="F20" s="3"/>
      <c r="G20" s="5" t="n">
        <v>0</v>
      </c>
      <c r="H20" s="6" t="n">
        <f aca="false">IF(D20=0,0,G20/D20)</f>
        <v>0</v>
      </c>
      <c r="I20" s="6" t="n">
        <v>16</v>
      </c>
      <c r="J20" s="6" t="n">
        <f aca="false">IF(G20=0,0,I20-H20)</f>
        <v>0</v>
      </c>
      <c r="K20" s="3" t="s">
        <v>31</v>
      </c>
      <c r="L20" s="3" t="s">
        <v>91</v>
      </c>
    </row>
    <row r="21" customFormat="false" ht="15" hidden="false" customHeight="true" outlineLevel="0" collapsed="false">
      <c r="A21" s="3" t="s">
        <v>12</v>
      </c>
      <c r="B21" s="3" t="s">
        <v>92</v>
      </c>
      <c r="C21" s="3" t="s">
        <v>30</v>
      </c>
      <c r="D21" s="4" t="n">
        <v>2580</v>
      </c>
      <c r="E21" s="3"/>
      <c r="F21" s="3"/>
      <c r="G21" s="5" t="n">
        <v>0</v>
      </c>
      <c r="H21" s="6" t="n">
        <f aca="false">IF(D21=0,0,G21/D21)</f>
        <v>0</v>
      </c>
      <c r="I21" s="6" t="n">
        <v>16</v>
      </c>
      <c r="J21" s="6" t="n">
        <f aca="false">IF(G21=0,0,I21-H21)</f>
        <v>0</v>
      </c>
      <c r="K21" s="3" t="s">
        <v>31</v>
      </c>
      <c r="L21" s="3" t="s">
        <v>93</v>
      </c>
    </row>
    <row r="22" customFormat="false" ht="15" hidden="false" customHeight="true" outlineLevel="0" collapsed="false">
      <c r="A22" s="3" t="s">
        <v>12</v>
      </c>
      <c r="B22" s="3" t="s">
        <v>94</v>
      </c>
      <c r="C22" s="3" t="s">
        <v>95</v>
      </c>
      <c r="D22" s="4" t="n">
        <v>2720</v>
      </c>
      <c r="E22" s="3" t="s">
        <v>81</v>
      </c>
      <c r="F22" s="3" t="s">
        <v>96</v>
      </c>
      <c r="G22" s="5" t="n">
        <v>38080</v>
      </c>
      <c r="H22" s="6" t="n">
        <f aca="false">IF(D22=0,0,G22/D22)</f>
        <v>14</v>
      </c>
      <c r="I22" s="6" t="n">
        <v>16</v>
      </c>
      <c r="J22" s="6" t="n">
        <f aca="false">IF(G22=0,0,I22-H22)</f>
        <v>2</v>
      </c>
      <c r="K22" s="3" t="s">
        <v>17</v>
      </c>
      <c r="L22" s="3" t="s">
        <v>97</v>
      </c>
    </row>
    <row r="23" customFormat="false" ht="15" hidden="false" customHeight="true" outlineLevel="0" collapsed="false">
      <c r="A23" s="3" t="s">
        <v>12</v>
      </c>
      <c r="B23" s="3" t="s">
        <v>98</v>
      </c>
      <c r="C23" s="3" t="s">
        <v>99</v>
      </c>
      <c r="D23" s="4" t="n">
        <v>3230</v>
      </c>
      <c r="E23" s="3" t="s">
        <v>100</v>
      </c>
      <c r="F23" s="3" t="s">
        <v>101</v>
      </c>
      <c r="G23" s="5" t="n">
        <v>45220</v>
      </c>
      <c r="H23" s="6" t="n">
        <f aca="false">IF(D23=0,0,G23/D23)</f>
        <v>14</v>
      </c>
      <c r="I23" s="6" t="n">
        <v>16</v>
      </c>
      <c r="J23" s="6" t="n">
        <f aca="false">IF(G23=0,0,I23-H23)</f>
        <v>2</v>
      </c>
      <c r="K23" s="3" t="s">
        <v>17</v>
      </c>
      <c r="L23" s="3" t="s">
        <v>102</v>
      </c>
    </row>
    <row r="24" customFormat="false" ht="15" hidden="false" customHeight="true" outlineLevel="0" collapsed="false">
      <c r="A24" s="3" t="s">
        <v>12</v>
      </c>
      <c r="B24" s="3" t="s">
        <v>103</v>
      </c>
      <c r="C24" s="3" t="s">
        <v>104</v>
      </c>
      <c r="D24" s="4" t="n">
        <v>1870</v>
      </c>
      <c r="E24" s="3" t="s">
        <v>105</v>
      </c>
      <c r="F24" s="3" t="s">
        <v>58</v>
      </c>
      <c r="G24" s="5" t="n">
        <v>26835</v>
      </c>
      <c r="H24" s="6" t="n">
        <f aca="false">IF(D24=0,0,G24/D24)</f>
        <v>14.3502673796791</v>
      </c>
      <c r="I24" s="6" t="n">
        <v>16</v>
      </c>
      <c r="J24" s="6" t="n">
        <f aca="false">IF(G24=0,0,I24-H24)</f>
        <v>1.64973262032086</v>
      </c>
      <c r="K24" s="3" t="s">
        <v>17</v>
      </c>
      <c r="L24" s="3" t="s">
        <v>106</v>
      </c>
    </row>
    <row r="25" customFormat="false" ht="15" hidden="false" customHeight="true" outlineLevel="0" collapsed="false">
      <c r="A25" s="3" t="s">
        <v>12</v>
      </c>
      <c r="B25" s="3" t="s">
        <v>107</v>
      </c>
      <c r="C25" s="3" t="s">
        <v>104</v>
      </c>
      <c r="D25" s="4" t="n">
        <v>1870</v>
      </c>
      <c r="E25" s="3" t="s">
        <v>108</v>
      </c>
      <c r="F25" s="3" t="s">
        <v>58</v>
      </c>
      <c r="G25" s="5" t="n">
        <v>26180</v>
      </c>
      <c r="H25" s="6" t="n">
        <f aca="false">IF(D25=0,0,G25/D25)</f>
        <v>14</v>
      </c>
      <c r="I25" s="6" t="n">
        <v>16</v>
      </c>
      <c r="J25" s="6" t="n">
        <f aca="false">IF(G25=0,0,I25-H25)</f>
        <v>2</v>
      </c>
      <c r="K25" s="3" t="s">
        <v>17</v>
      </c>
      <c r="L25" s="3" t="s">
        <v>106</v>
      </c>
    </row>
    <row r="26" customFormat="false" ht="15" hidden="false" customHeight="true" outlineLevel="0" collapsed="false">
      <c r="A26" s="3" t="s">
        <v>12</v>
      </c>
      <c r="B26" s="3" t="s">
        <v>109</v>
      </c>
      <c r="C26" s="3" t="s">
        <v>110</v>
      </c>
      <c r="D26" s="4" t="n">
        <v>1870</v>
      </c>
      <c r="E26" s="3" t="s">
        <v>111</v>
      </c>
      <c r="F26" s="3" t="s">
        <v>112</v>
      </c>
      <c r="G26" s="5" t="n">
        <v>29920</v>
      </c>
      <c r="H26" s="6" t="n">
        <f aca="false">IF(D26=0,0,G26/D26)</f>
        <v>16</v>
      </c>
      <c r="I26" s="6" t="n">
        <v>16</v>
      </c>
      <c r="J26" s="6" t="n">
        <f aca="false">IF(G26=0,0,I26-H26)</f>
        <v>0</v>
      </c>
      <c r="K26" s="3" t="s">
        <v>17</v>
      </c>
      <c r="L26" s="3" t="s">
        <v>113</v>
      </c>
    </row>
    <row r="27" customFormat="false" ht="15" hidden="false" customHeight="true" outlineLevel="0" collapsed="false">
      <c r="A27" s="3" t="s">
        <v>12</v>
      </c>
      <c r="B27" s="3" t="s">
        <v>114</v>
      </c>
      <c r="C27" s="3" t="s">
        <v>30</v>
      </c>
      <c r="D27" s="4" t="n">
        <v>1870</v>
      </c>
      <c r="E27" s="3"/>
      <c r="F27" s="3"/>
      <c r="G27" s="5" t="n">
        <v>0</v>
      </c>
      <c r="H27" s="6" t="n">
        <f aca="false">IF(D27=0,0,G27/D27)</f>
        <v>0</v>
      </c>
      <c r="I27" s="6" t="n">
        <v>16</v>
      </c>
      <c r="J27" s="6" t="n">
        <f aca="false">IF(G27=0,0,I27-H27)</f>
        <v>0</v>
      </c>
      <c r="K27" s="3" t="s">
        <v>31</v>
      </c>
      <c r="L27" s="3" t="s">
        <v>115</v>
      </c>
    </row>
    <row r="28" customFormat="false" ht="15" hidden="false" customHeight="true" outlineLevel="0" collapsed="false">
      <c r="A28" s="3" t="s">
        <v>12</v>
      </c>
      <c r="B28" s="3" t="s">
        <v>116</v>
      </c>
      <c r="C28" s="3" t="s">
        <v>117</v>
      </c>
      <c r="D28" s="4" t="n">
        <v>1870</v>
      </c>
      <c r="E28" s="3" t="s">
        <v>81</v>
      </c>
      <c r="F28" s="3" t="s">
        <v>118</v>
      </c>
      <c r="G28" s="5" t="n">
        <v>26180</v>
      </c>
      <c r="H28" s="6" t="n">
        <f aca="false">IF(D28=0,0,G28/D28)</f>
        <v>14</v>
      </c>
      <c r="I28" s="6" t="n">
        <v>16</v>
      </c>
      <c r="J28" s="6" t="n">
        <f aca="false">IF(G28=0,0,I28-H28)</f>
        <v>2</v>
      </c>
      <c r="K28" s="3" t="s">
        <v>17</v>
      </c>
      <c r="L28" s="3" t="s">
        <v>119</v>
      </c>
    </row>
    <row r="29" customFormat="false" ht="15" hidden="false" customHeight="true" outlineLevel="0" collapsed="false">
      <c r="A29" s="3" t="s">
        <v>12</v>
      </c>
      <c r="B29" s="3" t="s">
        <v>120</v>
      </c>
      <c r="C29" s="3" t="s">
        <v>117</v>
      </c>
      <c r="D29" s="4" t="n">
        <v>1870</v>
      </c>
      <c r="E29" s="3" t="s">
        <v>121</v>
      </c>
      <c r="F29" s="3" t="s">
        <v>118</v>
      </c>
      <c r="G29" s="5" t="n">
        <v>30668</v>
      </c>
      <c r="H29" s="6" t="n">
        <f aca="false">IF(D29=0,0,G29/D29)</f>
        <v>16.4</v>
      </c>
      <c r="I29" s="6" t="n">
        <v>16</v>
      </c>
      <c r="J29" s="6" t="n">
        <f aca="false">IF(G29=0,0,I29-H29)</f>
        <v>-0.399999999999999</v>
      </c>
      <c r="K29" s="3" t="s">
        <v>17</v>
      </c>
      <c r="L29" s="3" t="s">
        <v>119</v>
      </c>
    </row>
    <row r="30" customFormat="false" ht="15" hidden="false" customHeight="true" outlineLevel="0" collapsed="false">
      <c r="A30" s="3" t="s">
        <v>12</v>
      </c>
      <c r="B30" s="3" t="s">
        <v>122</v>
      </c>
      <c r="C30" s="3" t="s">
        <v>123</v>
      </c>
      <c r="D30" s="4" t="n">
        <v>12805</v>
      </c>
      <c r="E30" s="3" t="s">
        <v>111</v>
      </c>
      <c r="F30" s="3" t="s">
        <v>124</v>
      </c>
      <c r="G30" s="5" t="n">
        <v>212819</v>
      </c>
      <c r="H30" s="6" t="n">
        <f aca="false">IF(D30=0,0,G30/D30)</f>
        <v>16.6199921905506</v>
      </c>
      <c r="I30" s="6" t="n">
        <v>18</v>
      </c>
      <c r="J30" s="6" t="n">
        <f aca="false">IF(G30=0,0,I30-H30)</f>
        <v>1.38000780944943</v>
      </c>
      <c r="K30" s="3" t="s">
        <v>17</v>
      </c>
      <c r="L30" s="3" t="s">
        <v>125</v>
      </c>
    </row>
    <row r="31" customFormat="false" ht="15" hidden="false" customHeight="true" outlineLevel="0" collapsed="false">
      <c r="A31" s="3" t="s">
        <v>12</v>
      </c>
      <c r="B31" s="3" t="s">
        <v>126</v>
      </c>
      <c r="C31" s="3" t="s">
        <v>123</v>
      </c>
      <c r="D31" s="4" t="n">
        <v>2600</v>
      </c>
      <c r="E31" s="3" t="s">
        <v>127</v>
      </c>
      <c r="F31" s="3" t="s">
        <v>124</v>
      </c>
      <c r="G31" s="5" t="n">
        <v>46800</v>
      </c>
      <c r="H31" s="6" t="n">
        <f aca="false">IF(D31=0,0,G31/D31)</f>
        <v>18</v>
      </c>
      <c r="I31" s="6" t="n">
        <v>18</v>
      </c>
      <c r="J31" s="6" t="n">
        <f aca="false">IF(G31=0,0,I31-H31)</f>
        <v>0</v>
      </c>
      <c r="K31" s="3" t="s">
        <v>17</v>
      </c>
      <c r="L31" s="3" t="s">
        <v>125</v>
      </c>
    </row>
    <row r="32" customFormat="false" ht="15" hidden="false" customHeight="true" outlineLevel="0" collapsed="false">
      <c r="A32" s="3" t="s">
        <v>12</v>
      </c>
      <c r="B32" s="3" t="s">
        <v>128</v>
      </c>
      <c r="C32" s="3" t="s">
        <v>123</v>
      </c>
      <c r="D32" s="4" t="n">
        <v>2600</v>
      </c>
      <c r="E32" s="3" t="s">
        <v>129</v>
      </c>
      <c r="F32" s="3" t="s">
        <v>130</v>
      </c>
      <c r="G32" s="5" t="n">
        <v>47970</v>
      </c>
      <c r="H32" s="6" t="n">
        <f aca="false">IF(D32=0,0,G32/D32)</f>
        <v>18.45</v>
      </c>
      <c r="I32" s="6" t="n">
        <v>18</v>
      </c>
      <c r="J32" s="6" t="n">
        <f aca="false">IF(G32=0,0,I32-H32)</f>
        <v>-0.449999999999999</v>
      </c>
      <c r="K32" s="3" t="s">
        <v>17</v>
      </c>
      <c r="L32" s="3" t="s">
        <v>131</v>
      </c>
    </row>
    <row r="33" customFormat="false" ht="15" hidden="false" customHeight="true" outlineLevel="0" collapsed="false">
      <c r="A33" s="3" t="s">
        <v>12</v>
      </c>
      <c r="B33" s="3" t="s">
        <v>132</v>
      </c>
      <c r="C33" s="3" t="s">
        <v>133</v>
      </c>
      <c r="D33" s="4" t="n">
        <v>3450</v>
      </c>
      <c r="E33" s="3" t="s">
        <v>134</v>
      </c>
      <c r="F33" s="3" t="s">
        <v>135</v>
      </c>
      <c r="G33" s="5" t="n">
        <v>56580</v>
      </c>
      <c r="H33" s="6" t="n">
        <f aca="false">IF(D33=0,0,G33/D33)</f>
        <v>16.4</v>
      </c>
      <c r="I33" s="6" t="n">
        <v>18</v>
      </c>
      <c r="J33" s="6" t="n">
        <f aca="false">IF(G33=0,0,I33-H33)</f>
        <v>1.6</v>
      </c>
      <c r="K33" s="3" t="s">
        <v>17</v>
      </c>
      <c r="L33" s="3" t="s">
        <v>136</v>
      </c>
    </row>
    <row r="34" customFormat="false" ht="15" hidden="false" customHeight="true" outlineLevel="0" collapsed="false">
      <c r="A34" s="3" t="s">
        <v>12</v>
      </c>
      <c r="B34" s="3" t="s">
        <v>137</v>
      </c>
      <c r="C34" s="3" t="s">
        <v>138</v>
      </c>
      <c r="D34" s="4" t="n">
        <v>2600</v>
      </c>
      <c r="E34" s="3" t="s">
        <v>100</v>
      </c>
      <c r="F34" s="3" t="s">
        <v>58</v>
      </c>
      <c r="G34" s="5" t="n">
        <v>46800</v>
      </c>
      <c r="H34" s="6" t="n">
        <f aca="false">IF(D34=0,0,G34/D34)</f>
        <v>18</v>
      </c>
      <c r="I34" s="6" t="n">
        <v>18</v>
      </c>
      <c r="J34" s="6" t="n">
        <f aca="false">IF(G34=0,0,I34-H34)</f>
        <v>0</v>
      </c>
      <c r="K34" s="3" t="s">
        <v>17</v>
      </c>
      <c r="L34" s="3" t="s">
        <v>139</v>
      </c>
    </row>
    <row r="35" customFormat="false" ht="15" hidden="false" customHeight="true" outlineLevel="0" collapsed="false">
      <c r="A35" s="3" t="s">
        <v>12</v>
      </c>
      <c r="B35" s="3" t="s">
        <v>140</v>
      </c>
      <c r="C35" s="3" t="s">
        <v>138</v>
      </c>
      <c r="D35" s="4" t="n">
        <v>2600</v>
      </c>
      <c r="E35" s="3" t="s">
        <v>105</v>
      </c>
      <c r="F35" s="3" t="s">
        <v>58</v>
      </c>
      <c r="G35" s="5" t="n">
        <v>47970</v>
      </c>
      <c r="H35" s="6" t="n">
        <f aca="false">IF(D35=0,0,G35/D35)</f>
        <v>18.45</v>
      </c>
      <c r="I35" s="6" t="n">
        <v>18</v>
      </c>
      <c r="J35" s="6" t="n">
        <f aca="false">IF(G35=0,0,I35-H35)</f>
        <v>-0.449999999999999</v>
      </c>
      <c r="K35" s="3" t="s">
        <v>17</v>
      </c>
      <c r="L35" s="3" t="s">
        <v>141</v>
      </c>
    </row>
    <row r="36" customFormat="false" ht="15" hidden="false" customHeight="true" outlineLevel="0" collapsed="false">
      <c r="A36" s="3" t="s">
        <v>12</v>
      </c>
      <c r="B36" s="3" t="s">
        <v>142</v>
      </c>
      <c r="C36" s="3" t="s">
        <v>138</v>
      </c>
      <c r="D36" s="4" t="n">
        <v>4525</v>
      </c>
      <c r="E36" s="3" t="s">
        <v>105</v>
      </c>
      <c r="F36" s="3" t="s">
        <v>143</v>
      </c>
      <c r="G36" s="5" t="n">
        <v>83486</v>
      </c>
      <c r="H36" s="6" t="n">
        <f aca="false">IF(D36=0,0,G36/D36)</f>
        <v>18.4499447513812</v>
      </c>
      <c r="I36" s="6" t="n">
        <v>18</v>
      </c>
      <c r="J36" s="6" t="n">
        <f aca="false">IF(G36=0,0,I36-H36)</f>
        <v>-0.449944751381217</v>
      </c>
      <c r="K36" s="3" t="s">
        <v>17</v>
      </c>
      <c r="L36" s="3" t="s">
        <v>47</v>
      </c>
    </row>
    <row r="37" customFormat="false" ht="15" hidden="false" customHeight="true" outlineLevel="0" collapsed="false">
      <c r="A37" s="3" t="s">
        <v>12</v>
      </c>
      <c r="B37" s="3" t="s">
        <v>144</v>
      </c>
      <c r="C37" s="3" t="s">
        <v>145</v>
      </c>
      <c r="D37" s="4" t="n">
        <v>3450</v>
      </c>
      <c r="E37" s="3" t="s">
        <v>35</v>
      </c>
      <c r="F37" s="3" t="s">
        <v>146</v>
      </c>
      <c r="G37" s="5" t="n">
        <v>56580</v>
      </c>
      <c r="H37" s="6" t="n">
        <f aca="false">IF(D37=0,0,G37/D37)</f>
        <v>16.4</v>
      </c>
      <c r="I37" s="6" t="n">
        <v>18</v>
      </c>
      <c r="J37" s="6" t="n">
        <f aca="false">IF(G37=0,0,I37-H37)</f>
        <v>1.6</v>
      </c>
      <c r="K37" s="3" t="s">
        <v>17</v>
      </c>
      <c r="L37" s="3" t="s">
        <v>147</v>
      </c>
    </row>
    <row r="38" customFormat="false" ht="15" hidden="false" customHeight="true" outlineLevel="0" collapsed="false">
      <c r="A38" s="3" t="s">
        <v>148</v>
      </c>
      <c r="B38" s="3" t="s">
        <v>149</v>
      </c>
      <c r="C38" s="3" t="s">
        <v>150</v>
      </c>
      <c r="D38" s="4" t="n">
        <v>2600</v>
      </c>
      <c r="E38" s="3" t="s">
        <v>129</v>
      </c>
      <c r="F38" s="3" t="s">
        <v>36</v>
      </c>
      <c r="G38" s="5" t="n">
        <v>50635</v>
      </c>
      <c r="H38" s="6" t="n">
        <f aca="false">IF(D38=0,0,G38/D38)</f>
        <v>19.475</v>
      </c>
      <c r="I38" s="6" t="n">
        <v>19</v>
      </c>
      <c r="J38" s="6" t="n">
        <f aca="false">IF(G38=0,0,I38-H38)</f>
        <v>-0.475000000000001</v>
      </c>
      <c r="K38" s="3" t="s">
        <v>17</v>
      </c>
      <c r="L38" s="3" t="s">
        <v>151</v>
      </c>
    </row>
    <row r="39" customFormat="false" ht="15" hidden="false" customHeight="true" outlineLevel="0" collapsed="false">
      <c r="A39" s="3" t="s">
        <v>148</v>
      </c>
      <c r="B39" s="3" t="s">
        <v>152</v>
      </c>
      <c r="C39" s="3" t="s">
        <v>153</v>
      </c>
      <c r="D39" s="4" t="n">
        <v>2600</v>
      </c>
      <c r="E39" s="3" t="s">
        <v>129</v>
      </c>
      <c r="F39" s="3" t="s">
        <v>36</v>
      </c>
      <c r="G39" s="5" t="n">
        <v>47970</v>
      </c>
      <c r="H39" s="6" t="n">
        <f aca="false">IF(D39=0,0,G39/D39)</f>
        <v>18.45</v>
      </c>
      <c r="I39" s="6" t="n">
        <v>19</v>
      </c>
      <c r="J39" s="6" t="n">
        <f aca="false">IF(G39=0,0,I39-H39)</f>
        <v>0.550000000000001</v>
      </c>
      <c r="K39" s="3" t="s">
        <v>17</v>
      </c>
      <c r="L39" s="3" t="s">
        <v>154</v>
      </c>
    </row>
    <row r="40" customFormat="false" ht="15" hidden="false" customHeight="true" outlineLevel="0" collapsed="false">
      <c r="A40" s="3" t="s">
        <v>148</v>
      </c>
      <c r="B40" s="3" t="s">
        <v>155</v>
      </c>
      <c r="C40" s="3" t="s">
        <v>14</v>
      </c>
      <c r="D40" s="4" t="n">
        <v>2600</v>
      </c>
      <c r="E40" s="3" t="s">
        <v>129</v>
      </c>
      <c r="F40" s="3" t="s">
        <v>130</v>
      </c>
      <c r="G40" s="5" t="n">
        <v>45305</v>
      </c>
      <c r="H40" s="6" t="n">
        <f aca="false">IF(D40=0,0,G40/D40)</f>
        <v>17.425</v>
      </c>
      <c r="I40" s="6" t="n">
        <v>19</v>
      </c>
      <c r="J40" s="6" t="n">
        <f aca="false">IF(G40=0,0,I40-H40)</f>
        <v>1.575</v>
      </c>
      <c r="K40" s="3" t="s">
        <v>17</v>
      </c>
      <c r="L40" s="3"/>
    </row>
    <row r="41" customFormat="false" ht="15" hidden="false" customHeight="true" outlineLevel="0" collapsed="false">
      <c r="A41" s="3" t="s">
        <v>148</v>
      </c>
      <c r="B41" s="3" t="s">
        <v>19</v>
      </c>
      <c r="C41" s="3" t="s">
        <v>156</v>
      </c>
      <c r="D41" s="4" t="n">
        <v>2600</v>
      </c>
      <c r="E41" s="3" t="s">
        <v>129</v>
      </c>
      <c r="F41" s="3" t="s">
        <v>36</v>
      </c>
      <c r="G41" s="5" t="n">
        <v>41974</v>
      </c>
      <c r="H41" s="6" t="n">
        <f aca="false">IF(D41=0,0,G41/D41)</f>
        <v>16.1438461538462</v>
      </c>
      <c r="I41" s="6" t="n">
        <v>19</v>
      </c>
      <c r="J41" s="6" t="n">
        <f aca="false">IF(G41=0,0,I41-H41)</f>
        <v>2.85615384615384</v>
      </c>
      <c r="K41" s="3" t="s">
        <v>17</v>
      </c>
      <c r="L41" s="3" t="s">
        <v>157</v>
      </c>
    </row>
    <row r="42" customFormat="false" ht="15" hidden="false" customHeight="true" outlineLevel="0" collapsed="false">
      <c r="A42" s="3" t="s">
        <v>148</v>
      </c>
      <c r="B42" s="3" t="s">
        <v>158</v>
      </c>
      <c r="C42" s="3" t="s">
        <v>159</v>
      </c>
      <c r="D42" s="4" t="n">
        <v>2600</v>
      </c>
      <c r="E42" s="3" t="s">
        <v>81</v>
      </c>
      <c r="F42" s="3" t="s">
        <v>96</v>
      </c>
      <c r="G42" s="5" t="n">
        <v>46800</v>
      </c>
      <c r="H42" s="6" t="n">
        <f aca="false">IF(D42=0,0,G42/D42)</f>
        <v>18</v>
      </c>
      <c r="I42" s="6" t="n">
        <v>19</v>
      </c>
      <c r="J42" s="6" t="n">
        <f aca="false">IF(G42=0,0,I42-H42)</f>
        <v>1</v>
      </c>
      <c r="K42" s="3" t="s">
        <v>17</v>
      </c>
      <c r="L42" s="3" t="s">
        <v>160</v>
      </c>
    </row>
    <row r="43" customFormat="false" ht="15" hidden="false" customHeight="true" outlineLevel="0" collapsed="false">
      <c r="A43" s="3" t="s">
        <v>148</v>
      </c>
      <c r="B43" s="3" t="s">
        <v>161</v>
      </c>
      <c r="C43" s="3" t="s">
        <v>159</v>
      </c>
      <c r="D43" s="4" t="n">
        <v>2600</v>
      </c>
      <c r="E43" s="3" t="s">
        <v>81</v>
      </c>
      <c r="F43" s="3" t="s">
        <v>96</v>
      </c>
      <c r="G43" s="5" t="n">
        <v>46800</v>
      </c>
      <c r="H43" s="6" t="n">
        <f aca="false">IF(D43=0,0,G43/D43)</f>
        <v>18</v>
      </c>
      <c r="I43" s="6" t="n">
        <v>19</v>
      </c>
      <c r="J43" s="6" t="n">
        <f aca="false">IF(G43=0,0,I43-H43)</f>
        <v>1</v>
      </c>
      <c r="K43" s="3" t="s">
        <v>17</v>
      </c>
      <c r="L43" s="3" t="s">
        <v>160</v>
      </c>
    </row>
    <row r="44" customFormat="false" ht="15" hidden="false" customHeight="true" outlineLevel="0" collapsed="false">
      <c r="A44" s="3" t="s">
        <v>148</v>
      </c>
      <c r="B44" s="3" t="s">
        <v>162</v>
      </c>
      <c r="C44" s="3" t="s">
        <v>163</v>
      </c>
      <c r="D44" s="4" t="n">
        <v>2600</v>
      </c>
      <c r="E44" s="3" t="s">
        <v>129</v>
      </c>
      <c r="F44" s="3" t="s">
        <v>36</v>
      </c>
      <c r="G44" s="5" t="n">
        <v>43973</v>
      </c>
      <c r="H44" s="6" t="n">
        <f aca="false">IF(D44=0,0,G44/D44)</f>
        <v>16.9126923076923</v>
      </c>
      <c r="I44" s="6" t="n">
        <v>19</v>
      </c>
      <c r="J44" s="6" t="n">
        <f aca="false">IF(G44=0,0,I44-H44)</f>
        <v>2.08730769230769</v>
      </c>
      <c r="K44" s="3" t="s">
        <v>17</v>
      </c>
      <c r="L44" s="3" t="s">
        <v>164</v>
      </c>
    </row>
    <row r="45" customFormat="false" ht="15" hidden="false" customHeight="true" outlineLevel="0" collapsed="false">
      <c r="A45" s="3" t="s">
        <v>148</v>
      </c>
      <c r="B45" s="3" t="s">
        <v>24</v>
      </c>
      <c r="C45" s="3" t="s">
        <v>165</v>
      </c>
      <c r="D45" s="4" t="n">
        <v>2600</v>
      </c>
      <c r="E45" s="3" t="s">
        <v>166</v>
      </c>
      <c r="F45" s="3" t="s">
        <v>50</v>
      </c>
      <c r="G45" s="5" t="n">
        <v>49400</v>
      </c>
      <c r="H45" s="6" t="n">
        <f aca="false">IF(D45=0,0,G45/D45)</f>
        <v>19</v>
      </c>
      <c r="I45" s="6" t="n">
        <v>19</v>
      </c>
      <c r="J45" s="6" t="n">
        <f aca="false">IF(G45=0,0,I45-H45)</f>
        <v>0</v>
      </c>
      <c r="K45" s="3" t="s">
        <v>17</v>
      </c>
      <c r="L45" s="3" t="s">
        <v>167</v>
      </c>
    </row>
    <row r="46" customFormat="false" ht="15" hidden="false" customHeight="true" outlineLevel="0" collapsed="false">
      <c r="A46" s="3" t="s">
        <v>148</v>
      </c>
      <c r="B46" s="3" t="s">
        <v>168</v>
      </c>
      <c r="C46" s="3" t="s">
        <v>169</v>
      </c>
      <c r="D46" s="4" t="n">
        <v>2600</v>
      </c>
      <c r="E46" s="3" t="s">
        <v>129</v>
      </c>
      <c r="F46" s="3" t="s">
        <v>36</v>
      </c>
      <c r="G46" s="5" t="n">
        <v>45305</v>
      </c>
      <c r="H46" s="6" t="n">
        <f aca="false">IF(D46=0,0,G46/D46)</f>
        <v>17.425</v>
      </c>
      <c r="I46" s="6" t="n">
        <v>19</v>
      </c>
      <c r="J46" s="6" t="n">
        <f aca="false">IF(G46=0,0,I46-H46)</f>
        <v>1.575</v>
      </c>
      <c r="K46" s="3" t="s">
        <v>17</v>
      </c>
      <c r="L46" s="3" t="s">
        <v>170</v>
      </c>
    </row>
    <row r="47" customFormat="false" ht="15" hidden="false" customHeight="true" outlineLevel="0" collapsed="false">
      <c r="A47" s="3" t="s">
        <v>148</v>
      </c>
      <c r="B47" s="3" t="s">
        <v>171</v>
      </c>
      <c r="C47" s="3" t="s">
        <v>172</v>
      </c>
      <c r="D47" s="4" t="n">
        <v>2600</v>
      </c>
      <c r="E47" s="3" t="s">
        <v>105</v>
      </c>
      <c r="F47" s="3" t="s">
        <v>58</v>
      </c>
      <c r="G47" s="5" t="n">
        <v>45305</v>
      </c>
      <c r="H47" s="6" t="n">
        <f aca="false">IF(D47=0,0,G47/D47)</f>
        <v>17.425</v>
      </c>
      <c r="I47" s="6" t="n">
        <v>19</v>
      </c>
      <c r="J47" s="6" t="n">
        <f aca="false">IF(G47=0,0,I47-H47)</f>
        <v>1.575</v>
      </c>
      <c r="K47" s="3" t="s">
        <v>17</v>
      </c>
      <c r="L47" s="3" t="s">
        <v>173</v>
      </c>
    </row>
    <row r="48" customFormat="false" ht="15" hidden="false" customHeight="true" outlineLevel="0" collapsed="false">
      <c r="A48" s="3" t="s">
        <v>148</v>
      </c>
      <c r="B48" s="3" t="s">
        <v>174</v>
      </c>
      <c r="C48" s="3" t="s">
        <v>175</v>
      </c>
      <c r="D48" s="4" t="n">
        <v>2600</v>
      </c>
      <c r="E48" s="3" t="s">
        <v>129</v>
      </c>
      <c r="F48" s="3" t="s">
        <v>36</v>
      </c>
      <c r="G48" s="5" t="n">
        <v>43973</v>
      </c>
      <c r="H48" s="6" t="n">
        <f aca="false">IF(D48=0,0,G48/D48)</f>
        <v>16.9126923076923</v>
      </c>
      <c r="I48" s="6" t="n">
        <v>19</v>
      </c>
      <c r="J48" s="6" t="n">
        <f aca="false">IF(G48=0,0,I48-H48)</f>
        <v>2.08730769230769</v>
      </c>
      <c r="K48" s="3" t="s">
        <v>17</v>
      </c>
      <c r="L48" s="3" t="s">
        <v>176</v>
      </c>
    </row>
    <row r="49" customFormat="false" ht="15" hidden="false" customHeight="true" outlineLevel="0" collapsed="false">
      <c r="A49" s="3" t="s">
        <v>148</v>
      </c>
      <c r="B49" s="3" t="s">
        <v>177</v>
      </c>
      <c r="C49" s="3" t="s">
        <v>178</v>
      </c>
      <c r="D49" s="4" t="n">
        <v>2600</v>
      </c>
      <c r="E49" s="3" t="s">
        <v>129</v>
      </c>
      <c r="F49" s="3" t="s">
        <v>36</v>
      </c>
      <c r="G49" s="5" t="n">
        <v>47970</v>
      </c>
      <c r="H49" s="6" t="n">
        <f aca="false">IF(D49=0,0,G49/D49)</f>
        <v>18.45</v>
      </c>
      <c r="I49" s="6" t="n">
        <v>19</v>
      </c>
      <c r="J49" s="6" t="n">
        <f aca="false">IF(G49=0,0,I49-H49)</f>
        <v>0.550000000000001</v>
      </c>
      <c r="K49" s="3" t="s">
        <v>17</v>
      </c>
      <c r="L49" s="3" t="s">
        <v>179</v>
      </c>
    </row>
    <row r="50" customFormat="false" ht="15" hidden="false" customHeight="true" outlineLevel="0" collapsed="false">
      <c r="A50" s="3" t="s">
        <v>148</v>
      </c>
      <c r="B50" s="3" t="s">
        <v>180</v>
      </c>
      <c r="C50" s="3" t="s">
        <v>181</v>
      </c>
      <c r="D50" s="4" t="n">
        <v>2600</v>
      </c>
      <c r="E50" s="3" t="s">
        <v>166</v>
      </c>
      <c r="F50" s="3" t="s">
        <v>50</v>
      </c>
      <c r="G50" s="5" t="n">
        <v>49400</v>
      </c>
      <c r="H50" s="6" t="n">
        <f aca="false">IF(D50=0,0,G50/D50)</f>
        <v>19</v>
      </c>
      <c r="I50" s="6" t="n">
        <v>19</v>
      </c>
      <c r="J50" s="6" t="n">
        <f aca="false">IF(G50=0,0,I50-H50)</f>
        <v>0</v>
      </c>
      <c r="K50" s="3" t="s">
        <v>17</v>
      </c>
      <c r="L50" s="3"/>
    </row>
    <row r="51" customFormat="false" ht="15" hidden="false" customHeight="true" outlineLevel="0" collapsed="false">
      <c r="A51" s="3" t="s">
        <v>148</v>
      </c>
      <c r="B51" s="3" t="s">
        <v>182</v>
      </c>
      <c r="C51" s="3" t="s">
        <v>181</v>
      </c>
      <c r="D51" s="4" t="n">
        <v>2600</v>
      </c>
      <c r="E51" s="3" t="s">
        <v>166</v>
      </c>
      <c r="F51" s="3" t="s">
        <v>50</v>
      </c>
      <c r="G51" s="5" t="n">
        <v>49400</v>
      </c>
      <c r="H51" s="6" t="n">
        <f aca="false">IF(D51=0,0,G51/D51)</f>
        <v>19</v>
      </c>
      <c r="I51" s="6" t="n">
        <v>19</v>
      </c>
      <c r="J51" s="6" t="n">
        <f aca="false">IF(G51=0,0,I51-H51)</f>
        <v>0</v>
      </c>
      <c r="K51" s="3" t="s">
        <v>17</v>
      </c>
      <c r="L51" s="3"/>
    </row>
    <row r="52" customFormat="false" ht="15" hidden="false" customHeight="true" outlineLevel="0" collapsed="false">
      <c r="A52" s="3" t="s">
        <v>148</v>
      </c>
      <c r="B52" s="3" t="s">
        <v>60</v>
      </c>
      <c r="C52" s="3" t="s">
        <v>183</v>
      </c>
      <c r="D52" s="4" t="n">
        <v>2600</v>
      </c>
      <c r="E52" s="3" t="s">
        <v>129</v>
      </c>
      <c r="F52" s="3" t="s">
        <v>36</v>
      </c>
      <c r="G52" s="5" t="n">
        <v>47970</v>
      </c>
      <c r="H52" s="6" t="n">
        <f aca="false">IF(D52=0,0,G52/D52)</f>
        <v>18.45</v>
      </c>
      <c r="I52" s="6" t="n">
        <v>19</v>
      </c>
      <c r="J52" s="6" t="n">
        <f aca="false">IF(G52=0,0,I52-H52)</f>
        <v>0.550000000000001</v>
      </c>
      <c r="K52" s="3" t="s">
        <v>17</v>
      </c>
      <c r="L52" s="3"/>
    </row>
    <row r="53" customFormat="false" ht="15" hidden="false" customHeight="true" outlineLevel="0" collapsed="false">
      <c r="A53" s="3" t="s">
        <v>148</v>
      </c>
      <c r="B53" s="3" t="s">
        <v>184</v>
      </c>
      <c r="C53" s="3" t="s">
        <v>185</v>
      </c>
      <c r="D53" s="4" t="n">
        <v>2600</v>
      </c>
      <c r="E53" s="3" t="s">
        <v>129</v>
      </c>
      <c r="F53" s="3" t="s">
        <v>36</v>
      </c>
      <c r="G53" s="5" t="n">
        <v>45305</v>
      </c>
      <c r="H53" s="6" t="n">
        <f aca="false">IF(D53=0,0,G53/D53)</f>
        <v>17.425</v>
      </c>
      <c r="I53" s="6" t="n">
        <v>19</v>
      </c>
      <c r="J53" s="6" t="n">
        <f aca="false">IF(G53=0,0,I53-H53)</f>
        <v>1.575</v>
      </c>
      <c r="K53" s="3" t="s">
        <v>17</v>
      </c>
      <c r="L53" s="3" t="s">
        <v>186</v>
      </c>
    </row>
    <row r="54" customFormat="false" ht="15" hidden="false" customHeight="true" outlineLevel="0" collapsed="false">
      <c r="A54" s="3" t="s">
        <v>148</v>
      </c>
      <c r="B54" s="3" t="s">
        <v>187</v>
      </c>
      <c r="C54" s="3" t="s">
        <v>188</v>
      </c>
      <c r="D54" s="4" t="n">
        <v>2600</v>
      </c>
      <c r="E54" s="3" t="s">
        <v>105</v>
      </c>
      <c r="F54" s="3" t="s">
        <v>58</v>
      </c>
      <c r="G54" s="5" t="n">
        <v>47970</v>
      </c>
      <c r="H54" s="6" t="n">
        <f aca="false">IF(D54=0,0,G54/D54)</f>
        <v>18.45</v>
      </c>
      <c r="I54" s="6" t="n">
        <v>19</v>
      </c>
      <c r="J54" s="6" t="n">
        <f aca="false">IF(G54=0,0,I54-H54)</f>
        <v>0.550000000000001</v>
      </c>
      <c r="K54" s="3" t="s">
        <v>17</v>
      </c>
      <c r="L54" s="3" t="s">
        <v>189</v>
      </c>
    </row>
    <row r="55" customFormat="false" ht="15" hidden="false" customHeight="true" outlineLevel="0" collapsed="false">
      <c r="A55" s="3" t="s">
        <v>148</v>
      </c>
      <c r="B55" s="3" t="s">
        <v>190</v>
      </c>
      <c r="C55" s="3" t="s">
        <v>191</v>
      </c>
      <c r="D55" s="4" t="n">
        <v>2600</v>
      </c>
      <c r="E55" s="3" t="s">
        <v>129</v>
      </c>
      <c r="F55" s="3" t="s">
        <v>192</v>
      </c>
      <c r="G55" s="5" t="n">
        <v>43973</v>
      </c>
      <c r="H55" s="6" t="n">
        <f aca="false">IF(D55=0,0,G55/D55)</f>
        <v>16.9126923076923</v>
      </c>
      <c r="I55" s="6" t="n">
        <v>19</v>
      </c>
      <c r="J55" s="6" t="n">
        <f aca="false">IF(G55=0,0,I55-H55)</f>
        <v>2.08730769230769</v>
      </c>
      <c r="K55" s="3" t="s">
        <v>17</v>
      </c>
      <c r="L55" s="3" t="s">
        <v>193</v>
      </c>
    </row>
    <row r="56" customFormat="false" ht="15" hidden="false" customHeight="true" outlineLevel="0" collapsed="false">
      <c r="A56" s="3" t="s">
        <v>148</v>
      </c>
      <c r="B56" s="3" t="s">
        <v>65</v>
      </c>
      <c r="C56" s="3" t="s">
        <v>194</v>
      </c>
      <c r="D56" s="4" t="n">
        <v>2600</v>
      </c>
      <c r="E56" s="3" t="s">
        <v>129</v>
      </c>
      <c r="F56" s="3" t="s">
        <v>36</v>
      </c>
      <c r="G56" s="5" t="n">
        <v>43973</v>
      </c>
      <c r="H56" s="6" t="n">
        <f aca="false">IF(D56=0,0,G56/D56)</f>
        <v>16.9126923076923</v>
      </c>
      <c r="I56" s="6" t="n">
        <v>19</v>
      </c>
      <c r="J56" s="6" t="n">
        <f aca="false">IF(G56=0,0,I56-H56)</f>
        <v>2.08730769230769</v>
      </c>
      <c r="K56" s="3" t="s">
        <v>17</v>
      </c>
      <c r="L56" s="3" t="s">
        <v>195</v>
      </c>
    </row>
    <row r="57" customFormat="false" ht="15" hidden="false" customHeight="true" outlineLevel="0" collapsed="false">
      <c r="A57" s="3" t="s">
        <v>148</v>
      </c>
      <c r="B57" s="3" t="s">
        <v>196</v>
      </c>
      <c r="C57" s="3" t="s">
        <v>197</v>
      </c>
      <c r="D57" s="4" t="n">
        <v>2600</v>
      </c>
      <c r="E57" s="3" t="s">
        <v>129</v>
      </c>
      <c r="F57" s="3" t="s">
        <v>36</v>
      </c>
      <c r="G57" s="5" t="n">
        <v>47970</v>
      </c>
      <c r="H57" s="6" t="n">
        <f aca="false">IF(D57=0,0,G57/D57)</f>
        <v>18.45</v>
      </c>
      <c r="I57" s="6" t="n">
        <v>19</v>
      </c>
      <c r="J57" s="6" t="n">
        <f aca="false">IF(G57=0,0,I57-H57)</f>
        <v>0.550000000000001</v>
      </c>
      <c r="K57" s="3" t="s">
        <v>17</v>
      </c>
      <c r="L57" s="3" t="s">
        <v>198</v>
      </c>
    </row>
    <row r="58" customFormat="false" ht="15" hidden="false" customHeight="true" outlineLevel="0" collapsed="false">
      <c r="A58" s="3" t="s">
        <v>148</v>
      </c>
      <c r="B58" s="3" t="s">
        <v>199</v>
      </c>
      <c r="C58" s="3" t="s">
        <v>200</v>
      </c>
      <c r="D58" s="4" t="n">
        <v>2600</v>
      </c>
      <c r="E58" s="3" t="s">
        <v>166</v>
      </c>
      <c r="F58" s="3" t="s">
        <v>50</v>
      </c>
      <c r="G58" s="5" t="n">
        <v>46800</v>
      </c>
      <c r="H58" s="6" t="n">
        <f aca="false">IF(D58=0,0,G58/D58)</f>
        <v>18</v>
      </c>
      <c r="I58" s="6" t="n">
        <v>19</v>
      </c>
      <c r="J58" s="6" t="n">
        <f aca="false">IF(G58=0,0,I58-H58)</f>
        <v>1</v>
      </c>
      <c r="K58" s="3" t="s">
        <v>17</v>
      </c>
      <c r="L58" s="3" t="s">
        <v>201</v>
      </c>
    </row>
    <row r="59" customFormat="false" ht="15" hidden="false" customHeight="true" outlineLevel="0" collapsed="false">
      <c r="A59" s="3" t="s">
        <v>148</v>
      </c>
      <c r="B59" s="3" t="s">
        <v>202</v>
      </c>
      <c r="C59" s="3" t="s">
        <v>203</v>
      </c>
      <c r="D59" s="4" t="n">
        <v>2600</v>
      </c>
      <c r="E59" s="3" t="s">
        <v>204</v>
      </c>
      <c r="F59" s="3" t="s">
        <v>130</v>
      </c>
      <c r="G59" s="5" t="n">
        <v>49400</v>
      </c>
      <c r="H59" s="6" t="n">
        <f aca="false">IF(D59=0,0,G59/D59)</f>
        <v>19</v>
      </c>
      <c r="I59" s="6" t="n">
        <v>19</v>
      </c>
      <c r="J59" s="6" t="n">
        <f aca="false">IF(G59=0,0,I59-H59)</f>
        <v>0</v>
      </c>
      <c r="K59" s="3" t="s">
        <v>17</v>
      </c>
      <c r="L59" s="3" t="s">
        <v>205</v>
      </c>
    </row>
    <row r="60" customFormat="false" ht="15" hidden="false" customHeight="true" outlineLevel="0" collapsed="false">
      <c r="A60" s="3" t="s">
        <v>148</v>
      </c>
      <c r="B60" s="3" t="s">
        <v>206</v>
      </c>
      <c r="C60" s="3" t="s">
        <v>207</v>
      </c>
      <c r="D60" s="4" t="n">
        <v>2900</v>
      </c>
      <c r="E60" s="3" t="s">
        <v>100</v>
      </c>
      <c r="F60" s="3" t="s">
        <v>101</v>
      </c>
      <c r="G60" s="5" t="n">
        <v>55100</v>
      </c>
      <c r="H60" s="6" t="n">
        <f aca="false">IF(D60=0,0,G60/D60)</f>
        <v>19</v>
      </c>
      <c r="I60" s="6" t="n">
        <v>19</v>
      </c>
      <c r="J60" s="6" t="n">
        <f aca="false">IF(G60=0,0,I60-H60)</f>
        <v>0</v>
      </c>
      <c r="K60" s="3" t="s">
        <v>17</v>
      </c>
      <c r="L60" s="3" t="s">
        <v>208</v>
      </c>
    </row>
    <row r="61" customFormat="false" ht="15" hidden="false" customHeight="true" outlineLevel="0" collapsed="false">
      <c r="A61" s="3" t="s">
        <v>148</v>
      </c>
      <c r="B61" s="3" t="s">
        <v>209</v>
      </c>
      <c r="C61" s="3" t="s">
        <v>210</v>
      </c>
      <c r="D61" s="4" t="n">
        <v>2900</v>
      </c>
      <c r="E61" s="3" t="s">
        <v>129</v>
      </c>
      <c r="F61" s="3" t="s">
        <v>36</v>
      </c>
      <c r="G61" s="5" t="n">
        <v>53505</v>
      </c>
      <c r="H61" s="6" t="n">
        <f aca="false">IF(D61=0,0,G61/D61)</f>
        <v>18.45</v>
      </c>
      <c r="I61" s="6" t="n">
        <v>19</v>
      </c>
      <c r="J61" s="6" t="n">
        <f aca="false">IF(G61=0,0,I61-H61)</f>
        <v>0.550000000000001</v>
      </c>
      <c r="K61" s="3" t="s">
        <v>17</v>
      </c>
      <c r="L61" s="3"/>
    </row>
    <row r="62" customFormat="false" ht="15" hidden="false" customHeight="true" outlineLevel="0" collapsed="false">
      <c r="A62" s="3" t="s">
        <v>148</v>
      </c>
      <c r="B62" s="3" t="s">
        <v>211</v>
      </c>
      <c r="C62" s="3" t="s">
        <v>212</v>
      </c>
      <c r="D62" s="4" t="n">
        <v>2900</v>
      </c>
      <c r="E62" s="3" t="s">
        <v>213</v>
      </c>
      <c r="F62" s="3" t="s">
        <v>214</v>
      </c>
      <c r="G62" s="5" t="n">
        <v>47850</v>
      </c>
      <c r="H62" s="6" t="n">
        <f aca="false">IF(D62=0,0,G62/D62)</f>
        <v>16.5</v>
      </c>
      <c r="I62" s="6" t="n">
        <v>19</v>
      </c>
      <c r="J62" s="6" t="n">
        <f aca="false">IF(G62=0,0,I62-H62)</f>
        <v>2.5</v>
      </c>
      <c r="K62" s="3" t="s">
        <v>17</v>
      </c>
      <c r="L62" s="3" t="s">
        <v>215</v>
      </c>
    </row>
    <row r="63" customFormat="false" ht="15" hidden="false" customHeight="true" outlineLevel="0" collapsed="false">
      <c r="A63" s="3" t="s">
        <v>148</v>
      </c>
      <c r="B63" s="3" t="s">
        <v>94</v>
      </c>
      <c r="C63" s="3" t="s">
        <v>216</v>
      </c>
      <c r="D63" s="4" t="n">
        <v>2900</v>
      </c>
      <c r="E63" s="3" t="s">
        <v>129</v>
      </c>
      <c r="F63" s="3" t="s">
        <v>36</v>
      </c>
      <c r="G63" s="5" t="n">
        <v>53505</v>
      </c>
      <c r="H63" s="6" t="n">
        <f aca="false">IF(D63=0,0,G63/D63)</f>
        <v>18.45</v>
      </c>
      <c r="I63" s="6" t="n">
        <v>19</v>
      </c>
      <c r="J63" s="6" t="n">
        <f aca="false">IF(G63=0,0,I63-H63)</f>
        <v>0.550000000000001</v>
      </c>
      <c r="K63" s="3" t="s">
        <v>17</v>
      </c>
      <c r="L63" s="3" t="s">
        <v>217</v>
      </c>
    </row>
    <row r="64" customFormat="false" ht="15" hidden="false" customHeight="true" outlineLevel="0" collapsed="false">
      <c r="A64" s="3" t="s">
        <v>148</v>
      </c>
      <c r="B64" s="3" t="s">
        <v>218</v>
      </c>
      <c r="C64" s="3" t="s">
        <v>219</v>
      </c>
      <c r="D64" s="4" t="n">
        <v>2900</v>
      </c>
      <c r="E64" s="3" t="s">
        <v>166</v>
      </c>
      <c r="F64" s="3" t="s">
        <v>50</v>
      </c>
      <c r="G64" s="5" t="n">
        <v>55100</v>
      </c>
      <c r="H64" s="6" t="n">
        <f aca="false">IF(D64=0,0,G64/D64)</f>
        <v>19</v>
      </c>
      <c r="I64" s="6" t="n">
        <v>19</v>
      </c>
      <c r="J64" s="6" t="n">
        <f aca="false">IF(G64=0,0,I64-H64)</f>
        <v>0</v>
      </c>
      <c r="K64" s="3" t="s">
        <v>17</v>
      </c>
      <c r="L64" s="3" t="s">
        <v>220</v>
      </c>
    </row>
    <row r="65" customFormat="false" ht="15" hidden="false" customHeight="true" outlineLevel="0" collapsed="false">
      <c r="A65" s="3" t="s">
        <v>148</v>
      </c>
      <c r="B65" s="3" t="s">
        <v>221</v>
      </c>
      <c r="C65" s="3" t="s">
        <v>222</v>
      </c>
      <c r="D65" s="4" t="n">
        <v>2900</v>
      </c>
      <c r="E65" s="3" t="s">
        <v>129</v>
      </c>
      <c r="F65" s="3" t="s">
        <v>36</v>
      </c>
      <c r="G65" s="5" t="n">
        <v>49046</v>
      </c>
      <c r="H65" s="6" t="n">
        <f aca="false">IF(D65=0,0,G65/D65)</f>
        <v>16.9124137931034</v>
      </c>
      <c r="I65" s="6" t="n">
        <v>19</v>
      </c>
      <c r="J65" s="6" t="n">
        <f aca="false">IF(G65=0,0,I65-H65)</f>
        <v>2.08758620689655</v>
      </c>
      <c r="K65" s="3" t="s">
        <v>17</v>
      </c>
      <c r="L65" s="3" t="s">
        <v>223</v>
      </c>
    </row>
    <row r="66" customFormat="false" ht="15" hidden="false" customHeight="true" outlineLevel="0" collapsed="false">
      <c r="A66" s="3" t="s">
        <v>224</v>
      </c>
      <c r="B66" s="3" t="s">
        <v>149</v>
      </c>
      <c r="C66" s="3" t="s">
        <v>225</v>
      </c>
      <c r="D66" s="4" t="n">
        <v>3450</v>
      </c>
      <c r="E66" s="3" t="s">
        <v>226</v>
      </c>
      <c r="F66" s="3" t="s">
        <v>227</v>
      </c>
      <c r="G66" s="5" t="n">
        <v>54266</v>
      </c>
      <c r="H66" s="6" t="n">
        <f aca="false">IF(D66=0,0,G66/D66)</f>
        <v>15.7292753623188</v>
      </c>
      <c r="I66" s="6" t="n">
        <v>16</v>
      </c>
      <c r="J66" s="6" t="n">
        <f aca="false">IF(G66=0,0,I66-H66)</f>
        <v>0.270724637681159</v>
      </c>
      <c r="K66" s="3" t="s">
        <v>17</v>
      </c>
      <c r="L66" s="3" t="s">
        <v>228</v>
      </c>
    </row>
    <row r="67" customFormat="false" ht="15" hidden="false" customHeight="true" outlineLevel="0" collapsed="false">
      <c r="A67" s="3" t="s">
        <v>224</v>
      </c>
      <c r="B67" s="3" t="s">
        <v>152</v>
      </c>
      <c r="C67" s="3" t="s">
        <v>229</v>
      </c>
      <c r="D67" s="4" t="n">
        <v>2600</v>
      </c>
      <c r="E67" s="3" t="s">
        <v>21</v>
      </c>
      <c r="F67" s="3" t="s">
        <v>22</v>
      </c>
      <c r="G67" s="5" t="n">
        <v>39975</v>
      </c>
      <c r="H67" s="6" t="n">
        <f aca="false">IF(D67=0,0,G67/D67)</f>
        <v>15.375</v>
      </c>
      <c r="I67" s="6" t="n">
        <v>16</v>
      </c>
      <c r="J67" s="6" t="n">
        <f aca="false">IF(G67=0,0,I67-H67)</f>
        <v>0.625</v>
      </c>
      <c r="K67" s="3" t="s">
        <v>17</v>
      </c>
      <c r="L67" s="3" t="s">
        <v>230</v>
      </c>
    </row>
    <row r="68" customFormat="false" ht="15" hidden="false" customHeight="true" outlineLevel="0" collapsed="false">
      <c r="A68" s="3" t="s">
        <v>224</v>
      </c>
      <c r="B68" s="3" t="s">
        <v>155</v>
      </c>
      <c r="C68" s="3" t="s">
        <v>30</v>
      </c>
      <c r="D68" s="4" t="n">
        <v>2600</v>
      </c>
      <c r="E68" s="3"/>
      <c r="F68" s="3"/>
      <c r="G68" s="5" t="n">
        <v>0</v>
      </c>
      <c r="H68" s="6" t="n">
        <f aca="false">IF(D68=0,0,G68/D68)</f>
        <v>0</v>
      </c>
      <c r="I68" s="6" t="n">
        <v>16</v>
      </c>
      <c r="J68" s="6" t="n">
        <f aca="false">IF(G68=0,0,I68-H68)</f>
        <v>0</v>
      </c>
      <c r="K68" s="3" t="s">
        <v>31</v>
      </c>
      <c r="L68" s="3" t="s">
        <v>231</v>
      </c>
    </row>
    <row r="69" customFormat="false" ht="15" hidden="false" customHeight="true" outlineLevel="0" collapsed="false">
      <c r="A69" s="3" t="s">
        <v>224</v>
      </c>
      <c r="B69" s="3" t="s">
        <v>19</v>
      </c>
      <c r="C69" s="3" t="s">
        <v>30</v>
      </c>
      <c r="D69" s="4" t="n">
        <v>2600</v>
      </c>
      <c r="E69" s="3"/>
      <c r="F69" s="3"/>
      <c r="G69" s="5" t="n">
        <v>0</v>
      </c>
      <c r="H69" s="6" t="n">
        <f aca="false">IF(D69=0,0,G69/D69)</f>
        <v>0</v>
      </c>
      <c r="I69" s="6" t="n">
        <v>16</v>
      </c>
      <c r="J69" s="6" t="n">
        <f aca="false">IF(G69=0,0,I69-H69)</f>
        <v>0</v>
      </c>
      <c r="K69" s="3" t="s">
        <v>31</v>
      </c>
      <c r="L69" s="3" t="s">
        <v>232</v>
      </c>
    </row>
    <row r="70" customFormat="false" ht="15" hidden="false" customHeight="true" outlineLevel="0" collapsed="false">
      <c r="A70" s="3" t="s">
        <v>224</v>
      </c>
      <c r="B70" s="3" t="s">
        <v>158</v>
      </c>
      <c r="C70" s="3" t="s">
        <v>30</v>
      </c>
      <c r="D70" s="4" t="n">
        <v>2600</v>
      </c>
      <c r="E70" s="3"/>
      <c r="F70" s="3"/>
      <c r="G70" s="5" t="n">
        <v>0</v>
      </c>
      <c r="H70" s="6" t="n">
        <f aca="false">IF(D70=0,0,G70/D70)</f>
        <v>0</v>
      </c>
      <c r="I70" s="6" t="n">
        <v>16</v>
      </c>
      <c r="J70" s="6" t="n">
        <f aca="false">IF(G70=0,0,I70-H70)</f>
        <v>0</v>
      </c>
      <c r="K70" s="3" t="s">
        <v>31</v>
      </c>
      <c r="L70" s="3" t="s">
        <v>233</v>
      </c>
    </row>
    <row r="71" customFormat="false" ht="15" hidden="false" customHeight="true" outlineLevel="0" collapsed="false">
      <c r="A71" s="3" t="s">
        <v>224</v>
      </c>
      <c r="B71" s="3" t="s">
        <v>161</v>
      </c>
      <c r="C71" s="3" t="s">
        <v>234</v>
      </c>
      <c r="D71" s="4" t="n">
        <v>2600</v>
      </c>
      <c r="E71" s="3" t="s">
        <v>235</v>
      </c>
      <c r="F71" s="3" t="s">
        <v>88</v>
      </c>
      <c r="G71" s="5" t="n">
        <v>39975</v>
      </c>
      <c r="H71" s="6" t="n">
        <f aca="false">IF(D71=0,0,G71/D71)</f>
        <v>15.375</v>
      </c>
      <c r="I71" s="6" t="n">
        <v>16</v>
      </c>
      <c r="J71" s="6" t="n">
        <f aca="false">IF(G71=0,0,I71-H71)</f>
        <v>0.625</v>
      </c>
      <c r="K71" s="3" t="s">
        <v>17</v>
      </c>
      <c r="L71" s="3" t="s">
        <v>236</v>
      </c>
    </row>
    <row r="72" customFormat="false" ht="15" hidden="false" customHeight="true" outlineLevel="0" collapsed="false">
      <c r="A72" s="3" t="s">
        <v>224</v>
      </c>
      <c r="B72" s="3" t="s">
        <v>162</v>
      </c>
      <c r="C72" s="3" t="s">
        <v>237</v>
      </c>
      <c r="D72" s="4" t="n">
        <v>2600</v>
      </c>
      <c r="E72" s="3" t="s">
        <v>238</v>
      </c>
      <c r="F72" s="3" t="s">
        <v>239</v>
      </c>
      <c r="G72" s="5" t="n">
        <v>37099</v>
      </c>
      <c r="H72" s="6" t="n">
        <f aca="false">IF(D72=0,0,G72/D72)</f>
        <v>14.2688461538462</v>
      </c>
      <c r="I72" s="6" t="n">
        <v>16</v>
      </c>
      <c r="J72" s="6" t="n">
        <f aca="false">IF(G72=0,0,I72-H72)</f>
        <v>1.73115384615385</v>
      </c>
      <c r="K72" s="3" t="s">
        <v>17</v>
      </c>
      <c r="L72" s="3" t="s">
        <v>240</v>
      </c>
    </row>
    <row r="73" customFormat="false" ht="15" hidden="false" customHeight="true" outlineLevel="0" collapsed="false">
      <c r="A73" s="3" t="s">
        <v>224</v>
      </c>
      <c r="B73" s="3" t="s">
        <v>24</v>
      </c>
      <c r="C73" s="3" t="s">
        <v>241</v>
      </c>
      <c r="D73" s="4" t="n">
        <v>2600</v>
      </c>
      <c r="E73" s="3" t="s">
        <v>238</v>
      </c>
      <c r="F73" s="3" t="s">
        <v>63</v>
      </c>
      <c r="G73" s="5" t="n">
        <v>38026</v>
      </c>
      <c r="H73" s="6" t="n">
        <f aca="false">IF(D73=0,0,G73/D73)</f>
        <v>14.6253846153846</v>
      </c>
      <c r="I73" s="6" t="n">
        <v>16</v>
      </c>
      <c r="J73" s="6" t="n">
        <f aca="false">IF(G73=0,0,I73-H73)</f>
        <v>1.37461538461539</v>
      </c>
      <c r="K73" s="3" t="s">
        <v>17</v>
      </c>
      <c r="L73" s="3" t="s">
        <v>242</v>
      </c>
    </row>
    <row r="74" customFormat="false" ht="15" hidden="false" customHeight="true" outlineLevel="0" collapsed="false">
      <c r="A74" s="3" t="s">
        <v>224</v>
      </c>
      <c r="B74" s="3" t="s">
        <v>168</v>
      </c>
      <c r="C74" s="3" t="s">
        <v>241</v>
      </c>
      <c r="D74" s="4" t="n">
        <v>2600</v>
      </c>
      <c r="E74" s="3" t="s">
        <v>238</v>
      </c>
      <c r="F74" s="3" t="s">
        <v>63</v>
      </c>
      <c r="G74" s="5" t="n">
        <v>38026</v>
      </c>
      <c r="H74" s="6" t="n">
        <f aca="false">IF(D74=0,0,G74/D74)</f>
        <v>14.6253846153846</v>
      </c>
      <c r="I74" s="6" t="n">
        <v>16</v>
      </c>
      <c r="J74" s="6" t="n">
        <f aca="false">IF(G74=0,0,I74-H74)</f>
        <v>1.37461538461539</v>
      </c>
      <c r="K74" s="3" t="s">
        <v>17</v>
      </c>
      <c r="L74" s="3" t="s">
        <v>243</v>
      </c>
    </row>
    <row r="75" customFormat="false" ht="15" hidden="false" customHeight="true" outlineLevel="0" collapsed="false">
      <c r="A75" s="3" t="s">
        <v>224</v>
      </c>
      <c r="B75" s="3" t="s">
        <v>171</v>
      </c>
      <c r="C75" s="3" t="s">
        <v>244</v>
      </c>
      <c r="D75" s="4" t="n">
        <v>2600</v>
      </c>
      <c r="E75" s="3" t="s">
        <v>245</v>
      </c>
      <c r="F75" s="3" t="s">
        <v>246</v>
      </c>
      <c r="G75" s="5" t="n">
        <v>41999</v>
      </c>
      <c r="H75" s="6" t="n">
        <f aca="false">IF(D75=0,0,G75/D75)</f>
        <v>16.1534615384615</v>
      </c>
      <c r="I75" s="6" t="n">
        <v>16</v>
      </c>
      <c r="J75" s="6" t="n">
        <f aca="false">IF(G75=0,0,I75-H75)</f>
        <v>-0.153461538461539</v>
      </c>
      <c r="K75" s="3" t="s">
        <v>17</v>
      </c>
      <c r="L75" s="3" t="s">
        <v>247</v>
      </c>
    </row>
    <row r="76" customFormat="false" ht="15" hidden="false" customHeight="true" outlineLevel="0" collapsed="false">
      <c r="A76" s="3" t="s">
        <v>224</v>
      </c>
      <c r="B76" s="3" t="s">
        <v>174</v>
      </c>
      <c r="C76" s="3" t="s">
        <v>248</v>
      </c>
      <c r="D76" s="4" t="n">
        <v>2600</v>
      </c>
      <c r="E76" s="3" t="s">
        <v>100</v>
      </c>
      <c r="F76" s="3" t="s">
        <v>73</v>
      </c>
      <c r="G76" s="5" t="n">
        <v>39104</v>
      </c>
      <c r="H76" s="6" t="n">
        <f aca="false">IF(D76=0,0,G76/D76)</f>
        <v>15.04</v>
      </c>
      <c r="I76" s="6" t="n">
        <v>16</v>
      </c>
      <c r="J76" s="6" t="n">
        <f aca="false">IF(G76=0,0,I76-H76)</f>
        <v>0.960000000000001</v>
      </c>
      <c r="K76" s="3" t="s">
        <v>17</v>
      </c>
      <c r="L76" s="3" t="s">
        <v>249</v>
      </c>
    </row>
    <row r="77" customFormat="false" ht="15" hidden="false" customHeight="true" outlineLevel="0" collapsed="false">
      <c r="A77" s="3" t="s">
        <v>224</v>
      </c>
      <c r="B77" s="3" t="s">
        <v>29</v>
      </c>
      <c r="C77" s="3" t="s">
        <v>250</v>
      </c>
      <c r="D77" s="4" t="n">
        <v>2600</v>
      </c>
      <c r="E77" s="3" t="s">
        <v>238</v>
      </c>
      <c r="F77" s="3" t="s">
        <v>227</v>
      </c>
      <c r="G77" s="5" t="n">
        <v>38026</v>
      </c>
      <c r="H77" s="6" t="n">
        <f aca="false">IF(D77=0,0,G77/D77)</f>
        <v>14.6253846153846</v>
      </c>
      <c r="I77" s="6" t="n">
        <v>16</v>
      </c>
      <c r="J77" s="6" t="n">
        <f aca="false">IF(G77=0,0,I77-H77)</f>
        <v>1.37461538461539</v>
      </c>
      <c r="K77" s="3" t="s">
        <v>17</v>
      </c>
      <c r="L77" s="3" t="s">
        <v>251</v>
      </c>
    </row>
    <row r="78" customFormat="false" ht="15" hidden="false" customHeight="true" outlineLevel="0" collapsed="false">
      <c r="A78" s="3" t="s">
        <v>224</v>
      </c>
      <c r="B78" s="3" t="s">
        <v>177</v>
      </c>
      <c r="C78" s="3" t="s">
        <v>30</v>
      </c>
      <c r="D78" s="4" t="n">
        <v>1870</v>
      </c>
      <c r="E78" s="3"/>
      <c r="F78" s="3"/>
      <c r="G78" s="5" t="n">
        <v>0</v>
      </c>
      <c r="H78" s="6" t="n">
        <f aca="false">IF(D78=0,0,G78/D78)</f>
        <v>0</v>
      </c>
      <c r="I78" s="6" t="n">
        <v>16</v>
      </c>
      <c r="J78" s="6" t="n">
        <f aca="false">IF(G78=0,0,I78-H78)</f>
        <v>0</v>
      </c>
      <c r="K78" s="3" t="s">
        <v>31</v>
      </c>
      <c r="L78" s="3" t="s">
        <v>252</v>
      </c>
    </row>
    <row r="79" customFormat="false" ht="15" hidden="false" customHeight="true" outlineLevel="0" collapsed="false">
      <c r="A79" s="3" t="s">
        <v>224</v>
      </c>
      <c r="B79" s="3" t="s">
        <v>180</v>
      </c>
      <c r="C79" s="3" t="s">
        <v>253</v>
      </c>
      <c r="D79" s="4" t="n">
        <v>1870</v>
      </c>
      <c r="E79" s="3" t="s">
        <v>100</v>
      </c>
      <c r="F79" s="3" t="s">
        <v>254</v>
      </c>
      <c r="G79" s="5" t="n">
        <v>27997</v>
      </c>
      <c r="H79" s="6" t="n">
        <f aca="false">IF(D79=0,0,G79/D79)</f>
        <v>14.9716577540107</v>
      </c>
      <c r="I79" s="6" t="n">
        <v>16</v>
      </c>
      <c r="J79" s="6" t="n">
        <f aca="false">IF(G79=0,0,I79-H79)</f>
        <v>1.02834224598931</v>
      </c>
      <c r="K79" s="3" t="s">
        <v>17</v>
      </c>
      <c r="L79" s="3" t="s">
        <v>255</v>
      </c>
    </row>
    <row r="80" customFormat="false" ht="15" hidden="false" customHeight="true" outlineLevel="0" collapsed="false">
      <c r="A80" s="3" t="s">
        <v>224</v>
      </c>
      <c r="B80" s="3" t="s">
        <v>182</v>
      </c>
      <c r="C80" s="3" t="s">
        <v>253</v>
      </c>
      <c r="D80" s="4" t="n">
        <v>1870</v>
      </c>
      <c r="E80" s="3" t="s">
        <v>256</v>
      </c>
      <c r="F80" s="3" t="s">
        <v>63</v>
      </c>
      <c r="G80" s="5" t="n">
        <v>27997</v>
      </c>
      <c r="H80" s="6" t="n">
        <f aca="false">IF(D80=0,0,G80/D80)</f>
        <v>14.9716577540107</v>
      </c>
      <c r="I80" s="6" t="n">
        <v>16</v>
      </c>
      <c r="J80" s="6" t="n">
        <f aca="false">IF(G80=0,0,I80-H80)</f>
        <v>1.02834224598931</v>
      </c>
      <c r="K80" s="3" t="s">
        <v>17</v>
      </c>
      <c r="L80" s="3" t="s">
        <v>257</v>
      </c>
    </row>
    <row r="81" customFormat="false" ht="15" hidden="false" customHeight="true" outlineLevel="0" collapsed="false">
      <c r="A81" s="3" t="s">
        <v>224</v>
      </c>
      <c r="B81" s="3" t="s">
        <v>60</v>
      </c>
      <c r="C81" s="3" t="s">
        <v>30</v>
      </c>
      <c r="D81" s="4" t="n">
        <v>1870</v>
      </c>
      <c r="E81" s="3"/>
      <c r="F81" s="3"/>
      <c r="G81" s="5" t="n">
        <v>0</v>
      </c>
      <c r="H81" s="6" t="n">
        <f aca="false">IF(D81=0,0,G81/D81)</f>
        <v>0</v>
      </c>
      <c r="I81" s="6" t="n">
        <v>16</v>
      </c>
      <c r="J81" s="6" t="n">
        <f aca="false">IF(G81=0,0,I81-H81)</f>
        <v>0</v>
      </c>
      <c r="K81" s="3" t="s">
        <v>31</v>
      </c>
      <c r="L81" s="3" t="s">
        <v>258</v>
      </c>
    </row>
    <row r="82" customFormat="false" ht="15" hidden="false" customHeight="true" outlineLevel="0" collapsed="false">
      <c r="A82" s="3" t="s">
        <v>224</v>
      </c>
      <c r="B82" s="3" t="s">
        <v>184</v>
      </c>
      <c r="C82" s="3" t="s">
        <v>30</v>
      </c>
      <c r="D82" s="4" t="n">
        <v>1870</v>
      </c>
      <c r="E82" s="3"/>
      <c r="F82" s="3"/>
      <c r="G82" s="5" t="n">
        <v>0</v>
      </c>
      <c r="H82" s="6" t="n">
        <f aca="false">IF(D82=0,0,G82/D82)</f>
        <v>0</v>
      </c>
      <c r="I82" s="6" t="n">
        <v>16</v>
      </c>
      <c r="J82" s="6" t="n">
        <f aca="false">IF(G82=0,0,I82-H82)</f>
        <v>0</v>
      </c>
      <c r="K82" s="3" t="s">
        <v>31</v>
      </c>
      <c r="L82" s="3" t="s">
        <v>259</v>
      </c>
    </row>
    <row r="83" customFormat="false" ht="15" hidden="false" customHeight="true" outlineLevel="0" collapsed="false">
      <c r="A83" s="3" t="s">
        <v>224</v>
      </c>
      <c r="B83" s="3" t="s">
        <v>187</v>
      </c>
      <c r="C83" s="3" t="s">
        <v>260</v>
      </c>
      <c r="D83" s="4" t="n">
        <v>1870</v>
      </c>
      <c r="E83" s="3" t="s">
        <v>35</v>
      </c>
      <c r="F83" s="3" t="s">
        <v>146</v>
      </c>
      <c r="G83" s="5" t="n">
        <v>28751</v>
      </c>
      <c r="H83" s="6" t="n">
        <f aca="false">IF(D83=0,0,G83/D83)</f>
        <v>15.3748663101604</v>
      </c>
      <c r="I83" s="6" t="n">
        <v>16</v>
      </c>
      <c r="J83" s="6" t="n">
        <f aca="false">IF(G83=0,0,I83-H83)</f>
        <v>0.625133689839572</v>
      </c>
      <c r="K83" s="3" t="s">
        <v>17</v>
      </c>
      <c r="L83" s="3" t="s">
        <v>261</v>
      </c>
    </row>
    <row r="84" customFormat="false" ht="15" hidden="false" customHeight="true" outlineLevel="0" collapsed="false">
      <c r="A84" s="3" t="s">
        <v>224</v>
      </c>
      <c r="B84" s="3" t="s">
        <v>190</v>
      </c>
      <c r="C84" s="3" t="s">
        <v>262</v>
      </c>
      <c r="D84" s="4" t="n">
        <v>1870</v>
      </c>
      <c r="E84" s="3" t="s">
        <v>21</v>
      </c>
      <c r="F84" s="3" t="s">
        <v>22</v>
      </c>
      <c r="G84" s="5" t="n">
        <v>28751</v>
      </c>
      <c r="H84" s="6" t="n">
        <f aca="false">IF(D84=0,0,G84/D84)</f>
        <v>15.3748663101604</v>
      </c>
      <c r="I84" s="6" t="n">
        <v>16</v>
      </c>
      <c r="J84" s="6" t="n">
        <f aca="false">IF(G84=0,0,I84-H84)</f>
        <v>0.625133689839572</v>
      </c>
      <c r="K84" s="3" t="s">
        <v>17</v>
      </c>
      <c r="L84" s="3" t="s">
        <v>263</v>
      </c>
    </row>
    <row r="85" customFormat="false" ht="15" hidden="false" customHeight="true" outlineLevel="0" collapsed="false">
      <c r="A85" s="3" t="s">
        <v>224</v>
      </c>
      <c r="B85" s="3" t="s">
        <v>65</v>
      </c>
      <c r="C85" s="3" t="s">
        <v>264</v>
      </c>
      <c r="D85" s="4" t="n">
        <v>1870</v>
      </c>
      <c r="E85" s="3" t="s">
        <v>57</v>
      </c>
      <c r="F85" s="3" t="s">
        <v>27</v>
      </c>
      <c r="G85" s="5" t="n">
        <v>29470</v>
      </c>
      <c r="H85" s="6" t="n">
        <f aca="false">IF(D85=0,0,G85/D85)</f>
        <v>15.7593582887701</v>
      </c>
      <c r="I85" s="6" t="n">
        <v>16</v>
      </c>
      <c r="J85" s="6" t="n">
        <f aca="false">IF(G85=0,0,I85-H85)</f>
        <v>0.240641711229946</v>
      </c>
      <c r="K85" s="3" t="s">
        <v>17</v>
      </c>
      <c r="L85" s="3" t="s">
        <v>265</v>
      </c>
    </row>
    <row r="86" customFormat="false" ht="15" hidden="false" customHeight="true" outlineLevel="0" collapsed="false">
      <c r="A86" s="3" t="s">
        <v>224</v>
      </c>
      <c r="B86" s="3" t="s">
        <v>196</v>
      </c>
      <c r="C86" s="3" t="s">
        <v>30</v>
      </c>
      <c r="D86" s="4" t="n">
        <v>1870</v>
      </c>
      <c r="E86" s="3"/>
      <c r="F86" s="3"/>
      <c r="G86" s="5" t="n">
        <v>0</v>
      </c>
      <c r="H86" s="6" t="n">
        <f aca="false">IF(D86=0,0,G86/D86)</f>
        <v>0</v>
      </c>
      <c r="I86" s="6" t="n">
        <v>16</v>
      </c>
      <c r="J86" s="6" t="n">
        <f aca="false">IF(G86=0,0,I86-H86)</f>
        <v>0</v>
      </c>
      <c r="K86" s="3" t="s">
        <v>31</v>
      </c>
      <c r="L86" s="3" t="s">
        <v>266</v>
      </c>
    </row>
    <row r="87" customFormat="false" ht="15" hidden="false" customHeight="true" outlineLevel="0" collapsed="false">
      <c r="A87" s="3" t="s">
        <v>224</v>
      </c>
      <c r="B87" s="3" t="s">
        <v>199</v>
      </c>
      <c r="C87" s="3" t="s">
        <v>267</v>
      </c>
      <c r="D87" s="4" t="n">
        <v>1870</v>
      </c>
      <c r="E87" s="3" t="s">
        <v>268</v>
      </c>
      <c r="F87" s="3" t="s">
        <v>269</v>
      </c>
      <c r="G87" s="5" t="n">
        <v>28697</v>
      </c>
      <c r="H87" s="6" t="n">
        <f aca="false">IF(D87=0,0,G87/D87)</f>
        <v>15.3459893048128</v>
      </c>
      <c r="I87" s="6" t="n">
        <v>16</v>
      </c>
      <c r="J87" s="6" t="n">
        <f aca="false">IF(G87=0,0,I87-H87)</f>
        <v>0.654010695187166</v>
      </c>
      <c r="K87" s="3" t="s">
        <v>17</v>
      </c>
      <c r="L87" s="3" t="s">
        <v>270</v>
      </c>
    </row>
    <row r="88" customFormat="false" ht="15" hidden="false" customHeight="true" outlineLevel="0" collapsed="false">
      <c r="A88" s="3" t="s">
        <v>271</v>
      </c>
      <c r="B88" s="3" t="s">
        <v>149</v>
      </c>
      <c r="C88" s="3" t="s">
        <v>272</v>
      </c>
      <c r="D88" s="4" t="n">
        <v>2600</v>
      </c>
      <c r="E88" s="3" t="s">
        <v>273</v>
      </c>
      <c r="F88" s="3" t="s">
        <v>274</v>
      </c>
      <c r="G88" s="5" t="n">
        <v>40291</v>
      </c>
      <c r="H88" s="6" t="n">
        <f aca="false">IF(D88=0,0,G88/D88)</f>
        <v>15.4965384615385</v>
      </c>
      <c r="I88" s="6" t="n">
        <v>18</v>
      </c>
      <c r="J88" s="6" t="n">
        <f aca="false">IF(G88=0,0,I88-H88)</f>
        <v>2.50346153846154</v>
      </c>
      <c r="K88" s="3" t="s">
        <v>17</v>
      </c>
      <c r="L88" s="3" t="s">
        <v>275</v>
      </c>
    </row>
    <row r="89" customFormat="false" ht="15" hidden="false" customHeight="true" outlineLevel="0" collapsed="false">
      <c r="A89" s="3" t="s">
        <v>271</v>
      </c>
      <c r="B89" s="3" t="s">
        <v>152</v>
      </c>
      <c r="C89" s="3" t="s">
        <v>276</v>
      </c>
      <c r="D89" s="4" t="n">
        <v>2600</v>
      </c>
      <c r="E89" s="3" t="s">
        <v>108</v>
      </c>
      <c r="F89" s="3" t="s">
        <v>277</v>
      </c>
      <c r="G89" s="5" t="n">
        <v>46800</v>
      </c>
      <c r="H89" s="6" t="n">
        <f aca="false">IF(D89=0,0,G89/D89)</f>
        <v>18</v>
      </c>
      <c r="I89" s="6" t="n">
        <v>18</v>
      </c>
      <c r="J89" s="6" t="n">
        <f aca="false">IF(G89=0,0,I89-H89)</f>
        <v>0</v>
      </c>
      <c r="K89" s="3" t="s">
        <v>17</v>
      </c>
      <c r="L89" s="3" t="s">
        <v>278</v>
      </c>
    </row>
    <row r="90" customFormat="false" ht="15" hidden="false" customHeight="true" outlineLevel="0" collapsed="false">
      <c r="A90" s="3" t="s">
        <v>271</v>
      </c>
      <c r="B90" s="3" t="s">
        <v>155</v>
      </c>
      <c r="C90" s="3" t="s">
        <v>279</v>
      </c>
      <c r="D90" s="4" t="n">
        <v>2600</v>
      </c>
      <c r="E90" s="3" t="s">
        <v>280</v>
      </c>
      <c r="F90" s="3" t="s">
        <v>281</v>
      </c>
      <c r="G90" s="5" t="n">
        <v>38926</v>
      </c>
      <c r="H90" s="6" t="n">
        <f aca="false">IF(D90=0,0,G90/D90)</f>
        <v>14.9715384615385</v>
      </c>
      <c r="I90" s="6" t="n">
        <v>18</v>
      </c>
      <c r="J90" s="6" t="n">
        <f aca="false">IF(G90=0,0,I90-H90)</f>
        <v>3.02846153846154</v>
      </c>
      <c r="K90" s="3" t="s">
        <v>17</v>
      </c>
      <c r="L90" s="3" t="s">
        <v>282</v>
      </c>
    </row>
    <row r="91" customFormat="false" ht="15" hidden="false" customHeight="true" outlineLevel="0" collapsed="false">
      <c r="A91" s="3" t="s">
        <v>271</v>
      </c>
      <c r="B91" s="3" t="s">
        <v>19</v>
      </c>
      <c r="C91" s="3" t="s">
        <v>283</v>
      </c>
      <c r="D91" s="4" t="n">
        <v>2600</v>
      </c>
      <c r="E91" s="3" t="s">
        <v>280</v>
      </c>
      <c r="F91" s="3" t="s">
        <v>281</v>
      </c>
      <c r="G91" s="5" t="n">
        <v>38926</v>
      </c>
      <c r="H91" s="6" t="n">
        <f aca="false">IF(D91=0,0,G91/D91)</f>
        <v>14.9715384615385</v>
      </c>
      <c r="I91" s="6" t="n">
        <v>18</v>
      </c>
      <c r="J91" s="6" t="n">
        <f aca="false">IF(G91=0,0,I91-H91)</f>
        <v>3.02846153846154</v>
      </c>
      <c r="K91" s="3" t="s">
        <v>17</v>
      </c>
      <c r="L91" s="3" t="s">
        <v>284</v>
      </c>
    </row>
    <row r="92" customFormat="false" ht="15" hidden="false" customHeight="true" outlineLevel="0" collapsed="false">
      <c r="A92" s="3" t="s">
        <v>271</v>
      </c>
      <c r="B92" s="3" t="s">
        <v>158</v>
      </c>
      <c r="C92" s="3" t="s">
        <v>283</v>
      </c>
      <c r="D92" s="4" t="n">
        <v>2600</v>
      </c>
      <c r="E92" s="3" t="s">
        <v>280</v>
      </c>
      <c r="F92" s="3" t="s">
        <v>281</v>
      </c>
      <c r="G92" s="5" t="n">
        <v>38926</v>
      </c>
      <c r="H92" s="6" t="n">
        <f aca="false">IF(D92=0,0,G92/D92)</f>
        <v>14.9715384615385</v>
      </c>
      <c r="I92" s="6" t="n">
        <v>18</v>
      </c>
      <c r="J92" s="6" t="n">
        <f aca="false">IF(G92=0,0,I92-H92)</f>
        <v>3.02846153846154</v>
      </c>
      <c r="K92" s="3" t="s">
        <v>17</v>
      </c>
      <c r="L92" s="3" t="s">
        <v>284</v>
      </c>
    </row>
    <row r="93" customFormat="false" ht="15" hidden="false" customHeight="true" outlineLevel="0" collapsed="false">
      <c r="A93" s="3" t="s">
        <v>271</v>
      </c>
      <c r="B93" s="3" t="s">
        <v>161</v>
      </c>
      <c r="C93" s="3" t="s">
        <v>285</v>
      </c>
      <c r="D93" s="4" t="n">
        <v>2600</v>
      </c>
      <c r="E93" s="3" t="s">
        <v>286</v>
      </c>
      <c r="F93" s="3" t="s">
        <v>239</v>
      </c>
      <c r="G93" s="5" t="n">
        <v>40974</v>
      </c>
      <c r="H93" s="6" t="n">
        <f aca="false">IF(D93=0,0,G93/D93)</f>
        <v>15.7592307692308</v>
      </c>
      <c r="I93" s="6" t="n">
        <v>18</v>
      </c>
      <c r="J93" s="6" t="n">
        <f aca="false">IF(G93=0,0,I93-H93)</f>
        <v>2.24076923076923</v>
      </c>
      <c r="K93" s="3" t="s">
        <v>17</v>
      </c>
      <c r="L93" s="3" t="s">
        <v>287</v>
      </c>
    </row>
    <row r="94" customFormat="false" ht="15" hidden="false" customHeight="true" outlineLevel="0" collapsed="false">
      <c r="A94" s="3" t="s">
        <v>271</v>
      </c>
      <c r="B94" s="3" t="s">
        <v>162</v>
      </c>
      <c r="C94" s="3" t="s">
        <v>288</v>
      </c>
      <c r="D94" s="4" t="n">
        <v>2600</v>
      </c>
      <c r="E94" s="3" t="s">
        <v>87</v>
      </c>
      <c r="F94" s="3" t="s">
        <v>88</v>
      </c>
      <c r="G94" s="5" t="n">
        <v>45065</v>
      </c>
      <c r="H94" s="6" t="n">
        <f aca="false">IF(D94=0,0,G94/D94)</f>
        <v>17.3326923076923</v>
      </c>
      <c r="I94" s="6" t="n">
        <v>18</v>
      </c>
      <c r="J94" s="6" t="n">
        <f aca="false">IF(G94=0,0,I94-H94)</f>
        <v>0.667307692307691</v>
      </c>
      <c r="K94" s="3" t="s">
        <v>17</v>
      </c>
      <c r="L94" s="3" t="s">
        <v>289</v>
      </c>
    </row>
    <row r="95" customFormat="false" ht="15" hidden="false" customHeight="true" outlineLevel="0" collapsed="false">
      <c r="A95" s="3" t="s">
        <v>271</v>
      </c>
      <c r="B95" s="3" t="s">
        <v>24</v>
      </c>
      <c r="C95" s="3" t="s">
        <v>290</v>
      </c>
      <c r="D95" s="4" t="n">
        <v>2600</v>
      </c>
      <c r="E95" s="3" t="s">
        <v>291</v>
      </c>
      <c r="F95" s="3" t="s">
        <v>292</v>
      </c>
      <c r="G95" s="5" t="n">
        <v>40291</v>
      </c>
      <c r="H95" s="6" t="n">
        <f aca="false">IF(D95=0,0,G95/D95)</f>
        <v>15.4965384615385</v>
      </c>
      <c r="I95" s="6" t="n">
        <v>18</v>
      </c>
      <c r="J95" s="6" t="n">
        <f aca="false">IF(G95=0,0,I95-H95)</f>
        <v>2.50346153846154</v>
      </c>
      <c r="K95" s="3" t="s">
        <v>17</v>
      </c>
      <c r="L95" s="3" t="s">
        <v>293</v>
      </c>
    </row>
    <row r="96" customFormat="false" ht="15" hidden="false" customHeight="true" outlineLevel="0" collapsed="false">
      <c r="A96" s="3" t="s">
        <v>271</v>
      </c>
      <c r="B96" s="3" t="s">
        <v>168</v>
      </c>
      <c r="C96" s="3" t="s">
        <v>294</v>
      </c>
      <c r="D96" s="4" t="n">
        <v>2600</v>
      </c>
      <c r="E96" s="3" t="s">
        <v>286</v>
      </c>
      <c r="F96" s="3" t="s">
        <v>239</v>
      </c>
      <c r="G96" s="5" t="n">
        <v>43706</v>
      </c>
      <c r="H96" s="6" t="n">
        <f aca="false">IF(D96=0,0,G96/D96)</f>
        <v>16.81</v>
      </c>
      <c r="I96" s="6" t="n">
        <v>18</v>
      </c>
      <c r="J96" s="6" t="n">
        <f aca="false">IF(G96=0,0,I96-H96)</f>
        <v>1.19</v>
      </c>
      <c r="K96" s="3" t="s">
        <v>17</v>
      </c>
      <c r="L96" s="3" t="s">
        <v>295</v>
      </c>
    </row>
    <row r="97" customFormat="false" ht="15" hidden="false" customHeight="true" outlineLevel="0" collapsed="false">
      <c r="A97" s="3" t="s">
        <v>271</v>
      </c>
      <c r="B97" s="3" t="s">
        <v>171</v>
      </c>
      <c r="C97" s="3" t="s">
        <v>296</v>
      </c>
      <c r="D97" s="4" t="n">
        <v>2600</v>
      </c>
      <c r="E97" s="3" t="s">
        <v>256</v>
      </c>
      <c r="F97" s="3" t="s">
        <v>63</v>
      </c>
      <c r="G97" s="5" t="n">
        <v>40291</v>
      </c>
      <c r="H97" s="6" t="n">
        <f aca="false">IF(D97=0,0,G97/D97)</f>
        <v>15.4965384615385</v>
      </c>
      <c r="I97" s="6" t="n">
        <v>18</v>
      </c>
      <c r="J97" s="6" t="n">
        <f aca="false">IF(G97=0,0,I97-H97)</f>
        <v>2.50346153846154</v>
      </c>
      <c r="K97" s="3" t="s">
        <v>17</v>
      </c>
      <c r="L97" s="3" t="s">
        <v>297</v>
      </c>
    </row>
    <row r="98" customFormat="false" ht="15" hidden="false" customHeight="true" outlineLevel="0" collapsed="false">
      <c r="A98" s="3" t="s">
        <v>271</v>
      </c>
      <c r="B98" s="3" t="s">
        <v>177</v>
      </c>
      <c r="C98" s="3" t="s">
        <v>298</v>
      </c>
      <c r="D98" s="4" t="n">
        <v>2600</v>
      </c>
      <c r="E98" s="3" t="s">
        <v>15</v>
      </c>
      <c r="F98" s="3" t="s">
        <v>16</v>
      </c>
      <c r="G98" s="5" t="n">
        <v>40291</v>
      </c>
      <c r="H98" s="6" t="n">
        <f aca="false">IF(D98=0,0,G98/D98)</f>
        <v>15.4965384615385</v>
      </c>
      <c r="I98" s="6" t="n">
        <v>18</v>
      </c>
      <c r="J98" s="6" t="n">
        <f aca="false">IF(G98=0,0,I98-H98)</f>
        <v>2.50346153846154</v>
      </c>
      <c r="K98" s="3" t="s">
        <v>17</v>
      </c>
      <c r="L98" s="3" t="s">
        <v>299</v>
      </c>
    </row>
    <row r="99" customFormat="false" ht="15" hidden="false" customHeight="true" outlineLevel="0" collapsed="false">
      <c r="A99" s="3" t="s">
        <v>271</v>
      </c>
      <c r="B99" s="3" t="s">
        <v>180</v>
      </c>
      <c r="C99" s="3" t="s">
        <v>300</v>
      </c>
      <c r="D99" s="4" t="n">
        <v>2600</v>
      </c>
      <c r="E99" s="3" t="s">
        <v>273</v>
      </c>
      <c r="F99" s="3" t="s">
        <v>274</v>
      </c>
      <c r="G99" s="5" t="n">
        <v>38926</v>
      </c>
      <c r="H99" s="6" t="n">
        <f aca="false">IF(D99=0,0,G99/D99)</f>
        <v>14.9715384615385</v>
      </c>
      <c r="I99" s="6" t="n">
        <v>18</v>
      </c>
      <c r="J99" s="6" t="n">
        <f aca="false">IF(G99=0,0,I99-H99)</f>
        <v>3.02846153846154</v>
      </c>
      <c r="K99" s="3" t="s">
        <v>17</v>
      </c>
      <c r="L99" s="3" t="s">
        <v>301</v>
      </c>
    </row>
    <row r="100" customFormat="false" ht="15" hidden="false" customHeight="true" outlineLevel="0" collapsed="false">
      <c r="A100" s="3" t="s">
        <v>271</v>
      </c>
      <c r="B100" s="3" t="s">
        <v>182</v>
      </c>
      <c r="C100" s="3" t="s">
        <v>300</v>
      </c>
      <c r="D100" s="4" t="n">
        <v>2600</v>
      </c>
      <c r="E100" s="3" t="s">
        <v>273</v>
      </c>
      <c r="F100" s="3" t="s">
        <v>274</v>
      </c>
      <c r="G100" s="5" t="n">
        <v>38926</v>
      </c>
      <c r="H100" s="6" t="n">
        <f aca="false">IF(D100=0,0,G100/D100)</f>
        <v>14.9715384615385</v>
      </c>
      <c r="I100" s="6" t="n">
        <v>18</v>
      </c>
      <c r="J100" s="6" t="n">
        <f aca="false">IF(G100=0,0,I100-H100)</f>
        <v>3.02846153846154</v>
      </c>
      <c r="K100" s="3" t="s">
        <v>17</v>
      </c>
      <c r="L100" s="3" t="s">
        <v>301</v>
      </c>
    </row>
    <row r="101" customFormat="false" ht="15" hidden="false" customHeight="true" outlineLevel="0" collapsed="false">
      <c r="A101" s="3" t="s">
        <v>271</v>
      </c>
      <c r="B101" s="3" t="s">
        <v>60</v>
      </c>
      <c r="C101" s="3" t="s">
        <v>302</v>
      </c>
      <c r="D101" s="4" t="n">
        <v>2600</v>
      </c>
      <c r="E101" s="3" t="s">
        <v>303</v>
      </c>
      <c r="F101" s="3" t="s">
        <v>304</v>
      </c>
      <c r="G101" s="5" t="n">
        <v>40292</v>
      </c>
      <c r="H101" s="6" t="n">
        <f aca="false">IF(D101=0,0,G101/D101)</f>
        <v>15.4969230769231</v>
      </c>
      <c r="I101" s="6" t="n">
        <v>18</v>
      </c>
      <c r="J101" s="6" t="n">
        <f aca="false">IF(G101=0,0,I101-H101)</f>
        <v>2.50307692307692</v>
      </c>
      <c r="K101" s="3" t="s">
        <v>17</v>
      </c>
      <c r="L101" s="3" t="s">
        <v>305</v>
      </c>
    </row>
    <row r="102" customFormat="false" ht="15" hidden="false" customHeight="true" outlineLevel="0" collapsed="false">
      <c r="A102" s="3" t="s">
        <v>271</v>
      </c>
      <c r="B102" s="3" t="s">
        <v>184</v>
      </c>
      <c r="C102" s="3" t="s">
        <v>302</v>
      </c>
      <c r="D102" s="4" t="n">
        <v>2600</v>
      </c>
      <c r="E102" s="3" t="s">
        <v>303</v>
      </c>
      <c r="F102" s="3" t="s">
        <v>304</v>
      </c>
      <c r="G102" s="5" t="n">
        <v>40292</v>
      </c>
      <c r="H102" s="6" t="n">
        <f aca="false">IF(D102=0,0,G102/D102)</f>
        <v>15.4969230769231</v>
      </c>
      <c r="I102" s="6" t="n">
        <v>18</v>
      </c>
      <c r="J102" s="6" t="n">
        <f aca="false">IF(G102=0,0,I102-H102)</f>
        <v>2.50307692307692</v>
      </c>
      <c r="K102" s="3" t="s">
        <v>17</v>
      </c>
      <c r="L102" s="3" t="s">
        <v>305</v>
      </c>
    </row>
    <row r="103" customFormat="false" ht="15" hidden="false" customHeight="true" outlineLevel="0" collapsed="false">
      <c r="A103" s="3" t="s">
        <v>271</v>
      </c>
      <c r="B103" s="3" t="s">
        <v>187</v>
      </c>
      <c r="C103" s="3" t="s">
        <v>306</v>
      </c>
      <c r="D103" s="4" t="n">
        <v>2600</v>
      </c>
      <c r="E103" s="3" t="s">
        <v>35</v>
      </c>
      <c r="F103" s="3" t="s">
        <v>146</v>
      </c>
      <c r="G103" s="5" t="n">
        <v>45305</v>
      </c>
      <c r="H103" s="6" t="n">
        <f aca="false">IF(D103=0,0,G103/D103)</f>
        <v>17.425</v>
      </c>
      <c r="I103" s="6" t="n">
        <v>18</v>
      </c>
      <c r="J103" s="6" t="n">
        <f aca="false">IF(G103=0,0,I103-H103)</f>
        <v>0.574999999999999</v>
      </c>
      <c r="K103" s="3" t="s">
        <v>17</v>
      </c>
      <c r="L103" s="3" t="s">
        <v>307</v>
      </c>
    </row>
    <row r="104" customFormat="false" ht="15" hidden="false" customHeight="true" outlineLevel="0" collapsed="false">
      <c r="A104" s="3" t="s">
        <v>271</v>
      </c>
      <c r="B104" s="3" t="s">
        <v>190</v>
      </c>
      <c r="C104" s="3" t="s">
        <v>308</v>
      </c>
      <c r="D104" s="4" t="n">
        <v>2600</v>
      </c>
      <c r="E104" s="3" t="s">
        <v>81</v>
      </c>
      <c r="F104" s="3" t="s">
        <v>269</v>
      </c>
      <c r="G104" s="5" t="n">
        <v>46800</v>
      </c>
      <c r="H104" s="6" t="n">
        <f aca="false">IF(D104=0,0,G104/D104)</f>
        <v>18</v>
      </c>
      <c r="I104" s="6" t="n">
        <v>18</v>
      </c>
      <c r="J104" s="6" t="n">
        <f aca="false">IF(G104=0,0,I104-H104)</f>
        <v>0</v>
      </c>
      <c r="K104" s="3" t="s">
        <v>17</v>
      </c>
      <c r="L104" s="3" t="s">
        <v>309</v>
      </c>
    </row>
    <row r="105" customFormat="false" ht="15" hidden="false" customHeight="true" outlineLevel="0" collapsed="false">
      <c r="A105" s="3" t="s">
        <v>271</v>
      </c>
      <c r="B105" s="3" t="s">
        <v>65</v>
      </c>
      <c r="C105" s="3" t="s">
        <v>310</v>
      </c>
      <c r="D105" s="4" t="n">
        <v>2600</v>
      </c>
      <c r="E105" s="3" t="s">
        <v>280</v>
      </c>
      <c r="F105" s="3" t="s">
        <v>27</v>
      </c>
      <c r="G105" s="5" t="n">
        <v>36877</v>
      </c>
      <c r="H105" s="6" t="n">
        <f aca="false">IF(D105=0,0,G105/D105)</f>
        <v>14.1834615384615</v>
      </c>
      <c r="I105" s="6" t="n">
        <v>18</v>
      </c>
      <c r="J105" s="6" t="n">
        <f aca="false">IF(G105=0,0,I105-H105)</f>
        <v>3.81653846153846</v>
      </c>
      <c r="K105" s="3" t="s">
        <v>17</v>
      </c>
      <c r="L105" s="3" t="s">
        <v>311</v>
      </c>
    </row>
    <row r="106" customFormat="false" ht="15" hidden="false" customHeight="true" outlineLevel="0" collapsed="false">
      <c r="A106" s="3" t="s">
        <v>271</v>
      </c>
      <c r="B106" s="3" t="s">
        <v>196</v>
      </c>
      <c r="C106" s="3" t="s">
        <v>310</v>
      </c>
      <c r="D106" s="4" t="n">
        <v>2600</v>
      </c>
      <c r="E106" s="3" t="s">
        <v>280</v>
      </c>
      <c r="F106" s="3" t="s">
        <v>27</v>
      </c>
      <c r="G106" s="5" t="n">
        <v>36877</v>
      </c>
      <c r="H106" s="6" t="n">
        <f aca="false">IF(D106=0,0,G106/D106)</f>
        <v>14.1834615384615</v>
      </c>
      <c r="I106" s="6" t="n">
        <v>18</v>
      </c>
      <c r="J106" s="6" t="n">
        <f aca="false">IF(G106=0,0,I106-H106)</f>
        <v>3.81653846153846</v>
      </c>
      <c r="K106" s="3" t="s">
        <v>17</v>
      </c>
      <c r="L106" s="3" t="s">
        <v>311</v>
      </c>
    </row>
    <row r="107" customFormat="false" ht="15" hidden="false" customHeight="true" outlineLevel="0" collapsed="false">
      <c r="A107" s="3" t="s">
        <v>271</v>
      </c>
      <c r="B107" s="3" t="s">
        <v>199</v>
      </c>
      <c r="C107" s="3" t="s">
        <v>310</v>
      </c>
      <c r="D107" s="4" t="n">
        <v>2600</v>
      </c>
      <c r="E107" s="3" t="s">
        <v>280</v>
      </c>
      <c r="F107" s="3" t="s">
        <v>27</v>
      </c>
      <c r="G107" s="5" t="n">
        <v>36877</v>
      </c>
      <c r="H107" s="6" t="n">
        <f aca="false">IF(D107=0,0,G107/D107)</f>
        <v>14.1834615384615</v>
      </c>
      <c r="I107" s="6" t="n">
        <v>18</v>
      </c>
      <c r="J107" s="6" t="n">
        <f aca="false">IF(G107=0,0,I107-H107)</f>
        <v>3.81653846153846</v>
      </c>
      <c r="K107" s="3" t="s">
        <v>17</v>
      </c>
      <c r="L107" s="3" t="s">
        <v>311</v>
      </c>
    </row>
    <row r="108" customFormat="false" ht="15" hidden="false" customHeight="true" outlineLevel="0" collapsed="false">
      <c r="A108" s="3" t="s">
        <v>271</v>
      </c>
      <c r="B108" s="3" t="s">
        <v>206</v>
      </c>
      <c r="C108" s="3" t="s">
        <v>312</v>
      </c>
      <c r="D108" s="4" t="n">
        <v>2900</v>
      </c>
      <c r="E108" s="3" t="s">
        <v>280</v>
      </c>
      <c r="F108" s="3" t="s">
        <v>27</v>
      </c>
      <c r="G108" s="5" t="n">
        <v>41132</v>
      </c>
      <c r="H108" s="6" t="n">
        <f aca="false">IF(D108=0,0,G108/D108)</f>
        <v>14.1834482758621</v>
      </c>
      <c r="I108" s="6" t="n">
        <v>18</v>
      </c>
      <c r="J108" s="6" t="n">
        <f aca="false">IF(G108=0,0,I108-H108)</f>
        <v>3.81655172413793</v>
      </c>
      <c r="K108" s="3" t="s">
        <v>17</v>
      </c>
      <c r="L108" s="3" t="s">
        <v>313</v>
      </c>
    </row>
    <row r="109" customFormat="false" ht="15" hidden="false" customHeight="true" outlineLevel="0" collapsed="false">
      <c r="A109" s="3" t="s">
        <v>271</v>
      </c>
      <c r="B109" s="3" t="s">
        <v>209</v>
      </c>
      <c r="C109" s="3" t="s">
        <v>314</v>
      </c>
      <c r="D109" s="4" t="n">
        <v>2900</v>
      </c>
      <c r="E109" s="3" t="s">
        <v>273</v>
      </c>
      <c r="F109" s="3" t="s">
        <v>274</v>
      </c>
      <c r="G109" s="5" t="n">
        <v>44940</v>
      </c>
      <c r="H109" s="6" t="n">
        <f aca="false">IF(D109=0,0,G109/D109)</f>
        <v>15.4965517241379</v>
      </c>
      <c r="I109" s="6" t="n">
        <v>18</v>
      </c>
      <c r="J109" s="6" t="n">
        <f aca="false">IF(G109=0,0,I109-H109)</f>
        <v>2.50344827586207</v>
      </c>
      <c r="K109" s="3" t="s">
        <v>17</v>
      </c>
      <c r="L109" s="3" t="s">
        <v>315</v>
      </c>
    </row>
    <row r="110" customFormat="false" ht="15" hidden="false" customHeight="true" outlineLevel="0" collapsed="false">
      <c r="A110" s="3" t="s">
        <v>271</v>
      </c>
      <c r="B110" s="3" t="s">
        <v>211</v>
      </c>
      <c r="C110" s="3" t="s">
        <v>253</v>
      </c>
      <c r="D110" s="4" t="n">
        <v>2350</v>
      </c>
      <c r="E110" s="3" t="s">
        <v>316</v>
      </c>
      <c r="F110" s="3" t="s">
        <v>317</v>
      </c>
      <c r="G110" s="5" t="n">
        <v>36417</v>
      </c>
      <c r="H110" s="6" t="n">
        <f aca="false">IF(D110=0,0,G110/D110)</f>
        <v>15.4965957446809</v>
      </c>
      <c r="I110" s="6" t="n">
        <v>18</v>
      </c>
      <c r="J110" s="6" t="n">
        <f aca="false">IF(G110=0,0,I110-H110)</f>
        <v>2.50340425531915</v>
      </c>
      <c r="K110" s="3" t="s">
        <v>17</v>
      </c>
      <c r="L110" s="3" t="s">
        <v>318</v>
      </c>
    </row>
    <row r="111" customFormat="false" ht="15" hidden="false" customHeight="true" outlineLevel="0" collapsed="false">
      <c r="A111" s="3" t="s">
        <v>271</v>
      </c>
      <c r="B111" s="3" t="s">
        <v>94</v>
      </c>
      <c r="C111" s="3" t="s">
        <v>319</v>
      </c>
      <c r="D111" s="4" t="n">
        <v>1870</v>
      </c>
      <c r="E111" s="3" t="s">
        <v>320</v>
      </c>
      <c r="F111" s="3" t="s">
        <v>321</v>
      </c>
      <c r="G111" s="5" t="n">
        <v>31435</v>
      </c>
      <c r="H111" s="6" t="n">
        <f aca="false">IF(D111=0,0,G111/D111)</f>
        <v>16.8101604278075</v>
      </c>
      <c r="I111" s="6" t="n">
        <v>18</v>
      </c>
      <c r="J111" s="6" t="n">
        <f aca="false">IF(G111=0,0,I111-H111)</f>
        <v>1.18983957219251</v>
      </c>
      <c r="K111" s="3" t="s">
        <v>17</v>
      </c>
      <c r="L111" s="3" t="s">
        <v>322</v>
      </c>
    </row>
    <row r="112" customFormat="false" ht="15" hidden="false" customHeight="true" outlineLevel="0" collapsed="false">
      <c r="A112" s="3" t="s">
        <v>271</v>
      </c>
      <c r="B112" s="3" t="s">
        <v>218</v>
      </c>
      <c r="C112" s="3" t="s">
        <v>323</v>
      </c>
      <c r="D112" s="4" t="n">
        <v>1870</v>
      </c>
      <c r="E112" s="3" t="s">
        <v>280</v>
      </c>
      <c r="F112" s="3" t="s">
        <v>281</v>
      </c>
      <c r="G112" s="5" t="n">
        <v>28488</v>
      </c>
      <c r="H112" s="6" t="n">
        <f aca="false">IF(D112=0,0,G112/D112)</f>
        <v>15.2342245989305</v>
      </c>
      <c r="I112" s="6" t="n">
        <v>18</v>
      </c>
      <c r="J112" s="6" t="n">
        <f aca="false">IF(G112=0,0,I112-H112)</f>
        <v>2.76577540106952</v>
      </c>
      <c r="K112" s="3" t="s">
        <v>17</v>
      </c>
      <c r="L112" s="3" t="s">
        <v>324</v>
      </c>
    </row>
    <row r="113" customFormat="false" ht="15" hidden="false" customHeight="true" outlineLevel="0" collapsed="false">
      <c r="A113" s="3" t="s">
        <v>271</v>
      </c>
      <c r="B113" s="3" t="s">
        <v>221</v>
      </c>
      <c r="C113" s="3" t="s">
        <v>323</v>
      </c>
      <c r="D113" s="4" t="n">
        <v>1870</v>
      </c>
      <c r="E113" s="3" t="s">
        <v>280</v>
      </c>
      <c r="F113" s="3" t="s">
        <v>281</v>
      </c>
      <c r="G113" s="5" t="n">
        <v>28488</v>
      </c>
      <c r="H113" s="6" t="n">
        <f aca="false">IF(D113=0,0,G113/D113)</f>
        <v>15.2342245989305</v>
      </c>
      <c r="I113" s="6" t="n">
        <v>18</v>
      </c>
      <c r="J113" s="6" t="n">
        <f aca="false">IF(G113=0,0,I113-H113)</f>
        <v>2.76577540106952</v>
      </c>
      <c r="K113" s="3" t="s">
        <v>17</v>
      </c>
      <c r="L113" s="3" t="s">
        <v>324</v>
      </c>
    </row>
    <row r="114" customFormat="false" ht="15" hidden="false" customHeight="true" outlineLevel="0" collapsed="false">
      <c r="A114" s="3" t="s">
        <v>271</v>
      </c>
      <c r="B114" s="3" t="s">
        <v>325</v>
      </c>
      <c r="C114" s="3" t="s">
        <v>326</v>
      </c>
      <c r="D114" s="4" t="n">
        <v>1870</v>
      </c>
      <c r="E114" s="3" t="s">
        <v>26</v>
      </c>
      <c r="F114" s="3" t="s">
        <v>27</v>
      </c>
      <c r="G114" s="5" t="n">
        <v>28979</v>
      </c>
      <c r="H114" s="6" t="n">
        <f aca="false">IF(D114=0,0,G114/D114)</f>
        <v>15.4967914438503</v>
      </c>
      <c r="I114" s="6" t="n">
        <v>18</v>
      </c>
      <c r="J114" s="6" t="n">
        <f aca="false">IF(G114=0,0,I114-H114)</f>
        <v>2.50320855614973</v>
      </c>
      <c r="K114" s="3" t="s">
        <v>17</v>
      </c>
      <c r="L114" s="3" t="s">
        <v>327</v>
      </c>
    </row>
    <row r="115" customFormat="false" ht="15" hidden="false" customHeight="true" outlineLevel="0" collapsed="false">
      <c r="A115" s="3" t="s">
        <v>271</v>
      </c>
      <c r="B115" s="3" t="s">
        <v>328</v>
      </c>
      <c r="C115" s="3" t="s">
        <v>329</v>
      </c>
      <c r="D115" s="4" t="n">
        <v>1870</v>
      </c>
      <c r="E115" s="3" t="s">
        <v>280</v>
      </c>
      <c r="F115" s="3" t="s">
        <v>330</v>
      </c>
      <c r="G115" s="5" t="n">
        <v>28488</v>
      </c>
      <c r="H115" s="6" t="n">
        <f aca="false">IF(D115=0,0,G115/D115)</f>
        <v>15.2342245989305</v>
      </c>
      <c r="I115" s="6" t="n">
        <v>18</v>
      </c>
      <c r="J115" s="6" t="n">
        <f aca="false">IF(G115=0,0,I115-H115)</f>
        <v>2.76577540106952</v>
      </c>
      <c r="K115" s="3" t="s">
        <v>17</v>
      </c>
      <c r="L115" s="3" t="s">
        <v>331</v>
      </c>
    </row>
    <row r="116" customFormat="false" ht="15" hidden="false" customHeight="true" outlineLevel="0" collapsed="false">
      <c r="A116" s="3" t="s">
        <v>332</v>
      </c>
      <c r="B116" s="3" t="s">
        <v>333</v>
      </c>
      <c r="C116" s="3" t="s">
        <v>334</v>
      </c>
      <c r="D116" s="4" t="n">
        <v>3450</v>
      </c>
      <c r="E116" s="3" t="s">
        <v>166</v>
      </c>
      <c r="F116" s="3" t="s">
        <v>50</v>
      </c>
      <c r="G116" s="5" t="n">
        <v>55200</v>
      </c>
      <c r="H116" s="6" t="n">
        <f aca="false">IF(D116=0,0,G116/D116)</f>
        <v>16</v>
      </c>
      <c r="I116" s="6" t="n">
        <v>17</v>
      </c>
      <c r="J116" s="6" t="n">
        <f aca="false">IF(G116=0,0,I116-H116)</f>
        <v>1</v>
      </c>
      <c r="K116" s="3" t="s">
        <v>17</v>
      </c>
      <c r="L116" s="3" t="s">
        <v>335</v>
      </c>
    </row>
    <row r="117" customFormat="false" ht="15" hidden="false" customHeight="true" outlineLevel="0" collapsed="false">
      <c r="A117" s="3" t="s">
        <v>332</v>
      </c>
      <c r="B117" s="3" t="s">
        <v>336</v>
      </c>
      <c r="C117" s="3" t="s">
        <v>30</v>
      </c>
      <c r="D117" s="4" t="n">
        <v>3050</v>
      </c>
      <c r="E117" s="3" t="s">
        <v>337</v>
      </c>
      <c r="F117" s="3" t="s">
        <v>269</v>
      </c>
      <c r="G117" s="5" t="n">
        <v>0</v>
      </c>
      <c r="H117" s="6" t="n">
        <f aca="false">IF(D117=0,0,G117/D117)</f>
        <v>0</v>
      </c>
      <c r="I117" s="6" t="n">
        <v>17</v>
      </c>
      <c r="J117" s="6" t="n">
        <f aca="false">IF(G117=0,0,I117-H117)</f>
        <v>0</v>
      </c>
      <c r="K117" s="3" t="s">
        <v>31</v>
      </c>
      <c r="L117" s="3" t="s">
        <v>231</v>
      </c>
    </row>
    <row r="118" customFormat="false" ht="15" hidden="false" customHeight="true" outlineLevel="0" collapsed="false">
      <c r="A118" s="3" t="s">
        <v>332</v>
      </c>
      <c r="B118" s="3" t="s">
        <v>338</v>
      </c>
      <c r="C118" s="3" t="s">
        <v>339</v>
      </c>
      <c r="D118" s="4" t="n">
        <v>2600</v>
      </c>
      <c r="E118" s="3" t="s">
        <v>166</v>
      </c>
      <c r="F118" s="3" t="s">
        <v>50</v>
      </c>
      <c r="G118" s="5" t="n">
        <v>41600</v>
      </c>
      <c r="H118" s="6" t="n">
        <f aca="false">IF(D118=0,0,G118/D118)</f>
        <v>16</v>
      </c>
      <c r="I118" s="6" t="n">
        <v>17</v>
      </c>
      <c r="J118" s="6" t="n">
        <f aca="false">IF(G118=0,0,I118-H118)</f>
        <v>1</v>
      </c>
      <c r="K118" s="3" t="s">
        <v>17</v>
      </c>
      <c r="L118" s="3" t="s">
        <v>340</v>
      </c>
    </row>
    <row r="119" customFormat="false" ht="15" hidden="false" customHeight="true" outlineLevel="0" collapsed="false">
      <c r="A119" s="3" t="s">
        <v>332</v>
      </c>
      <c r="B119" s="3" t="s">
        <v>341</v>
      </c>
      <c r="C119" s="3" t="s">
        <v>30</v>
      </c>
      <c r="D119" s="4" t="n">
        <v>3050</v>
      </c>
      <c r="E119" s="3" t="s">
        <v>166</v>
      </c>
      <c r="F119" s="3" t="s">
        <v>50</v>
      </c>
      <c r="G119" s="5" t="n">
        <v>0</v>
      </c>
      <c r="H119" s="6" t="n">
        <f aca="false">IF(D119=0,0,G119/D119)</f>
        <v>0</v>
      </c>
      <c r="I119" s="6" t="n">
        <v>17</v>
      </c>
      <c r="J119" s="6" t="n">
        <f aca="false">IF(G119=0,0,I119-H119)</f>
        <v>0</v>
      </c>
      <c r="K119" s="3" t="s">
        <v>31</v>
      </c>
      <c r="L119" s="3" t="s">
        <v>342</v>
      </c>
    </row>
    <row r="120" customFormat="false" ht="15" hidden="false" customHeight="true" outlineLevel="0" collapsed="false">
      <c r="A120" s="3" t="s">
        <v>332</v>
      </c>
      <c r="B120" s="3" t="s">
        <v>343</v>
      </c>
      <c r="C120" s="3" t="s">
        <v>344</v>
      </c>
      <c r="D120" s="4" t="n">
        <v>2600</v>
      </c>
      <c r="E120" s="3" t="s">
        <v>166</v>
      </c>
      <c r="F120" s="3" t="s">
        <v>50</v>
      </c>
      <c r="G120" s="5" t="n">
        <v>41600</v>
      </c>
      <c r="H120" s="6" t="n">
        <f aca="false">IF(D120=0,0,G120/D120)</f>
        <v>16</v>
      </c>
      <c r="I120" s="6" t="n">
        <v>17</v>
      </c>
      <c r="J120" s="6" t="n">
        <f aca="false">IF(G120=0,0,I120-H120)</f>
        <v>1</v>
      </c>
      <c r="K120" s="3" t="s">
        <v>17</v>
      </c>
      <c r="L120" s="3" t="s">
        <v>345</v>
      </c>
    </row>
    <row r="121" customFormat="false" ht="15" hidden="false" customHeight="true" outlineLevel="0" collapsed="false">
      <c r="A121" s="3" t="s">
        <v>332</v>
      </c>
      <c r="B121" s="3" t="s">
        <v>346</v>
      </c>
      <c r="C121" s="3" t="s">
        <v>30</v>
      </c>
      <c r="D121" s="4" t="n">
        <v>3050</v>
      </c>
      <c r="E121" s="3" t="s">
        <v>337</v>
      </c>
      <c r="F121" s="3" t="s">
        <v>347</v>
      </c>
      <c r="G121" s="5" t="n">
        <v>0</v>
      </c>
      <c r="H121" s="6" t="n">
        <f aca="false">IF(D121=0,0,G121/D121)</f>
        <v>0</v>
      </c>
      <c r="I121" s="6" t="n">
        <v>17</v>
      </c>
      <c r="J121" s="6" t="n">
        <f aca="false">IF(G121=0,0,I121-H121)</f>
        <v>0</v>
      </c>
      <c r="K121" s="3" t="s">
        <v>31</v>
      </c>
      <c r="L121" s="3" t="s">
        <v>348</v>
      </c>
    </row>
    <row r="122" customFormat="false" ht="15" hidden="false" customHeight="true" outlineLevel="0" collapsed="false">
      <c r="A122" s="3" t="s">
        <v>332</v>
      </c>
      <c r="B122" s="3" t="s">
        <v>349</v>
      </c>
      <c r="C122" s="3" t="s">
        <v>350</v>
      </c>
      <c r="D122" s="4" t="n">
        <v>2600</v>
      </c>
      <c r="E122" s="3" t="s">
        <v>166</v>
      </c>
      <c r="F122" s="3" t="s">
        <v>50</v>
      </c>
      <c r="G122" s="5" t="n">
        <v>46800</v>
      </c>
      <c r="H122" s="6" t="n">
        <f aca="false">IF(D122=0,0,G122/D122)</f>
        <v>18</v>
      </c>
      <c r="I122" s="6" t="n">
        <v>17</v>
      </c>
      <c r="J122" s="6" t="n">
        <f aca="false">IF(G122=0,0,I122-H122)</f>
        <v>-1</v>
      </c>
      <c r="K122" s="3" t="s">
        <v>17</v>
      </c>
      <c r="L122" s="3" t="s">
        <v>351</v>
      </c>
    </row>
    <row r="123" customFormat="false" ht="15" hidden="false" customHeight="true" outlineLevel="0" collapsed="false">
      <c r="A123" s="3" t="s">
        <v>332</v>
      </c>
      <c r="B123" s="3" t="s">
        <v>352</v>
      </c>
      <c r="C123" s="3" t="s">
        <v>30</v>
      </c>
      <c r="D123" s="4" t="n">
        <v>3050</v>
      </c>
      <c r="E123" s="3" t="s">
        <v>337</v>
      </c>
      <c r="F123" s="3" t="s">
        <v>347</v>
      </c>
      <c r="G123" s="5" t="n">
        <v>0</v>
      </c>
      <c r="H123" s="6" t="n">
        <f aca="false">IF(D123=0,0,G123/D123)</f>
        <v>0</v>
      </c>
      <c r="I123" s="6" t="n">
        <v>17</v>
      </c>
      <c r="J123" s="6" t="n">
        <f aca="false">IF(G123=0,0,I123-H123)</f>
        <v>0</v>
      </c>
      <c r="K123" s="3" t="s">
        <v>31</v>
      </c>
      <c r="L123" s="3" t="s">
        <v>232</v>
      </c>
    </row>
    <row r="124" customFormat="false" ht="15" hidden="false" customHeight="true" outlineLevel="0" collapsed="false">
      <c r="A124" s="3" t="s">
        <v>332</v>
      </c>
      <c r="B124" s="3" t="s">
        <v>353</v>
      </c>
      <c r="C124" s="3" t="s">
        <v>354</v>
      </c>
      <c r="D124" s="4" t="n">
        <v>2600</v>
      </c>
      <c r="E124" s="3" t="s">
        <v>204</v>
      </c>
      <c r="F124" s="3" t="s">
        <v>130</v>
      </c>
      <c r="G124" s="5" t="n">
        <v>46800</v>
      </c>
      <c r="H124" s="6" t="n">
        <f aca="false">IF(D124=0,0,G124/D124)</f>
        <v>18</v>
      </c>
      <c r="I124" s="6" t="n">
        <v>17</v>
      </c>
      <c r="J124" s="6" t="n">
        <f aca="false">IF(G124=0,0,I124-H124)</f>
        <v>-1</v>
      </c>
      <c r="K124" s="3" t="s">
        <v>17</v>
      </c>
      <c r="L124" s="3" t="s">
        <v>355</v>
      </c>
    </row>
    <row r="125" customFormat="false" ht="15" hidden="false" customHeight="true" outlineLevel="0" collapsed="false">
      <c r="A125" s="3" t="s">
        <v>332</v>
      </c>
      <c r="B125" s="3" t="s">
        <v>356</v>
      </c>
      <c r="C125" s="3" t="s">
        <v>30</v>
      </c>
      <c r="D125" s="4" t="n">
        <v>3050</v>
      </c>
      <c r="E125" s="3" t="s">
        <v>280</v>
      </c>
      <c r="F125" s="3" t="s">
        <v>281</v>
      </c>
      <c r="G125" s="5" t="n">
        <v>0</v>
      </c>
      <c r="H125" s="6" t="n">
        <f aca="false">IF(D125=0,0,G125/D125)</f>
        <v>0</v>
      </c>
      <c r="I125" s="6" t="n">
        <v>17</v>
      </c>
      <c r="J125" s="6" t="n">
        <f aca="false">IF(G125=0,0,I125-H125)</f>
        <v>0</v>
      </c>
      <c r="K125" s="3" t="s">
        <v>31</v>
      </c>
      <c r="L125" s="3" t="s">
        <v>233</v>
      </c>
    </row>
    <row r="126" customFormat="false" ht="15" hidden="false" customHeight="true" outlineLevel="0" collapsed="false">
      <c r="A126" s="3" t="s">
        <v>332</v>
      </c>
      <c r="B126" s="3" t="s">
        <v>357</v>
      </c>
      <c r="C126" s="3" t="s">
        <v>358</v>
      </c>
      <c r="D126" s="4" t="n">
        <v>2600</v>
      </c>
      <c r="E126" s="3" t="s">
        <v>81</v>
      </c>
      <c r="F126" s="3" t="s">
        <v>227</v>
      </c>
      <c r="G126" s="5" t="n">
        <v>46800</v>
      </c>
      <c r="H126" s="6" t="n">
        <f aca="false">IF(D126=0,0,G126/D126)</f>
        <v>18</v>
      </c>
      <c r="I126" s="6" t="n">
        <v>17</v>
      </c>
      <c r="J126" s="6" t="n">
        <f aca="false">IF(G126=0,0,I126-H126)</f>
        <v>-1</v>
      </c>
      <c r="K126" s="3" t="s">
        <v>17</v>
      </c>
      <c r="L126" s="3" t="s">
        <v>359</v>
      </c>
    </row>
    <row r="127" customFormat="false" ht="15" hidden="false" customHeight="true" outlineLevel="0" collapsed="false">
      <c r="A127" s="3" t="s">
        <v>332</v>
      </c>
      <c r="B127" s="3" t="s">
        <v>360</v>
      </c>
      <c r="C127" s="3" t="s">
        <v>30</v>
      </c>
      <c r="D127" s="4" t="n">
        <v>3050</v>
      </c>
      <c r="E127" s="3" t="s">
        <v>316</v>
      </c>
      <c r="F127" s="3" t="s">
        <v>317</v>
      </c>
      <c r="G127" s="5" t="n">
        <v>0</v>
      </c>
      <c r="H127" s="6" t="n">
        <f aca="false">IF(D127=0,0,G127/D127)</f>
        <v>0</v>
      </c>
      <c r="I127" s="6" t="n">
        <v>17</v>
      </c>
      <c r="J127" s="6" t="n">
        <f aca="false">IF(G127=0,0,I127-H127)</f>
        <v>0</v>
      </c>
      <c r="K127" s="3" t="s">
        <v>31</v>
      </c>
      <c r="L127" s="3" t="s">
        <v>342</v>
      </c>
    </row>
    <row r="128" customFormat="false" ht="15" hidden="false" customHeight="true" outlineLevel="0" collapsed="false">
      <c r="A128" s="3" t="s">
        <v>332</v>
      </c>
      <c r="B128" s="3" t="s">
        <v>361</v>
      </c>
      <c r="C128" s="3" t="s">
        <v>362</v>
      </c>
      <c r="D128" s="4" t="n">
        <v>2600</v>
      </c>
      <c r="E128" s="3" t="s">
        <v>166</v>
      </c>
      <c r="F128" s="3" t="s">
        <v>50</v>
      </c>
      <c r="G128" s="5" t="n">
        <v>41360</v>
      </c>
      <c r="H128" s="6" t="n">
        <f aca="false">IF(D128=0,0,G128/D128)</f>
        <v>15.9076923076923</v>
      </c>
      <c r="I128" s="6" t="n">
        <v>17</v>
      </c>
      <c r="J128" s="6" t="n">
        <f aca="false">IF(G128=0,0,I128-H128)</f>
        <v>1.09230769230769</v>
      </c>
      <c r="K128" s="3" t="s">
        <v>17</v>
      </c>
      <c r="L128" s="3" t="s">
        <v>363</v>
      </c>
    </row>
    <row r="129" customFormat="false" ht="15" hidden="false" customHeight="true" outlineLevel="0" collapsed="false">
      <c r="A129" s="3" t="s">
        <v>332</v>
      </c>
      <c r="B129" s="3" t="s">
        <v>364</v>
      </c>
      <c r="C129" s="3" t="s">
        <v>30</v>
      </c>
      <c r="D129" s="4" t="n">
        <v>3050</v>
      </c>
      <c r="E129" s="3" t="s">
        <v>337</v>
      </c>
      <c r="F129" s="3" t="s">
        <v>347</v>
      </c>
      <c r="G129" s="5" t="n">
        <v>0</v>
      </c>
      <c r="H129" s="6" t="n">
        <f aca="false">IF(D129=0,0,G129/D129)</f>
        <v>0</v>
      </c>
      <c r="I129" s="6" t="n">
        <v>17</v>
      </c>
      <c r="J129" s="6" t="n">
        <f aca="false">IF(G129=0,0,I129-H129)</f>
        <v>0</v>
      </c>
      <c r="K129" s="3" t="s">
        <v>31</v>
      </c>
      <c r="L129" s="3" t="s">
        <v>348</v>
      </c>
    </row>
    <row r="130" customFormat="false" ht="15" hidden="false" customHeight="true" outlineLevel="0" collapsed="false">
      <c r="A130" s="3" t="s">
        <v>332</v>
      </c>
      <c r="B130" s="3" t="s">
        <v>365</v>
      </c>
      <c r="C130" s="3" t="s">
        <v>366</v>
      </c>
      <c r="D130" s="4" t="n">
        <v>2600</v>
      </c>
      <c r="E130" s="3" t="s">
        <v>166</v>
      </c>
      <c r="F130" s="3" t="s">
        <v>50</v>
      </c>
      <c r="G130" s="5" t="n">
        <v>41600</v>
      </c>
      <c r="H130" s="6" t="n">
        <f aca="false">IF(D130=0,0,G130/D130)</f>
        <v>16</v>
      </c>
      <c r="I130" s="6" t="n">
        <v>17</v>
      </c>
      <c r="J130" s="6" t="n">
        <f aca="false">IF(G130=0,0,I130-H130)</f>
        <v>1</v>
      </c>
      <c r="K130" s="3" t="s">
        <v>17</v>
      </c>
      <c r="L130" s="3" t="s">
        <v>367</v>
      </c>
    </row>
    <row r="131" customFormat="false" ht="15" hidden="false" customHeight="true" outlineLevel="0" collapsed="false">
      <c r="A131" s="3" t="s">
        <v>332</v>
      </c>
      <c r="B131" s="3" t="s">
        <v>368</v>
      </c>
      <c r="C131" s="3" t="s">
        <v>369</v>
      </c>
      <c r="D131" s="4" t="n">
        <v>3050</v>
      </c>
      <c r="E131" s="3" t="s">
        <v>204</v>
      </c>
      <c r="F131" s="3" t="s">
        <v>370</v>
      </c>
      <c r="G131" s="5" t="n">
        <v>54900</v>
      </c>
      <c r="H131" s="6" t="n">
        <f aca="false">IF(D131=0,0,G131/D131)</f>
        <v>18</v>
      </c>
      <c r="I131" s="6" t="n">
        <v>17</v>
      </c>
      <c r="J131" s="6" t="n">
        <f aca="false">IF(G131=0,0,I131-H131)</f>
        <v>-1</v>
      </c>
      <c r="K131" s="3" t="s">
        <v>17</v>
      </c>
      <c r="L131" s="3" t="s">
        <v>371</v>
      </c>
    </row>
    <row r="132" customFormat="false" ht="15" hidden="false" customHeight="true" outlineLevel="0" collapsed="false">
      <c r="A132" s="3" t="s">
        <v>332</v>
      </c>
      <c r="B132" s="3" t="s">
        <v>372</v>
      </c>
      <c r="C132" s="3" t="s">
        <v>373</v>
      </c>
      <c r="D132" s="4" t="n">
        <v>3675</v>
      </c>
      <c r="E132" s="3" t="s">
        <v>81</v>
      </c>
      <c r="F132" s="3" t="s">
        <v>227</v>
      </c>
      <c r="G132" s="5" t="n">
        <v>66150</v>
      </c>
      <c r="H132" s="6" t="n">
        <f aca="false">IF(D132=0,0,G132/D132)</f>
        <v>18</v>
      </c>
      <c r="I132" s="6" t="n">
        <v>17</v>
      </c>
      <c r="J132" s="6" t="n">
        <f aca="false">IF(G132=0,0,I132-H132)</f>
        <v>-1</v>
      </c>
      <c r="K132" s="3" t="s">
        <v>17</v>
      </c>
      <c r="L132" s="3" t="s">
        <v>374</v>
      </c>
    </row>
    <row r="133" customFormat="false" ht="15" hidden="false" customHeight="true" outlineLevel="0" collapsed="false">
      <c r="A133" s="3" t="s">
        <v>332</v>
      </c>
      <c r="B133" s="3" t="s">
        <v>375</v>
      </c>
      <c r="C133" s="3" t="s">
        <v>376</v>
      </c>
      <c r="D133" s="4" t="n">
        <v>1870</v>
      </c>
      <c r="E133" s="3" t="s">
        <v>213</v>
      </c>
      <c r="F133" s="3" t="s">
        <v>227</v>
      </c>
      <c r="G133" s="5" t="n">
        <v>29920</v>
      </c>
      <c r="H133" s="6" t="n">
        <f aca="false">IF(D133=0,0,G133/D133)</f>
        <v>16</v>
      </c>
      <c r="I133" s="6" t="n">
        <v>17</v>
      </c>
      <c r="J133" s="6" t="n">
        <f aca="false">IF(G133=0,0,I133-H133)</f>
        <v>1</v>
      </c>
      <c r="K133" s="3" t="s">
        <v>17</v>
      </c>
      <c r="L133" s="3" t="s">
        <v>377</v>
      </c>
    </row>
    <row r="134" customFormat="false" ht="15" hidden="false" customHeight="true" outlineLevel="0" collapsed="false">
      <c r="A134" s="3" t="s">
        <v>378</v>
      </c>
      <c r="B134" s="3" t="s">
        <v>149</v>
      </c>
      <c r="C134" s="3" t="s">
        <v>379</v>
      </c>
      <c r="D134" s="4" t="n">
        <v>3450</v>
      </c>
      <c r="E134" s="3" t="s">
        <v>337</v>
      </c>
      <c r="F134" s="3" t="s">
        <v>269</v>
      </c>
      <c r="G134" s="5" t="n">
        <v>55729</v>
      </c>
      <c r="H134" s="6" t="n">
        <f aca="false">IF(D134=0,0,G134/D134)</f>
        <v>16.1533333333333</v>
      </c>
      <c r="I134" s="6" t="n">
        <v>19</v>
      </c>
      <c r="J134" s="6" t="n">
        <f aca="false">IF(G134=0,0,I134-H134)</f>
        <v>2.84666666666667</v>
      </c>
      <c r="K134" s="3" t="s">
        <v>17</v>
      </c>
      <c r="L134" s="3" t="s">
        <v>380</v>
      </c>
    </row>
    <row r="135" customFormat="false" ht="15" hidden="false" customHeight="true" outlineLevel="0" collapsed="false">
      <c r="A135" s="3" t="s">
        <v>378</v>
      </c>
      <c r="B135" s="3" t="s">
        <v>152</v>
      </c>
      <c r="C135" s="3" t="s">
        <v>381</v>
      </c>
      <c r="D135" s="4" t="n">
        <v>2600</v>
      </c>
      <c r="E135" s="3" t="s">
        <v>337</v>
      </c>
      <c r="F135" s="3" t="s">
        <v>269</v>
      </c>
      <c r="G135" s="5" t="n">
        <v>41999</v>
      </c>
      <c r="H135" s="6" t="n">
        <f aca="false">IF(D135=0,0,G135/D135)</f>
        <v>16.1534615384615</v>
      </c>
      <c r="I135" s="6" t="n">
        <v>19</v>
      </c>
      <c r="J135" s="6" t="n">
        <f aca="false">IF(G135=0,0,I135-H135)</f>
        <v>2.84653846153846</v>
      </c>
      <c r="K135" s="3" t="s">
        <v>17</v>
      </c>
      <c r="L135" s="3" t="s">
        <v>382</v>
      </c>
    </row>
    <row r="136" customFormat="false" ht="15" hidden="false" customHeight="true" outlineLevel="0" collapsed="false">
      <c r="A136" s="3" t="s">
        <v>378</v>
      </c>
      <c r="B136" s="3" t="s">
        <v>155</v>
      </c>
      <c r="C136" s="3" t="s">
        <v>383</v>
      </c>
      <c r="D136" s="4" t="n">
        <v>2600</v>
      </c>
      <c r="E136" s="3" t="s">
        <v>337</v>
      </c>
      <c r="F136" s="3" t="s">
        <v>347</v>
      </c>
      <c r="G136" s="5" t="n">
        <v>40599</v>
      </c>
      <c r="H136" s="6" t="n">
        <f aca="false">IF(D136=0,0,G136/D136)</f>
        <v>15.615</v>
      </c>
      <c r="I136" s="6" t="n">
        <v>19</v>
      </c>
      <c r="J136" s="6" t="n">
        <f aca="false">IF(G136=0,0,I136-H136)</f>
        <v>3.385</v>
      </c>
      <c r="K136" s="3" t="s">
        <v>17</v>
      </c>
      <c r="L136" s="3" t="s">
        <v>384</v>
      </c>
    </row>
    <row r="137" customFormat="false" ht="15" hidden="false" customHeight="true" outlineLevel="0" collapsed="false">
      <c r="A137" s="3" t="s">
        <v>378</v>
      </c>
      <c r="B137" s="3" t="s">
        <v>19</v>
      </c>
      <c r="C137" s="3" t="s">
        <v>385</v>
      </c>
      <c r="D137" s="4" t="n">
        <v>2600</v>
      </c>
      <c r="E137" s="3" t="s">
        <v>166</v>
      </c>
      <c r="F137" s="3" t="s">
        <v>50</v>
      </c>
      <c r="G137" s="5" t="n">
        <v>49400</v>
      </c>
      <c r="H137" s="6" t="n">
        <f aca="false">IF(D137=0,0,G137/D137)</f>
        <v>19</v>
      </c>
      <c r="I137" s="6" t="n">
        <v>19</v>
      </c>
      <c r="J137" s="6" t="n">
        <f aca="false">IF(G137=0,0,I137-H137)</f>
        <v>0</v>
      </c>
      <c r="K137" s="3" t="s">
        <v>17</v>
      </c>
      <c r="L137" s="3" t="s">
        <v>386</v>
      </c>
    </row>
    <row r="138" customFormat="false" ht="15" hidden="false" customHeight="true" outlineLevel="0" collapsed="false">
      <c r="A138" s="3" t="s">
        <v>378</v>
      </c>
      <c r="B138" s="3" t="s">
        <v>158</v>
      </c>
      <c r="C138" s="3" t="s">
        <v>387</v>
      </c>
      <c r="D138" s="4" t="n">
        <v>2600</v>
      </c>
      <c r="E138" s="3" t="s">
        <v>337</v>
      </c>
      <c r="F138" s="3" t="s">
        <v>347</v>
      </c>
      <c r="G138" s="5" t="n">
        <v>39199</v>
      </c>
      <c r="H138" s="6" t="n">
        <f aca="false">IF(D138=0,0,G138/D138)</f>
        <v>15.0765384615385</v>
      </c>
      <c r="I138" s="6" t="n">
        <v>19</v>
      </c>
      <c r="J138" s="6" t="n">
        <f aca="false">IF(G138=0,0,I138-H138)</f>
        <v>3.92346153846154</v>
      </c>
      <c r="K138" s="3" t="s">
        <v>17</v>
      </c>
      <c r="L138" s="3" t="s">
        <v>388</v>
      </c>
    </row>
    <row r="139" customFormat="false" ht="15" hidden="false" customHeight="true" outlineLevel="0" collapsed="false">
      <c r="A139" s="3" t="s">
        <v>378</v>
      </c>
      <c r="B139" s="3" t="s">
        <v>161</v>
      </c>
      <c r="C139" s="3" t="s">
        <v>387</v>
      </c>
      <c r="D139" s="4" t="n">
        <v>2600</v>
      </c>
      <c r="E139" s="3" t="s">
        <v>337</v>
      </c>
      <c r="F139" s="3" t="s">
        <v>347</v>
      </c>
      <c r="G139" s="5" t="n">
        <v>39199</v>
      </c>
      <c r="H139" s="6" t="n">
        <f aca="false">IF(D139=0,0,G139/D139)</f>
        <v>15.0765384615385</v>
      </c>
      <c r="I139" s="6" t="n">
        <v>19</v>
      </c>
      <c r="J139" s="6" t="n">
        <f aca="false">IF(G139=0,0,I139-H139)</f>
        <v>3.92346153846154</v>
      </c>
      <c r="K139" s="3" t="s">
        <v>17</v>
      </c>
      <c r="L139" s="3" t="s">
        <v>388</v>
      </c>
    </row>
    <row r="140" customFormat="false" ht="15" hidden="false" customHeight="true" outlineLevel="0" collapsed="false">
      <c r="A140" s="3" t="s">
        <v>378</v>
      </c>
      <c r="B140" s="3" t="s">
        <v>162</v>
      </c>
      <c r="C140" s="3" t="s">
        <v>30</v>
      </c>
      <c r="D140" s="4" t="n">
        <v>2600</v>
      </c>
      <c r="E140" s="3" t="s">
        <v>286</v>
      </c>
      <c r="F140" s="3" t="s">
        <v>239</v>
      </c>
      <c r="G140" s="5" t="n">
        <v>0</v>
      </c>
      <c r="H140" s="6" t="n">
        <f aca="false">IF(D140=0,0,G140/D140)</f>
        <v>0</v>
      </c>
      <c r="I140" s="6" t="n">
        <v>19</v>
      </c>
      <c r="J140" s="6" t="n">
        <f aca="false">IF(G140=0,0,I140-H140)</f>
        <v>0</v>
      </c>
      <c r="K140" s="3" t="s">
        <v>31</v>
      </c>
      <c r="L140" s="3" t="s">
        <v>389</v>
      </c>
    </row>
    <row r="141" customFormat="false" ht="15" hidden="false" customHeight="true" outlineLevel="0" collapsed="false">
      <c r="A141" s="3" t="s">
        <v>378</v>
      </c>
      <c r="B141" s="3" t="s">
        <v>24</v>
      </c>
      <c r="C141" s="3" t="s">
        <v>390</v>
      </c>
      <c r="D141" s="4" t="n">
        <v>2600</v>
      </c>
      <c r="E141" s="3" t="s">
        <v>337</v>
      </c>
      <c r="F141" s="3" t="s">
        <v>347</v>
      </c>
      <c r="G141" s="5" t="n">
        <v>39199</v>
      </c>
      <c r="H141" s="6" t="n">
        <f aca="false">IF(D141=0,0,G141/D141)</f>
        <v>15.0765384615385</v>
      </c>
      <c r="I141" s="6" t="n">
        <v>19</v>
      </c>
      <c r="J141" s="6" t="n">
        <f aca="false">IF(G141=0,0,I141-H141)</f>
        <v>3.92346153846154</v>
      </c>
      <c r="K141" s="3" t="s">
        <v>17</v>
      </c>
      <c r="L141" s="3" t="s">
        <v>391</v>
      </c>
    </row>
    <row r="142" customFormat="false" ht="15" hidden="false" customHeight="true" outlineLevel="0" collapsed="false">
      <c r="A142" s="3" t="s">
        <v>378</v>
      </c>
      <c r="B142" s="3" t="s">
        <v>168</v>
      </c>
      <c r="C142" s="3" t="s">
        <v>392</v>
      </c>
      <c r="D142" s="4" t="n">
        <v>2600</v>
      </c>
      <c r="E142" s="3" t="s">
        <v>35</v>
      </c>
      <c r="F142" s="3" t="s">
        <v>63</v>
      </c>
      <c r="G142" s="5" t="n">
        <v>47970</v>
      </c>
      <c r="H142" s="6" t="n">
        <f aca="false">IF(D142=0,0,G142/D142)</f>
        <v>18.45</v>
      </c>
      <c r="I142" s="6" t="n">
        <v>19</v>
      </c>
      <c r="J142" s="6" t="n">
        <f aca="false">IF(G142=0,0,I142-H142)</f>
        <v>0.550000000000001</v>
      </c>
      <c r="K142" s="3" t="s">
        <v>17</v>
      </c>
      <c r="L142" s="3" t="s">
        <v>393</v>
      </c>
    </row>
    <row r="143" customFormat="false" ht="15" hidden="false" customHeight="true" outlineLevel="0" collapsed="false">
      <c r="A143" s="3" t="s">
        <v>378</v>
      </c>
      <c r="B143" s="3" t="s">
        <v>171</v>
      </c>
      <c r="C143" s="3" t="s">
        <v>394</v>
      </c>
      <c r="D143" s="4" t="n">
        <v>2600</v>
      </c>
      <c r="E143" s="3" t="s">
        <v>280</v>
      </c>
      <c r="F143" s="3" t="s">
        <v>281</v>
      </c>
      <c r="G143" s="5" t="n">
        <v>43706</v>
      </c>
      <c r="H143" s="6" t="n">
        <f aca="false">IF(D143=0,0,G143/D143)</f>
        <v>16.81</v>
      </c>
      <c r="I143" s="6" t="n">
        <v>19</v>
      </c>
      <c r="J143" s="6" t="n">
        <f aca="false">IF(G143=0,0,I143-H143)</f>
        <v>2.19</v>
      </c>
      <c r="K143" s="3" t="s">
        <v>17</v>
      </c>
      <c r="L143" s="3" t="s">
        <v>395</v>
      </c>
    </row>
    <row r="144" customFormat="false" ht="15" hidden="false" customHeight="true" outlineLevel="0" collapsed="false">
      <c r="A144" s="3" t="s">
        <v>378</v>
      </c>
      <c r="B144" s="3" t="s">
        <v>174</v>
      </c>
      <c r="C144" s="3" t="s">
        <v>396</v>
      </c>
      <c r="D144" s="4" t="n">
        <v>2600</v>
      </c>
      <c r="E144" s="3" t="s">
        <v>337</v>
      </c>
      <c r="F144" s="3" t="s">
        <v>347</v>
      </c>
      <c r="G144" s="5" t="n">
        <v>40599</v>
      </c>
      <c r="H144" s="6" t="n">
        <f aca="false">IF(D144=0,0,G144/D144)</f>
        <v>15.615</v>
      </c>
      <c r="I144" s="6" t="n">
        <v>19</v>
      </c>
      <c r="J144" s="6" t="n">
        <f aca="false">IF(G144=0,0,I144-H144)</f>
        <v>3.385</v>
      </c>
      <c r="K144" s="3" t="s">
        <v>17</v>
      </c>
      <c r="L144" s="3" t="s">
        <v>397</v>
      </c>
    </row>
    <row r="145" customFormat="false" ht="15" hidden="false" customHeight="true" outlineLevel="0" collapsed="false">
      <c r="A145" s="3" t="s">
        <v>378</v>
      </c>
      <c r="B145" s="3" t="s">
        <v>29</v>
      </c>
      <c r="C145" s="3" t="s">
        <v>398</v>
      </c>
      <c r="D145" s="4" t="n">
        <v>2600</v>
      </c>
      <c r="E145" s="3" t="s">
        <v>316</v>
      </c>
      <c r="F145" s="3" t="s">
        <v>317</v>
      </c>
      <c r="G145" s="5" t="n">
        <v>45072</v>
      </c>
      <c r="H145" s="6" t="n">
        <f aca="false">IF(D145=0,0,G145/D145)</f>
        <v>17.3353846153846</v>
      </c>
      <c r="I145" s="6" t="n">
        <v>19</v>
      </c>
      <c r="J145" s="6" t="n">
        <f aca="false">IF(G145=0,0,I145-H145)</f>
        <v>1.66461538461538</v>
      </c>
      <c r="K145" s="3" t="s">
        <v>17</v>
      </c>
      <c r="L145" s="3" t="s">
        <v>399</v>
      </c>
    </row>
    <row r="146" customFormat="false" ht="15" hidden="false" customHeight="true" outlineLevel="0" collapsed="false">
      <c r="A146" s="3" t="s">
        <v>378</v>
      </c>
      <c r="B146" s="3" t="s">
        <v>400</v>
      </c>
      <c r="C146" s="3" t="s">
        <v>401</v>
      </c>
      <c r="D146" s="4" t="n">
        <v>3450</v>
      </c>
      <c r="E146" s="3" t="s">
        <v>62</v>
      </c>
      <c r="F146" s="3" t="s">
        <v>402</v>
      </c>
      <c r="G146" s="5" t="n">
        <v>65550</v>
      </c>
      <c r="H146" s="6" t="n">
        <f aca="false">IF(D146=0,0,G146/D146)</f>
        <v>19</v>
      </c>
      <c r="I146" s="6" t="n">
        <v>19</v>
      </c>
      <c r="J146" s="6" t="n">
        <f aca="false">IF(G146=0,0,I146-H146)</f>
        <v>0</v>
      </c>
      <c r="K146" s="3" t="s">
        <v>17</v>
      </c>
      <c r="L146" s="3" t="s">
        <v>403</v>
      </c>
    </row>
    <row r="147" customFormat="false" ht="15" hidden="false" customHeight="true" outlineLevel="0" collapsed="false">
      <c r="A147" s="3" t="s">
        <v>378</v>
      </c>
      <c r="B147" s="3" t="s">
        <v>177</v>
      </c>
      <c r="C147" s="3" t="s">
        <v>404</v>
      </c>
      <c r="D147" s="4" t="n">
        <v>3450</v>
      </c>
      <c r="E147" s="3" t="s">
        <v>337</v>
      </c>
      <c r="F147" s="3" t="s">
        <v>347</v>
      </c>
      <c r="G147" s="5" t="n">
        <v>52014</v>
      </c>
      <c r="H147" s="6" t="n">
        <f aca="false">IF(D147=0,0,G147/D147)</f>
        <v>15.0765217391304</v>
      </c>
      <c r="I147" s="6" t="n">
        <v>19</v>
      </c>
      <c r="J147" s="6" t="n">
        <f aca="false">IF(G147=0,0,I147-H147)</f>
        <v>3.92347826086957</v>
      </c>
      <c r="K147" s="3" t="s">
        <v>17</v>
      </c>
      <c r="L147" s="3" t="s">
        <v>405</v>
      </c>
    </row>
    <row r="148" customFormat="false" ht="15" hidden="false" customHeight="true" outlineLevel="0" collapsed="false">
      <c r="A148" s="3" t="s">
        <v>378</v>
      </c>
      <c r="B148" s="3" t="s">
        <v>180</v>
      </c>
      <c r="C148" s="3" t="s">
        <v>406</v>
      </c>
      <c r="D148" s="4" t="n">
        <v>2600</v>
      </c>
      <c r="E148" s="3" t="s">
        <v>129</v>
      </c>
      <c r="F148" s="3" t="s">
        <v>36</v>
      </c>
      <c r="G148" s="5" t="n">
        <v>47970</v>
      </c>
      <c r="H148" s="6" t="n">
        <f aca="false">IF(D148=0,0,G148/D148)</f>
        <v>18.45</v>
      </c>
      <c r="I148" s="6" t="n">
        <v>19</v>
      </c>
      <c r="J148" s="6" t="n">
        <f aca="false">IF(G148=0,0,I148-H148)</f>
        <v>0.550000000000001</v>
      </c>
      <c r="K148" s="3" t="s">
        <v>17</v>
      </c>
      <c r="L148" s="3" t="s">
        <v>407</v>
      </c>
    </row>
    <row r="149" customFormat="false" ht="15" hidden="false" customHeight="true" outlineLevel="0" collapsed="false">
      <c r="A149" s="3" t="s">
        <v>378</v>
      </c>
      <c r="B149" s="3" t="s">
        <v>182</v>
      </c>
      <c r="C149" s="3" t="s">
        <v>408</v>
      </c>
      <c r="D149" s="4" t="n">
        <v>2600</v>
      </c>
      <c r="E149" s="3" t="s">
        <v>235</v>
      </c>
      <c r="F149" s="3" t="s">
        <v>36</v>
      </c>
      <c r="G149" s="5" t="n">
        <v>47970</v>
      </c>
      <c r="H149" s="6" t="n">
        <f aca="false">IF(D149=0,0,G149/D149)</f>
        <v>18.45</v>
      </c>
      <c r="I149" s="6" t="n">
        <v>19</v>
      </c>
      <c r="J149" s="6" t="n">
        <f aca="false">IF(G149=0,0,I149-H149)</f>
        <v>0.550000000000001</v>
      </c>
      <c r="K149" s="3" t="s">
        <v>17</v>
      </c>
      <c r="L149" s="3" t="s">
        <v>409</v>
      </c>
    </row>
    <row r="150" customFormat="false" ht="15" hidden="false" customHeight="true" outlineLevel="0" collapsed="false">
      <c r="A150" s="3" t="s">
        <v>378</v>
      </c>
      <c r="B150" s="3" t="s">
        <v>60</v>
      </c>
      <c r="C150" s="3" t="s">
        <v>410</v>
      </c>
      <c r="D150" s="4" t="n">
        <v>2600</v>
      </c>
      <c r="E150" s="3" t="s">
        <v>268</v>
      </c>
      <c r="F150" s="3" t="s">
        <v>269</v>
      </c>
      <c r="G150" s="5" t="n">
        <v>41999</v>
      </c>
      <c r="H150" s="6" t="n">
        <f aca="false">IF(D150=0,0,G150/D150)</f>
        <v>16.1534615384615</v>
      </c>
      <c r="I150" s="6" t="n">
        <v>19</v>
      </c>
      <c r="J150" s="6" t="n">
        <f aca="false">IF(G150=0,0,I150-H150)</f>
        <v>2.84653846153846</v>
      </c>
      <c r="K150" s="3" t="s">
        <v>17</v>
      </c>
      <c r="L150" s="3" t="s">
        <v>411</v>
      </c>
    </row>
    <row r="151" customFormat="false" ht="15" hidden="false" customHeight="true" outlineLevel="0" collapsed="false">
      <c r="A151" s="3" t="s">
        <v>378</v>
      </c>
      <c r="B151" s="3" t="s">
        <v>184</v>
      </c>
      <c r="C151" s="3" t="s">
        <v>412</v>
      </c>
      <c r="D151" s="4" t="n">
        <v>2600</v>
      </c>
      <c r="E151" s="3" t="s">
        <v>245</v>
      </c>
      <c r="F151" s="3" t="s">
        <v>246</v>
      </c>
      <c r="G151" s="5" t="n">
        <v>41999</v>
      </c>
      <c r="H151" s="6" t="n">
        <f aca="false">IF(D151=0,0,G151/D151)</f>
        <v>16.1534615384615</v>
      </c>
      <c r="I151" s="6" t="n">
        <v>19</v>
      </c>
      <c r="J151" s="6" t="n">
        <f aca="false">IF(G151=0,0,I151-H151)</f>
        <v>2.84653846153846</v>
      </c>
      <c r="K151" s="3" t="s">
        <v>17</v>
      </c>
      <c r="L151" s="3" t="s">
        <v>413</v>
      </c>
    </row>
    <row r="152" customFormat="false" ht="15" hidden="false" customHeight="true" outlineLevel="0" collapsed="false">
      <c r="A152" s="3" t="s">
        <v>378</v>
      </c>
      <c r="B152" s="3" t="s">
        <v>187</v>
      </c>
      <c r="C152" s="3" t="s">
        <v>414</v>
      </c>
      <c r="D152" s="4" t="n">
        <v>2600</v>
      </c>
      <c r="E152" s="3" t="s">
        <v>21</v>
      </c>
      <c r="F152" s="3" t="s">
        <v>22</v>
      </c>
      <c r="G152" s="5" t="n">
        <v>47970</v>
      </c>
      <c r="H152" s="6" t="n">
        <f aca="false">IF(D152=0,0,G152/D152)</f>
        <v>18.45</v>
      </c>
      <c r="I152" s="6" t="n">
        <v>19</v>
      </c>
      <c r="J152" s="6" t="n">
        <f aca="false">IF(G152=0,0,I152-H152)</f>
        <v>0.550000000000001</v>
      </c>
      <c r="K152" s="3" t="s">
        <v>17</v>
      </c>
      <c r="L152" s="3" t="s">
        <v>415</v>
      </c>
    </row>
    <row r="153" customFormat="false" ht="15" hidden="false" customHeight="true" outlineLevel="0" collapsed="false">
      <c r="A153" s="3" t="s">
        <v>378</v>
      </c>
      <c r="B153" s="3" t="s">
        <v>190</v>
      </c>
      <c r="C153" s="3" t="s">
        <v>416</v>
      </c>
      <c r="D153" s="4" t="n">
        <v>2600</v>
      </c>
      <c r="E153" s="3" t="s">
        <v>337</v>
      </c>
      <c r="F153" s="3" t="s">
        <v>347</v>
      </c>
      <c r="G153" s="5" t="n">
        <v>40599</v>
      </c>
      <c r="H153" s="6" t="n">
        <f aca="false">IF(D153=0,0,G153/D153)</f>
        <v>15.615</v>
      </c>
      <c r="I153" s="6" t="n">
        <v>19</v>
      </c>
      <c r="J153" s="6" t="n">
        <f aca="false">IF(G153=0,0,I153-H153)</f>
        <v>3.385</v>
      </c>
      <c r="K153" s="3" t="s">
        <v>17</v>
      </c>
      <c r="L153" s="3" t="s">
        <v>417</v>
      </c>
    </row>
    <row r="154" customFormat="false" ht="15" hidden="false" customHeight="true" outlineLevel="0" collapsed="false">
      <c r="A154" s="3" t="s">
        <v>378</v>
      </c>
      <c r="B154" s="3" t="s">
        <v>65</v>
      </c>
      <c r="C154" s="3" t="s">
        <v>418</v>
      </c>
      <c r="D154" s="4" t="n">
        <v>2600</v>
      </c>
      <c r="E154" s="3" t="s">
        <v>108</v>
      </c>
      <c r="F154" s="3" t="s">
        <v>277</v>
      </c>
      <c r="G154" s="5" t="n">
        <v>49400</v>
      </c>
      <c r="H154" s="6" t="n">
        <f aca="false">IF(D154=0,0,G154/D154)</f>
        <v>19</v>
      </c>
      <c r="I154" s="6" t="n">
        <v>19</v>
      </c>
      <c r="J154" s="6" t="n">
        <f aca="false">IF(G154=0,0,I154-H154)</f>
        <v>0</v>
      </c>
      <c r="K154" s="3" t="s">
        <v>17</v>
      </c>
      <c r="L154" s="3" t="s">
        <v>419</v>
      </c>
    </row>
    <row r="155" customFormat="false" ht="15" hidden="false" customHeight="true" outlineLevel="0" collapsed="false">
      <c r="A155" s="3" t="s">
        <v>378</v>
      </c>
      <c r="B155" s="3" t="s">
        <v>196</v>
      </c>
      <c r="C155" s="3" t="s">
        <v>420</v>
      </c>
      <c r="D155" s="4" t="n">
        <v>2600</v>
      </c>
      <c r="E155" s="3" t="s">
        <v>337</v>
      </c>
      <c r="F155" s="3" t="s">
        <v>347</v>
      </c>
      <c r="G155" s="5" t="n">
        <v>39199</v>
      </c>
      <c r="H155" s="6" t="n">
        <f aca="false">IF(D155=0,0,G155/D155)</f>
        <v>15.0765384615385</v>
      </c>
      <c r="I155" s="6" t="n">
        <v>19</v>
      </c>
      <c r="J155" s="6" t="n">
        <f aca="false">IF(G155=0,0,I155-H155)</f>
        <v>3.92346153846154</v>
      </c>
      <c r="K155" s="3" t="s">
        <v>17</v>
      </c>
      <c r="L155" s="3" t="s">
        <v>421</v>
      </c>
    </row>
    <row r="156" customFormat="false" ht="15" hidden="false" customHeight="true" outlineLevel="0" collapsed="false">
      <c r="A156" s="3" t="s">
        <v>378</v>
      </c>
      <c r="B156" s="3" t="s">
        <v>199</v>
      </c>
      <c r="C156" s="3" t="s">
        <v>422</v>
      </c>
      <c r="D156" s="4" t="n">
        <v>3450</v>
      </c>
      <c r="E156" s="3" t="s">
        <v>273</v>
      </c>
      <c r="F156" s="3" t="s">
        <v>274</v>
      </c>
      <c r="G156" s="5" t="n">
        <v>59807</v>
      </c>
      <c r="H156" s="6" t="n">
        <f aca="false">IF(D156=0,0,G156/D156)</f>
        <v>17.3353623188406</v>
      </c>
      <c r="I156" s="6" t="n">
        <v>19</v>
      </c>
      <c r="J156" s="6" t="n">
        <f aca="false">IF(G156=0,0,I156-H156)</f>
        <v>1.66463768115942</v>
      </c>
      <c r="K156" s="3" t="s">
        <v>17</v>
      </c>
      <c r="L156" s="3" t="s">
        <v>423</v>
      </c>
    </row>
    <row r="157" customFormat="false" ht="15" hidden="false" customHeight="true" outlineLevel="0" collapsed="false">
      <c r="A157" s="3" t="s">
        <v>378</v>
      </c>
      <c r="B157" s="3" t="s">
        <v>206</v>
      </c>
      <c r="C157" s="3" t="s">
        <v>424</v>
      </c>
      <c r="D157" s="4" t="n">
        <v>2600</v>
      </c>
      <c r="E157" s="3" t="s">
        <v>337</v>
      </c>
      <c r="F157" s="3" t="s">
        <v>347</v>
      </c>
      <c r="G157" s="5" t="n">
        <v>40599</v>
      </c>
      <c r="H157" s="6" t="n">
        <f aca="false">IF(D157=0,0,G157/D157)</f>
        <v>15.615</v>
      </c>
      <c r="I157" s="6" t="n">
        <v>19</v>
      </c>
      <c r="J157" s="6" t="n">
        <f aca="false">IF(G157=0,0,I157-H157)</f>
        <v>3.385</v>
      </c>
      <c r="K157" s="3" t="s">
        <v>17</v>
      </c>
      <c r="L157" s="3" t="s">
        <v>425</v>
      </c>
    </row>
    <row r="158" customFormat="false" ht="15" hidden="false" customHeight="false" outlineLevel="0" collapsed="false">
      <c r="A158" s="3" t="s">
        <v>378</v>
      </c>
      <c r="B158" s="3" t="s">
        <v>209</v>
      </c>
      <c r="C158" s="3" t="s">
        <v>408</v>
      </c>
      <c r="D158" s="4" t="n">
        <v>2600</v>
      </c>
      <c r="E158" s="3" t="s">
        <v>286</v>
      </c>
      <c r="F158" s="3" t="s">
        <v>239</v>
      </c>
      <c r="G158" s="5" t="n">
        <v>45072</v>
      </c>
      <c r="H158" s="6" t="n">
        <f aca="false">IF(D158=0,0,G158/D158)</f>
        <v>17.3353846153846</v>
      </c>
      <c r="I158" s="6" t="n">
        <v>19</v>
      </c>
      <c r="J158" s="6" t="n">
        <f aca="false">IF(G158=0,0,I158-H158)</f>
        <v>1.66461538461538</v>
      </c>
      <c r="K158" s="3" t="s">
        <v>17</v>
      </c>
      <c r="L158" s="3" t="s">
        <v>426</v>
      </c>
    </row>
    <row r="159" customFormat="false" ht="15" hidden="false" customHeight="false" outlineLevel="0" collapsed="false">
      <c r="A159" s="3" t="s">
        <v>378</v>
      </c>
      <c r="B159" s="3" t="s">
        <v>211</v>
      </c>
      <c r="C159" s="3" t="s">
        <v>427</v>
      </c>
      <c r="D159" s="4" t="n">
        <v>2600</v>
      </c>
      <c r="E159" s="3" t="s">
        <v>268</v>
      </c>
      <c r="F159" s="3" t="s">
        <v>269</v>
      </c>
      <c r="G159" s="5" t="n">
        <v>41999</v>
      </c>
      <c r="H159" s="6" t="n">
        <f aca="false">IF(D159=0,0,G159/D159)</f>
        <v>16.1534615384615</v>
      </c>
      <c r="I159" s="6" t="n">
        <v>19</v>
      </c>
      <c r="J159" s="6" t="n">
        <f aca="false">IF(G159=0,0,I159-H159)</f>
        <v>2.84653846153846</v>
      </c>
      <c r="K159" s="3" t="s">
        <v>17</v>
      </c>
      <c r="L159" s="3" t="s">
        <v>428</v>
      </c>
    </row>
    <row r="160" customFormat="false" ht="15" hidden="false" customHeight="false" outlineLevel="0" collapsed="false">
      <c r="A160" s="3" t="s">
        <v>378</v>
      </c>
      <c r="B160" s="3" t="s">
        <v>94</v>
      </c>
      <c r="C160" s="3" t="s">
        <v>429</v>
      </c>
      <c r="D160" s="4" t="n">
        <v>2600</v>
      </c>
      <c r="E160" s="3" t="s">
        <v>337</v>
      </c>
      <c r="F160" s="3" t="s">
        <v>347</v>
      </c>
      <c r="G160" s="5" t="n">
        <v>39199</v>
      </c>
      <c r="H160" s="6" t="n">
        <f aca="false">IF(D160=0,0,G160/D160)</f>
        <v>15.0765384615385</v>
      </c>
      <c r="I160" s="6" t="n">
        <v>19</v>
      </c>
      <c r="J160" s="6" t="n">
        <f aca="false">IF(G160=0,0,I160-H160)</f>
        <v>3.92346153846154</v>
      </c>
      <c r="K160" s="3" t="s">
        <v>17</v>
      </c>
      <c r="L160" s="3" t="s">
        <v>430</v>
      </c>
    </row>
    <row r="161" customFormat="false" ht="15" hidden="false" customHeight="false" outlineLevel="0" collapsed="false">
      <c r="A161" s="3" t="s">
        <v>378</v>
      </c>
      <c r="B161" s="3" t="s">
        <v>218</v>
      </c>
      <c r="C161" s="3" t="s">
        <v>431</v>
      </c>
      <c r="D161" s="4" t="n">
        <v>2600</v>
      </c>
      <c r="E161" s="3" t="s">
        <v>15</v>
      </c>
      <c r="F161" s="3" t="s">
        <v>304</v>
      </c>
      <c r="G161" s="5" t="n">
        <v>43706</v>
      </c>
      <c r="H161" s="6" t="n">
        <f aca="false">IF(D161=0,0,G161/D161)</f>
        <v>16.81</v>
      </c>
      <c r="I161" s="6" t="n">
        <v>19</v>
      </c>
      <c r="J161" s="6" t="n">
        <f aca="false">IF(G161=0,0,I161-H161)</f>
        <v>2.19</v>
      </c>
      <c r="K161" s="3" t="s">
        <v>17</v>
      </c>
      <c r="L161" s="3" t="s">
        <v>432</v>
      </c>
    </row>
    <row r="162" customFormat="false" ht="15" hidden="false" customHeight="false" outlineLevel="0" collapsed="false">
      <c r="A162" s="3" t="s">
        <v>378</v>
      </c>
      <c r="B162" s="3" t="s">
        <v>221</v>
      </c>
      <c r="C162" s="3" t="s">
        <v>433</v>
      </c>
      <c r="D162" s="4" t="n">
        <v>2600</v>
      </c>
      <c r="E162" s="3" t="s">
        <v>337</v>
      </c>
      <c r="F162" s="3" t="s">
        <v>292</v>
      </c>
      <c r="G162" s="5" t="n">
        <v>39199</v>
      </c>
      <c r="H162" s="6" t="n">
        <f aca="false">IF(D162=0,0,G162/D162)</f>
        <v>15.0765384615385</v>
      </c>
      <c r="I162" s="6" t="n">
        <v>19</v>
      </c>
      <c r="J162" s="6" t="n">
        <f aca="false">IF(G162=0,0,I162-H162)</f>
        <v>3.92346153846154</v>
      </c>
      <c r="K162" s="3" t="s">
        <v>17</v>
      </c>
      <c r="L162" s="3" t="s">
        <v>434</v>
      </c>
    </row>
    <row r="163" customFormat="false" ht="15" hidden="false" customHeight="false" outlineLevel="0" collapsed="false">
      <c r="A163" s="3" t="s">
        <v>378</v>
      </c>
      <c r="B163" s="3" t="s">
        <v>325</v>
      </c>
      <c r="C163" s="3" t="s">
        <v>412</v>
      </c>
      <c r="D163" s="4" t="n">
        <v>3450</v>
      </c>
      <c r="E163" s="3" t="s">
        <v>337</v>
      </c>
      <c r="F163" s="3" t="s">
        <v>347</v>
      </c>
      <c r="G163" s="5" t="n">
        <v>52014</v>
      </c>
      <c r="H163" s="6" t="n">
        <f aca="false">IF(D163=0,0,G163/D163)</f>
        <v>15.0765217391304</v>
      </c>
      <c r="I163" s="6" t="n">
        <v>19</v>
      </c>
      <c r="J163" s="6" t="n">
        <f aca="false">IF(G163=0,0,I163-H163)</f>
        <v>3.92347826086957</v>
      </c>
      <c r="K163" s="3" t="s">
        <v>17</v>
      </c>
      <c r="L163" s="3" t="s">
        <v>411</v>
      </c>
    </row>
    <row r="164" customFormat="false" ht="15" hidden="false" customHeight="false" outlineLevel="0" collapsed="false">
      <c r="A164" s="3" t="s">
        <v>435</v>
      </c>
      <c r="B164" s="3"/>
      <c r="C164" s="3"/>
      <c r="D164" s="4" t="n">
        <f aca="false">SUM(D2:D163)</f>
        <v>430550</v>
      </c>
      <c r="E164" s="3"/>
      <c r="F164" s="3"/>
      <c r="G164" s="5" t="n">
        <f aca="false">SUM(G2:G163)</f>
        <v>6290509</v>
      </c>
      <c r="H164" s="6" t="n">
        <f aca="false">IF(D164=0,0,G164/D164)</f>
        <v>14.6104029729416</v>
      </c>
      <c r="I164" s="6" t="n">
        <f aca="false">SUMPRODUCT(D2:D163,I2:I163)/D164</f>
        <v>17.8261642085704</v>
      </c>
      <c r="J164" s="6" t="n">
        <f aca="false">I164-H164</f>
        <v>3.21576123562885</v>
      </c>
      <c r="K164" s="3"/>
      <c r="L164" s="3"/>
    </row>
  </sheetData>
  <autoFilter ref="A1:L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20"/>
    <col collapsed="false" customWidth="true" hidden="false" outlineLevel="0" max="9" min="8" style="1" width="16"/>
    <col collapsed="false" customWidth="true" hidden="false" outlineLevel="0" max="10" min="10" style="1" width="10"/>
  </cols>
  <sheetData>
    <row r="1" customFormat="false" ht="15" hidden="false" customHeight="true" outlineLevel="0" collapsed="false">
      <c r="A1" s="7" t="s">
        <v>0</v>
      </c>
      <c r="B1" s="7" t="s">
        <v>436</v>
      </c>
      <c r="C1" s="7" t="s">
        <v>437</v>
      </c>
      <c r="D1" s="7" t="s">
        <v>438</v>
      </c>
      <c r="E1" s="7" t="s">
        <v>439</v>
      </c>
      <c r="F1" s="7" t="s">
        <v>440</v>
      </c>
      <c r="G1" s="7" t="s">
        <v>441</v>
      </c>
      <c r="H1" s="7" t="s">
        <v>442</v>
      </c>
      <c r="I1" s="7" t="s">
        <v>443</v>
      </c>
      <c r="J1" s="7" t="s">
        <v>444</v>
      </c>
    </row>
    <row r="2" customFormat="false" ht="15" hidden="false" customHeight="true" outlineLevel="0" collapsed="false">
      <c r="A2" s="3" t="s">
        <v>12</v>
      </c>
      <c r="B2" s="4" t="n">
        <f aca="false">SUMIF('Rent Roll'!A:A,A2,'Rent Roll'!D:D)</f>
        <v>101855</v>
      </c>
      <c r="C2" s="4" t="n">
        <f aca="false">SUMIFS('Rent Roll'!D:D,'Rent Roll'!A:A,A2,'Rent Roll'!K:K,"Occupied")</f>
        <v>92935</v>
      </c>
      <c r="D2" s="4" t="n">
        <f aca="false">SUMIFS('Rent Roll'!D:D,'Rent Roll'!A:A,A2,'Rent Roll'!K:K,"Vacant")</f>
        <v>8920</v>
      </c>
      <c r="E2" s="8" t="n">
        <f aca="false">IF(B2=0,0,C2/B2)</f>
        <v>0.912424525060135</v>
      </c>
      <c r="F2" s="9" t="n">
        <f aca="false">COUNTIF('Rent Roll'!A:A,A2)</f>
        <v>36</v>
      </c>
      <c r="G2" s="5" t="n">
        <f aca="false">SUMIF('Rent Roll'!A:A,A2,'Rent Roll'!G:G)</f>
        <v>1494981</v>
      </c>
      <c r="H2" s="6" t="n">
        <f aca="false">IF(C2=0,0,G2/C2)</f>
        <v>16.0863076343681</v>
      </c>
      <c r="I2" s="6" t="n">
        <f aca="false">IF(B2=0,0,SUMPRODUCT(('Rent Roll'!A2:A163=A2)*'Rent Roll'!D2:D163*'Rent Roll'!I2:I163)/B2)</f>
        <v>17.2283147611801</v>
      </c>
      <c r="J2" s="8" t="n">
        <f aca="false">IF(H2=0,0,I2/H2-1)</f>
        <v>0.070992495777721</v>
      </c>
    </row>
    <row r="3" customFormat="false" ht="15" hidden="false" customHeight="true" outlineLevel="0" collapsed="false">
      <c r="A3" s="3" t="s">
        <v>148</v>
      </c>
      <c r="B3" s="4" t="n">
        <f aca="false">SUMIF('Rent Roll'!A:A,A3,'Rent Roll'!D:D)</f>
        <v>74600</v>
      </c>
      <c r="C3" s="4" t="n">
        <f aca="false">SUMIFS('Rent Roll'!D:D,'Rent Roll'!A:A,A3,'Rent Roll'!K:K,"Occupied")</f>
        <v>74600</v>
      </c>
      <c r="D3" s="4" t="n">
        <f aca="false">SUMIFS('Rent Roll'!D:D,'Rent Roll'!A:A,A3,'Rent Roll'!K:K,"Vacant")</f>
        <v>0</v>
      </c>
      <c r="E3" s="8" t="n">
        <f aca="false">IF(B3=0,0,C3/B3)</f>
        <v>1</v>
      </c>
      <c r="F3" s="9" t="n">
        <f aca="false">COUNTIF('Rent Roll'!A:A,A3)</f>
        <v>28</v>
      </c>
      <c r="G3" s="5" t="n">
        <f aca="false">SUMIF('Rent Roll'!A:A,A3,'Rent Roll'!G:G)</f>
        <v>1341677</v>
      </c>
      <c r="H3" s="6" t="n">
        <f aca="false">IF(C3=0,0,G3/C3)</f>
        <v>17.9849463806971</v>
      </c>
      <c r="I3" s="6" t="n">
        <f aca="false">IF(B3=0,0,SUMPRODUCT(('Rent Roll'!A2:A163=A3)*'Rent Roll'!D2:D163*'Rent Roll'!I2:I163)/B3)</f>
        <v>19</v>
      </c>
      <c r="J3" s="8" t="n">
        <f aca="false">IF(H3=0,0,I3/H3-1)</f>
        <v>0.0564390684195972</v>
      </c>
    </row>
    <row r="4" customFormat="false" ht="15" hidden="false" customHeight="true" outlineLevel="0" collapsed="false">
      <c r="A4" s="3" t="s">
        <v>224</v>
      </c>
      <c r="B4" s="4" t="n">
        <f aca="false">SUMIF('Rent Roll'!A:A,A4,'Rent Roll'!D:D)</f>
        <v>50750</v>
      </c>
      <c r="C4" s="4" t="n">
        <f aca="false">SUMIFS('Rent Roll'!D:D,'Rent Roll'!A:A,A4,'Rent Roll'!K:K,"Occupied")</f>
        <v>35470</v>
      </c>
      <c r="D4" s="4" t="n">
        <f aca="false">SUMIFS('Rent Roll'!D:D,'Rent Roll'!A:A,A4,'Rent Roll'!K:K,"Vacant")</f>
        <v>15280</v>
      </c>
      <c r="E4" s="8" t="n">
        <f aca="false">IF(B4=0,0,C4/B4)</f>
        <v>0.698916256157635</v>
      </c>
      <c r="F4" s="9" t="n">
        <f aca="false">COUNTIF('Rent Roll'!A:A,A4)</f>
        <v>22</v>
      </c>
      <c r="G4" s="5" t="n">
        <f aca="false">SUMIF('Rent Roll'!A:A,A4,'Rent Roll'!G:G)</f>
        <v>538159</v>
      </c>
      <c r="H4" s="6" t="n">
        <f aca="false">IF(C4=0,0,G4/C4)</f>
        <v>15.1722300535664</v>
      </c>
      <c r="I4" s="6" t="n">
        <f aca="false">IF(B4=0,0,SUMPRODUCT(('Rent Roll'!A2:A163=A4)*'Rent Roll'!D2:D163*'Rent Roll'!I2:I163)/B4)</f>
        <v>16</v>
      </c>
      <c r="J4" s="8" t="n">
        <f aca="false">IF(H4=0,0,I4/H4-1)</f>
        <v>0.0545582253571899</v>
      </c>
    </row>
    <row r="5" customFormat="false" ht="15" hidden="false" customHeight="true" outlineLevel="0" collapsed="false">
      <c r="A5" s="3" t="s">
        <v>271</v>
      </c>
      <c r="B5" s="4" t="n">
        <f aca="false">SUMIF('Rent Roll'!A:A,A5,'Rent Roll'!D:D)</f>
        <v>69500</v>
      </c>
      <c r="C5" s="4" t="n">
        <f aca="false">SUMIFS('Rent Roll'!D:D,'Rent Roll'!A:A,A5,'Rent Roll'!K:K,"Occupied")</f>
        <v>69500</v>
      </c>
      <c r="D5" s="4" t="n">
        <f aca="false">SUMIFS('Rent Roll'!D:D,'Rent Roll'!A:A,A5,'Rent Roll'!K:K,"Vacant")</f>
        <v>0</v>
      </c>
      <c r="E5" s="8" t="n">
        <f aca="false">IF(B5=0,0,C5/B5)</f>
        <v>1</v>
      </c>
      <c r="F5" s="9" t="n">
        <f aca="false">COUNTIF('Rent Roll'!A:A,A5)</f>
        <v>28</v>
      </c>
      <c r="G5" s="5" t="n">
        <f aca="false">SUMIF('Rent Roll'!A:A,A5,'Rent Roll'!G:G)</f>
        <v>1084026</v>
      </c>
      <c r="H5" s="6" t="n">
        <f aca="false">IF(C5=0,0,G5/C5)</f>
        <v>15.5974964028777</v>
      </c>
      <c r="I5" s="6" t="n">
        <f aca="false">IF(B5=0,0,SUMPRODUCT(('Rent Roll'!A2:A163=A5)*'Rent Roll'!D2:D163*'Rent Roll'!I2:I163)/B5)</f>
        <v>18</v>
      </c>
      <c r="J5" s="8" t="n">
        <f aca="false">IF(H5=0,0,I5/H5-1)</f>
        <v>0.154031360871418</v>
      </c>
    </row>
    <row r="6" customFormat="false" ht="15" hidden="false" customHeight="true" outlineLevel="0" collapsed="false">
      <c r="A6" s="3" t="s">
        <v>332</v>
      </c>
      <c r="B6" s="4" t="n">
        <f aca="false">SUMIF('Rent Roll'!A:A,A6,'Rent Roll'!D:D)</f>
        <v>51595</v>
      </c>
      <c r="C6" s="4" t="n">
        <f aca="false">SUMIFS('Rent Roll'!D:D,'Rent Roll'!A:A,A6,'Rent Roll'!K:K,"Occupied")</f>
        <v>30245</v>
      </c>
      <c r="D6" s="4" t="n">
        <f aca="false">SUMIFS('Rent Roll'!D:D,'Rent Roll'!A:A,A6,'Rent Roll'!K:K,"Vacant")</f>
        <v>21350</v>
      </c>
      <c r="E6" s="8" t="n">
        <f aca="false">IF(B6=0,0,C6/B6)</f>
        <v>0.586200213198953</v>
      </c>
      <c r="F6" s="9" t="n">
        <f aca="false">COUNTIF('Rent Roll'!A:A,A6)</f>
        <v>18</v>
      </c>
      <c r="G6" s="5" t="n">
        <f aca="false">SUMIF('Rent Roll'!A:A,A6,'Rent Roll'!G:G)</f>
        <v>512730</v>
      </c>
      <c r="H6" s="6" t="n">
        <f aca="false">IF(C6=0,0,G6/C6)</f>
        <v>16.9525541411804</v>
      </c>
      <c r="I6" s="6" t="n">
        <f aca="false">IF(B6=0,0,SUMPRODUCT(('Rent Roll'!A2:A163=A6)*'Rent Roll'!D2:D163*'Rent Roll'!I2:I163)/B6)</f>
        <v>17</v>
      </c>
      <c r="J6" s="8" t="n">
        <f aca="false">IF(H6=0,0,I6/H6-1)</f>
        <v>0.00279874397831215</v>
      </c>
    </row>
    <row r="7" customFormat="false" ht="15" hidden="false" customHeight="true" outlineLevel="0" collapsed="false">
      <c r="A7" s="3" t="s">
        <v>378</v>
      </c>
      <c r="B7" s="4" t="n">
        <f aca="false">SUMIF('Rent Roll'!A:A,A7,'Rent Roll'!D:D)</f>
        <v>82250</v>
      </c>
      <c r="C7" s="4" t="n">
        <f aca="false">SUMIFS('Rent Roll'!D:D,'Rent Roll'!A:A,A7,'Rent Roll'!K:K,"Occupied")</f>
        <v>79650</v>
      </c>
      <c r="D7" s="4" t="n">
        <f aca="false">SUMIFS('Rent Roll'!D:D,'Rent Roll'!A:A,A7,'Rent Roll'!K:K,"Vacant")</f>
        <v>2600</v>
      </c>
      <c r="E7" s="8" t="n">
        <f aca="false">IF(B7=0,0,C7/B7)</f>
        <v>0.96838905775076</v>
      </c>
      <c r="F7" s="9" t="n">
        <f aca="false">COUNTIF('Rent Roll'!A:A,A7)</f>
        <v>30</v>
      </c>
      <c r="G7" s="5" t="n">
        <f aca="false">SUMIF('Rent Roll'!A:A,A7,'Rent Roll'!G:G)</f>
        <v>1318936</v>
      </c>
      <c r="H7" s="6" t="n">
        <f aca="false">IF(C7=0,0,G7/C7)</f>
        <v>16.559146264909</v>
      </c>
      <c r="I7" s="6" t="n">
        <f aca="false">IF(B7=0,0,SUMPRODUCT(('Rent Roll'!A2:A163=A7)*'Rent Roll'!D2:D163*'Rent Roll'!I2:I163)/B7)</f>
        <v>19</v>
      </c>
      <c r="J7" s="8" t="n">
        <f aca="false">IF(H7=0,0,I7/H7-1)</f>
        <v>0.147402148398406</v>
      </c>
    </row>
    <row r="8" customFormat="false" ht="15" hidden="false" customHeight="true" outlineLevel="0" collapsed="false">
      <c r="A8" s="3" t="s">
        <v>445</v>
      </c>
      <c r="B8" s="4" t="n">
        <f aca="false">SUM(B2:B7)</f>
        <v>430550</v>
      </c>
      <c r="C8" s="4" t="n">
        <f aca="false">SUM(C2:C7)</f>
        <v>382400</v>
      </c>
      <c r="D8" s="4" t="n">
        <f aca="false">SUM(D2:D7)</f>
        <v>48150</v>
      </c>
      <c r="E8" s="8" t="n">
        <f aca="false">IF(B8=0,0,C8/B8)</f>
        <v>0.888166298919986</v>
      </c>
      <c r="F8" s="9" t="n">
        <f aca="false">SUM(F2:F7)</f>
        <v>162</v>
      </c>
      <c r="G8" s="5" t="n">
        <f aca="false">SUM(G2:G7)</f>
        <v>6290509</v>
      </c>
      <c r="H8" s="6" t="n">
        <f aca="false">IF(C8=0,0,G8/C8)</f>
        <v>16.4500758368201</v>
      </c>
      <c r="I8" s="6" t="n">
        <f aca="false">IF(B8=0,0,SUMPRODUCT('Rent Roll'!D2:D163,'Rent Roll'!I2:I163)/B8)</f>
        <v>17.8261642085704</v>
      </c>
      <c r="J8" s="8" t="n">
        <f aca="false">IF(H8=0,0,I8/H8-1)</f>
        <v>0.0836524029068766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2026-04-09T13:19:53Z</dcterms:created>
  <dc:creator>openpyxl</dc:creator>
  <dc:description/>
  <dc:language>en-US</dc:language>
  <cp:lastModifiedBy/>
  <dcterms:modified xsi:type="dcterms:W3CDTF">2026-04-09T14:33:54Z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