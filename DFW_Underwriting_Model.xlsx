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Property Data" sheetId="3" state="visible" r:id="rId3"/>
    <sheet name="MLA" sheetId="4" state="visible" r:id="rId4"/>
    <sheet name="Rent Roll" sheetId="5" state="visible" r:id="rId5"/>
    <sheet name="Annual CF" sheetId="6" state="visible" r:id="rId6"/>
    <sheet name="Monthly CF" sheetId="7" state="visible" r:id="rId7"/>
    <sheet name="Debt" sheetId="8" state="visible" r:id="rId8"/>
    <sheet name="CF - Carrollton" sheetId="9" state="visible" r:id="rId9"/>
    <sheet name="CF - Frisco" sheetId="10" state="visible" r:id="rId10"/>
    <sheet name="CF - Lewisville" sheetId="11" state="visible" r:id="rId11"/>
    <sheet name="CF - Mesquite" sheetId="12" state="visible" r:id="rId12"/>
    <sheet name="CF - Plano" sheetId="13" state="visible" r:id="rId13"/>
    <sheet name="CF - Roanoke" sheetId="14" state="visible" r:id="rId14"/>
  </sheets>
  <definedNames>
    <definedName name="AnalysisStart">'Assumptions'!$B$5</definedName>
    <definedName name="HoldMonths">'Assumptions'!$B$6</definedName>
    <definedName name="ProjMonths">'Assumptions'!$B$7</definedName>
    <definedName name="FYEndMonth">'Assumptions'!$B$8</definedName>
    <definedName name="GrowthMarketRent">'Assumptions'!$B$10</definedName>
    <definedName name="EscalatorInLease">'Assumptions'!$B$11</definedName>
    <definedName name="GrowthOpEx">'Assumptions'!$B$12</definedName>
    <definedName name="GrowthRETax">'Assumptions'!$B$13</definedName>
    <definedName name="CPI">'Assumptions'!$B$14</definedName>
    <definedName name="GrowthOther">'Assumptions'!$B$15</definedName>
    <definedName name="Retention">'Assumptions'!$B$17</definedName>
    <definedName name="LeaseTermMonths">'Assumptions'!$B$18</definedName>
    <definedName name="TINew">'Assumptions'!$B$19</definedName>
    <definedName name="TIRenewal">'Assumptions'!$B$20</definedName>
    <definedName name="LCNew">'Assumptions'!$B$21</definedName>
    <definedName name="LCRenewal">'Assumptions'!$B$22</definedName>
    <definedName name="DowntimeNew">'Assumptions'!$B$23</definedName>
    <definedName name="DowntimeRenewal">'Assumptions'!$B$24</definedName>
    <definedName name="FreeRentNew">'Assumptions'!$B$25</definedName>
    <definedName name="FreeRentRenewal">'Assumptions'!$B$26</definedName>
    <definedName name="GeneralVacancy">'Assumptions'!$B$28</definedName>
    <definedName name="CreditLoss">'Assumptions'!$B$29</definedName>
    <definedName name="RecoveryPct">'Assumptions'!$B$31</definedName>
    <definedName name="MgmtFeePct">'Assumptions'!$B$32</definedName>
    <definedName name="ReservesPSF">'Assumptions'!$B$33</definedName>
    <definedName name="ReassessTaxes">'Assumptions'!$B$35</definedName>
    <definedName name="ParkingRentMonthly">'Assumptions'!$B$37</definedName>
    <definedName name="ParkingUtilStab">'Assumptions'!$B$38</definedName>
    <definedName name="TURentGrowth">'Assumptions'!$B$39</definedName>
    <definedName name="PurchasePrice">'Assumptions'!$B$41</definedName>
    <definedName name="ExitCap">'Assumptions'!$B$42</definedName>
    <definedName name="AcqCostPct">'Assumptions'!$B$44</definedName>
    <definedName name="DispCostPct">'Assumptions'!$B$45</definedName>
    <definedName name="LTV">'Assumptions'!$B$47</definedName>
    <definedName name="SOFR">'Assumptions'!$B$48</definedName>
    <definedName name="LoanSpreadBps">'Assumptions'!$B$49</definedName>
    <definedName name="LoanRate">'Assumptions'!$B$50</definedName>
    <definedName name="LoanTermMonths">'Assumptions'!$B$51</definedName>
    <definedName name="LoanIOMonths">'Assumptions'!$B$52</definedName>
    <definedName name="LoanAmortMonths">'Assumptions'!$B$53</definedName>
    <definedName name="LoanOrigFeePct">'Assumptions'!$B$54</definedName>
    <definedName name="WaterfallOn">'Assumptions'!$B$56</definedName>
    <definedName name="PrefReturn">'Assumptions'!$B$57</definedName>
    <definedName name="Tier1GPSplit">'Assumptions'!$B$58</definedName>
    <definedName name="Tier1Hurdle">'Assumptions'!$B$59</definedName>
    <definedName name="Tier2GPSplit">'Assumptions'!$B$60</definedName>
    <definedName name="Tier2Hurdle">'Assumptions'!$B$61</definedName>
    <definedName name="Tier3GPSplit">'Assumptions'!$B$62</definedName>
    <definedName name="PortfolioSF">'Assumptions'!$B$64</definedName>
    <definedName name="InPlaceNOI">'Assumptions'!$B$65</definedName>
    <definedName name="PricePerSFImplied">'Assumptions'!$B$66</definedName>
    <definedName name="CapInPlace">'Assumptions'!$B$67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  <numFmt numFmtId="171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7" fillId="5" borderId="1" pivotButton="0" quotePrefix="0" xfId="0"/>
    <xf numFmtId="0" fontId="4" fillId="0" borderId="0" pivotButton="0" quotePrefix="0" xfId="0"/>
    <xf numFmtId="169" fontId="4" fillId="4" borderId="1" pivotButton="0" quotePrefix="0" xfId="0"/>
    <xf numFmtId="168" fontId="4" fillId="4" borderId="1" pivotButton="0" quotePrefix="0" xfId="0"/>
    <xf numFmtId="1" fontId="4" fillId="4" borderId="1" pivotButton="0" quotePrefix="0" xfId="0"/>
    <xf numFmtId="170" fontId="4" fillId="4" borderId="1" pivotButton="0" quotePrefix="0" xfId="0"/>
    <xf numFmtId="168" fontId="8" fillId="8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6" fontId="8" fillId="8" borderId="1" pivotButton="0" quotePrefix="0" xfId="0"/>
    <xf numFmtId="171" fontId="4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168" fontId="8" fillId="7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6" fontId="5" fillId="6" borderId="1" pivotButton="0" quotePrefix="0" xfId="0"/>
    <xf numFmtId="0" fontId="5" fillId="6" borderId="1" pivotButton="0" quotePrefix="0" xfId="0"/>
    <xf numFmtId="166" fontId="8" fillId="7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7" fillId="5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" customWidth="1" min="3" max="3"/>
    <col width="34" customWidth="1" min="4" max="4"/>
    <col width="18" customWidth="1" min="5" max="5"/>
  </cols>
  <sheetData>
    <row r="1">
      <c r="A1" s="1" t="inlineStr">
        <is>
          <t>DEAL SUMMARY — DFW MODERN MULTI-TENANT PORTFOLIO</t>
        </is>
      </c>
    </row>
    <row r="3">
      <c r="A3" s="2" t="inlineStr">
        <is>
          <t>DEAL OVERVIEW</t>
        </is>
      </c>
      <c r="D3" s="2" t="inlineStr">
        <is>
          <t>NOI BRIDGE</t>
        </is>
      </c>
    </row>
    <row r="4">
      <c r="A4" s="3" t="inlineStr">
        <is>
          <t>Portfolio SF</t>
        </is>
      </c>
      <c r="B4" s="4">
        <f>PortfolioSF</f>
        <v/>
      </c>
      <c r="D4" s="3" t="inlineStr">
        <is>
          <t>In-Place NOI</t>
        </is>
      </c>
      <c r="E4" s="5">
        <f>InPlaceNOI</f>
        <v/>
      </c>
    </row>
    <row r="5">
      <c r="A5" s="3" t="inlineStr">
        <is>
          <t># Properties</t>
        </is>
      </c>
      <c r="B5" s="6">
        <f>6</f>
        <v/>
      </c>
      <c r="D5" s="3" t="inlineStr">
        <is>
          <t>FY27 NOI (Year 1)</t>
        </is>
      </c>
      <c r="E5" s="5">
        <f>'Annual CF'!B21</f>
        <v/>
      </c>
    </row>
    <row r="6">
      <c r="A6" s="3" t="inlineStr">
        <is>
          <t># Tenant Suites</t>
        </is>
      </c>
      <c r="B6" s="6">
        <f>COUNTA('Rent Roll'!C5:C166)</f>
        <v/>
      </c>
      <c r="D6" s="3" t="inlineStr">
        <is>
          <t>FY28 NOI (Year 2)</t>
        </is>
      </c>
      <c r="E6" s="5">
        <f>'Annual CF'!C21</f>
        <v/>
      </c>
    </row>
    <row r="7">
      <c r="A7" s="3" t="inlineStr">
        <is>
          <t>Hold Period (Years)</t>
        </is>
      </c>
      <c r="B7" s="7">
        <f>HoldMonths/12</f>
        <v/>
      </c>
      <c r="D7" s="3" t="inlineStr">
        <is>
          <t>FY31 NOI (Year 5 / Exit Year)</t>
        </is>
      </c>
      <c r="E7" s="5">
        <f>'Annual CF'!F21</f>
        <v/>
      </c>
    </row>
    <row r="8">
      <c r="D8" s="3" t="inlineStr">
        <is>
          <t>FY32 NOI (Exit Year + 1)</t>
        </is>
      </c>
      <c r="E8" s="5">
        <f>'Annual CF'!G21</f>
        <v/>
      </c>
    </row>
    <row r="9">
      <c r="A9" s="3" t="inlineStr">
        <is>
          <t>Purchase Price</t>
        </is>
      </c>
      <c r="B9" s="8">
        <f>PurchasePrice</f>
        <v/>
      </c>
      <c r="D9" s="3" t="inlineStr">
        <is>
          <t>NOI Growth (Y1 → Y5)</t>
        </is>
      </c>
      <c r="E9" s="9">
        <f>('Annual CF'!F21/'Annual CF'!B21)-1</f>
        <v/>
      </c>
    </row>
    <row r="10">
      <c r="A10" s="3" t="inlineStr">
        <is>
          <t>Price per SF</t>
        </is>
      </c>
      <c r="B10" s="10">
        <f>PurchasePrice/PortfolioSF</f>
        <v/>
      </c>
    </row>
    <row r="11">
      <c r="A11" s="3" t="inlineStr">
        <is>
          <t>Acquisition Costs</t>
        </is>
      </c>
      <c r="B11" s="5">
        <f>PurchasePrice*AcqCostPct</f>
        <v/>
      </c>
      <c r="D11" s="2" t="inlineStr">
        <is>
          <t>EXIT</t>
        </is>
      </c>
    </row>
    <row r="12">
      <c r="A12" s="3" t="inlineStr">
        <is>
          <t>Total Acquisition Cost</t>
        </is>
      </c>
      <c r="B12" s="5">
        <f>PurchasePrice*(1+AcqCostPct)</f>
        <v/>
      </c>
      <c r="D12" s="3" t="inlineStr">
        <is>
          <t>Exit Year NOI (next-year method)</t>
        </is>
      </c>
      <c r="E12" s="5">
        <f>INDEX('Annual CF'!$B$21:$L$21,INT(HoldMonths/12)+1)</f>
        <v/>
      </c>
    </row>
    <row r="13">
      <c r="D13" s="3" t="inlineStr">
        <is>
          <t>Exit Value (Gross)</t>
        </is>
      </c>
      <c r="E13" s="5">
        <f>E12/ExitCap</f>
        <v/>
      </c>
    </row>
    <row r="14">
      <c r="A14" s="3" t="inlineStr">
        <is>
          <t>Going-in Cap (on In-Place NOI)</t>
        </is>
      </c>
      <c r="B14" s="9">
        <f>IFERROR(InPlaceNOI/PurchasePrice,0)</f>
        <v/>
      </c>
      <c r="D14" s="3" t="inlineStr">
        <is>
          <t>Disposition Costs</t>
        </is>
      </c>
      <c r="E14" s="5">
        <f>E13*DispCostPct</f>
        <v/>
      </c>
    </row>
    <row r="15">
      <c r="A15" s="3" t="inlineStr">
        <is>
          <t>Going-in Cap (on FY27 NOI)</t>
        </is>
      </c>
      <c r="B15" s="9">
        <f>IFERROR('Annual CF'!B21/PurchasePrice,0)</f>
        <v/>
      </c>
      <c r="D15" s="3" t="inlineStr">
        <is>
          <t>Exit Value (Net)</t>
        </is>
      </c>
      <c r="E15" s="8">
        <f>E13*(1-DispCostPct)</f>
        <v/>
      </c>
    </row>
    <row r="16">
      <c r="A16" s="3" t="inlineStr">
        <is>
          <t>Exit Cap Rate</t>
        </is>
      </c>
      <c r="B16" s="9">
        <f>ExitCap</f>
        <v/>
      </c>
      <c r="D16" s="3" t="inlineStr">
        <is>
          <t>Exit $/SF</t>
        </is>
      </c>
      <c r="E16" s="10">
        <f>E13/PortfolioSF</f>
        <v/>
      </c>
    </row>
    <row r="18">
      <c r="A18" s="2" t="inlineStr">
        <is>
          <t>FINANCING</t>
        </is>
      </c>
      <c r="D18" s="2" t="inlineStr">
        <is>
          <t>RETURNS</t>
        </is>
      </c>
    </row>
    <row r="19">
      <c r="A19" s="3" t="inlineStr">
        <is>
          <t>Loan Amount (70% LTV)</t>
        </is>
      </c>
      <c r="B19" s="5">
        <f>PurchasePrice*LTV</f>
        <v/>
      </c>
      <c r="D19" s="3" t="inlineStr">
        <is>
          <t>Unlevered IRR</t>
        </is>
      </c>
      <c r="E19" s="11">
        <f>IFERROR((1+IRR('Monthly CF'!B17:INDEX('Monthly CF'!17:17,HoldMonths+1)))^12-1,0)</f>
        <v/>
      </c>
    </row>
    <row r="20">
      <c r="A20" s="3" t="inlineStr">
        <is>
          <t>LTV</t>
        </is>
      </c>
      <c r="B20" s="9">
        <f>LTV</f>
        <v/>
      </c>
      <c r="D20" s="3" t="inlineStr">
        <is>
          <t>Levered IRR</t>
        </is>
      </c>
      <c r="E20" s="11">
        <f>IFERROR((1+IRR('Monthly CF'!B18:INDEX('Monthly CF'!18:18,HoldMonths+1)))^12-1,0)</f>
        <v/>
      </c>
    </row>
    <row r="21">
      <c r="A21" s="3" t="inlineStr">
        <is>
          <t>All-in Rate (SOFR+300)</t>
        </is>
      </c>
      <c r="B21" s="9">
        <f>LoanRate</f>
        <v/>
      </c>
      <c r="D21" s="3" t="inlineStr">
        <is>
          <t>Equity Multiple (Levered)</t>
        </is>
      </c>
      <c r="E21" s="12">
        <f>IFERROR(SUM('Monthly CF'!B18:INDEX('Monthly CF'!18:18,HoldMonths+1))/(-B28)+1,0)</f>
        <v/>
      </c>
    </row>
    <row r="22">
      <c r="A22" s="3" t="inlineStr">
        <is>
          <t>Debt Yield (on In-Place NOI)</t>
        </is>
      </c>
      <c r="B22" s="9">
        <f>IFERROR(InPlaceNOI/(PurchasePrice*LTV),0)</f>
        <v/>
      </c>
      <c r="D22" s="3" t="inlineStr">
        <is>
          <t>Avg Cash-on-Cash (Levered)</t>
        </is>
      </c>
      <c r="E22" s="9">
        <f>IFERROR(SUM('Monthly CF'!C18:INDEX('Monthly CF'!18:18,HoldMonths))/(-B28)/(HoldMonths/12-1/12),0)</f>
        <v/>
      </c>
    </row>
    <row r="23">
      <c r="A23" s="3" t="inlineStr">
        <is>
          <t>DSCR FY27 (NOI / Debt Service)</t>
        </is>
      </c>
      <c r="B23" s="7">
        <f>IFERROR('Annual CF'!B21/(-Debt!D87),0)</f>
        <v/>
      </c>
    </row>
    <row r="24">
      <c r="D24" s="2" t="inlineStr">
        <is>
          <t>KEY METRICS</t>
        </is>
      </c>
    </row>
    <row r="25">
      <c r="A25" s="2" t="inlineStr">
        <is>
          <t>SOURCES &amp; USES</t>
        </is>
      </c>
      <c r="D25" s="3" t="inlineStr">
        <is>
          <t>FY27 Cap Rate (on purchase)</t>
        </is>
      </c>
      <c r="E25" s="9">
        <f>IFERROR('Annual CF'!B21/PurchasePrice,0)</f>
        <v/>
      </c>
    </row>
    <row r="26">
      <c r="A26" s="13" t="inlineStr">
        <is>
          <t>SOURCES</t>
        </is>
      </c>
      <c r="D26" s="3" t="inlineStr">
        <is>
          <t>FY31 Cap Rate (exit year)</t>
        </is>
      </c>
      <c r="E26" s="9">
        <f>IFERROR('Annual CF'!F21/PurchasePrice,0)</f>
        <v/>
      </c>
    </row>
    <row r="27">
      <c r="A27" s="3" t="inlineStr">
        <is>
          <t>Loan Proceeds</t>
        </is>
      </c>
      <c r="B27" s="5">
        <f>PurchasePrice*LTV*(1-LoanOrigFeePct)</f>
        <v/>
      </c>
      <c r="D27" s="3" t="inlineStr">
        <is>
          <t>Peak Cash-on-Cash</t>
        </is>
      </c>
      <c r="E27" s="9">
        <f>IFERROR(MAX('Annual CF'!B36:F36)/(-B28),0)</f>
        <v/>
      </c>
    </row>
    <row r="28">
      <c r="A28" s="3" t="inlineStr">
        <is>
          <t>Equity Required</t>
        </is>
      </c>
      <c r="B28" s="8">
        <f>B31-B27</f>
        <v/>
      </c>
      <c r="D28" s="3" t="inlineStr">
        <is>
          <t>FY27 DSCR</t>
        </is>
      </c>
      <c r="E28" s="7">
        <f>IFERROR('Annual CF'!B21/(-Debt!D87),0)</f>
        <v/>
      </c>
    </row>
    <row r="29">
      <c r="A29" s="14" t="inlineStr">
        <is>
          <t>Total Sources</t>
        </is>
      </c>
      <c r="B29" s="15">
        <f>B27+B28</f>
        <v/>
      </c>
      <c r="D29" s="3" t="inlineStr">
        <is>
          <t>FY27 Debt Yield</t>
        </is>
      </c>
      <c r="E29" s="9">
        <f>IFERROR('Annual CF'!B21/(PurchasePrice*LTV),0)</f>
        <v/>
      </c>
    </row>
    <row r="30">
      <c r="A30" s="13" t="inlineStr">
        <is>
          <t>USES</t>
        </is>
      </c>
    </row>
    <row r="31">
      <c r="A31" s="2" t="inlineStr">
        <is>
          <t>MODEL INTEGRITY</t>
        </is>
      </c>
      <c r="B31" s="5">
        <f>PurchasePrice*(1+AcqCostPct)</f>
        <v/>
      </c>
    </row>
    <row r="32">
      <c r="A32" s="3" t="inlineStr">
        <is>
          <t>Model FY27 NOI</t>
        </is>
      </c>
      <c r="B32" s="5">
        <f>'Annual CF'!B21</f>
        <v/>
      </c>
    </row>
    <row r="33">
      <c r="A33" s="3" t="inlineStr">
        <is>
          <t>OM-stated FY27 NOI (sum)</t>
        </is>
      </c>
      <c r="B33" s="5">
        <f>SUM('Property Data'!B19:G19)</f>
        <v/>
      </c>
    </row>
    <row r="34">
      <c r="A34" s="3" t="inlineStr">
        <is>
          <t>Variance (Model − OM)</t>
        </is>
      </c>
      <c r="B34" s="5">
        <f>B32-B33</f>
        <v/>
      </c>
    </row>
    <row r="35">
      <c r="A35" s="3" t="inlineStr">
        <is>
          <t>Variance %</t>
        </is>
      </c>
      <c r="B35" s="9">
        <f>B34/B33</f>
        <v/>
      </c>
    </row>
    <row r="37">
      <c r="A37" s="16" t="inlineStr">
        <is>
          <t>Notes: Yellow cells on Assumptions tab are user inputs. Orange cells on Property Data = Plano estimates (OM incomplete). Exit uses the FY after HoldMonths (next-year NOI method). Levered IRR uses monthly IRR × 12. Treatment column on Rent Roll has a dropdown (Market/Option/Vacate/LeaseUp) controlling per-tenant post-expiry behavior.</t>
        </is>
      </c>
    </row>
    <row r="38"/>
    <row r="39"/>
    <row r="40"/>
  </sheetData>
  <mergeCells count="2">
    <mergeCell ref="A1:F1"/>
    <mergeCell ref="A37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17" t="inlineStr">
        <is>
          <t>All yellow cells are user inputs. Orange = estimated (Plano OM incomplete).</t>
        </is>
      </c>
    </row>
    <row r="4">
      <c r="A4" s="18" t="inlineStr">
        <is>
          <t>MODEL TIMING</t>
        </is>
      </c>
      <c r="B4" s="19" t="n"/>
      <c r="C4" s="19" t="n"/>
    </row>
    <row r="5">
      <c r="A5" s="3" t="inlineStr">
        <is>
          <t>Analysis Start Date</t>
        </is>
      </c>
      <c r="B5" s="20" t="n">
        <v>46143</v>
      </c>
      <c r="C5" s="21" t="inlineStr">
        <is>
          <t>May 1, 2026 — matches OM</t>
        </is>
      </c>
    </row>
    <row r="6">
      <c r="A6" s="3" t="inlineStr">
        <is>
          <t>Hold Period (months)</t>
        </is>
      </c>
      <c r="B6" s="22" t="n">
        <v>60</v>
      </c>
      <c r="C6" s="21" t="inlineStr">
        <is>
          <t>5-year hold (matches loan term)</t>
        </is>
      </c>
    </row>
    <row r="7">
      <c r="A7" s="3" t="inlineStr">
        <is>
          <t>Projection Period (months)</t>
        </is>
      </c>
      <c r="B7" s="22" t="n">
        <v>120</v>
      </c>
      <c r="C7" s="21" t="inlineStr">
        <is>
          <t>Always project 10 yrs for exit cap / reversion math</t>
        </is>
      </c>
    </row>
    <row r="8">
      <c r="A8" s="3" t="inlineStr">
        <is>
          <t>Fiscal Year End Month</t>
        </is>
      </c>
      <c r="B8" s="22" t="n">
        <v>4</v>
      </c>
      <c r="C8" s="21" t="inlineStr">
        <is>
          <t>April (matches OM Argus FYE 4/30)</t>
        </is>
      </c>
    </row>
    <row r="9">
      <c r="A9" s="18" t="inlineStr">
        <is>
          <t>GROWTH RATES</t>
        </is>
      </c>
      <c r="B9" s="19" t="n"/>
      <c r="C9" s="19" t="n"/>
    </row>
    <row r="10">
      <c r="A10" s="3" t="inlineStr">
        <is>
          <t>Market Rent Growth</t>
        </is>
      </c>
      <c r="B10" s="23" t="n">
        <v>0.03</v>
      </c>
      <c r="C10" s="21" t="inlineStr">
        <is>
          <t>CBRE/Argus assumption</t>
        </is>
      </c>
    </row>
    <row r="11">
      <c r="A11" s="3" t="inlineStr">
        <is>
          <t>In-Lease Rent Escalator</t>
        </is>
      </c>
      <c r="B11" s="23" t="n">
        <v>0.025</v>
      </c>
      <c r="C11" s="21" t="inlineStr">
        <is>
          <t>Typical 2.5% annual bumps</t>
        </is>
      </c>
    </row>
    <row r="12">
      <c r="A12" s="3" t="inlineStr">
        <is>
          <t>Operating Expense Growth</t>
        </is>
      </c>
      <c r="B12" s="23" t="n">
        <v>0.03</v>
      </c>
      <c r="C12" s="21" t="inlineStr"/>
    </row>
    <row r="13">
      <c r="A13" s="3" t="inlineStr">
        <is>
          <t>RE Tax Growth</t>
        </is>
      </c>
      <c r="B13" s="23" t="n">
        <v>0.03</v>
      </c>
      <c r="C13" s="21" t="inlineStr">
        <is>
          <t>Applied to reassessed base</t>
        </is>
      </c>
    </row>
    <row r="14">
      <c r="A14" s="3" t="inlineStr">
        <is>
          <t>CPI</t>
        </is>
      </c>
      <c r="B14" s="23" t="n">
        <v>0.03</v>
      </c>
      <c r="C14" s="21" t="inlineStr"/>
    </row>
    <row r="15">
      <c r="A15" s="3" t="inlineStr">
        <is>
          <t>Other Revenue Growth</t>
        </is>
      </c>
      <c r="B15" s="23" t="n">
        <v>0.03</v>
      </c>
      <c r="C15" s="21" t="inlineStr">
        <is>
          <t>Ancillary income</t>
        </is>
      </c>
    </row>
    <row r="16">
      <c r="A16" s="18" t="inlineStr">
        <is>
          <t>LEASING ASSUMPTIONS (PORTFOLIO DEFAULTS — overrideable on MLA tab)</t>
        </is>
      </c>
      <c r="B16" s="19" t="n"/>
      <c r="C16" s="19" t="n"/>
    </row>
    <row r="17">
      <c r="A17" s="3" t="inlineStr">
        <is>
          <t>Renewal Probability (Retention)</t>
        </is>
      </c>
      <c r="B17" s="23" t="n">
        <v>0.75</v>
      </c>
      <c r="C17" s="21" t="inlineStr">
        <is>
          <t>CBRE default 75%</t>
        </is>
      </c>
    </row>
    <row r="18">
      <c r="A18" s="3" t="inlineStr">
        <is>
          <t>New Lease Term (months)</t>
        </is>
      </c>
      <c r="B18" s="22" t="n">
        <v>42</v>
      </c>
      <c r="C18" s="21" t="inlineStr">
        <is>
          <t>3 yrs 6 months</t>
        </is>
      </c>
    </row>
    <row r="19">
      <c r="A19" s="3" t="inlineStr">
        <is>
          <t>TI — New ($/SF)</t>
        </is>
      </c>
      <c r="B19" s="24" t="n">
        <v>1.5</v>
      </c>
      <c r="C19" s="21" t="inlineStr"/>
    </row>
    <row r="20">
      <c r="A20" s="3" t="inlineStr">
        <is>
          <t>TI — Renewal ($/SF)</t>
        </is>
      </c>
      <c r="B20" s="24" t="n">
        <v>0</v>
      </c>
      <c r="C20" s="21" t="inlineStr"/>
    </row>
    <row r="21">
      <c r="A21" s="3" t="inlineStr">
        <is>
          <t>LC — New (% of base rent)</t>
        </is>
      </c>
      <c r="B21" s="23" t="n">
        <v>0.0675</v>
      </c>
      <c r="C21" s="21" t="inlineStr"/>
    </row>
    <row r="22">
      <c r="A22" s="3" t="inlineStr">
        <is>
          <t>LC — Renewal (%)</t>
        </is>
      </c>
      <c r="B22" s="23" t="n">
        <v>0.0325</v>
      </c>
      <c r="C22" s="21" t="inlineStr"/>
    </row>
    <row r="23">
      <c r="A23" s="3" t="inlineStr">
        <is>
          <t>Downtime — New (months)</t>
        </is>
      </c>
      <c r="B23" s="22" t="n">
        <v>3</v>
      </c>
      <c r="C23" s="21" t="inlineStr"/>
    </row>
    <row r="24">
      <c r="A24" s="3" t="inlineStr">
        <is>
          <t>Downtime — Renewal (months)</t>
        </is>
      </c>
      <c r="B24" s="22" t="n">
        <v>0</v>
      </c>
      <c r="C24" s="21" t="inlineStr">
        <is>
          <t>Typically zero</t>
        </is>
      </c>
    </row>
    <row r="25">
      <c r="A25" s="3" t="inlineStr">
        <is>
          <t>Free Rent — New (months)</t>
        </is>
      </c>
      <c r="B25" s="22" t="n">
        <v>0</v>
      </c>
      <c r="C25" s="21" t="inlineStr"/>
    </row>
    <row r="26">
      <c r="A26" s="3" t="inlineStr">
        <is>
          <t>Free Rent — Renewal (months)</t>
        </is>
      </c>
      <c r="B26" s="22" t="n">
        <v>0</v>
      </c>
      <c r="C26" s="21" t="inlineStr"/>
    </row>
    <row r="27">
      <c r="A27" s="18" t="inlineStr">
        <is>
          <t>VACANCY &amp; CREDIT</t>
        </is>
      </c>
      <c r="B27" s="19" t="n"/>
      <c r="C27" s="19" t="n"/>
    </row>
    <row r="28">
      <c r="A28" s="3" t="inlineStr">
        <is>
          <t>General Vacancy</t>
        </is>
      </c>
      <c r="B28" s="23" t="n">
        <v>0.02</v>
      </c>
      <c r="C28" s="21" t="inlineStr">
        <is>
          <t>Beyond lease-up vacancy</t>
        </is>
      </c>
    </row>
    <row r="29">
      <c r="A29" s="3" t="inlineStr">
        <is>
          <t>Credit Loss</t>
        </is>
      </c>
      <c r="B29" s="23" t="n">
        <v>0.01</v>
      </c>
      <c r="C29" s="21" t="inlineStr"/>
    </row>
    <row r="30">
      <c r="A30" s="18" t="inlineStr">
        <is>
          <t>REIMBURSEMENTS &amp; MANAGEMENT</t>
        </is>
      </c>
      <c r="B30" s="19" t="n"/>
      <c r="C30" s="19" t="n"/>
    </row>
    <row r="31">
      <c r="A31" s="3" t="inlineStr">
        <is>
          <t>Recovery % (NNN Pass-through)</t>
        </is>
      </c>
      <c r="B31" s="23" t="n">
        <v>1</v>
      </c>
      <c r="C31" s="21" t="inlineStr">
        <is>
          <t>100% NNN all leases</t>
        </is>
      </c>
    </row>
    <row r="32">
      <c r="A32" s="3" t="inlineStr">
        <is>
          <t>Management Fee (% of EGR)</t>
        </is>
      </c>
      <c r="B32" s="23" t="n">
        <v>0.04</v>
      </c>
      <c r="C32" s="21" t="inlineStr">
        <is>
          <t>4% per OM; 5% cap per lease</t>
        </is>
      </c>
    </row>
    <row r="33">
      <c r="A33" s="3" t="inlineStr">
        <is>
          <t>Capital Reserves ($/SF)</t>
        </is>
      </c>
      <c r="B33" s="24" t="n">
        <v>0.2</v>
      </c>
      <c r="C33" s="21" t="inlineStr"/>
    </row>
    <row r="34">
      <c r="A34" s="18" t="inlineStr">
        <is>
          <t>REAL ESTATE TAXES</t>
        </is>
      </c>
      <c r="B34" s="19" t="n"/>
      <c r="C34" s="19" t="n"/>
    </row>
    <row r="35">
      <c r="A35" s="3" t="inlineStr">
        <is>
          <t>Reassess Taxes at Purchase?</t>
        </is>
      </c>
      <c r="B35" s="25" t="b">
        <v>1</v>
      </c>
      <c r="C35" s="21" t="inlineStr">
        <is>
          <t>TRUE = taxes reset to Purchase Price × millage</t>
        </is>
      </c>
    </row>
    <row r="36">
      <c r="A36" s="18" t="inlineStr">
        <is>
          <t>ANCILLARY INCOME</t>
        </is>
      </c>
      <c r="B36" s="19" t="n"/>
      <c r="C36" s="19" t="n"/>
    </row>
    <row r="37">
      <c r="A37" s="3" t="inlineStr">
        <is>
          <t>Parking Rent $/Stall/Month (new)</t>
        </is>
      </c>
      <c r="B37" s="26" t="n">
        <v>165</v>
      </c>
      <c r="C37" s="21" t="inlineStr">
        <is>
          <t>Secured parking</t>
        </is>
      </c>
    </row>
    <row r="38">
      <c r="A38" s="3" t="inlineStr">
        <is>
          <t>Parking Stabilized Utilization</t>
        </is>
      </c>
      <c r="B38" s="23" t="n">
        <v>0.9</v>
      </c>
      <c r="C38" s="21" t="inlineStr">
        <is>
          <t>Target year 3+</t>
        </is>
      </c>
    </row>
    <row r="39">
      <c r="A39" s="3" t="inlineStr">
        <is>
          <t>Tenant Upgrade Rent Growth</t>
        </is>
      </c>
      <c r="B39" s="23" t="n">
        <v>0.025</v>
      </c>
      <c r="C39" s="21" t="inlineStr"/>
    </row>
    <row r="40">
      <c r="A40" s="18" t="inlineStr">
        <is>
          <t>PRICING</t>
        </is>
      </c>
      <c r="B40" s="19" t="n"/>
      <c r="C40" s="19" t="n"/>
    </row>
    <row r="41">
      <c r="A41" s="3" t="inlineStr">
        <is>
          <t>Purchase Price ($)</t>
        </is>
      </c>
      <c r="B41" s="26" t="n">
        <v>107637500</v>
      </c>
      <c r="C41" s="21" t="inlineStr">
        <is>
          <t>Total portfolio price — allocate across properties on Property Data tab</t>
        </is>
      </c>
    </row>
    <row r="42">
      <c r="A42" s="3" t="inlineStr">
        <is>
          <t>Exit Cap Rate</t>
        </is>
      </c>
      <c r="B42" s="23" t="n">
        <v>0.065</v>
      </c>
      <c r="C42" s="21" t="inlineStr">
        <is>
          <t>User spec: 6.5%</t>
        </is>
      </c>
    </row>
    <row r="43">
      <c r="A43" s="18" t="inlineStr">
        <is>
          <t>TRANSACTION COSTS</t>
        </is>
      </c>
      <c r="B43" s="19" t="n"/>
      <c r="C43" s="19" t="n"/>
    </row>
    <row r="44">
      <c r="A44" s="3" t="inlineStr">
        <is>
          <t>Acquisition Closing Costs %</t>
        </is>
      </c>
      <c r="B44" s="23" t="n">
        <v>0.02</v>
      </c>
      <c r="C44" s="21" t="inlineStr">
        <is>
          <t>User spec: 2%</t>
        </is>
      </c>
    </row>
    <row r="45">
      <c r="A45" s="3" t="inlineStr">
        <is>
          <t>Disposition Closing Costs %</t>
        </is>
      </c>
      <c r="B45" s="23" t="n">
        <v>0.02</v>
      </c>
      <c r="C45" s="21" t="inlineStr">
        <is>
          <t>User spec: 2%</t>
        </is>
      </c>
    </row>
    <row r="46">
      <c r="A46" s="18" t="inlineStr">
        <is>
          <t>DEBT (BANK FLOATING — USER SPEC)</t>
        </is>
      </c>
      <c r="B46" s="19" t="n"/>
      <c r="C46" s="19" t="n"/>
    </row>
    <row r="47">
      <c r="A47" s="3" t="inlineStr">
        <is>
          <t>Loan-to-Value (LTV)</t>
        </is>
      </c>
      <c r="B47" s="23" t="n">
        <v>0.7</v>
      </c>
      <c r="C47" s="21" t="inlineStr">
        <is>
          <t>70% per user</t>
        </is>
      </c>
    </row>
    <row r="48">
      <c r="A48" s="3" t="inlineStr">
        <is>
          <t>SOFR Rate</t>
        </is>
      </c>
      <c r="B48" s="23" t="n">
        <v>0.043</v>
      </c>
      <c r="C48" s="21" t="inlineStr">
        <is>
          <t>Editable — current ~4.3%</t>
        </is>
      </c>
    </row>
    <row r="49">
      <c r="A49" s="3" t="inlineStr">
        <is>
          <t>Loan Spread (bps)</t>
        </is>
      </c>
      <c r="B49" s="22" t="n">
        <v>300</v>
      </c>
      <c r="C49" s="21" t="inlineStr">
        <is>
          <t>300 bps per user</t>
        </is>
      </c>
    </row>
    <row r="50">
      <c r="A50" s="3" t="inlineStr">
        <is>
          <t>All-In Loan Rate</t>
        </is>
      </c>
      <c r="B50" s="9">
        <f>SOFR+LoanSpreadBps/10000</f>
        <v/>
      </c>
      <c r="C50" s="21">
        <f> SOFR + Spread</f>
        <v/>
      </c>
    </row>
    <row r="51">
      <c r="A51" s="3" t="inlineStr">
        <is>
          <t>Loan Term (months)</t>
        </is>
      </c>
      <c r="B51" s="22" t="n">
        <v>60</v>
      </c>
      <c r="C51" s="21" t="inlineStr">
        <is>
          <t>60 months (5-yr)</t>
        </is>
      </c>
    </row>
    <row r="52">
      <c r="A52" s="3" t="inlineStr">
        <is>
          <t>Interest-Only Period (months)</t>
        </is>
      </c>
      <c r="B52" s="22" t="n">
        <v>24</v>
      </c>
      <c r="C52" s="21" t="inlineStr"/>
    </row>
    <row r="53">
      <c r="A53" s="3" t="inlineStr">
        <is>
          <t>Amortization (months)</t>
        </is>
      </c>
      <c r="B53" s="22" t="n">
        <v>360</v>
      </c>
      <c r="C53" s="21" t="inlineStr">
        <is>
          <t>30-yr amort</t>
        </is>
      </c>
    </row>
    <row r="54">
      <c r="A54" s="3" t="inlineStr">
        <is>
          <t>Origination Fee %</t>
        </is>
      </c>
      <c r="B54" s="23" t="n">
        <v>0.0075</v>
      </c>
      <c r="C54" s="21" t="inlineStr">
        <is>
          <t>75 bps typical bank</t>
        </is>
      </c>
    </row>
    <row r="55">
      <c r="A55" s="18" t="inlineStr">
        <is>
          <t>WATERFALL (RESERVED — enable later)</t>
        </is>
      </c>
      <c r="B55" s="19" t="n"/>
      <c r="C55" s="19" t="n"/>
    </row>
    <row r="56">
      <c r="A56" s="3" t="inlineStr">
        <is>
          <t>Waterfall Enabled?</t>
        </is>
      </c>
      <c r="B56" s="25" t="b">
        <v>0</v>
      </c>
      <c r="C56" s="21" t="inlineStr">
        <is>
          <t>Deal-level returns only for now</t>
        </is>
      </c>
    </row>
    <row r="57">
      <c r="A57" s="3" t="inlineStr">
        <is>
          <t>Preferred Return</t>
        </is>
      </c>
      <c r="B57" s="23" t="n">
        <v>0.08</v>
      </c>
      <c r="C57" s="21" t="inlineStr"/>
    </row>
    <row r="58">
      <c r="A58" s="3" t="inlineStr">
        <is>
          <t>Tier 1 GP Split (to 15% IRR)</t>
        </is>
      </c>
      <c r="B58" s="23" t="n">
        <v>0.2</v>
      </c>
      <c r="C58" s="21" t="inlineStr"/>
    </row>
    <row r="59">
      <c r="A59" s="3" t="inlineStr">
        <is>
          <t>Tier 1 IRR Hurdle</t>
        </is>
      </c>
      <c r="B59" s="23" t="n">
        <v>0.15</v>
      </c>
      <c r="C59" s="21" t="inlineStr"/>
    </row>
    <row r="60">
      <c r="A60" s="3" t="inlineStr">
        <is>
          <t>Tier 2 GP Split (to 20% IRR)</t>
        </is>
      </c>
      <c r="B60" s="23" t="n">
        <v>0.3</v>
      </c>
      <c r="C60" s="21" t="inlineStr"/>
    </row>
    <row r="61">
      <c r="A61" s="3" t="inlineStr">
        <is>
          <t>Tier 2 IRR Hurdle</t>
        </is>
      </c>
      <c r="B61" s="23" t="n">
        <v>0.2</v>
      </c>
      <c r="C61" s="21" t="inlineStr"/>
    </row>
    <row r="62">
      <c r="A62" s="3" t="inlineStr">
        <is>
          <t>Tier 3 GP Split (above)</t>
        </is>
      </c>
      <c r="B62" s="23" t="n">
        <v>0.4</v>
      </c>
      <c r="C62" s="21" t="inlineStr"/>
    </row>
    <row r="63">
      <c r="A63" s="18" t="inlineStr">
        <is>
          <t>DERIVED TOTALS (calculated)</t>
        </is>
      </c>
      <c r="B63" s="19" t="n"/>
      <c r="C63" s="19" t="n"/>
    </row>
    <row r="64">
      <c r="A64" s="3" t="inlineStr">
        <is>
          <t>Portfolio SF</t>
        </is>
      </c>
      <c r="B64" s="4">
        <f>SUM('Property Data'!$B$4:$G$4)</f>
        <v/>
      </c>
      <c r="C64" s="21" t="inlineStr"/>
    </row>
    <row r="65">
      <c r="A65" s="3" t="inlineStr">
        <is>
          <t>In-Place NOI (Portfolio)</t>
        </is>
      </c>
      <c r="B65" s="5">
        <f>SUM('Property Data'!$B$18:$G$18)</f>
        <v/>
      </c>
      <c r="C65" s="21" t="inlineStr">
        <is>
          <t>Sum across 6 properties</t>
        </is>
      </c>
    </row>
    <row r="66">
      <c r="A66" s="3" t="inlineStr">
        <is>
          <t>Price per SF (implied)</t>
        </is>
      </c>
      <c r="B66" s="10">
        <f>IFERROR(PurchasePrice/PortfolioSF,0)</f>
        <v/>
      </c>
      <c r="C66" s="21" t="inlineStr">
        <is>
          <t>Output: implied $/SF</t>
        </is>
      </c>
    </row>
    <row r="67">
      <c r="A67" s="3" t="inlineStr">
        <is>
          <t>Going-In Cap (on In-Place NOI)</t>
        </is>
      </c>
      <c r="B67" s="9">
        <f>IFERROR(InPlaceNOI/PurchasePrice,0)</f>
        <v/>
      </c>
      <c r="C67" s="21" t="inlineStr">
        <is>
          <t>Output: implied going-in cap</t>
        </is>
      </c>
    </row>
  </sheetData>
  <mergeCells count="2">
    <mergeCell ref="A1:C1"/>
    <mergeCell ref="A2:C2"/>
  </mergeCells>
  <dataValidations count="1">
    <dataValidation sqref="B35 B5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2" t="inlineStr">
        <is>
          <t>Carrollton</t>
        </is>
      </c>
      <c r="C2" s="2" t="inlineStr">
        <is>
          <t>Frisco</t>
        </is>
      </c>
      <c r="D2" s="2" t="inlineStr">
        <is>
          <t>Lewisville</t>
        </is>
      </c>
      <c r="E2" s="2" t="inlineStr">
        <is>
          <t>Mesquite</t>
        </is>
      </c>
      <c r="F2" s="2" t="inlineStr">
        <is>
          <t>Plano</t>
        </is>
      </c>
      <c r="G2" s="2" t="inlineStr">
        <is>
          <t>Roanoke</t>
        </is>
      </c>
      <c r="H2" s="2" t="inlineStr">
        <is>
          <t>Portfolio</t>
        </is>
      </c>
    </row>
    <row r="3">
      <c r="A3" s="3" t="inlineStr">
        <is>
          <t>Property ID</t>
        </is>
      </c>
      <c r="B3" s="27" t="inlineStr">
        <is>
          <t>CAR</t>
        </is>
      </c>
      <c r="C3" s="27" t="inlineStr">
        <is>
          <t>FRI</t>
        </is>
      </c>
      <c r="D3" s="27" t="inlineStr">
        <is>
          <t>LEW</t>
        </is>
      </c>
      <c r="E3" s="27" t="inlineStr">
        <is>
          <t>MES</t>
        </is>
      </c>
      <c r="F3" s="27" t="inlineStr">
        <is>
          <t>PLA</t>
        </is>
      </c>
      <c r="G3" s="27" t="inlineStr">
        <is>
          <t>ROA</t>
        </is>
      </c>
    </row>
    <row r="4">
      <c r="A4" s="3" t="inlineStr">
        <is>
          <t>Total SF</t>
        </is>
      </c>
      <c r="B4" s="4" t="n">
        <v>101855</v>
      </c>
      <c r="C4" s="4" t="n">
        <v>74600</v>
      </c>
      <c r="D4" s="4" t="n">
        <v>69500</v>
      </c>
      <c r="E4" s="4" t="n">
        <v>50750</v>
      </c>
      <c r="F4" s="4" t="n">
        <v>82250</v>
      </c>
      <c r="G4" s="4" t="n">
        <v>51595</v>
      </c>
      <c r="H4" s="28">
        <f>SUM(B4:G4)</f>
        <v/>
      </c>
    </row>
    <row r="5">
      <c r="A5" s="3" t="inlineStr">
        <is>
          <t>Office SF</t>
        </is>
      </c>
      <c r="B5" s="4" t="n">
        <v>43046</v>
      </c>
      <c r="C5" s="4" t="n">
        <v>37300</v>
      </c>
      <c r="D5" s="4" t="n">
        <v>31960</v>
      </c>
      <c r="E5" s="4" t="n">
        <v>21225</v>
      </c>
      <c r="F5" s="4" t="n">
        <v>41125</v>
      </c>
      <c r="G5" s="4" t="n">
        <v>18465</v>
      </c>
      <c r="H5" s="28">
        <f>SUM(B5:G5)</f>
        <v/>
      </c>
    </row>
    <row r="6">
      <c r="A6" s="3" t="inlineStr">
        <is>
          <t>Office %</t>
        </is>
      </c>
      <c r="B6" s="9" t="n">
        <v>0.42</v>
      </c>
      <c r="C6" s="9" t="n">
        <v>0.5</v>
      </c>
      <c r="D6" s="9" t="n">
        <v>0.46</v>
      </c>
      <c r="E6" s="9" t="n">
        <v>0.42</v>
      </c>
      <c r="F6" s="9" t="n">
        <v>0.5</v>
      </c>
      <c r="G6" s="9" t="n">
        <v>0.36</v>
      </c>
    </row>
    <row r="7">
      <c r="A7" s="3" t="inlineStr">
        <is>
          <t>Land Acres</t>
        </is>
      </c>
      <c r="B7" s="7" t="n">
        <v>7.47</v>
      </c>
      <c r="C7" s="7" t="n">
        <v>5.16</v>
      </c>
      <c r="D7" s="7" t="n">
        <v>4.5</v>
      </c>
      <c r="E7" s="7" t="n">
        <v>3.45</v>
      </c>
      <c r="F7" s="29" t="n">
        <v>5.5</v>
      </c>
      <c r="G7" s="7" t="n">
        <v>3.25</v>
      </c>
      <c r="H7" s="30">
        <f>SUM(B7:G7)</f>
        <v/>
      </c>
    </row>
    <row r="8">
      <c r="A8" s="3" t="inlineStr">
        <is>
          <t># Buildings</t>
        </is>
      </c>
      <c r="B8" s="6" t="n">
        <v>4</v>
      </c>
      <c r="C8" s="6" t="n">
        <v>3</v>
      </c>
      <c r="D8" s="6" t="n">
        <v>3</v>
      </c>
      <c r="E8" s="6" t="n">
        <v>2</v>
      </c>
      <c r="F8" s="6" t="n">
        <v>3</v>
      </c>
      <c r="G8" s="6" t="n">
        <v>2</v>
      </c>
      <c r="H8" s="31">
        <f>SUM(B8:G8)</f>
        <v/>
      </c>
    </row>
    <row r="9">
      <c r="A9" s="3" t="inlineStr">
        <is>
          <t># Units</t>
        </is>
      </c>
      <c r="B9" s="6" t="n">
        <v>36</v>
      </c>
      <c r="C9" s="6" t="n">
        <v>28</v>
      </c>
      <c r="D9" s="6" t="n">
        <v>28</v>
      </c>
      <c r="E9" s="6" t="n">
        <v>22</v>
      </c>
      <c r="F9" s="6" t="n">
        <v>30</v>
      </c>
      <c r="G9" s="6" t="n">
        <v>18</v>
      </c>
      <c r="H9" s="31">
        <f>SUM(B9:G9)</f>
        <v/>
      </c>
    </row>
    <row r="10">
      <c r="A10" s="3" t="inlineStr">
        <is>
          <t>Year Built</t>
        </is>
      </c>
      <c r="B10" s="6" t="n">
        <v>2023</v>
      </c>
      <c r="C10" s="6" t="n">
        <v>2024</v>
      </c>
      <c r="D10" s="6" t="n">
        <v>2023</v>
      </c>
      <c r="E10" s="6" t="n">
        <v>2022</v>
      </c>
      <c r="F10" s="6" t="n">
        <v>2023</v>
      </c>
      <c r="G10" s="6" t="n">
        <v>2025</v>
      </c>
      <c r="H10" s="31">
        <f>SUM(B10:G10)</f>
        <v/>
      </c>
    </row>
    <row r="11">
      <c r="A11" s="3" t="inlineStr">
        <is>
          <t>Parking Spaces</t>
        </is>
      </c>
      <c r="B11" s="6" t="n">
        <v>192</v>
      </c>
      <c r="C11" s="6" t="n">
        <v>161</v>
      </c>
      <c r="D11" s="6" t="n">
        <v>127</v>
      </c>
      <c r="E11" s="6" t="n">
        <v>138</v>
      </c>
      <c r="F11" s="32" t="n">
        <v>178</v>
      </c>
      <c r="G11" s="6" t="n">
        <v>131</v>
      </c>
      <c r="H11" s="31">
        <f>SUM(B11:G11)</f>
        <v/>
      </c>
    </row>
    <row r="12">
      <c r="A12" s="3" t="inlineStr">
        <is>
          <t>Secured Parking</t>
        </is>
      </c>
      <c r="B12" s="6" t="n">
        <v>41</v>
      </c>
      <c r="C12" s="6" t="n">
        <v>25</v>
      </c>
      <c r="D12" s="6" t="n">
        <v>25</v>
      </c>
      <c r="E12" s="6" t="n">
        <v>32</v>
      </c>
      <c r="F12" s="32" t="n">
        <v>30</v>
      </c>
      <c r="G12" s="6" t="n">
        <v>22</v>
      </c>
      <c r="H12" s="31">
        <f>SUM(B12:G12)</f>
        <v/>
      </c>
    </row>
    <row r="13">
      <c r="A13" s="3" t="inlineStr">
        <is>
          <t>Market Rent — Shop ($/SF)</t>
        </is>
      </c>
      <c r="B13" s="24" t="n">
        <v>18</v>
      </c>
      <c r="C13" s="24" t="n">
        <v>19</v>
      </c>
      <c r="D13" s="24" t="n">
        <v>18</v>
      </c>
      <c r="E13" s="24" t="n">
        <v>16</v>
      </c>
      <c r="F13" s="24" t="n">
        <v>19</v>
      </c>
      <c r="G13" s="24" t="n">
        <v>17</v>
      </c>
      <c r="H13" s="33">
        <f>SUM(B13:G13)</f>
        <v/>
      </c>
    </row>
    <row r="14">
      <c r="A14" s="3" t="inlineStr">
        <is>
          <t>Market Rent — Studio ($/SF)</t>
        </is>
      </c>
      <c r="B14" s="24" t="n">
        <v>16</v>
      </c>
      <c r="C14" s="24" t="n">
        <v>19</v>
      </c>
      <c r="D14" s="24" t="n">
        <v>18</v>
      </c>
      <c r="E14" s="24" t="n">
        <v>16</v>
      </c>
      <c r="F14" s="24" t="n">
        <v>19</v>
      </c>
      <c r="G14" s="24" t="n">
        <v>17</v>
      </c>
      <c r="H14" s="33">
        <f>SUM(B14:G14)</f>
        <v/>
      </c>
    </row>
    <row r="15">
      <c r="A15" s="3" t="inlineStr">
        <is>
          <t>2025 Assessed Value</t>
        </is>
      </c>
      <c r="B15" s="26" t="n">
        <v>17500000</v>
      </c>
      <c r="C15" s="26" t="n">
        <v>13174536</v>
      </c>
      <c r="D15" s="26" t="n">
        <v>10800000</v>
      </c>
      <c r="E15" s="26" t="n">
        <v>6168340</v>
      </c>
      <c r="F15" s="34" t="n">
        <v>14500000</v>
      </c>
      <c r="G15" s="26" t="n">
        <v>8839548</v>
      </c>
      <c r="H15" s="15">
        <f>SUM(B15:G15)</f>
        <v/>
      </c>
    </row>
    <row r="16">
      <c r="A16" s="3" t="inlineStr">
        <is>
          <t>Millage Rate</t>
        </is>
      </c>
      <c r="B16" s="23" t="n">
        <v>0.02059675</v>
      </c>
      <c r="C16" s="23" t="n">
        <v>0.0167548</v>
      </c>
      <c r="D16" s="23" t="n">
        <v>0.01722747</v>
      </c>
      <c r="E16" s="23" t="n">
        <v>0.02345667</v>
      </c>
      <c r="F16" s="35" t="n">
        <v>0.02</v>
      </c>
      <c r="G16" s="23" t="n">
        <v>0.0159622</v>
      </c>
    </row>
    <row r="17">
      <c r="A17" s="3" t="inlineStr">
        <is>
          <t>Parcel</t>
        </is>
      </c>
      <c r="B17" s="27" t="inlineStr">
        <is>
          <t>Dallas CAD #140067300A01R0000</t>
        </is>
      </c>
      <c r="C17" s="27" t="inlineStr">
        <is>
          <t>Collin CAD #2761885</t>
        </is>
      </c>
      <c r="D17" s="27" t="inlineStr">
        <is>
          <t>Denton CAD #983656</t>
        </is>
      </c>
      <c r="E17" s="27" t="inlineStr">
        <is>
          <t>Dallas CAD #380215100D0060000</t>
        </is>
      </c>
      <c r="F17" s="36" t="inlineStr">
        <is>
          <t>ESTIMATED — confirm with seller</t>
        </is>
      </c>
      <c r="G17" s="27" t="inlineStr">
        <is>
          <t>Denton CAD #742232, #742233, #742235</t>
        </is>
      </c>
    </row>
    <row r="18">
      <c r="A18" s="3" t="inlineStr">
        <is>
          <t>In-Place NOI (OM)</t>
        </is>
      </c>
      <c r="B18" s="26" t="n">
        <v>1581944</v>
      </c>
      <c r="C18" s="26" t="n">
        <v>1365615</v>
      </c>
      <c r="D18" s="26" t="n">
        <v>1189505</v>
      </c>
      <c r="E18" s="26" t="n">
        <v>455529</v>
      </c>
      <c r="F18" s="34" t="n">
        <v>1050000</v>
      </c>
      <c r="G18" s="26" t="n">
        <v>366683</v>
      </c>
      <c r="H18" s="15">
        <f>SUM(B18:G18)</f>
        <v/>
      </c>
    </row>
    <row r="19">
      <c r="A19" s="3" t="inlineStr">
        <is>
          <t>FY27 NOI (OM Proforma)</t>
        </is>
      </c>
      <c r="B19" s="5" t="n">
        <v>1723687</v>
      </c>
      <c r="C19" s="5" t="n">
        <v>1376978</v>
      </c>
      <c r="D19" s="5" t="n">
        <v>1187939</v>
      </c>
      <c r="E19" s="5" t="n">
        <v>682764</v>
      </c>
      <c r="F19" s="34" t="n">
        <v>1100000</v>
      </c>
      <c r="G19" s="5" t="n">
        <v>803301</v>
      </c>
      <c r="H19" s="15">
        <f>SUM(B19:G19)</f>
        <v/>
      </c>
    </row>
    <row r="20">
      <c r="A20" s="3" t="inlineStr">
        <is>
          <t>FY27 CAM</t>
        </is>
      </c>
      <c r="B20" s="26" t="n">
        <v>238800</v>
      </c>
      <c r="C20" s="26" t="n">
        <v>169748</v>
      </c>
      <c r="D20" s="26" t="n">
        <v>166856</v>
      </c>
      <c r="E20" s="26" t="n">
        <v>127914</v>
      </c>
      <c r="F20" s="34" t="n">
        <v>187130</v>
      </c>
      <c r="G20" s="26" t="n">
        <v>110358</v>
      </c>
      <c r="H20" s="15">
        <f>SUM(B20:G20)</f>
        <v/>
      </c>
    </row>
    <row r="21">
      <c r="A21" s="3" t="inlineStr">
        <is>
          <t>FY27 Utilities</t>
        </is>
      </c>
      <c r="B21" s="26" t="n">
        <v>118489</v>
      </c>
      <c r="C21" s="26" t="n">
        <v>81730</v>
      </c>
      <c r="D21" s="26" t="n">
        <v>91790</v>
      </c>
      <c r="E21" s="26" t="n">
        <v>46757</v>
      </c>
      <c r="F21" s="34" t="n">
        <v>90000</v>
      </c>
      <c r="G21" s="26" t="n">
        <v>103125</v>
      </c>
      <c r="H21" s="15">
        <f>SUM(B21:G21)</f>
        <v/>
      </c>
    </row>
    <row r="22">
      <c r="A22" s="3" t="inlineStr">
        <is>
          <t>FY27 Management Fee</t>
        </is>
      </c>
      <c r="B22" s="26" t="n">
        <v>105166</v>
      </c>
      <c r="C22" s="26" t="n">
        <v>80187</v>
      </c>
      <c r="D22" s="26" t="n">
        <v>70523</v>
      </c>
      <c r="E22" s="26" t="n">
        <v>43482</v>
      </c>
      <c r="F22" s="34" t="n">
        <v>88000</v>
      </c>
      <c r="G22" s="26" t="n">
        <v>50335</v>
      </c>
      <c r="H22" s="15">
        <f>SUM(B22:G22)</f>
        <v/>
      </c>
    </row>
    <row r="23">
      <c r="A23" s="3" t="inlineStr">
        <is>
          <t>FY27 Insurance</t>
        </is>
      </c>
      <c r="B23" s="26" t="n">
        <v>78963</v>
      </c>
      <c r="C23" s="26" t="n">
        <v>73087</v>
      </c>
      <c r="D23" s="26" t="n">
        <v>58043</v>
      </c>
      <c r="E23" s="26" t="n">
        <v>39986</v>
      </c>
      <c r="F23" s="34" t="n">
        <v>80650</v>
      </c>
      <c r="G23" s="26" t="n">
        <v>48744</v>
      </c>
      <c r="H23" s="15">
        <f>SUM(B23:G23)</f>
        <v/>
      </c>
    </row>
    <row r="24">
      <c r="A24" s="3" t="inlineStr">
        <is>
          <t>FY27 RE Taxes</t>
        </is>
      </c>
      <c r="B24" s="26" t="n">
        <v>364047</v>
      </c>
      <c r="C24" s="26" t="n">
        <v>222944</v>
      </c>
      <c r="D24" s="26" t="n">
        <v>187918</v>
      </c>
      <c r="E24" s="26" t="n">
        <v>146136</v>
      </c>
      <c r="F24" s="34" t="n">
        <v>290000</v>
      </c>
      <c r="G24" s="26" t="n">
        <v>142510</v>
      </c>
      <c r="H24" s="15">
        <f>SUM(B24:G24)</f>
        <v/>
      </c>
    </row>
    <row r="25">
      <c r="A25" s="3" t="inlineStr">
        <is>
          <t>FY27 Tenant Upgrade Rent</t>
        </is>
      </c>
      <c r="B25" s="26" t="n">
        <v>108444</v>
      </c>
      <c r="C25" s="26" t="n">
        <v>54160</v>
      </c>
      <c r="D25" s="26" t="n">
        <v>116942</v>
      </c>
      <c r="E25" s="26" t="n">
        <v>50992</v>
      </c>
      <c r="F25" s="34" t="n">
        <v>80000</v>
      </c>
      <c r="G25" s="26" t="n">
        <v>47411</v>
      </c>
      <c r="H25" s="15">
        <f>SUM(B25:G25)</f>
        <v/>
      </c>
    </row>
    <row r="26">
      <c r="A26" s="3" t="inlineStr">
        <is>
          <t>FY27 Parking Rent</t>
        </is>
      </c>
      <c r="B26" s="26" t="n">
        <v>89347</v>
      </c>
      <c r="C26" s="26" t="n">
        <v>32227</v>
      </c>
      <c r="D26" s="26" t="n">
        <v>26438</v>
      </c>
      <c r="E26" s="26" t="n">
        <v>5664</v>
      </c>
      <c r="F26" s="34" t="n">
        <v>35000</v>
      </c>
      <c r="G26" s="26" t="n">
        <v>15169</v>
      </c>
      <c r="H26" s="15">
        <f>SUM(B26:G26)</f>
        <v/>
      </c>
    </row>
    <row r="28">
      <c r="A28" s="2" t="inlineStr">
        <is>
          <t>PRICE ALLOCATION</t>
        </is>
      </c>
    </row>
    <row r="29">
      <c r="A29" s="3" t="inlineStr">
        <is>
          <t>Allocation % (editable — default: NOI-weighted)</t>
        </is>
      </c>
      <c r="B29" s="23">
        <f>B18/$H$18</f>
        <v/>
      </c>
      <c r="C29" s="23">
        <f>C18/$H$18</f>
        <v/>
      </c>
      <c r="D29" s="23">
        <f>D18/$H$18</f>
        <v/>
      </c>
      <c r="E29" s="23">
        <f>E18/$H$18</f>
        <v/>
      </c>
      <c r="F29" s="23">
        <f>F18/$H$18</f>
        <v/>
      </c>
      <c r="G29" s="23">
        <f>G18/$H$18</f>
        <v/>
      </c>
      <c r="H29" s="37">
        <f>SUM(B29:G29)</f>
        <v/>
      </c>
    </row>
    <row r="30">
      <c r="A30" s="3" t="inlineStr">
        <is>
          <t>Allocated Price ($)</t>
        </is>
      </c>
      <c r="B30" s="5">
        <f>PurchasePrice*B29</f>
        <v/>
      </c>
      <c r="C30" s="5">
        <f>PurchasePrice*C29</f>
        <v/>
      </c>
      <c r="D30" s="5">
        <f>PurchasePrice*D29</f>
        <v/>
      </c>
      <c r="E30" s="5">
        <f>PurchasePrice*E29</f>
        <v/>
      </c>
      <c r="F30" s="5">
        <f>PurchasePrice*F29</f>
        <v/>
      </c>
      <c r="G30" s="5">
        <f>PurchasePrice*G29</f>
        <v/>
      </c>
      <c r="H30" s="15">
        <f>SUM(B30:G30)</f>
        <v/>
      </c>
    </row>
    <row r="31">
      <c r="A31" s="3" t="inlineStr">
        <is>
          <t>Implied Cap Rate (on In-Place NOI)</t>
        </is>
      </c>
      <c r="B31" s="9">
        <f>IFERROR(B18/B30,0)</f>
        <v/>
      </c>
      <c r="C31" s="9">
        <f>IFERROR(C18/C30,0)</f>
        <v/>
      </c>
      <c r="D31" s="9">
        <f>IFERROR(D18/D30,0)</f>
        <v/>
      </c>
      <c r="E31" s="9">
        <f>IFERROR(E18/E30,0)</f>
        <v/>
      </c>
      <c r="F31" s="9">
        <f>IFERROR(F18/F30,0)</f>
        <v/>
      </c>
      <c r="G31" s="9">
        <f>IFERROR(G18/G30,0)</f>
        <v/>
      </c>
      <c r="H31" s="37">
        <f>IFERROR($H$18/$H$30,0)</f>
        <v/>
      </c>
    </row>
    <row r="32">
      <c r="A32" s="3" t="inlineStr">
        <is>
          <t>Implied $/SF</t>
        </is>
      </c>
      <c r="B32" s="10">
        <f>IFERROR(B30/B4,0)</f>
        <v/>
      </c>
      <c r="C32" s="10">
        <f>IFERROR(C30/C4,0)</f>
        <v/>
      </c>
      <c r="D32" s="10">
        <f>IFERROR(D30/D4,0)</f>
        <v/>
      </c>
      <c r="E32" s="10">
        <f>IFERROR(E30/E4,0)</f>
        <v/>
      </c>
      <c r="F32" s="10">
        <f>IFERROR(F30/F4,0)</f>
        <v/>
      </c>
      <c r="G32" s="10">
        <f>IFERROR(G30/G4,0)</f>
        <v/>
      </c>
      <c r="H32" s="33">
        <f>IFERROR($H$30/$H$4,0)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17" t="inlineStr">
        <is>
          <t>Defaults to OM values. Edit per property/unit type to override global assumptions.</t>
        </is>
      </c>
    </row>
    <row r="4">
      <c r="A4" s="38" t="inlineStr">
        <is>
          <t>Property / Unit Type</t>
        </is>
      </c>
      <c r="B4" s="38" t="inlineStr">
        <is>
          <t>Unit Type</t>
        </is>
      </c>
      <c r="C4" s="38" t="inlineStr">
        <is>
          <t>Market Rent ($/SF)</t>
        </is>
      </c>
      <c r="D4" s="38" t="inlineStr">
        <is>
          <t>Rent Growth</t>
        </is>
      </c>
      <c r="E4" s="38" t="inlineStr">
        <is>
          <t>In-Lease Escalator</t>
        </is>
      </c>
      <c r="F4" s="38" t="inlineStr">
        <is>
          <t>Lease Term (mo)</t>
        </is>
      </c>
      <c r="G4" s="38" t="inlineStr">
        <is>
          <t>TI New $/SF</t>
        </is>
      </c>
      <c r="H4" s="38" t="inlineStr">
        <is>
          <t>TI Renewal $/SF</t>
        </is>
      </c>
      <c r="I4" s="38" t="inlineStr">
        <is>
          <t>LC New %</t>
        </is>
      </c>
      <c r="J4" s="38" t="inlineStr">
        <is>
          <t>LC Renewal %</t>
        </is>
      </c>
      <c r="K4" s="38" t="inlineStr">
        <is>
          <t>Downtime New (mo)</t>
        </is>
      </c>
      <c r="L4" s="38" t="inlineStr">
        <is>
          <t>Retention %</t>
        </is>
      </c>
    </row>
    <row r="5">
      <c r="A5" s="3" t="inlineStr">
        <is>
          <t>Carrollton — Shop</t>
        </is>
      </c>
      <c r="B5" s="3" t="inlineStr">
        <is>
          <t>Shop</t>
        </is>
      </c>
      <c r="C5" s="24" t="n">
        <v>18</v>
      </c>
      <c r="D5" s="9">
        <f>GrowthMarketRent</f>
        <v/>
      </c>
      <c r="E5" s="9">
        <f>EscalatorInLease</f>
        <v/>
      </c>
      <c r="F5" s="6">
        <f>LeaseTermMonths</f>
        <v/>
      </c>
      <c r="G5" s="10">
        <f>TINew</f>
        <v/>
      </c>
      <c r="H5" s="10">
        <f>TIRenewal</f>
        <v/>
      </c>
      <c r="I5" s="9">
        <f>LCNew</f>
        <v/>
      </c>
      <c r="J5" s="9">
        <f>LCRenewal</f>
        <v/>
      </c>
      <c r="K5" s="6">
        <f>DowntimeNew</f>
        <v/>
      </c>
      <c r="L5" s="9">
        <f>Retention</f>
        <v/>
      </c>
    </row>
    <row r="6">
      <c r="A6" s="3" t="inlineStr">
        <is>
          <t>Carrollton — Studio</t>
        </is>
      </c>
      <c r="B6" s="3" t="inlineStr">
        <is>
          <t>Studio</t>
        </is>
      </c>
      <c r="C6" s="24" t="n">
        <v>16</v>
      </c>
      <c r="D6" s="9">
        <f>GrowthMarketRent</f>
        <v/>
      </c>
      <c r="E6" s="9">
        <f>EscalatorInLease</f>
        <v/>
      </c>
      <c r="F6" s="6">
        <f>LeaseTermMonths</f>
        <v/>
      </c>
      <c r="G6" s="10">
        <f>TINew</f>
        <v/>
      </c>
      <c r="H6" s="10">
        <f>TIRenewal</f>
        <v/>
      </c>
      <c r="I6" s="9">
        <f>LCNew</f>
        <v/>
      </c>
      <c r="J6" s="9">
        <f>LCRenewal</f>
        <v/>
      </c>
      <c r="K6" s="6">
        <f>DowntimeNew</f>
        <v/>
      </c>
      <c r="L6" s="9">
        <f>Retention</f>
        <v/>
      </c>
    </row>
    <row r="7">
      <c r="A7" s="3" t="inlineStr">
        <is>
          <t>Frisco</t>
        </is>
      </c>
      <c r="B7" s="3" t="inlineStr">
        <is>
          <t>All</t>
        </is>
      </c>
      <c r="C7" s="24" t="n">
        <v>19</v>
      </c>
      <c r="D7" s="9">
        <f>GrowthMarketRent</f>
        <v/>
      </c>
      <c r="E7" s="9">
        <f>EscalatorInLease</f>
        <v/>
      </c>
      <c r="F7" s="6">
        <f>LeaseTermMonths</f>
        <v/>
      </c>
      <c r="G7" s="10">
        <f>TINew</f>
        <v/>
      </c>
      <c r="H7" s="10">
        <f>TIRenewal</f>
        <v/>
      </c>
      <c r="I7" s="9">
        <f>LCNew</f>
        <v/>
      </c>
      <c r="J7" s="9">
        <f>LCRenewal</f>
        <v/>
      </c>
      <c r="K7" s="6">
        <f>DowntimeNew</f>
        <v/>
      </c>
      <c r="L7" s="9">
        <f>Retention</f>
        <v/>
      </c>
    </row>
    <row r="8">
      <c r="A8" s="3" t="inlineStr">
        <is>
          <t>Lewisville</t>
        </is>
      </c>
      <c r="B8" s="3" t="inlineStr">
        <is>
          <t>All</t>
        </is>
      </c>
      <c r="C8" s="24" t="n">
        <v>18</v>
      </c>
      <c r="D8" s="9">
        <f>GrowthMarketRent</f>
        <v/>
      </c>
      <c r="E8" s="9">
        <f>EscalatorInLease</f>
        <v/>
      </c>
      <c r="F8" s="6">
        <f>LeaseTermMonths</f>
        <v/>
      </c>
      <c r="G8" s="10">
        <f>TINew</f>
        <v/>
      </c>
      <c r="H8" s="10">
        <f>TIRenewal</f>
        <v/>
      </c>
      <c r="I8" s="9">
        <f>LCNew</f>
        <v/>
      </c>
      <c r="J8" s="9">
        <f>LCRenewal</f>
        <v/>
      </c>
      <c r="K8" s="6">
        <f>DowntimeNew</f>
        <v/>
      </c>
      <c r="L8" s="9">
        <f>Retention</f>
        <v/>
      </c>
    </row>
    <row r="9">
      <c r="A9" s="3" t="inlineStr">
        <is>
          <t>Mesquite</t>
        </is>
      </c>
      <c r="B9" s="3" t="inlineStr">
        <is>
          <t>All</t>
        </is>
      </c>
      <c r="C9" s="24" t="n">
        <v>16</v>
      </c>
      <c r="D9" s="9">
        <f>GrowthMarketRent</f>
        <v/>
      </c>
      <c r="E9" s="9">
        <f>EscalatorInLease</f>
        <v/>
      </c>
      <c r="F9" s="6">
        <f>LeaseTermMonths</f>
        <v/>
      </c>
      <c r="G9" s="10">
        <f>TINew</f>
        <v/>
      </c>
      <c r="H9" s="10">
        <f>TIRenewal</f>
        <v/>
      </c>
      <c r="I9" s="9">
        <f>LCNew</f>
        <v/>
      </c>
      <c r="J9" s="9">
        <f>LCRenewal</f>
        <v/>
      </c>
      <c r="K9" s="6">
        <f>DowntimeNew</f>
        <v/>
      </c>
      <c r="L9" s="9">
        <f>Retention</f>
        <v/>
      </c>
    </row>
    <row r="10">
      <c r="A10" s="3" t="inlineStr">
        <is>
          <t>Plano</t>
        </is>
      </c>
      <c r="B10" s="3" t="inlineStr">
        <is>
          <t>All</t>
        </is>
      </c>
      <c r="C10" s="24" t="n">
        <v>19</v>
      </c>
      <c r="D10" s="9">
        <f>GrowthMarketRent</f>
        <v/>
      </c>
      <c r="E10" s="9">
        <f>EscalatorInLease</f>
        <v/>
      </c>
      <c r="F10" s="6">
        <f>LeaseTermMonths</f>
        <v/>
      </c>
      <c r="G10" s="10">
        <f>TINew</f>
        <v/>
      </c>
      <c r="H10" s="10">
        <f>TIRenewal</f>
        <v/>
      </c>
      <c r="I10" s="9">
        <f>LCNew</f>
        <v/>
      </c>
      <c r="J10" s="9">
        <f>LCRenewal</f>
        <v/>
      </c>
      <c r="K10" s="6">
        <f>DowntimeNew</f>
        <v/>
      </c>
      <c r="L10" s="9">
        <f>Retention</f>
        <v/>
      </c>
    </row>
    <row r="11">
      <c r="A11" s="3" t="inlineStr">
        <is>
          <t>Roanoke</t>
        </is>
      </c>
      <c r="B11" s="3" t="inlineStr">
        <is>
          <t>All</t>
        </is>
      </c>
      <c r="C11" s="24" t="n">
        <v>17</v>
      </c>
      <c r="D11" s="9">
        <f>GrowthMarketRent</f>
        <v/>
      </c>
      <c r="E11" s="9">
        <f>EscalatorInLease</f>
        <v/>
      </c>
      <c r="F11" s="6">
        <f>LeaseTermMonths</f>
        <v/>
      </c>
      <c r="G11" s="10">
        <f>TINew</f>
        <v/>
      </c>
      <c r="H11" s="10">
        <f>TIRenewal</f>
        <v/>
      </c>
      <c r="I11" s="9">
        <f>LCNew</f>
        <v/>
      </c>
      <c r="J11" s="9">
        <f>LCRenewal</f>
        <v/>
      </c>
      <c r="K11" s="6">
        <f>DowntimeNew</f>
        <v/>
      </c>
      <c r="L11" s="9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17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2" t="inlineStr">
        <is>
          <t>Property</t>
        </is>
      </c>
      <c r="B4" s="2" t="inlineStr">
        <is>
          <t>Suite</t>
        </is>
      </c>
      <c r="C4" s="2" t="inlineStr">
        <is>
          <t>Tenant</t>
        </is>
      </c>
      <c r="D4" s="2" t="inlineStr">
        <is>
          <t>SF</t>
        </is>
      </c>
      <c r="E4" s="2" t="inlineStr">
        <is>
          <t>Lease Start</t>
        </is>
      </c>
      <c r="F4" s="2" t="inlineStr">
        <is>
          <t>Lease End</t>
        </is>
      </c>
      <c r="G4" s="2" t="inlineStr">
        <is>
          <t>In-Place PSF</t>
        </is>
      </c>
      <c r="H4" s="2" t="inlineStr">
        <is>
          <t>Market PSF</t>
        </is>
      </c>
      <c r="I4" s="2" t="inlineStr">
        <is>
          <t>Treatment</t>
        </is>
      </c>
      <c r="J4" s="2" t="inlineStr">
        <is>
          <t>Unit Type</t>
        </is>
      </c>
      <c r="K4" s="2" t="inlineStr">
        <is>
          <t>Status</t>
        </is>
      </c>
      <c r="L4" s="2" t="inlineStr">
        <is>
          <t>Notes</t>
        </is>
      </c>
      <c r="M4" s="2" t="inlineStr">
        <is>
          <t>YrsAtStart</t>
        </is>
      </c>
      <c r="N4" s="38" t="inlineStr">
        <is>
          <t>BaseRent FY27</t>
        </is>
      </c>
      <c r="O4" s="38" t="inlineStr">
        <is>
          <t>BaseRent FY28</t>
        </is>
      </c>
      <c r="P4" s="38" t="inlineStr">
        <is>
          <t>BaseRent FY29</t>
        </is>
      </c>
      <c r="Q4" s="38" t="inlineStr">
        <is>
          <t>BaseRent FY30</t>
        </is>
      </c>
      <c r="R4" s="38" t="inlineStr">
        <is>
          <t>BaseRent FY31</t>
        </is>
      </c>
      <c r="S4" s="38" t="inlineStr">
        <is>
          <t>BaseRent FY32</t>
        </is>
      </c>
      <c r="T4" s="38" t="inlineStr">
        <is>
          <t>BaseRent FY33</t>
        </is>
      </c>
      <c r="U4" s="38" t="inlineStr">
        <is>
          <t>BaseRent FY34</t>
        </is>
      </c>
      <c r="V4" s="38" t="inlineStr">
        <is>
          <t>BaseRent FY35</t>
        </is>
      </c>
      <c r="W4" s="38" t="inlineStr">
        <is>
          <t>BaseRent FY36</t>
        </is>
      </c>
      <c r="X4" s="38" t="inlineStr">
        <is>
          <t>BaseRent FY37</t>
        </is>
      </c>
      <c r="Y4" s="38" t="inlineStr">
        <is>
          <t>Capital FY27</t>
        </is>
      </c>
      <c r="Z4" s="38" t="inlineStr">
        <is>
          <t>Capital FY28</t>
        </is>
      </c>
      <c r="AA4" s="38" t="inlineStr">
        <is>
          <t>Capital FY29</t>
        </is>
      </c>
      <c r="AB4" s="38" t="inlineStr">
        <is>
          <t>Capital FY30</t>
        </is>
      </c>
      <c r="AC4" s="38" t="inlineStr">
        <is>
          <t>Capital FY31</t>
        </is>
      </c>
      <c r="AD4" s="38" t="inlineStr">
        <is>
          <t>Capital FY32</t>
        </is>
      </c>
      <c r="AE4" s="38" t="inlineStr">
        <is>
          <t>Capital FY33</t>
        </is>
      </c>
      <c r="AF4" s="38" t="inlineStr">
        <is>
          <t>Capital FY34</t>
        </is>
      </c>
      <c r="AG4" s="38" t="inlineStr">
        <is>
          <t>Capital FY35</t>
        </is>
      </c>
      <c r="AH4" s="38" t="inlineStr">
        <is>
          <t>Capital FY36</t>
        </is>
      </c>
      <c r="AI4" s="38" t="inlineStr">
        <is>
          <t>Capital FY37</t>
        </is>
      </c>
      <c r="AJ4" s="38" t="inlineStr">
        <is>
          <t>Downtime FY27</t>
        </is>
      </c>
      <c r="AK4" s="38" t="inlineStr">
        <is>
          <t>Downtime FY28</t>
        </is>
      </c>
      <c r="AL4" s="38" t="inlineStr">
        <is>
          <t>Downtime FY29</t>
        </is>
      </c>
      <c r="AM4" s="38" t="inlineStr">
        <is>
          <t>Downtime FY30</t>
        </is>
      </c>
      <c r="AN4" s="38" t="inlineStr">
        <is>
          <t>Downtime FY31</t>
        </is>
      </c>
      <c r="AO4" s="38" t="inlineStr">
        <is>
          <t>Downtime FY32</t>
        </is>
      </c>
      <c r="AP4" s="38" t="inlineStr">
        <is>
          <t>Downtime FY33</t>
        </is>
      </c>
      <c r="AQ4" s="38" t="inlineStr">
        <is>
          <t>Downtime FY34</t>
        </is>
      </c>
      <c r="AR4" s="38" t="inlineStr">
        <is>
          <t>Downtime FY35</t>
        </is>
      </c>
      <c r="AS4" s="38" t="inlineStr">
        <is>
          <t>Downtime FY36</t>
        </is>
      </c>
      <c r="AT4" s="38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9" t="n">
        <v>2600</v>
      </c>
      <c r="E5" s="40" t="n">
        <v>45200</v>
      </c>
      <c r="F5" s="40" t="n">
        <v>46447</v>
      </c>
      <c r="G5" s="41" t="n">
        <v>14.9715384615385</v>
      </c>
      <c r="H5" s="10">
        <f>VLOOKUP("Carrollton — "&amp;J5,MLA!$A$5:$L$11,3,FALSE)</f>
        <v/>
      </c>
      <c r="I5" s="25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7">
        <f>IF(E5="",0,(AnalysisStart-E5)/365.25)</f>
        <v/>
      </c>
      <c r="N5" s="5">
        <f>IFERROR(IF(I5="LeaseUp",H5*D5*(1+GrowthMarketRent)^0*IF(0=0,(12-DowntimeNew)/12,1),IF(F5="",0,IF(F5&gt;=DATE(2027+0,4,30),G5*D5*(1+EscalatorInLease)^0,IF(F5&lt;DATE(2026+0,5,1),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,((F5-DATE(2026+0,5,1))/365.25)*G5*D5*(1+EscalatorInLease)^0+((DATE(2027+0,4,30)-F5)/365.25)*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)))),0)</f>
        <v/>
      </c>
      <c r="O5" s="5">
        <f>IFERROR(IF(I5="LeaseUp",H5*D5*(1+GrowthMarketRent)^1*IF(1=0,(12-DowntimeNew)/12,1),IF(F5="",0,IF(F5&gt;=DATE(2027+1,4,30),G5*D5*(1+EscalatorInLease)^1,IF(F5&lt;DATE(2026+1,5,1),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,((F5-DATE(2026+1,5,1))/365.25)*G5*D5*(1+EscalatorInLease)^1+((DATE(2027+1,4,30)-F5)/365.25)*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)))),0)</f>
        <v/>
      </c>
      <c r="P5" s="5">
        <f>IFERROR(IF(I5="LeaseUp",H5*D5*(1+GrowthMarketRent)^2*IF(2=0,(12-DowntimeNew)/12,1),IF(F5="",0,IF(F5&gt;=DATE(2027+2,4,30),G5*D5*(1+EscalatorInLease)^2,IF(F5&lt;DATE(2026+2,5,1),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,((F5-DATE(2026+2,5,1))/365.25)*G5*D5*(1+EscalatorInLease)^2+((DATE(2027+2,4,30)-F5)/365.25)*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)))),0)</f>
        <v/>
      </c>
      <c r="Q5" s="5">
        <f>IFERROR(IF(I5="LeaseUp",H5*D5*(1+GrowthMarketRent)^3*IF(3=0,(12-DowntimeNew)/12,1),IF(F5="",0,IF(F5&gt;=DATE(2027+3,4,30),G5*D5*(1+EscalatorInLease)^3,IF(F5&lt;DATE(2026+3,5,1),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,((F5-DATE(2026+3,5,1))/365.25)*G5*D5*(1+EscalatorInLease)^3+((DATE(2027+3,4,30)-F5)/365.25)*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)))),0)</f>
        <v/>
      </c>
      <c r="R5" s="5">
        <f>IFERROR(IF(I5="LeaseUp",H5*D5*(1+GrowthMarketRent)^4*IF(4=0,(12-DowntimeNew)/12,1),IF(F5="",0,IF(F5&gt;=DATE(2027+4,4,30),G5*D5*(1+EscalatorInLease)^4,IF(F5&lt;DATE(2026+4,5,1),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,((F5-DATE(2026+4,5,1))/365.25)*G5*D5*(1+EscalatorInLease)^4+((DATE(2027+4,4,30)-F5)/365.25)*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)))),0)</f>
        <v/>
      </c>
      <c r="S5" s="5">
        <f>IFERROR(IF(I5="LeaseUp",H5*D5*(1+GrowthMarketRent)^5*IF(5=0,(12-DowntimeNew)/12,1),IF(F5="",0,IF(F5&gt;=DATE(2027+5,4,30),G5*D5*(1+EscalatorInLease)^5,IF(F5&lt;DATE(2026+5,5,1),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,((F5-DATE(2026+5,5,1))/365.25)*G5*D5*(1+EscalatorInLease)^5+((DATE(2027+5,4,30)-F5)/365.25)*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)))),0)</f>
        <v/>
      </c>
      <c r="T5" s="5">
        <f>IFERROR(IF(I5="LeaseUp",H5*D5*(1+GrowthMarketRent)^6*IF(6=0,(12-DowntimeNew)/12,1),IF(F5="",0,IF(F5&gt;=DATE(2027+6,4,30),G5*D5*(1+EscalatorInLease)^6,IF(F5&lt;DATE(2026+6,5,1),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,((F5-DATE(2026+6,5,1))/365.25)*G5*D5*(1+EscalatorInLease)^6+((DATE(2027+6,4,30)-F5)/365.25)*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)))),0)</f>
        <v/>
      </c>
      <c r="U5" s="5">
        <f>IFERROR(IF(I5="LeaseUp",H5*D5*(1+GrowthMarketRent)^7*IF(7=0,(12-DowntimeNew)/12,1),IF(F5="",0,IF(F5&gt;=DATE(2027+7,4,30),G5*D5*(1+EscalatorInLease)^7,IF(F5&lt;DATE(2026+7,5,1),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,((F5-DATE(2026+7,5,1))/365.25)*G5*D5*(1+EscalatorInLease)^7+((DATE(2027+7,4,30)-F5)/365.25)*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)))),0)</f>
        <v/>
      </c>
      <c r="V5" s="5">
        <f>IFERROR(IF(I5="LeaseUp",H5*D5*(1+GrowthMarketRent)^8*IF(8=0,(12-DowntimeNew)/12,1),IF(F5="",0,IF(F5&gt;=DATE(2027+8,4,30),G5*D5*(1+EscalatorInLease)^8,IF(F5&lt;DATE(2026+8,5,1),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,((F5-DATE(2026+8,5,1))/365.25)*G5*D5*(1+EscalatorInLease)^8+((DATE(2027+8,4,30)-F5)/365.25)*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)))),0)</f>
        <v/>
      </c>
      <c r="W5" s="5">
        <f>IFERROR(IF(I5="LeaseUp",H5*D5*(1+GrowthMarketRent)^9*IF(9=0,(12-DowntimeNew)/12,1),IF(F5="",0,IF(F5&gt;=DATE(2027+9,4,30),G5*D5*(1+EscalatorInLease)^9,IF(F5&lt;DATE(2026+9,5,1),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,((F5-DATE(2026+9,5,1))/365.25)*G5*D5*(1+EscalatorInLease)^9+((DATE(2027+9,4,30)-F5)/365.25)*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)))),0)</f>
        <v/>
      </c>
      <c r="X5" s="5">
        <f>IFERROR(IF(I5="LeaseUp",H5*D5*(1+GrowthMarketRent)^10*IF(10=0,(12-DowntimeNew)/12,1),IF(F5="",0,IF(F5&gt;=DATE(2027+10,4,30),G5*D5*(1+EscalatorInLease)^10,IF(F5&lt;DATE(2026+10,5,1),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,((F5-DATE(2026+10,5,1))/365.25)*G5*D5*(1+EscalatorInLease)^10+((DATE(2027+10,4,30)-F5)/365.25)*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)))),0)</f>
        <v/>
      </c>
      <c r="Y5" s="5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5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5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5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5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5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5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5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5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5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5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9" t="n">
        <v>2600</v>
      </c>
      <c r="E6" s="40" t="n">
        <v>45566</v>
      </c>
      <c r="F6" s="40" t="n">
        <v>46813</v>
      </c>
      <c r="G6" s="41" t="n">
        <v>16.4</v>
      </c>
      <c r="H6" s="10">
        <f>VLOOKUP("Carrollton — "&amp;J6,MLA!$A$5:$L$11,3,FALSE)</f>
        <v/>
      </c>
      <c r="I6" s="25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7">
        <f>IF(E6="",0,(AnalysisStart-E6)/365.25)</f>
        <v/>
      </c>
      <c r="N6" s="5">
        <f>IFERROR(IF(I6="LeaseUp",H6*D6*(1+GrowthMarketRent)^0*IF(0=0,(12-DowntimeNew)/12,1),IF(F6="",0,IF(F6&gt;=DATE(2027+0,4,30),G6*D6*(1+EscalatorInLease)^0,IF(F6&lt;DATE(2026+0,5,1),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,((F6-DATE(2026+0,5,1))/365.25)*G6*D6*(1+EscalatorInLease)^0+((DATE(2027+0,4,30)-F6)/365.25)*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)))),0)</f>
        <v/>
      </c>
      <c r="O6" s="5">
        <f>IFERROR(IF(I6="LeaseUp",H6*D6*(1+GrowthMarketRent)^1*IF(1=0,(12-DowntimeNew)/12,1),IF(F6="",0,IF(F6&gt;=DATE(2027+1,4,30),G6*D6*(1+EscalatorInLease)^1,IF(F6&lt;DATE(2026+1,5,1),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,((F6-DATE(2026+1,5,1))/365.25)*G6*D6*(1+EscalatorInLease)^1+((DATE(2027+1,4,30)-F6)/365.25)*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)))),0)</f>
        <v/>
      </c>
      <c r="P6" s="5">
        <f>IFERROR(IF(I6="LeaseUp",H6*D6*(1+GrowthMarketRent)^2*IF(2=0,(12-DowntimeNew)/12,1),IF(F6="",0,IF(F6&gt;=DATE(2027+2,4,30),G6*D6*(1+EscalatorInLease)^2,IF(F6&lt;DATE(2026+2,5,1),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,((F6-DATE(2026+2,5,1))/365.25)*G6*D6*(1+EscalatorInLease)^2+((DATE(2027+2,4,30)-F6)/365.25)*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)))),0)</f>
        <v/>
      </c>
      <c r="Q6" s="5">
        <f>IFERROR(IF(I6="LeaseUp",H6*D6*(1+GrowthMarketRent)^3*IF(3=0,(12-DowntimeNew)/12,1),IF(F6="",0,IF(F6&gt;=DATE(2027+3,4,30),G6*D6*(1+EscalatorInLease)^3,IF(F6&lt;DATE(2026+3,5,1),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,((F6-DATE(2026+3,5,1))/365.25)*G6*D6*(1+EscalatorInLease)^3+((DATE(2027+3,4,30)-F6)/365.25)*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)))),0)</f>
        <v/>
      </c>
      <c r="R6" s="5">
        <f>IFERROR(IF(I6="LeaseUp",H6*D6*(1+GrowthMarketRent)^4*IF(4=0,(12-DowntimeNew)/12,1),IF(F6="",0,IF(F6&gt;=DATE(2027+4,4,30),G6*D6*(1+EscalatorInLease)^4,IF(F6&lt;DATE(2026+4,5,1),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,((F6-DATE(2026+4,5,1))/365.25)*G6*D6*(1+EscalatorInLease)^4+((DATE(2027+4,4,30)-F6)/365.25)*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)))),0)</f>
        <v/>
      </c>
      <c r="S6" s="5">
        <f>IFERROR(IF(I6="LeaseUp",H6*D6*(1+GrowthMarketRent)^5*IF(5=0,(12-DowntimeNew)/12,1),IF(F6="",0,IF(F6&gt;=DATE(2027+5,4,30),G6*D6*(1+EscalatorInLease)^5,IF(F6&lt;DATE(2026+5,5,1),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,((F6-DATE(2026+5,5,1))/365.25)*G6*D6*(1+EscalatorInLease)^5+((DATE(2027+5,4,30)-F6)/365.25)*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)))),0)</f>
        <v/>
      </c>
      <c r="T6" s="5">
        <f>IFERROR(IF(I6="LeaseUp",H6*D6*(1+GrowthMarketRent)^6*IF(6=0,(12-DowntimeNew)/12,1),IF(F6="",0,IF(F6&gt;=DATE(2027+6,4,30),G6*D6*(1+EscalatorInLease)^6,IF(F6&lt;DATE(2026+6,5,1),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,((F6-DATE(2026+6,5,1))/365.25)*G6*D6*(1+EscalatorInLease)^6+((DATE(2027+6,4,30)-F6)/365.25)*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)))),0)</f>
        <v/>
      </c>
      <c r="U6" s="5">
        <f>IFERROR(IF(I6="LeaseUp",H6*D6*(1+GrowthMarketRent)^7*IF(7=0,(12-DowntimeNew)/12,1),IF(F6="",0,IF(F6&gt;=DATE(2027+7,4,30),G6*D6*(1+EscalatorInLease)^7,IF(F6&lt;DATE(2026+7,5,1),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,((F6-DATE(2026+7,5,1))/365.25)*G6*D6*(1+EscalatorInLease)^7+((DATE(2027+7,4,30)-F6)/365.25)*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)))),0)</f>
        <v/>
      </c>
      <c r="V6" s="5">
        <f>IFERROR(IF(I6="LeaseUp",H6*D6*(1+GrowthMarketRent)^8*IF(8=0,(12-DowntimeNew)/12,1),IF(F6="",0,IF(F6&gt;=DATE(2027+8,4,30),G6*D6*(1+EscalatorInLease)^8,IF(F6&lt;DATE(2026+8,5,1),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,((F6-DATE(2026+8,5,1))/365.25)*G6*D6*(1+EscalatorInLease)^8+((DATE(2027+8,4,30)-F6)/365.25)*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)))),0)</f>
        <v/>
      </c>
      <c r="W6" s="5">
        <f>IFERROR(IF(I6="LeaseUp",H6*D6*(1+GrowthMarketRent)^9*IF(9=0,(12-DowntimeNew)/12,1),IF(F6="",0,IF(F6&gt;=DATE(2027+9,4,30),G6*D6*(1+EscalatorInLease)^9,IF(F6&lt;DATE(2026+9,5,1),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,((F6-DATE(2026+9,5,1))/365.25)*G6*D6*(1+EscalatorInLease)^9+((DATE(2027+9,4,30)-F6)/365.25)*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)))),0)</f>
        <v/>
      </c>
      <c r="X6" s="5">
        <f>IFERROR(IF(I6="LeaseUp",H6*D6*(1+GrowthMarketRent)^10*IF(10=0,(12-DowntimeNew)/12,1),IF(F6="",0,IF(F6&gt;=DATE(2027+10,4,30),G6*D6*(1+EscalatorInLease)^10,IF(F6&lt;DATE(2026+10,5,1),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,((F6-DATE(2026+10,5,1))/365.25)*G6*D6*(1+EscalatorInLease)^10+((DATE(2027+10,4,30)-F6)/365.25)*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)))),0)</f>
        <v/>
      </c>
      <c r="Y6" s="5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5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5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5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5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5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5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5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5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5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5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9" t="n">
        <v>2600</v>
      </c>
      <c r="E7" s="40" t="n">
        <v>45261</v>
      </c>
      <c r="F7" s="40" t="n">
        <v>46508</v>
      </c>
      <c r="G7" s="41" t="n">
        <v>15.4965384615385</v>
      </c>
      <c r="H7" s="10">
        <f>VLOOKUP("Carrollton — "&amp;J7,MLA!$A$5:$L$11,3,FALSE)</f>
        <v/>
      </c>
      <c r="I7" s="25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7">
        <f>IF(E7="",0,(AnalysisStart-E7)/365.25)</f>
        <v/>
      </c>
      <c r="N7" s="5">
        <f>IFERROR(IF(I7="LeaseUp",H7*D7*(1+GrowthMarketRent)^0*IF(0=0,(12-DowntimeNew)/12,1),IF(F7="",0,IF(F7&gt;=DATE(2027+0,4,30),G7*D7*(1+EscalatorInLease)^0,IF(F7&lt;DATE(2026+0,5,1),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,((F7-DATE(2026+0,5,1))/365.25)*G7*D7*(1+EscalatorInLease)^0+((DATE(2027+0,4,30)-F7)/365.25)*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)))),0)</f>
        <v/>
      </c>
      <c r="O7" s="5">
        <f>IFERROR(IF(I7="LeaseUp",H7*D7*(1+GrowthMarketRent)^1*IF(1=0,(12-DowntimeNew)/12,1),IF(F7="",0,IF(F7&gt;=DATE(2027+1,4,30),G7*D7*(1+EscalatorInLease)^1,IF(F7&lt;DATE(2026+1,5,1),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,((F7-DATE(2026+1,5,1))/365.25)*G7*D7*(1+EscalatorInLease)^1+((DATE(2027+1,4,30)-F7)/365.25)*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)))),0)</f>
        <v/>
      </c>
      <c r="P7" s="5">
        <f>IFERROR(IF(I7="LeaseUp",H7*D7*(1+GrowthMarketRent)^2*IF(2=0,(12-DowntimeNew)/12,1),IF(F7="",0,IF(F7&gt;=DATE(2027+2,4,30),G7*D7*(1+EscalatorInLease)^2,IF(F7&lt;DATE(2026+2,5,1),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,((F7-DATE(2026+2,5,1))/365.25)*G7*D7*(1+EscalatorInLease)^2+((DATE(2027+2,4,30)-F7)/365.25)*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)))),0)</f>
        <v/>
      </c>
      <c r="Q7" s="5">
        <f>IFERROR(IF(I7="LeaseUp",H7*D7*(1+GrowthMarketRent)^3*IF(3=0,(12-DowntimeNew)/12,1),IF(F7="",0,IF(F7&gt;=DATE(2027+3,4,30),G7*D7*(1+EscalatorInLease)^3,IF(F7&lt;DATE(2026+3,5,1),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,((F7-DATE(2026+3,5,1))/365.25)*G7*D7*(1+EscalatorInLease)^3+((DATE(2027+3,4,30)-F7)/365.25)*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)))),0)</f>
        <v/>
      </c>
      <c r="R7" s="5">
        <f>IFERROR(IF(I7="LeaseUp",H7*D7*(1+GrowthMarketRent)^4*IF(4=0,(12-DowntimeNew)/12,1),IF(F7="",0,IF(F7&gt;=DATE(2027+4,4,30),G7*D7*(1+EscalatorInLease)^4,IF(F7&lt;DATE(2026+4,5,1),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,((F7-DATE(2026+4,5,1))/365.25)*G7*D7*(1+EscalatorInLease)^4+((DATE(2027+4,4,30)-F7)/365.25)*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)))),0)</f>
        <v/>
      </c>
      <c r="S7" s="5">
        <f>IFERROR(IF(I7="LeaseUp",H7*D7*(1+GrowthMarketRent)^5*IF(5=0,(12-DowntimeNew)/12,1),IF(F7="",0,IF(F7&gt;=DATE(2027+5,4,30),G7*D7*(1+EscalatorInLease)^5,IF(F7&lt;DATE(2026+5,5,1),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,((F7-DATE(2026+5,5,1))/365.25)*G7*D7*(1+EscalatorInLease)^5+((DATE(2027+5,4,30)-F7)/365.25)*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)))),0)</f>
        <v/>
      </c>
      <c r="T7" s="5">
        <f>IFERROR(IF(I7="LeaseUp",H7*D7*(1+GrowthMarketRent)^6*IF(6=0,(12-DowntimeNew)/12,1),IF(F7="",0,IF(F7&gt;=DATE(2027+6,4,30),G7*D7*(1+EscalatorInLease)^6,IF(F7&lt;DATE(2026+6,5,1),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,((F7-DATE(2026+6,5,1))/365.25)*G7*D7*(1+EscalatorInLease)^6+((DATE(2027+6,4,30)-F7)/365.25)*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)))),0)</f>
        <v/>
      </c>
      <c r="U7" s="5">
        <f>IFERROR(IF(I7="LeaseUp",H7*D7*(1+GrowthMarketRent)^7*IF(7=0,(12-DowntimeNew)/12,1),IF(F7="",0,IF(F7&gt;=DATE(2027+7,4,30),G7*D7*(1+EscalatorInLease)^7,IF(F7&lt;DATE(2026+7,5,1),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,((F7-DATE(2026+7,5,1))/365.25)*G7*D7*(1+EscalatorInLease)^7+((DATE(2027+7,4,30)-F7)/365.25)*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)))),0)</f>
        <v/>
      </c>
      <c r="V7" s="5">
        <f>IFERROR(IF(I7="LeaseUp",H7*D7*(1+GrowthMarketRent)^8*IF(8=0,(12-DowntimeNew)/12,1),IF(F7="",0,IF(F7&gt;=DATE(2027+8,4,30),G7*D7*(1+EscalatorInLease)^8,IF(F7&lt;DATE(2026+8,5,1),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,((F7-DATE(2026+8,5,1))/365.25)*G7*D7*(1+EscalatorInLease)^8+((DATE(2027+8,4,30)-F7)/365.25)*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)))),0)</f>
        <v/>
      </c>
      <c r="W7" s="5">
        <f>IFERROR(IF(I7="LeaseUp",H7*D7*(1+GrowthMarketRent)^9*IF(9=0,(12-DowntimeNew)/12,1),IF(F7="",0,IF(F7&gt;=DATE(2027+9,4,30),G7*D7*(1+EscalatorInLease)^9,IF(F7&lt;DATE(2026+9,5,1),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,((F7-DATE(2026+9,5,1))/365.25)*G7*D7*(1+EscalatorInLease)^9+((DATE(2027+9,4,30)-F7)/365.25)*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)))),0)</f>
        <v/>
      </c>
      <c r="X7" s="5">
        <f>IFERROR(IF(I7="LeaseUp",H7*D7*(1+GrowthMarketRent)^10*IF(10=0,(12-DowntimeNew)/12,1),IF(F7="",0,IF(F7&gt;=DATE(2027+10,4,30),G7*D7*(1+EscalatorInLease)^10,IF(F7&lt;DATE(2026+10,5,1),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,((F7-DATE(2026+10,5,1))/365.25)*G7*D7*(1+EscalatorInLease)^10+((DATE(2027+10,4,30)-F7)/365.25)*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)))),0)</f>
        <v/>
      </c>
      <c r="Y7" s="5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5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5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5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5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5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5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5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5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5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5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9" t="n">
        <v>2600</v>
      </c>
      <c r="G8" s="41" t="n">
        <v>0</v>
      </c>
      <c r="H8" s="10">
        <f>VLOOKUP("Carrollton — "&amp;J8,MLA!$A$5:$L$11,3,FALSE)</f>
        <v/>
      </c>
      <c r="I8" s="25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7">
        <f>IF(E8="",0,(AnalysisStart-E8)/365.25)</f>
        <v/>
      </c>
      <c r="N8" s="5">
        <f>IFERROR(IF(I8="LeaseUp",H8*D8*(1+GrowthMarketRent)^0*IF(0=0,(12-DowntimeNew)/12,1),IF(F8="",0,IF(F8&gt;=DATE(2027+0,4,30),G8*D8*(1+EscalatorInLease)^0,IF(F8&lt;DATE(2026+0,5,1),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,((F8-DATE(2026+0,5,1))/365.25)*G8*D8*(1+EscalatorInLease)^0+((DATE(2027+0,4,30)-F8)/365.25)*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)))),0)</f>
        <v/>
      </c>
      <c r="O8" s="5">
        <f>IFERROR(IF(I8="LeaseUp",H8*D8*(1+GrowthMarketRent)^1*IF(1=0,(12-DowntimeNew)/12,1),IF(F8="",0,IF(F8&gt;=DATE(2027+1,4,30),G8*D8*(1+EscalatorInLease)^1,IF(F8&lt;DATE(2026+1,5,1),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,((F8-DATE(2026+1,5,1))/365.25)*G8*D8*(1+EscalatorInLease)^1+((DATE(2027+1,4,30)-F8)/365.25)*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)))),0)</f>
        <v/>
      </c>
      <c r="P8" s="5">
        <f>IFERROR(IF(I8="LeaseUp",H8*D8*(1+GrowthMarketRent)^2*IF(2=0,(12-DowntimeNew)/12,1),IF(F8="",0,IF(F8&gt;=DATE(2027+2,4,30),G8*D8*(1+EscalatorInLease)^2,IF(F8&lt;DATE(2026+2,5,1),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,((F8-DATE(2026+2,5,1))/365.25)*G8*D8*(1+EscalatorInLease)^2+((DATE(2027+2,4,30)-F8)/365.25)*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)))),0)</f>
        <v/>
      </c>
      <c r="Q8" s="5">
        <f>IFERROR(IF(I8="LeaseUp",H8*D8*(1+GrowthMarketRent)^3*IF(3=0,(12-DowntimeNew)/12,1),IF(F8="",0,IF(F8&gt;=DATE(2027+3,4,30),G8*D8*(1+EscalatorInLease)^3,IF(F8&lt;DATE(2026+3,5,1),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,((F8-DATE(2026+3,5,1))/365.25)*G8*D8*(1+EscalatorInLease)^3+((DATE(2027+3,4,30)-F8)/365.25)*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)))),0)</f>
        <v/>
      </c>
      <c r="R8" s="5">
        <f>IFERROR(IF(I8="LeaseUp",H8*D8*(1+GrowthMarketRent)^4*IF(4=0,(12-DowntimeNew)/12,1),IF(F8="",0,IF(F8&gt;=DATE(2027+4,4,30),G8*D8*(1+EscalatorInLease)^4,IF(F8&lt;DATE(2026+4,5,1),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,((F8-DATE(2026+4,5,1))/365.25)*G8*D8*(1+EscalatorInLease)^4+((DATE(2027+4,4,30)-F8)/365.25)*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)))),0)</f>
        <v/>
      </c>
      <c r="S8" s="5">
        <f>IFERROR(IF(I8="LeaseUp",H8*D8*(1+GrowthMarketRent)^5*IF(5=0,(12-DowntimeNew)/12,1),IF(F8="",0,IF(F8&gt;=DATE(2027+5,4,30),G8*D8*(1+EscalatorInLease)^5,IF(F8&lt;DATE(2026+5,5,1),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,((F8-DATE(2026+5,5,1))/365.25)*G8*D8*(1+EscalatorInLease)^5+((DATE(2027+5,4,30)-F8)/365.25)*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)))),0)</f>
        <v/>
      </c>
      <c r="T8" s="5">
        <f>IFERROR(IF(I8="LeaseUp",H8*D8*(1+GrowthMarketRent)^6*IF(6=0,(12-DowntimeNew)/12,1),IF(F8="",0,IF(F8&gt;=DATE(2027+6,4,30),G8*D8*(1+EscalatorInLease)^6,IF(F8&lt;DATE(2026+6,5,1),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,((F8-DATE(2026+6,5,1))/365.25)*G8*D8*(1+EscalatorInLease)^6+((DATE(2027+6,4,30)-F8)/365.25)*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)))),0)</f>
        <v/>
      </c>
      <c r="U8" s="5">
        <f>IFERROR(IF(I8="LeaseUp",H8*D8*(1+GrowthMarketRent)^7*IF(7=0,(12-DowntimeNew)/12,1),IF(F8="",0,IF(F8&gt;=DATE(2027+7,4,30),G8*D8*(1+EscalatorInLease)^7,IF(F8&lt;DATE(2026+7,5,1),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,((F8-DATE(2026+7,5,1))/365.25)*G8*D8*(1+EscalatorInLease)^7+((DATE(2027+7,4,30)-F8)/365.25)*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)))),0)</f>
        <v/>
      </c>
      <c r="V8" s="5">
        <f>IFERROR(IF(I8="LeaseUp",H8*D8*(1+GrowthMarketRent)^8*IF(8=0,(12-DowntimeNew)/12,1),IF(F8="",0,IF(F8&gt;=DATE(2027+8,4,30),G8*D8*(1+EscalatorInLease)^8,IF(F8&lt;DATE(2026+8,5,1),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,((F8-DATE(2026+8,5,1))/365.25)*G8*D8*(1+EscalatorInLease)^8+((DATE(2027+8,4,30)-F8)/365.25)*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)))),0)</f>
        <v/>
      </c>
      <c r="W8" s="5">
        <f>IFERROR(IF(I8="LeaseUp",H8*D8*(1+GrowthMarketRent)^9*IF(9=0,(12-DowntimeNew)/12,1),IF(F8="",0,IF(F8&gt;=DATE(2027+9,4,30),G8*D8*(1+EscalatorInLease)^9,IF(F8&lt;DATE(2026+9,5,1),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,((F8-DATE(2026+9,5,1))/365.25)*G8*D8*(1+EscalatorInLease)^9+((DATE(2027+9,4,30)-F8)/365.25)*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)))),0)</f>
        <v/>
      </c>
      <c r="X8" s="5">
        <f>IFERROR(IF(I8="LeaseUp",H8*D8*(1+GrowthMarketRent)^10*IF(10=0,(12-DowntimeNew)/12,1),IF(F8="",0,IF(F8&gt;=DATE(2027+10,4,30),G8*D8*(1+EscalatorInLease)^10,IF(F8&lt;DATE(2026+10,5,1),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,((F8-DATE(2026+10,5,1))/365.25)*G8*D8*(1+EscalatorInLease)^10+((DATE(2027+10,4,30)-F8)/365.25)*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)))),0)</f>
        <v/>
      </c>
      <c r="Y8" s="5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5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5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5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5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5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5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5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5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5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5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9" t="n">
        <v>2600</v>
      </c>
      <c r="E9" s="40" t="n">
        <v>45717</v>
      </c>
      <c r="F9" s="40" t="n">
        <v>46997</v>
      </c>
      <c r="G9" s="41" t="n">
        <v>17.425</v>
      </c>
      <c r="H9" s="10">
        <f>VLOOKUP("Carrollton — "&amp;J9,MLA!$A$5:$L$11,3,FALSE)</f>
        <v/>
      </c>
      <c r="I9" s="25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7">
        <f>IF(E9="",0,(AnalysisStart-E9)/365.25)</f>
        <v/>
      </c>
      <c r="N9" s="5">
        <f>IFERROR(IF(I9="LeaseUp",H9*D9*(1+GrowthMarketRent)^0*IF(0=0,(12-DowntimeNew)/12,1),IF(F9="",0,IF(F9&gt;=DATE(2027+0,4,30),G9*D9*(1+EscalatorInLease)^0,IF(F9&lt;DATE(2026+0,5,1),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,((F9-DATE(2026+0,5,1))/365.25)*G9*D9*(1+EscalatorInLease)^0+((DATE(2027+0,4,30)-F9)/365.25)*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)))),0)</f>
        <v/>
      </c>
      <c r="O9" s="5">
        <f>IFERROR(IF(I9="LeaseUp",H9*D9*(1+GrowthMarketRent)^1*IF(1=0,(12-DowntimeNew)/12,1),IF(F9="",0,IF(F9&gt;=DATE(2027+1,4,30),G9*D9*(1+EscalatorInLease)^1,IF(F9&lt;DATE(2026+1,5,1),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,((F9-DATE(2026+1,5,1))/365.25)*G9*D9*(1+EscalatorInLease)^1+((DATE(2027+1,4,30)-F9)/365.25)*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)))),0)</f>
        <v/>
      </c>
      <c r="P9" s="5">
        <f>IFERROR(IF(I9="LeaseUp",H9*D9*(1+GrowthMarketRent)^2*IF(2=0,(12-DowntimeNew)/12,1),IF(F9="",0,IF(F9&gt;=DATE(2027+2,4,30),G9*D9*(1+EscalatorInLease)^2,IF(F9&lt;DATE(2026+2,5,1),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,((F9-DATE(2026+2,5,1))/365.25)*G9*D9*(1+EscalatorInLease)^2+((DATE(2027+2,4,30)-F9)/365.25)*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)))),0)</f>
        <v/>
      </c>
      <c r="Q9" s="5">
        <f>IFERROR(IF(I9="LeaseUp",H9*D9*(1+GrowthMarketRent)^3*IF(3=0,(12-DowntimeNew)/12,1),IF(F9="",0,IF(F9&gt;=DATE(2027+3,4,30),G9*D9*(1+EscalatorInLease)^3,IF(F9&lt;DATE(2026+3,5,1),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,((F9-DATE(2026+3,5,1))/365.25)*G9*D9*(1+EscalatorInLease)^3+((DATE(2027+3,4,30)-F9)/365.25)*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)))),0)</f>
        <v/>
      </c>
      <c r="R9" s="5">
        <f>IFERROR(IF(I9="LeaseUp",H9*D9*(1+GrowthMarketRent)^4*IF(4=0,(12-DowntimeNew)/12,1),IF(F9="",0,IF(F9&gt;=DATE(2027+4,4,30),G9*D9*(1+EscalatorInLease)^4,IF(F9&lt;DATE(2026+4,5,1),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,((F9-DATE(2026+4,5,1))/365.25)*G9*D9*(1+EscalatorInLease)^4+((DATE(2027+4,4,30)-F9)/365.25)*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)))),0)</f>
        <v/>
      </c>
      <c r="S9" s="5">
        <f>IFERROR(IF(I9="LeaseUp",H9*D9*(1+GrowthMarketRent)^5*IF(5=0,(12-DowntimeNew)/12,1),IF(F9="",0,IF(F9&gt;=DATE(2027+5,4,30),G9*D9*(1+EscalatorInLease)^5,IF(F9&lt;DATE(2026+5,5,1),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,((F9-DATE(2026+5,5,1))/365.25)*G9*D9*(1+EscalatorInLease)^5+((DATE(2027+5,4,30)-F9)/365.25)*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)))),0)</f>
        <v/>
      </c>
      <c r="T9" s="5">
        <f>IFERROR(IF(I9="LeaseUp",H9*D9*(1+GrowthMarketRent)^6*IF(6=0,(12-DowntimeNew)/12,1),IF(F9="",0,IF(F9&gt;=DATE(2027+6,4,30),G9*D9*(1+EscalatorInLease)^6,IF(F9&lt;DATE(2026+6,5,1),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,((F9-DATE(2026+6,5,1))/365.25)*G9*D9*(1+EscalatorInLease)^6+((DATE(2027+6,4,30)-F9)/365.25)*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)))),0)</f>
        <v/>
      </c>
      <c r="U9" s="5">
        <f>IFERROR(IF(I9="LeaseUp",H9*D9*(1+GrowthMarketRent)^7*IF(7=0,(12-DowntimeNew)/12,1),IF(F9="",0,IF(F9&gt;=DATE(2027+7,4,30),G9*D9*(1+EscalatorInLease)^7,IF(F9&lt;DATE(2026+7,5,1),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,((F9-DATE(2026+7,5,1))/365.25)*G9*D9*(1+EscalatorInLease)^7+((DATE(2027+7,4,30)-F9)/365.25)*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)))),0)</f>
        <v/>
      </c>
      <c r="V9" s="5">
        <f>IFERROR(IF(I9="LeaseUp",H9*D9*(1+GrowthMarketRent)^8*IF(8=0,(12-DowntimeNew)/12,1),IF(F9="",0,IF(F9&gt;=DATE(2027+8,4,30),G9*D9*(1+EscalatorInLease)^8,IF(F9&lt;DATE(2026+8,5,1),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,((F9-DATE(2026+8,5,1))/365.25)*G9*D9*(1+EscalatorInLease)^8+((DATE(2027+8,4,30)-F9)/365.25)*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)))),0)</f>
        <v/>
      </c>
      <c r="W9" s="5">
        <f>IFERROR(IF(I9="LeaseUp",H9*D9*(1+GrowthMarketRent)^9*IF(9=0,(12-DowntimeNew)/12,1),IF(F9="",0,IF(F9&gt;=DATE(2027+9,4,30),G9*D9*(1+EscalatorInLease)^9,IF(F9&lt;DATE(2026+9,5,1),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,((F9-DATE(2026+9,5,1))/365.25)*G9*D9*(1+EscalatorInLease)^9+((DATE(2027+9,4,30)-F9)/365.25)*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)))),0)</f>
        <v/>
      </c>
      <c r="X9" s="5">
        <f>IFERROR(IF(I9="LeaseUp",H9*D9*(1+GrowthMarketRent)^10*IF(10=0,(12-DowntimeNew)/12,1),IF(F9="",0,IF(F9&gt;=DATE(2027+10,4,30),G9*D9*(1+EscalatorInLease)^10,IF(F9&lt;DATE(2026+10,5,1),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,((F9-DATE(2026+10,5,1))/365.25)*G9*D9*(1+EscalatorInLease)^10+((DATE(2027+10,4,30)-F9)/365.25)*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)))),0)</f>
        <v/>
      </c>
      <c r="Y9" s="5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5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5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5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5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5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5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5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5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5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5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9" t="n">
        <v>2600</v>
      </c>
      <c r="E10" s="40" t="n">
        <v>45200</v>
      </c>
      <c r="F10" s="40" t="n">
        <v>46631</v>
      </c>
      <c r="G10" s="41" t="n">
        <v>15.4965384615385</v>
      </c>
      <c r="H10" s="10">
        <f>VLOOKUP("Carrollton — "&amp;J10,MLA!$A$5:$L$11,3,FALSE)</f>
        <v/>
      </c>
      <c r="I10" s="25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7">
        <f>IF(E10="",0,(AnalysisStart-E10)/365.25)</f>
        <v/>
      </c>
      <c r="N10" s="5">
        <f>IFERROR(IF(I10="LeaseUp",H10*D10*(1+GrowthMarketRent)^0*IF(0=0,(12-DowntimeNew)/12,1),IF(F10="",0,IF(F10&gt;=DATE(2027+0,4,30),G10*D10*(1+EscalatorInLease)^0,IF(F10&lt;DATE(2026+0,5,1),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,((F10-DATE(2026+0,5,1))/365.25)*G10*D10*(1+EscalatorInLease)^0+((DATE(2027+0,4,30)-F10)/365.25)*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)))),0)</f>
        <v/>
      </c>
      <c r="O10" s="5">
        <f>IFERROR(IF(I10="LeaseUp",H10*D10*(1+GrowthMarketRent)^1*IF(1=0,(12-DowntimeNew)/12,1),IF(F10="",0,IF(F10&gt;=DATE(2027+1,4,30),G10*D10*(1+EscalatorInLease)^1,IF(F10&lt;DATE(2026+1,5,1),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,((F10-DATE(2026+1,5,1))/365.25)*G10*D10*(1+EscalatorInLease)^1+((DATE(2027+1,4,30)-F10)/365.25)*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)))),0)</f>
        <v/>
      </c>
      <c r="P10" s="5">
        <f>IFERROR(IF(I10="LeaseUp",H10*D10*(1+GrowthMarketRent)^2*IF(2=0,(12-DowntimeNew)/12,1),IF(F10="",0,IF(F10&gt;=DATE(2027+2,4,30),G10*D10*(1+EscalatorInLease)^2,IF(F10&lt;DATE(2026+2,5,1),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,((F10-DATE(2026+2,5,1))/365.25)*G10*D10*(1+EscalatorInLease)^2+((DATE(2027+2,4,30)-F10)/365.25)*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)))),0)</f>
        <v/>
      </c>
      <c r="Q10" s="5">
        <f>IFERROR(IF(I10="LeaseUp",H10*D10*(1+GrowthMarketRent)^3*IF(3=0,(12-DowntimeNew)/12,1),IF(F10="",0,IF(F10&gt;=DATE(2027+3,4,30),G10*D10*(1+EscalatorInLease)^3,IF(F10&lt;DATE(2026+3,5,1),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,((F10-DATE(2026+3,5,1))/365.25)*G10*D10*(1+EscalatorInLease)^3+((DATE(2027+3,4,30)-F10)/365.25)*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)))),0)</f>
        <v/>
      </c>
      <c r="R10" s="5">
        <f>IFERROR(IF(I10="LeaseUp",H10*D10*(1+GrowthMarketRent)^4*IF(4=0,(12-DowntimeNew)/12,1),IF(F10="",0,IF(F10&gt;=DATE(2027+4,4,30),G10*D10*(1+EscalatorInLease)^4,IF(F10&lt;DATE(2026+4,5,1),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,((F10-DATE(2026+4,5,1))/365.25)*G10*D10*(1+EscalatorInLease)^4+((DATE(2027+4,4,30)-F10)/365.25)*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)))),0)</f>
        <v/>
      </c>
      <c r="S10" s="5">
        <f>IFERROR(IF(I10="LeaseUp",H10*D10*(1+GrowthMarketRent)^5*IF(5=0,(12-DowntimeNew)/12,1),IF(F10="",0,IF(F10&gt;=DATE(2027+5,4,30),G10*D10*(1+EscalatorInLease)^5,IF(F10&lt;DATE(2026+5,5,1),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,((F10-DATE(2026+5,5,1))/365.25)*G10*D10*(1+EscalatorInLease)^5+((DATE(2027+5,4,30)-F10)/365.25)*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)))),0)</f>
        <v/>
      </c>
      <c r="T10" s="5">
        <f>IFERROR(IF(I10="LeaseUp",H10*D10*(1+GrowthMarketRent)^6*IF(6=0,(12-DowntimeNew)/12,1),IF(F10="",0,IF(F10&gt;=DATE(2027+6,4,30),G10*D10*(1+EscalatorInLease)^6,IF(F10&lt;DATE(2026+6,5,1),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,((F10-DATE(2026+6,5,1))/365.25)*G10*D10*(1+EscalatorInLease)^6+((DATE(2027+6,4,30)-F10)/365.25)*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)))),0)</f>
        <v/>
      </c>
      <c r="U10" s="5">
        <f>IFERROR(IF(I10="LeaseUp",H10*D10*(1+GrowthMarketRent)^7*IF(7=0,(12-DowntimeNew)/12,1),IF(F10="",0,IF(F10&gt;=DATE(2027+7,4,30),G10*D10*(1+EscalatorInLease)^7,IF(F10&lt;DATE(2026+7,5,1),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,((F10-DATE(2026+7,5,1))/365.25)*G10*D10*(1+EscalatorInLease)^7+((DATE(2027+7,4,30)-F10)/365.25)*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)))),0)</f>
        <v/>
      </c>
      <c r="V10" s="5">
        <f>IFERROR(IF(I10="LeaseUp",H10*D10*(1+GrowthMarketRent)^8*IF(8=0,(12-DowntimeNew)/12,1),IF(F10="",0,IF(F10&gt;=DATE(2027+8,4,30),G10*D10*(1+EscalatorInLease)^8,IF(F10&lt;DATE(2026+8,5,1),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,((F10-DATE(2026+8,5,1))/365.25)*G10*D10*(1+EscalatorInLease)^8+((DATE(2027+8,4,30)-F10)/365.25)*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)))),0)</f>
        <v/>
      </c>
      <c r="W10" s="5">
        <f>IFERROR(IF(I10="LeaseUp",H10*D10*(1+GrowthMarketRent)^9*IF(9=0,(12-DowntimeNew)/12,1),IF(F10="",0,IF(F10&gt;=DATE(2027+9,4,30),G10*D10*(1+EscalatorInLease)^9,IF(F10&lt;DATE(2026+9,5,1),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,((F10-DATE(2026+9,5,1))/365.25)*G10*D10*(1+EscalatorInLease)^9+((DATE(2027+9,4,30)-F10)/365.25)*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)))),0)</f>
        <v/>
      </c>
      <c r="X10" s="5">
        <f>IFERROR(IF(I10="LeaseUp",H10*D10*(1+GrowthMarketRent)^10*IF(10=0,(12-DowntimeNew)/12,1),IF(F10="",0,IF(F10&gt;=DATE(2027+10,4,30),G10*D10*(1+EscalatorInLease)^10,IF(F10&lt;DATE(2026+10,5,1),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,((F10-DATE(2026+10,5,1))/365.25)*G10*D10*(1+EscalatorInLease)^10+((DATE(2027+10,4,30)-F10)/365.25)*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)))),0)</f>
        <v/>
      </c>
      <c r="Y10" s="5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5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5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5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5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5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5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5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5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5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5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9" t="n">
        <v>2600</v>
      </c>
      <c r="E11" s="40" t="n">
        <v>45200</v>
      </c>
      <c r="F11" s="40" t="n">
        <v>46631</v>
      </c>
      <c r="G11" s="41" t="n">
        <v>15.4965384615385</v>
      </c>
      <c r="H11" s="10">
        <f>VLOOKUP("Carrollton — "&amp;J11,MLA!$A$5:$L$11,3,FALSE)</f>
        <v/>
      </c>
      <c r="I11" s="25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7">
        <f>IF(E11="",0,(AnalysisStart-E11)/365.25)</f>
        <v/>
      </c>
      <c r="N11" s="5">
        <f>IFERROR(IF(I11="LeaseUp",H11*D11*(1+GrowthMarketRent)^0*IF(0=0,(12-DowntimeNew)/12,1),IF(F11="",0,IF(F11&gt;=DATE(2027+0,4,30),G11*D11*(1+EscalatorInLease)^0,IF(F11&lt;DATE(2026+0,5,1),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,((F11-DATE(2026+0,5,1))/365.25)*G11*D11*(1+EscalatorInLease)^0+((DATE(2027+0,4,30)-F11)/365.25)*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)))),0)</f>
        <v/>
      </c>
      <c r="O11" s="5">
        <f>IFERROR(IF(I11="LeaseUp",H11*D11*(1+GrowthMarketRent)^1*IF(1=0,(12-DowntimeNew)/12,1),IF(F11="",0,IF(F11&gt;=DATE(2027+1,4,30),G11*D11*(1+EscalatorInLease)^1,IF(F11&lt;DATE(2026+1,5,1),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,((F11-DATE(2026+1,5,1))/365.25)*G11*D11*(1+EscalatorInLease)^1+((DATE(2027+1,4,30)-F11)/365.25)*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)))),0)</f>
        <v/>
      </c>
      <c r="P11" s="5">
        <f>IFERROR(IF(I11="LeaseUp",H11*D11*(1+GrowthMarketRent)^2*IF(2=0,(12-DowntimeNew)/12,1),IF(F11="",0,IF(F11&gt;=DATE(2027+2,4,30),G11*D11*(1+EscalatorInLease)^2,IF(F11&lt;DATE(2026+2,5,1),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,((F11-DATE(2026+2,5,1))/365.25)*G11*D11*(1+EscalatorInLease)^2+((DATE(2027+2,4,30)-F11)/365.25)*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)))),0)</f>
        <v/>
      </c>
      <c r="Q11" s="5">
        <f>IFERROR(IF(I11="LeaseUp",H11*D11*(1+GrowthMarketRent)^3*IF(3=0,(12-DowntimeNew)/12,1),IF(F11="",0,IF(F11&gt;=DATE(2027+3,4,30),G11*D11*(1+EscalatorInLease)^3,IF(F11&lt;DATE(2026+3,5,1),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,((F11-DATE(2026+3,5,1))/365.25)*G11*D11*(1+EscalatorInLease)^3+((DATE(2027+3,4,30)-F11)/365.25)*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)))),0)</f>
        <v/>
      </c>
      <c r="R11" s="5">
        <f>IFERROR(IF(I11="LeaseUp",H11*D11*(1+GrowthMarketRent)^4*IF(4=0,(12-DowntimeNew)/12,1),IF(F11="",0,IF(F11&gt;=DATE(2027+4,4,30),G11*D11*(1+EscalatorInLease)^4,IF(F11&lt;DATE(2026+4,5,1),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,((F11-DATE(2026+4,5,1))/365.25)*G11*D11*(1+EscalatorInLease)^4+((DATE(2027+4,4,30)-F11)/365.25)*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)))),0)</f>
        <v/>
      </c>
      <c r="S11" s="5">
        <f>IFERROR(IF(I11="LeaseUp",H11*D11*(1+GrowthMarketRent)^5*IF(5=0,(12-DowntimeNew)/12,1),IF(F11="",0,IF(F11&gt;=DATE(2027+5,4,30),G11*D11*(1+EscalatorInLease)^5,IF(F11&lt;DATE(2026+5,5,1),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,((F11-DATE(2026+5,5,1))/365.25)*G11*D11*(1+EscalatorInLease)^5+((DATE(2027+5,4,30)-F11)/365.25)*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)))),0)</f>
        <v/>
      </c>
      <c r="T11" s="5">
        <f>IFERROR(IF(I11="LeaseUp",H11*D11*(1+GrowthMarketRent)^6*IF(6=0,(12-DowntimeNew)/12,1),IF(F11="",0,IF(F11&gt;=DATE(2027+6,4,30),G11*D11*(1+EscalatorInLease)^6,IF(F11&lt;DATE(2026+6,5,1),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,((F11-DATE(2026+6,5,1))/365.25)*G11*D11*(1+EscalatorInLease)^6+((DATE(2027+6,4,30)-F11)/365.25)*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)))),0)</f>
        <v/>
      </c>
      <c r="U11" s="5">
        <f>IFERROR(IF(I11="LeaseUp",H11*D11*(1+GrowthMarketRent)^7*IF(7=0,(12-DowntimeNew)/12,1),IF(F11="",0,IF(F11&gt;=DATE(2027+7,4,30),G11*D11*(1+EscalatorInLease)^7,IF(F11&lt;DATE(2026+7,5,1),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,((F11-DATE(2026+7,5,1))/365.25)*G11*D11*(1+EscalatorInLease)^7+((DATE(2027+7,4,30)-F11)/365.25)*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)))),0)</f>
        <v/>
      </c>
      <c r="V11" s="5">
        <f>IFERROR(IF(I11="LeaseUp",H11*D11*(1+GrowthMarketRent)^8*IF(8=0,(12-DowntimeNew)/12,1),IF(F11="",0,IF(F11&gt;=DATE(2027+8,4,30),G11*D11*(1+EscalatorInLease)^8,IF(F11&lt;DATE(2026+8,5,1),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,((F11-DATE(2026+8,5,1))/365.25)*G11*D11*(1+EscalatorInLease)^8+((DATE(2027+8,4,30)-F11)/365.25)*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)))),0)</f>
        <v/>
      </c>
      <c r="W11" s="5">
        <f>IFERROR(IF(I11="LeaseUp",H11*D11*(1+GrowthMarketRent)^9*IF(9=0,(12-DowntimeNew)/12,1),IF(F11="",0,IF(F11&gt;=DATE(2027+9,4,30),G11*D11*(1+EscalatorInLease)^9,IF(F11&lt;DATE(2026+9,5,1),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,((F11-DATE(2026+9,5,1))/365.25)*G11*D11*(1+EscalatorInLease)^9+((DATE(2027+9,4,30)-F11)/365.25)*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)))),0)</f>
        <v/>
      </c>
      <c r="X11" s="5">
        <f>IFERROR(IF(I11="LeaseUp",H11*D11*(1+GrowthMarketRent)^10*IF(10=0,(12-DowntimeNew)/12,1),IF(F11="",0,IF(F11&gt;=DATE(2027+10,4,30),G11*D11*(1+EscalatorInLease)^10,IF(F11&lt;DATE(2026+10,5,1),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,((F11-DATE(2026+10,5,1))/365.25)*G11*D11*(1+EscalatorInLease)^10+((DATE(2027+10,4,30)-F11)/365.25)*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)))),0)</f>
        <v/>
      </c>
      <c r="Y11" s="5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5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5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5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5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5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5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5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5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5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5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9" t="n">
        <v>2600</v>
      </c>
      <c r="E12" s="40" t="n">
        <v>45200</v>
      </c>
      <c r="F12" s="40" t="n">
        <v>46447</v>
      </c>
      <c r="G12" s="41" t="n">
        <v>15.4965384615385</v>
      </c>
      <c r="H12" s="10">
        <f>VLOOKUP("Carrollton — "&amp;J12,MLA!$A$5:$L$11,3,FALSE)</f>
        <v/>
      </c>
      <c r="I12" s="25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7">
        <f>IF(E12="",0,(AnalysisStart-E12)/365.25)</f>
        <v/>
      </c>
      <c r="N12" s="5">
        <f>IFERROR(IF(I12="LeaseUp",H12*D12*(1+GrowthMarketRent)^0*IF(0=0,(12-DowntimeNew)/12,1),IF(F12="",0,IF(F12&gt;=DATE(2027+0,4,30),G12*D12*(1+EscalatorInLease)^0,IF(F12&lt;DATE(2026+0,5,1),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,((F12-DATE(2026+0,5,1))/365.25)*G12*D12*(1+EscalatorInLease)^0+((DATE(2027+0,4,30)-F12)/365.25)*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)))),0)</f>
        <v/>
      </c>
      <c r="O12" s="5">
        <f>IFERROR(IF(I12="LeaseUp",H12*D12*(1+GrowthMarketRent)^1*IF(1=0,(12-DowntimeNew)/12,1),IF(F12="",0,IF(F12&gt;=DATE(2027+1,4,30),G12*D12*(1+EscalatorInLease)^1,IF(F12&lt;DATE(2026+1,5,1),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,((F12-DATE(2026+1,5,1))/365.25)*G12*D12*(1+EscalatorInLease)^1+((DATE(2027+1,4,30)-F12)/365.25)*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)))),0)</f>
        <v/>
      </c>
      <c r="P12" s="5">
        <f>IFERROR(IF(I12="LeaseUp",H12*D12*(1+GrowthMarketRent)^2*IF(2=0,(12-DowntimeNew)/12,1),IF(F12="",0,IF(F12&gt;=DATE(2027+2,4,30),G12*D12*(1+EscalatorInLease)^2,IF(F12&lt;DATE(2026+2,5,1),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,((F12-DATE(2026+2,5,1))/365.25)*G12*D12*(1+EscalatorInLease)^2+((DATE(2027+2,4,30)-F12)/365.25)*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)))),0)</f>
        <v/>
      </c>
      <c r="Q12" s="5">
        <f>IFERROR(IF(I12="LeaseUp",H12*D12*(1+GrowthMarketRent)^3*IF(3=0,(12-DowntimeNew)/12,1),IF(F12="",0,IF(F12&gt;=DATE(2027+3,4,30),G12*D12*(1+EscalatorInLease)^3,IF(F12&lt;DATE(2026+3,5,1),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,((F12-DATE(2026+3,5,1))/365.25)*G12*D12*(1+EscalatorInLease)^3+((DATE(2027+3,4,30)-F12)/365.25)*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)))),0)</f>
        <v/>
      </c>
      <c r="R12" s="5">
        <f>IFERROR(IF(I12="LeaseUp",H12*D12*(1+GrowthMarketRent)^4*IF(4=0,(12-DowntimeNew)/12,1),IF(F12="",0,IF(F12&gt;=DATE(2027+4,4,30),G12*D12*(1+EscalatorInLease)^4,IF(F12&lt;DATE(2026+4,5,1),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,((F12-DATE(2026+4,5,1))/365.25)*G12*D12*(1+EscalatorInLease)^4+((DATE(2027+4,4,30)-F12)/365.25)*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)))),0)</f>
        <v/>
      </c>
      <c r="S12" s="5">
        <f>IFERROR(IF(I12="LeaseUp",H12*D12*(1+GrowthMarketRent)^5*IF(5=0,(12-DowntimeNew)/12,1),IF(F12="",0,IF(F12&gt;=DATE(2027+5,4,30),G12*D12*(1+EscalatorInLease)^5,IF(F12&lt;DATE(2026+5,5,1),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,((F12-DATE(2026+5,5,1))/365.25)*G12*D12*(1+EscalatorInLease)^5+((DATE(2027+5,4,30)-F12)/365.25)*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)))),0)</f>
        <v/>
      </c>
      <c r="T12" s="5">
        <f>IFERROR(IF(I12="LeaseUp",H12*D12*(1+GrowthMarketRent)^6*IF(6=0,(12-DowntimeNew)/12,1),IF(F12="",0,IF(F12&gt;=DATE(2027+6,4,30),G12*D12*(1+EscalatorInLease)^6,IF(F12&lt;DATE(2026+6,5,1),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,((F12-DATE(2026+6,5,1))/365.25)*G12*D12*(1+EscalatorInLease)^6+((DATE(2027+6,4,30)-F12)/365.25)*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)))),0)</f>
        <v/>
      </c>
      <c r="U12" s="5">
        <f>IFERROR(IF(I12="LeaseUp",H12*D12*(1+GrowthMarketRent)^7*IF(7=0,(12-DowntimeNew)/12,1),IF(F12="",0,IF(F12&gt;=DATE(2027+7,4,30),G12*D12*(1+EscalatorInLease)^7,IF(F12&lt;DATE(2026+7,5,1),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,((F12-DATE(2026+7,5,1))/365.25)*G12*D12*(1+EscalatorInLease)^7+((DATE(2027+7,4,30)-F12)/365.25)*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)))),0)</f>
        <v/>
      </c>
      <c r="V12" s="5">
        <f>IFERROR(IF(I12="LeaseUp",H12*D12*(1+GrowthMarketRent)^8*IF(8=0,(12-DowntimeNew)/12,1),IF(F12="",0,IF(F12&gt;=DATE(2027+8,4,30),G12*D12*(1+EscalatorInLease)^8,IF(F12&lt;DATE(2026+8,5,1),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,((F12-DATE(2026+8,5,1))/365.25)*G12*D12*(1+EscalatorInLease)^8+((DATE(2027+8,4,30)-F12)/365.25)*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)))),0)</f>
        <v/>
      </c>
      <c r="W12" s="5">
        <f>IFERROR(IF(I12="LeaseUp",H12*D12*(1+GrowthMarketRent)^9*IF(9=0,(12-DowntimeNew)/12,1),IF(F12="",0,IF(F12&gt;=DATE(2027+9,4,30),G12*D12*(1+EscalatorInLease)^9,IF(F12&lt;DATE(2026+9,5,1),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,((F12-DATE(2026+9,5,1))/365.25)*G12*D12*(1+EscalatorInLease)^9+((DATE(2027+9,4,30)-F12)/365.25)*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)))),0)</f>
        <v/>
      </c>
      <c r="X12" s="5">
        <f>IFERROR(IF(I12="LeaseUp",H12*D12*(1+GrowthMarketRent)^10*IF(10=0,(12-DowntimeNew)/12,1),IF(F12="",0,IF(F12&gt;=DATE(2027+10,4,30),G12*D12*(1+EscalatorInLease)^10,IF(F12&lt;DATE(2026+10,5,1),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,((F12-DATE(2026+10,5,1))/365.25)*G12*D12*(1+EscalatorInLease)^10+((DATE(2027+10,4,30)-F12)/365.25)*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)))),0)</f>
        <v/>
      </c>
      <c r="Y12" s="5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5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5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5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5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5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5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5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5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5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5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9" t="n">
        <v>2600</v>
      </c>
      <c r="E13" s="40" t="n">
        <v>45261</v>
      </c>
      <c r="F13" s="40" t="n">
        <v>47058</v>
      </c>
      <c r="G13" s="41" t="n">
        <v>15.4965384615385</v>
      </c>
      <c r="H13" s="10">
        <f>VLOOKUP("Carrollton — "&amp;J13,MLA!$A$5:$L$11,3,FALSE)</f>
        <v/>
      </c>
      <c r="I13" s="25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7">
        <f>IF(E13="",0,(AnalysisStart-E13)/365.25)</f>
        <v/>
      </c>
      <c r="N13" s="5">
        <f>IFERROR(IF(I13="LeaseUp",H13*D13*(1+GrowthMarketRent)^0*IF(0=0,(12-DowntimeNew)/12,1),IF(F13="",0,IF(F13&gt;=DATE(2027+0,4,30),G13*D13*(1+EscalatorInLease)^0,IF(F13&lt;DATE(2026+0,5,1),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,((F13-DATE(2026+0,5,1))/365.25)*G13*D13*(1+EscalatorInLease)^0+((DATE(2027+0,4,30)-F13)/365.25)*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)))),0)</f>
        <v/>
      </c>
      <c r="O13" s="5">
        <f>IFERROR(IF(I13="LeaseUp",H13*D13*(1+GrowthMarketRent)^1*IF(1=0,(12-DowntimeNew)/12,1),IF(F13="",0,IF(F13&gt;=DATE(2027+1,4,30),G13*D13*(1+EscalatorInLease)^1,IF(F13&lt;DATE(2026+1,5,1),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,((F13-DATE(2026+1,5,1))/365.25)*G13*D13*(1+EscalatorInLease)^1+((DATE(2027+1,4,30)-F13)/365.25)*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)))),0)</f>
        <v/>
      </c>
      <c r="P13" s="5">
        <f>IFERROR(IF(I13="LeaseUp",H13*D13*(1+GrowthMarketRent)^2*IF(2=0,(12-DowntimeNew)/12,1),IF(F13="",0,IF(F13&gt;=DATE(2027+2,4,30),G13*D13*(1+EscalatorInLease)^2,IF(F13&lt;DATE(2026+2,5,1),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,((F13-DATE(2026+2,5,1))/365.25)*G13*D13*(1+EscalatorInLease)^2+((DATE(2027+2,4,30)-F13)/365.25)*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)))),0)</f>
        <v/>
      </c>
      <c r="Q13" s="5">
        <f>IFERROR(IF(I13="LeaseUp",H13*D13*(1+GrowthMarketRent)^3*IF(3=0,(12-DowntimeNew)/12,1),IF(F13="",0,IF(F13&gt;=DATE(2027+3,4,30),G13*D13*(1+EscalatorInLease)^3,IF(F13&lt;DATE(2026+3,5,1),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,((F13-DATE(2026+3,5,1))/365.25)*G13*D13*(1+EscalatorInLease)^3+((DATE(2027+3,4,30)-F13)/365.25)*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)))),0)</f>
        <v/>
      </c>
      <c r="R13" s="5">
        <f>IFERROR(IF(I13="LeaseUp",H13*D13*(1+GrowthMarketRent)^4*IF(4=0,(12-DowntimeNew)/12,1),IF(F13="",0,IF(F13&gt;=DATE(2027+4,4,30),G13*D13*(1+EscalatorInLease)^4,IF(F13&lt;DATE(2026+4,5,1),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,((F13-DATE(2026+4,5,1))/365.25)*G13*D13*(1+EscalatorInLease)^4+((DATE(2027+4,4,30)-F13)/365.25)*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)))),0)</f>
        <v/>
      </c>
      <c r="S13" s="5">
        <f>IFERROR(IF(I13="LeaseUp",H13*D13*(1+GrowthMarketRent)^5*IF(5=0,(12-DowntimeNew)/12,1),IF(F13="",0,IF(F13&gt;=DATE(2027+5,4,30),G13*D13*(1+EscalatorInLease)^5,IF(F13&lt;DATE(2026+5,5,1),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,((F13-DATE(2026+5,5,1))/365.25)*G13*D13*(1+EscalatorInLease)^5+((DATE(2027+5,4,30)-F13)/365.25)*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)))),0)</f>
        <v/>
      </c>
      <c r="T13" s="5">
        <f>IFERROR(IF(I13="LeaseUp",H13*D13*(1+GrowthMarketRent)^6*IF(6=0,(12-DowntimeNew)/12,1),IF(F13="",0,IF(F13&gt;=DATE(2027+6,4,30),G13*D13*(1+EscalatorInLease)^6,IF(F13&lt;DATE(2026+6,5,1),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,((F13-DATE(2026+6,5,1))/365.25)*G13*D13*(1+EscalatorInLease)^6+((DATE(2027+6,4,30)-F13)/365.25)*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)))),0)</f>
        <v/>
      </c>
      <c r="U13" s="5">
        <f>IFERROR(IF(I13="LeaseUp",H13*D13*(1+GrowthMarketRent)^7*IF(7=0,(12-DowntimeNew)/12,1),IF(F13="",0,IF(F13&gt;=DATE(2027+7,4,30),G13*D13*(1+EscalatorInLease)^7,IF(F13&lt;DATE(2026+7,5,1),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,((F13-DATE(2026+7,5,1))/365.25)*G13*D13*(1+EscalatorInLease)^7+((DATE(2027+7,4,30)-F13)/365.25)*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)))),0)</f>
        <v/>
      </c>
      <c r="V13" s="5">
        <f>IFERROR(IF(I13="LeaseUp",H13*D13*(1+GrowthMarketRent)^8*IF(8=0,(12-DowntimeNew)/12,1),IF(F13="",0,IF(F13&gt;=DATE(2027+8,4,30),G13*D13*(1+EscalatorInLease)^8,IF(F13&lt;DATE(2026+8,5,1),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,((F13-DATE(2026+8,5,1))/365.25)*G13*D13*(1+EscalatorInLease)^8+((DATE(2027+8,4,30)-F13)/365.25)*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)))),0)</f>
        <v/>
      </c>
      <c r="W13" s="5">
        <f>IFERROR(IF(I13="LeaseUp",H13*D13*(1+GrowthMarketRent)^9*IF(9=0,(12-DowntimeNew)/12,1),IF(F13="",0,IF(F13&gt;=DATE(2027+9,4,30),G13*D13*(1+EscalatorInLease)^9,IF(F13&lt;DATE(2026+9,5,1),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,((F13-DATE(2026+9,5,1))/365.25)*G13*D13*(1+EscalatorInLease)^9+((DATE(2027+9,4,30)-F13)/365.25)*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)))),0)</f>
        <v/>
      </c>
      <c r="X13" s="5">
        <f>IFERROR(IF(I13="LeaseUp",H13*D13*(1+GrowthMarketRent)^10*IF(10=0,(12-DowntimeNew)/12,1),IF(F13="",0,IF(F13&gt;=DATE(2027+10,4,30),G13*D13*(1+EscalatorInLease)^10,IF(F13&lt;DATE(2026+10,5,1),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,((F13-DATE(2026+10,5,1))/365.25)*G13*D13*(1+EscalatorInLease)^10+((DATE(2027+10,4,30)-F13)/365.25)*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)))),0)</f>
        <v/>
      </c>
      <c r="Y13" s="5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5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5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5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5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5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5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5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5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5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5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9" t="n">
        <v>4525</v>
      </c>
      <c r="E14" s="40" t="n">
        <v>45261</v>
      </c>
      <c r="F14" s="40" t="n">
        <v>46508</v>
      </c>
      <c r="G14" s="41" t="n">
        <v>15.4967955801105</v>
      </c>
      <c r="H14" s="10">
        <f>VLOOKUP("Carrollton — "&amp;J14,MLA!$A$5:$L$11,3,FALSE)</f>
        <v/>
      </c>
      <c r="I14" s="25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7">
        <f>IF(E14="",0,(AnalysisStart-E14)/365.25)</f>
        <v/>
      </c>
      <c r="N14" s="5">
        <f>IFERROR(IF(I14="LeaseUp",H14*D14*(1+GrowthMarketRent)^0*IF(0=0,(12-DowntimeNew)/12,1),IF(F14="",0,IF(F14&gt;=DATE(2027+0,4,30),G14*D14*(1+EscalatorInLease)^0,IF(F14&lt;DATE(2026+0,5,1),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,((F14-DATE(2026+0,5,1))/365.25)*G14*D14*(1+EscalatorInLease)^0+((DATE(2027+0,4,30)-F14)/365.25)*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)))),0)</f>
        <v/>
      </c>
      <c r="O14" s="5">
        <f>IFERROR(IF(I14="LeaseUp",H14*D14*(1+GrowthMarketRent)^1*IF(1=0,(12-DowntimeNew)/12,1),IF(F14="",0,IF(F14&gt;=DATE(2027+1,4,30),G14*D14*(1+EscalatorInLease)^1,IF(F14&lt;DATE(2026+1,5,1),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,((F14-DATE(2026+1,5,1))/365.25)*G14*D14*(1+EscalatorInLease)^1+((DATE(2027+1,4,30)-F14)/365.25)*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)))),0)</f>
        <v/>
      </c>
      <c r="P14" s="5">
        <f>IFERROR(IF(I14="LeaseUp",H14*D14*(1+GrowthMarketRent)^2*IF(2=0,(12-DowntimeNew)/12,1),IF(F14="",0,IF(F14&gt;=DATE(2027+2,4,30),G14*D14*(1+EscalatorInLease)^2,IF(F14&lt;DATE(2026+2,5,1),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,((F14-DATE(2026+2,5,1))/365.25)*G14*D14*(1+EscalatorInLease)^2+((DATE(2027+2,4,30)-F14)/365.25)*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)))),0)</f>
        <v/>
      </c>
      <c r="Q14" s="5">
        <f>IFERROR(IF(I14="LeaseUp",H14*D14*(1+GrowthMarketRent)^3*IF(3=0,(12-DowntimeNew)/12,1),IF(F14="",0,IF(F14&gt;=DATE(2027+3,4,30),G14*D14*(1+EscalatorInLease)^3,IF(F14&lt;DATE(2026+3,5,1),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,((F14-DATE(2026+3,5,1))/365.25)*G14*D14*(1+EscalatorInLease)^3+((DATE(2027+3,4,30)-F14)/365.25)*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)))),0)</f>
        <v/>
      </c>
      <c r="R14" s="5">
        <f>IFERROR(IF(I14="LeaseUp",H14*D14*(1+GrowthMarketRent)^4*IF(4=0,(12-DowntimeNew)/12,1),IF(F14="",0,IF(F14&gt;=DATE(2027+4,4,30),G14*D14*(1+EscalatorInLease)^4,IF(F14&lt;DATE(2026+4,5,1),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,((F14-DATE(2026+4,5,1))/365.25)*G14*D14*(1+EscalatorInLease)^4+((DATE(2027+4,4,30)-F14)/365.25)*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)))),0)</f>
        <v/>
      </c>
      <c r="S14" s="5">
        <f>IFERROR(IF(I14="LeaseUp",H14*D14*(1+GrowthMarketRent)^5*IF(5=0,(12-DowntimeNew)/12,1),IF(F14="",0,IF(F14&gt;=DATE(2027+5,4,30),G14*D14*(1+EscalatorInLease)^5,IF(F14&lt;DATE(2026+5,5,1),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,((F14-DATE(2026+5,5,1))/365.25)*G14*D14*(1+EscalatorInLease)^5+((DATE(2027+5,4,30)-F14)/365.25)*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)))),0)</f>
        <v/>
      </c>
      <c r="T14" s="5">
        <f>IFERROR(IF(I14="LeaseUp",H14*D14*(1+GrowthMarketRent)^6*IF(6=0,(12-DowntimeNew)/12,1),IF(F14="",0,IF(F14&gt;=DATE(2027+6,4,30),G14*D14*(1+EscalatorInLease)^6,IF(F14&lt;DATE(2026+6,5,1),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,((F14-DATE(2026+6,5,1))/365.25)*G14*D14*(1+EscalatorInLease)^6+((DATE(2027+6,4,30)-F14)/365.25)*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)))),0)</f>
        <v/>
      </c>
      <c r="U14" s="5">
        <f>IFERROR(IF(I14="LeaseUp",H14*D14*(1+GrowthMarketRent)^7*IF(7=0,(12-DowntimeNew)/12,1),IF(F14="",0,IF(F14&gt;=DATE(2027+7,4,30),G14*D14*(1+EscalatorInLease)^7,IF(F14&lt;DATE(2026+7,5,1),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,((F14-DATE(2026+7,5,1))/365.25)*G14*D14*(1+EscalatorInLease)^7+((DATE(2027+7,4,30)-F14)/365.25)*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)))),0)</f>
        <v/>
      </c>
      <c r="V14" s="5">
        <f>IFERROR(IF(I14="LeaseUp",H14*D14*(1+GrowthMarketRent)^8*IF(8=0,(12-DowntimeNew)/12,1),IF(F14="",0,IF(F14&gt;=DATE(2027+8,4,30),G14*D14*(1+EscalatorInLease)^8,IF(F14&lt;DATE(2026+8,5,1),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,((F14-DATE(2026+8,5,1))/365.25)*G14*D14*(1+EscalatorInLease)^8+((DATE(2027+8,4,30)-F14)/365.25)*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)))),0)</f>
        <v/>
      </c>
      <c r="W14" s="5">
        <f>IFERROR(IF(I14="LeaseUp",H14*D14*(1+GrowthMarketRent)^9*IF(9=0,(12-DowntimeNew)/12,1),IF(F14="",0,IF(F14&gt;=DATE(2027+9,4,30),G14*D14*(1+EscalatorInLease)^9,IF(F14&lt;DATE(2026+9,5,1),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,((F14-DATE(2026+9,5,1))/365.25)*G14*D14*(1+EscalatorInLease)^9+((DATE(2027+9,4,30)-F14)/365.25)*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)))),0)</f>
        <v/>
      </c>
      <c r="X14" s="5">
        <f>IFERROR(IF(I14="LeaseUp",H14*D14*(1+GrowthMarketRent)^10*IF(10=0,(12-DowntimeNew)/12,1),IF(F14="",0,IF(F14&gt;=DATE(2027+10,4,30),G14*D14*(1+EscalatorInLease)^10,IF(F14&lt;DATE(2026+10,5,1),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,((F14-DATE(2026+10,5,1))/365.25)*G14*D14*(1+EscalatorInLease)^10+((DATE(2027+10,4,30)-F14)/365.25)*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)))),0)</f>
        <v/>
      </c>
      <c r="Y14" s="5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5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5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5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5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5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5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5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5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5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5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9" t="n">
        <v>1870</v>
      </c>
      <c r="E15" s="40" t="n">
        <v>45231</v>
      </c>
      <c r="F15" s="40" t="n">
        <v>47027</v>
      </c>
      <c r="G15" s="41" t="n">
        <v>15.4967914438503</v>
      </c>
      <c r="H15" s="10">
        <f>VLOOKUP("Carrollton — "&amp;J15,MLA!$A$5:$L$11,3,FALSE)</f>
        <v/>
      </c>
      <c r="I15" s="25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7">
        <f>IF(E15="",0,(AnalysisStart-E15)/365.25)</f>
        <v/>
      </c>
      <c r="N15" s="5">
        <f>IFERROR(IF(I15="LeaseUp",H15*D15*(1+GrowthMarketRent)^0*IF(0=0,(12-DowntimeNew)/12,1),IF(F15="",0,IF(F15&gt;=DATE(2027+0,4,30),G15*D15*(1+EscalatorInLease)^0,IF(F15&lt;DATE(2026+0,5,1),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,((F15-DATE(2026+0,5,1))/365.25)*G15*D15*(1+EscalatorInLease)^0+((DATE(2027+0,4,30)-F15)/365.25)*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)))),0)</f>
        <v/>
      </c>
      <c r="O15" s="5">
        <f>IFERROR(IF(I15="LeaseUp",H15*D15*(1+GrowthMarketRent)^1*IF(1=0,(12-DowntimeNew)/12,1),IF(F15="",0,IF(F15&gt;=DATE(2027+1,4,30),G15*D15*(1+EscalatorInLease)^1,IF(F15&lt;DATE(2026+1,5,1),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,((F15-DATE(2026+1,5,1))/365.25)*G15*D15*(1+EscalatorInLease)^1+((DATE(2027+1,4,30)-F15)/365.25)*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)))),0)</f>
        <v/>
      </c>
      <c r="P15" s="5">
        <f>IFERROR(IF(I15="LeaseUp",H15*D15*(1+GrowthMarketRent)^2*IF(2=0,(12-DowntimeNew)/12,1),IF(F15="",0,IF(F15&gt;=DATE(2027+2,4,30),G15*D15*(1+EscalatorInLease)^2,IF(F15&lt;DATE(2026+2,5,1),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,((F15-DATE(2026+2,5,1))/365.25)*G15*D15*(1+EscalatorInLease)^2+((DATE(2027+2,4,30)-F15)/365.25)*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)))),0)</f>
        <v/>
      </c>
      <c r="Q15" s="5">
        <f>IFERROR(IF(I15="LeaseUp",H15*D15*(1+GrowthMarketRent)^3*IF(3=0,(12-DowntimeNew)/12,1),IF(F15="",0,IF(F15&gt;=DATE(2027+3,4,30),G15*D15*(1+EscalatorInLease)^3,IF(F15&lt;DATE(2026+3,5,1),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,((F15-DATE(2026+3,5,1))/365.25)*G15*D15*(1+EscalatorInLease)^3+((DATE(2027+3,4,30)-F15)/365.25)*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)))),0)</f>
        <v/>
      </c>
      <c r="R15" s="5">
        <f>IFERROR(IF(I15="LeaseUp",H15*D15*(1+GrowthMarketRent)^4*IF(4=0,(12-DowntimeNew)/12,1),IF(F15="",0,IF(F15&gt;=DATE(2027+4,4,30),G15*D15*(1+EscalatorInLease)^4,IF(F15&lt;DATE(2026+4,5,1),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,((F15-DATE(2026+4,5,1))/365.25)*G15*D15*(1+EscalatorInLease)^4+((DATE(2027+4,4,30)-F15)/365.25)*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)))),0)</f>
        <v/>
      </c>
      <c r="S15" s="5">
        <f>IFERROR(IF(I15="LeaseUp",H15*D15*(1+GrowthMarketRent)^5*IF(5=0,(12-DowntimeNew)/12,1),IF(F15="",0,IF(F15&gt;=DATE(2027+5,4,30),G15*D15*(1+EscalatorInLease)^5,IF(F15&lt;DATE(2026+5,5,1),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,((F15-DATE(2026+5,5,1))/365.25)*G15*D15*(1+EscalatorInLease)^5+((DATE(2027+5,4,30)-F15)/365.25)*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)))),0)</f>
        <v/>
      </c>
      <c r="T15" s="5">
        <f>IFERROR(IF(I15="LeaseUp",H15*D15*(1+GrowthMarketRent)^6*IF(6=0,(12-DowntimeNew)/12,1),IF(F15="",0,IF(F15&gt;=DATE(2027+6,4,30),G15*D15*(1+EscalatorInLease)^6,IF(F15&lt;DATE(2026+6,5,1),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,((F15-DATE(2026+6,5,1))/365.25)*G15*D15*(1+EscalatorInLease)^6+((DATE(2027+6,4,30)-F15)/365.25)*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)))),0)</f>
        <v/>
      </c>
      <c r="U15" s="5">
        <f>IFERROR(IF(I15="LeaseUp",H15*D15*(1+GrowthMarketRent)^7*IF(7=0,(12-DowntimeNew)/12,1),IF(F15="",0,IF(F15&gt;=DATE(2027+7,4,30),G15*D15*(1+EscalatorInLease)^7,IF(F15&lt;DATE(2026+7,5,1),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,((F15-DATE(2026+7,5,1))/365.25)*G15*D15*(1+EscalatorInLease)^7+((DATE(2027+7,4,30)-F15)/365.25)*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)))),0)</f>
        <v/>
      </c>
      <c r="V15" s="5">
        <f>IFERROR(IF(I15="LeaseUp",H15*D15*(1+GrowthMarketRent)^8*IF(8=0,(12-DowntimeNew)/12,1),IF(F15="",0,IF(F15&gt;=DATE(2027+8,4,30),G15*D15*(1+EscalatorInLease)^8,IF(F15&lt;DATE(2026+8,5,1),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,((F15-DATE(2026+8,5,1))/365.25)*G15*D15*(1+EscalatorInLease)^8+((DATE(2027+8,4,30)-F15)/365.25)*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)))),0)</f>
        <v/>
      </c>
      <c r="W15" s="5">
        <f>IFERROR(IF(I15="LeaseUp",H15*D15*(1+GrowthMarketRent)^9*IF(9=0,(12-DowntimeNew)/12,1),IF(F15="",0,IF(F15&gt;=DATE(2027+9,4,30),G15*D15*(1+EscalatorInLease)^9,IF(F15&lt;DATE(2026+9,5,1),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,((F15-DATE(2026+9,5,1))/365.25)*G15*D15*(1+EscalatorInLease)^9+((DATE(2027+9,4,30)-F15)/365.25)*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)))),0)</f>
        <v/>
      </c>
      <c r="X15" s="5">
        <f>IFERROR(IF(I15="LeaseUp",H15*D15*(1+GrowthMarketRent)^10*IF(10=0,(12-DowntimeNew)/12,1),IF(F15="",0,IF(F15&gt;=DATE(2027+10,4,30),G15*D15*(1+EscalatorInLease)^10,IF(F15&lt;DATE(2026+10,5,1),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,((F15-DATE(2026+10,5,1))/365.25)*G15*D15*(1+EscalatorInLease)^10+((DATE(2027+10,4,30)-F15)/365.25)*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)))),0)</f>
        <v/>
      </c>
      <c r="Y15" s="5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5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5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5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5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5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5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5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5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5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5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9" t="n">
        <v>1870</v>
      </c>
      <c r="E16" s="40" t="n">
        <v>46082</v>
      </c>
      <c r="F16" s="40" t="n">
        <v>46419</v>
      </c>
      <c r="G16" s="41" t="n">
        <v>16</v>
      </c>
      <c r="H16" s="10">
        <f>VLOOKUP("Carrollton — "&amp;J16,MLA!$A$5:$L$11,3,FALSE)</f>
        <v/>
      </c>
      <c r="I16" s="25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7">
        <f>IF(E16="",0,(AnalysisStart-E16)/365.25)</f>
        <v/>
      </c>
      <c r="N16" s="5">
        <f>IFERROR(IF(I16="LeaseUp",H16*D16*(1+GrowthMarketRent)^0*IF(0=0,(12-DowntimeNew)/12,1),IF(F16="",0,IF(F16&gt;=DATE(2027+0,4,30),G16*D16*(1+EscalatorInLease)^0,IF(F16&lt;DATE(2026+0,5,1),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,((F16-DATE(2026+0,5,1))/365.25)*G16*D16*(1+EscalatorInLease)^0+((DATE(2027+0,4,30)-F16)/365.25)*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)))),0)</f>
        <v/>
      </c>
      <c r="O16" s="5">
        <f>IFERROR(IF(I16="LeaseUp",H16*D16*(1+GrowthMarketRent)^1*IF(1=0,(12-DowntimeNew)/12,1),IF(F16="",0,IF(F16&gt;=DATE(2027+1,4,30),G16*D16*(1+EscalatorInLease)^1,IF(F16&lt;DATE(2026+1,5,1),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,((F16-DATE(2026+1,5,1))/365.25)*G16*D16*(1+EscalatorInLease)^1+((DATE(2027+1,4,30)-F16)/365.25)*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)))),0)</f>
        <v/>
      </c>
      <c r="P16" s="5">
        <f>IFERROR(IF(I16="LeaseUp",H16*D16*(1+GrowthMarketRent)^2*IF(2=0,(12-DowntimeNew)/12,1),IF(F16="",0,IF(F16&gt;=DATE(2027+2,4,30),G16*D16*(1+EscalatorInLease)^2,IF(F16&lt;DATE(2026+2,5,1),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,((F16-DATE(2026+2,5,1))/365.25)*G16*D16*(1+EscalatorInLease)^2+((DATE(2027+2,4,30)-F16)/365.25)*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)))),0)</f>
        <v/>
      </c>
      <c r="Q16" s="5">
        <f>IFERROR(IF(I16="LeaseUp",H16*D16*(1+GrowthMarketRent)^3*IF(3=0,(12-DowntimeNew)/12,1),IF(F16="",0,IF(F16&gt;=DATE(2027+3,4,30),G16*D16*(1+EscalatorInLease)^3,IF(F16&lt;DATE(2026+3,5,1),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,((F16-DATE(2026+3,5,1))/365.25)*G16*D16*(1+EscalatorInLease)^3+((DATE(2027+3,4,30)-F16)/365.25)*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)))),0)</f>
        <v/>
      </c>
      <c r="R16" s="5">
        <f>IFERROR(IF(I16="LeaseUp",H16*D16*(1+GrowthMarketRent)^4*IF(4=0,(12-DowntimeNew)/12,1),IF(F16="",0,IF(F16&gt;=DATE(2027+4,4,30),G16*D16*(1+EscalatorInLease)^4,IF(F16&lt;DATE(2026+4,5,1),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,((F16-DATE(2026+4,5,1))/365.25)*G16*D16*(1+EscalatorInLease)^4+((DATE(2027+4,4,30)-F16)/365.25)*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)))),0)</f>
        <v/>
      </c>
      <c r="S16" s="5">
        <f>IFERROR(IF(I16="LeaseUp",H16*D16*(1+GrowthMarketRent)^5*IF(5=0,(12-DowntimeNew)/12,1),IF(F16="",0,IF(F16&gt;=DATE(2027+5,4,30),G16*D16*(1+EscalatorInLease)^5,IF(F16&lt;DATE(2026+5,5,1),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,((F16-DATE(2026+5,5,1))/365.25)*G16*D16*(1+EscalatorInLease)^5+((DATE(2027+5,4,30)-F16)/365.25)*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)))),0)</f>
        <v/>
      </c>
      <c r="T16" s="5">
        <f>IFERROR(IF(I16="LeaseUp",H16*D16*(1+GrowthMarketRent)^6*IF(6=0,(12-DowntimeNew)/12,1),IF(F16="",0,IF(F16&gt;=DATE(2027+6,4,30),G16*D16*(1+EscalatorInLease)^6,IF(F16&lt;DATE(2026+6,5,1),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,((F16-DATE(2026+6,5,1))/365.25)*G16*D16*(1+EscalatorInLease)^6+((DATE(2027+6,4,30)-F16)/365.25)*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)))),0)</f>
        <v/>
      </c>
      <c r="U16" s="5">
        <f>IFERROR(IF(I16="LeaseUp",H16*D16*(1+GrowthMarketRent)^7*IF(7=0,(12-DowntimeNew)/12,1),IF(F16="",0,IF(F16&gt;=DATE(2027+7,4,30),G16*D16*(1+EscalatorInLease)^7,IF(F16&lt;DATE(2026+7,5,1),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,((F16-DATE(2026+7,5,1))/365.25)*G16*D16*(1+EscalatorInLease)^7+((DATE(2027+7,4,30)-F16)/365.25)*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)))),0)</f>
        <v/>
      </c>
      <c r="V16" s="5">
        <f>IFERROR(IF(I16="LeaseUp",H16*D16*(1+GrowthMarketRent)^8*IF(8=0,(12-DowntimeNew)/12,1),IF(F16="",0,IF(F16&gt;=DATE(2027+8,4,30),G16*D16*(1+EscalatorInLease)^8,IF(F16&lt;DATE(2026+8,5,1),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,((F16-DATE(2026+8,5,1))/365.25)*G16*D16*(1+EscalatorInLease)^8+((DATE(2027+8,4,30)-F16)/365.25)*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)))),0)</f>
        <v/>
      </c>
      <c r="W16" s="5">
        <f>IFERROR(IF(I16="LeaseUp",H16*D16*(1+GrowthMarketRent)^9*IF(9=0,(12-DowntimeNew)/12,1),IF(F16="",0,IF(F16&gt;=DATE(2027+9,4,30),G16*D16*(1+EscalatorInLease)^9,IF(F16&lt;DATE(2026+9,5,1),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,((F16-DATE(2026+9,5,1))/365.25)*G16*D16*(1+EscalatorInLease)^9+((DATE(2027+9,4,30)-F16)/365.25)*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)))),0)</f>
        <v/>
      </c>
      <c r="X16" s="5">
        <f>IFERROR(IF(I16="LeaseUp",H16*D16*(1+GrowthMarketRent)^10*IF(10=0,(12-DowntimeNew)/12,1),IF(F16="",0,IF(F16&gt;=DATE(2027+10,4,30),G16*D16*(1+EscalatorInLease)^10,IF(F16&lt;DATE(2026+10,5,1),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,((F16-DATE(2026+10,5,1))/365.25)*G16*D16*(1+EscalatorInLease)^10+((DATE(2027+10,4,30)-F16)/365.25)*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)))),0)</f>
        <v/>
      </c>
      <c r="Y16" s="5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5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5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5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5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5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5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5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5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5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5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9" t="n">
        <v>1870</v>
      </c>
      <c r="E17" s="40" t="n">
        <v>45839</v>
      </c>
      <c r="F17" s="40" t="n">
        <v>47088</v>
      </c>
      <c r="G17" s="41" t="n">
        <v>14</v>
      </c>
      <c r="H17" s="10">
        <f>VLOOKUP("Carrollton — "&amp;J17,MLA!$A$5:$L$11,3,FALSE)</f>
        <v/>
      </c>
      <c r="I17" s="25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7">
        <f>IF(E17="",0,(AnalysisStart-E17)/365.25)</f>
        <v/>
      </c>
      <c r="N17" s="5">
        <f>IFERROR(IF(I17="LeaseUp",H17*D17*(1+GrowthMarketRent)^0*IF(0=0,(12-DowntimeNew)/12,1),IF(F17="",0,IF(F17&gt;=DATE(2027+0,4,30),G17*D17*(1+EscalatorInLease)^0,IF(F17&lt;DATE(2026+0,5,1),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,((F17-DATE(2026+0,5,1))/365.25)*G17*D17*(1+EscalatorInLease)^0+((DATE(2027+0,4,30)-F17)/365.25)*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)))),0)</f>
        <v/>
      </c>
      <c r="O17" s="5">
        <f>IFERROR(IF(I17="LeaseUp",H17*D17*(1+GrowthMarketRent)^1*IF(1=0,(12-DowntimeNew)/12,1),IF(F17="",0,IF(F17&gt;=DATE(2027+1,4,30),G17*D17*(1+EscalatorInLease)^1,IF(F17&lt;DATE(2026+1,5,1),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,((F17-DATE(2026+1,5,1))/365.25)*G17*D17*(1+EscalatorInLease)^1+((DATE(2027+1,4,30)-F17)/365.25)*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)))),0)</f>
        <v/>
      </c>
      <c r="P17" s="5">
        <f>IFERROR(IF(I17="LeaseUp",H17*D17*(1+GrowthMarketRent)^2*IF(2=0,(12-DowntimeNew)/12,1),IF(F17="",0,IF(F17&gt;=DATE(2027+2,4,30),G17*D17*(1+EscalatorInLease)^2,IF(F17&lt;DATE(2026+2,5,1),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,((F17-DATE(2026+2,5,1))/365.25)*G17*D17*(1+EscalatorInLease)^2+((DATE(2027+2,4,30)-F17)/365.25)*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)))),0)</f>
        <v/>
      </c>
      <c r="Q17" s="5">
        <f>IFERROR(IF(I17="LeaseUp",H17*D17*(1+GrowthMarketRent)^3*IF(3=0,(12-DowntimeNew)/12,1),IF(F17="",0,IF(F17&gt;=DATE(2027+3,4,30),G17*D17*(1+EscalatorInLease)^3,IF(F17&lt;DATE(2026+3,5,1),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,((F17-DATE(2026+3,5,1))/365.25)*G17*D17*(1+EscalatorInLease)^3+((DATE(2027+3,4,30)-F17)/365.25)*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)))),0)</f>
        <v/>
      </c>
      <c r="R17" s="5">
        <f>IFERROR(IF(I17="LeaseUp",H17*D17*(1+GrowthMarketRent)^4*IF(4=0,(12-DowntimeNew)/12,1),IF(F17="",0,IF(F17&gt;=DATE(2027+4,4,30),G17*D17*(1+EscalatorInLease)^4,IF(F17&lt;DATE(2026+4,5,1),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,((F17-DATE(2026+4,5,1))/365.25)*G17*D17*(1+EscalatorInLease)^4+((DATE(2027+4,4,30)-F17)/365.25)*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)))),0)</f>
        <v/>
      </c>
      <c r="S17" s="5">
        <f>IFERROR(IF(I17="LeaseUp",H17*D17*(1+GrowthMarketRent)^5*IF(5=0,(12-DowntimeNew)/12,1),IF(F17="",0,IF(F17&gt;=DATE(2027+5,4,30),G17*D17*(1+EscalatorInLease)^5,IF(F17&lt;DATE(2026+5,5,1),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,((F17-DATE(2026+5,5,1))/365.25)*G17*D17*(1+EscalatorInLease)^5+((DATE(2027+5,4,30)-F17)/365.25)*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)))),0)</f>
        <v/>
      </c>
      <c r="T17" s="5">
        <f>IFERROR(IF(I17="LeaseUp",H17*D17*(1+GrowthMarketRent)^6*IF(6=0,(12-DowntimeNew)/12,1),IF(F17="",0,IF(F17&gt;=DATE(2027+6,4,30),G17*D17*(1+EscalatorInLease)^6,IF(F17&lt;DATE(2026+6,5,1),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,((F17-DATE(2026+6,5,1))/365.25)*G17*D17*(1+EscalatorInLease)^6+((DATE(2027+6,4,30)-F17)/365.25)*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)))),0)</f>
        <v/>
      </c>
      <c r="U17" s="5">
        <f>IFERROR(IF(I17="LeaseUp",H17*D17*(1+GrowthMarketRent)^7*IF(7=0,(12-DowntimeNew)/12,1),IF(F17="",0,IF(F17&gt;=DATE(2027+7,4,30),G17*D17*(1+EscalatorInLease)^7,IF(F17&lt;DATE(2026+7,5,1),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,((F17-DATE(2026+7,5,1))/365.25)*G17*D17*(1+EscalatorInLease)^7+((DATE(2027+7,4,30)-F17)/365.25)*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)))),0)</f>
        <v/>
      </c>
      <c r="V17" s="5">
        <f>IFERROR(IF(I17="LeaseUp",H17*D17*(1+GrowthMarketRent)^8*IF(8=0,(12-DowntimeNew)/12,1),IF(F17="",0,IF(F17&gt;=DATE(2027+8,4,30),G17*D17*(1+EscalatorInLease)^8,IF(F17&lt;DATE(2026+8,5,1),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,((F17-DATE(2026+8,5,1))/365.25)*G17*D17*(1+EscalatorInLease)^8+((DATE(2027+8,4,30)-F17)/365.25)*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)))),0)</f>
        <v/>
      </c>
      <c r="W17" s="5">
        <f>IFERROR(IF(I17="LeaseUp",H17*D17*(1+GrowthMarketRent)^9*IF(9=0,(12-DowntimeNew)/12,1),IF(F17="",0,IF(F17&gt;=DATE(2027+9,4,30),G17*D17*(1+EscalatorInLease)^9,IF(F17&lt;DATE(2026+9,5,1),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,((F17-DATE(2026+9,5,1))/365.25)*G17*D17*(1+EscalatorInLease)^9+((DATE(2027+9,4,30)-F17)/365.25)*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)))),0)</f>
        <v/>
      </c>
      <c r="X17" s="5">
        <f>IFERROR(IF(I17="LeaseUp",H17*D17*(1+GrowthMarketRent)^10*IF(10=0,(12-DowntimeNew)/12,1),IF(F17="",0,IF(F17&gt;=DATE(2027+10,4,30),G17*D17*(1+EscalatorInLease)^10,IF(F17&lt;DATE(2026+10,5,1),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,((F17-DATE(2026+10,5,1))/365.25)*G17*D17*(1+EscalatorInLease)^10+((DATE(2027+10,4,30)-F17)/365.25)*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)))),0)</f>
        <v/>
      </c>
      <c r="Y17" s="5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5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5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5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5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5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5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5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5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5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5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9" t="n">
        <v>3230</v>
      </c>
      <c r="E18" s="40" t="n">
        <v>45658</v>
      </c>
      <c r="F18" s="40" t="n">
        <v>47453</v>
      </c>
      <c r="G18" s="41" t="n">
        <v>17.4250773993808</v>
      </c>
      <c r="H18" s="10">
        <f>VLOOKUP("Carrollton — "&amp;J18,MLA!$A$5:$L$11,3,FALSE)</f>
        <v/>
      </c>
      <c r="I18" s="25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7">
        <f>IF(E18="",0,(AnalysisStart-E18)/365.25)</f>
        <v/>
      </c>
      <c r="N18" s="5">
        <f>IFERROR(IF(I18="LeaseUp",H18*D18*(1+GrowthMarketRent)^0*IF(0=0,(12-DowntimeNew)/12,1),IF(F18="",0,IF(F18&gt;=DATE(2027+0,4,30),G18*D18*(1+EscalatorInLease)^0,IF(F18&lt;DATE(2026+0,5,1),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,((F18-DATE(2026+0,5,1))/365.25)*G18*D18*(1+EscalatorInLease)^0+((DATE(2027+0,4,30)-F18)/365.25)*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)))),0)</f>
        <v/>
      </c>
      <c r="O18" s="5">
        <f>IFERROR(IF(I18="LeaseUp",H18*D18*(1+GrowthMarketRent)^1*IF(1=0,(12-DowntimeNew)/12,1),IF(F18="",0,IF(F18&gt;=DATE(2027+1,4,30),G18*D18*(1+EscalatorInLease)^1,IF(F18&lt;DATE(2026+1,5,1),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,((F18-DATE(2026+1,5,1))/365.25)*G18*D18*(1+EscalatorInLease)^1+((DATE(2027+1,4,30)-F18)/365.25)*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)))),0)</f>
        <v/>
      </c>
      <c r="P18" s="5">
        <f>IFERROR(IF(I18="LeaseUp",H18*D18*(1+GrowthMarketRent)^2*IF(2=0,(12-DowntimeNew)/12,1),IF(F18="",0,IF(F18&gt;=DATE(2027+2,4,30),G18*D18*(1+EscalatorInLease)^2,IF(F18&lt;DATE(2026+2,5,1),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,((F18-DATE(2026+2,5,1))/365.25)*G18*D18*(1+EscalatorInLease)^2+((DATE(2027+2,4,30)-F18)/365.25)*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)))),0)</f>
        <v/>
      </c>
      <c r="Q18" s="5">
        <f>IFERROR(IF(I18="LeaseUp",H18*D18*(1+GrowthMarketRent)^3*IF(3=0,(12-DowntimeNew)/12,1),IF(F18="",0,IF(F18&gt;=DATE(2027+3,4,30),G18*D18*(1+EscalatorInLease)^3,IF(F18&lt;DATE(2026+3,5,1),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,((F18-DATE(2026+3,5,1))/365.25)*G18*D18*(1+EscalatorInLease)^3+((DATE(2027+3,4,30)-F18)/365.25)*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)))),0)</f>
        <v/>
      </c>
      <c r="R18" s="5">
        <f>IFERROR(IF(I18="LeaseUp",H18*D18*(1+GrowthMarketRent)^4*IF(4=0,(12-DowntimeNew)/12,1),IF(F18="",0,IF(F18&gt;=DATE(2027+4,4,30),G18*D18*(1+EscalatorInLease)^4,IF(F18&lt;DATE(2026+4,5,1),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,((F18-DATE(2026+4,5,1))/365.25)*G18*D18*(1+EscalatorInLease)^4+((DATE(2027+4,4,30)-F18)/365.25)*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)))),0)</f>
        <v/>
      </c>
      <c r="S18" s="5">
        <f>IFERROR(IF(I18="LeaseUp",H18*D18*(1+GrowthMarketRent)^5*IF(5=0,(12-DowntimeNew)/12,1),IF(F18="",0,IF(F18&gt;=DATE(2027+5,4,30),G18*D18*(1+EscalatorInLease)^5,IF(F18&lt;DATE(2026+5,5,1),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,((F18-DATE(2026+5,5,1))/365.25)*G18*D18*(1+EscalatorInLease)^5+((DATE(2027+5,4,30)-F18)/365.25)*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)))),0)</f>
        <v/>
      </c>
      <c r="T18" s="5">
        <f>IFERROR(IF(I18="LeaseUp",H18*D18*(1+GrowthMarketRent)^6*IF(6=0,(12-DowntimeNew)/12,1),IF(F18="",0,IF(F18&gt;=DATE(2027+6,4,30),G18*D18*(1+EscalatorInLease)^6,IF(F18&lt;DATE(2026+6,5,1),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,((F18-DATE(2026+6,5,1))/365.25)*G18*D18*(1+EscalatorInLease)^6+((DATE(2027+6,4,30)-F18)/365.25)*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)))),0)</f>
        <v/>
      </c>
      <c r="U18" s="5">
        <f>IFERROR(IF(I18="LeaseUp",H18*D18*(1+GrowthMarketRent)^7*IF(7=0,(12-DowntimeNew)/12,1),IF(F18="",0,IF(F18&gt;=DATE(2027+7,4,30),G18*D18*(1+EscalatorInLease)^7,IF(F18&lt;DATE(2026+7,5,1),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,((F18-DATE(2026+7,5,1))/365.25)*G18*D18*(1+EscalatorInLease)^7+((DATE(2027+7,4,30)-F18)/365.25)*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)))),0)</f>
        <v/>
      </c>
      <c r="V18" s="5">
        <f>IFERROR(IF(I18="LeaseUp",H18*D18*(1+GrowthMarketRent)^8*IF(8=0,(12-DowntimeNew)/12,1),IF(F18="",0,IF(F18&gt;=DATE(2027+8,4,30),G18*D18*(1+EscalatorInLease)^8,IF(F18&lt;DATE(2026+8,5,1),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,((F18-DATE(2026+8,5,1))/365.25)*G18*D18*(1+EscalatorInLease)^8+((DATE(2027+8,4,30)-F18)/365.25)*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)))),0)</f>
        <v/>
      </c>
      <c r="W18" s="5">
        <f>IFERROR(IF(I18="LeaseUp",H18*D18*(1+GrowthMarketRent)^9*IF(9=0,(12-DowntimeNew)/12,1),IF(F18="",0,IF(F18&gt;=DATE(2027+9,4,30),G18*D18*(1+EscalatorInLease)^9,IF(F18&lt;DATE(2026+9,5,1),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,((F18-DATE(2026+9,5,1))/365.25)*G18*D18*(1+EscalatorInLease)^9+((DATE(2027+9,4,30)-F18)/365.25)*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)))),0)</f>
        <v/>
      </c>
      <c r="X18" s="5">
        <f>IFERROR(IF(I18="LeaseUp",H18*D18*(1+GrowthMarketRent)^10*IF(10=0,(12-DowntimeNew)/12,1),IF(F18="",0,IF(F18&gt;=DATE(2027+10,4,30),G18*D18*(1+EscalatorInLease)^10,IF(F18&lt;DATE(2026+10,5,1),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,((F18-DATE(2026+10,5,1))/365.25)*G18*D18*(1+EscalatorInLease)^10+((DATE(2027+10,4,30)-F18)/365.25)*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)))),0)</f>
        <v/>
      </c>
      <c r="Y18" s="5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5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5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5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5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5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5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5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5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5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5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9" t="n">
        <v>3230</v>
      </c>
      <c r="E19" s="40" t="n">
        <v>45383</v>
      </c>
      <c r="F19" s="40" t="n">
        <v>46631</v>
      </c>
      <c r="G19" s="41" t="n">
        <v>15.4965944272446</v>
      </c>
      <c r="H19" s="10">
        <f>VLOOKUP("Carrollton — "&amp;J19,MLA!$A$5:$L$11,3,FALSE)</f>
        <v/>
      </c>
      <c r="I19" s="25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7">
        <f>IF(E19="",0,(AnalysisStart-E19)/365.25)</f>
        <v/>
      </c>
      <c r="N19" s="5">
        <f>IFERROR(IF(I19="LeaseUp",H19*D19*(1+GrowthMarketRent)^0*IF(0=0,(12-DowntimeNew)/12,1),IF(F19="",0,IF(F19&gt;=DATE(2027+0,4,30),G19*D19*(1+EscalatorInLease)^0,IF(F19&lt;DATE(2026+0,5,1),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,((F19-DATE(2026+0,5,1))/365.25)*G19*D19*(1+EscalatorInLease)^0+((DATE(2027+0,4,30)-F19)/365.25)*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)))),0)</f>
        <v/>
      </c>
      <c r="O19" s="5">
        <f>IFERROR(IF(I19="LeaseUp",H19*D19*(1+GrowthMarketRent)^1*IF(1=0,(12-DowntimeNew)/12,1),IF(F19="",0,IF(F19&gt;=DATE(2027+1,4,30),G19*D19*(1+EscalatorInLease)^1,IF(F19&lt;DATE(2026+1,5,1),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,((F19-DATE(2026+1,5,1))/365.25)*G19*D19*(1+EscalatorInLease)^1+((DATE(2027+1,4,30)-F19)/365.25)*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)))),0)</f>
        <v/>
      </c>
      <c r="P19" s="5">
        <f>IFERROR(IF(I19="LeaseUp",H19*D19*(1+GrowthMarketRent)^2*IF(2=0,(12-DowntimeNew)/12,1),IF(F19="",0,IF(F19&gt;=DATE(2027+2,4,30),G19*D19*(1+EscalatorInLease)^2,IF(F19&lt;DATE(2026+2,5,1),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,((F19-DATE(2026+2,5,1))/365.25)*G19*D19*(1+EscalatorInLease)^2+((DATE(2027+2,4,30)-F19)/365.25)*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)))),0)</f>
        <v/>
      </c>
      <c r="Q19" s="5">
        <f>IFERROR(IF(I19="LeaseUp",H19*D19*(1+GrowthMarketRent)^3*IF(3=0,(12-DowntimeNew)/12,1),IF(F19="",0,IF(F19&gt;=DATE(2027+3,4,30),G19*D19*(1+EscalatorInLease)^3,IF(F19&lt;DATE(2026+3,5,1),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,((F19-DATE(2026+3,5,1))/365.25)*G19*D19*(1+EscalatorInLease)^3+((DATE(2027+3,4,30)-F19)/365.25)*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)))),0)</f>
        <v/>
      </c>
      <c r="R19" s="5">
        <f>IFERROR(IF(I19="LeaseUp",H19*D19*(1+GrowthMarketRent)^4*IF(4=0,(12-DowntimeNew)/12,1),IF(F19="",0,IF(F19&gt;=DATE(2027+4,4,30),G19*D19*(1+EscalatorInLease)^4,IF(F19&lt;DATE(2026+4,5,1),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,((F19-DATE(2026+4,5,1))/365.25)*G19*D19*(1+EscalatorInLease)^4+((DATE(2027+4,4,30)-F19)/365.25)*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)))),0)</f>
        <v/>
      </c>
      <c r="S19" s="5">
        <f>IFERROR(IF(I19="LeaseUp",H19*D19*(1+GrowthMarketRent)^5*IF(5=0,(12-DowntimeNew)/12,1),IF(F19="",0,IF(F19&gt;=DATE(2027+5,4,30),G19*D19*(1+EscalatorInLease)^5,IF(F19&lt;DATE(2026+5,5,1),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,((F19-DATE(2026+5,5,1))/365.25)*G19*D19*(1+EscalatorInLease)^5+((DATE(2027+5,4,30)-F19)/365.25)*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)))),0)</f>
        <v/>
      </c>
      <c r="T19" s="5">
        <f>IFERROR(IF(I19="LeaseUp",H19*D19*(1+GrowthMarketRent)^6*IF(6=0,(12-DowntimeNew)/12,1),IF(F19="",0,IF(F19&gt;=DATE(2027+6,4,30),G19*D19*(1+EscalatorInLease)^6,IF(F19&lt;DATE(2026+6,5,1),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,((F19-DATE(2026+6,5,1))/365.25)*G19*D19*(1+EscalatorInLease)^6+((DATE(2027+6,4,30)-F19)/365.25)*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)))),0)</f>
        <v/>
      </c>
      <c r="U19" s="5">
        <f>IFERROR(IF(I19="LeaseUp",H19*D19*(1+GrowthMarketRent)^7*IF(7=0,(12-DowntimeNew)/12,1),IF(F19="",0,IF(F19&gt;=DATE(2027+7,4,30),G19*D19*(1+EscalatorInLease)^7,IF(F19&lt;DATE(2026+7,5,1),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,((F19-DATE(2026+7,5,1))/365.25)*G19*D19*(1+EscalatorInLease)^7+((DATE(2027+7,4,30)-F19)/365.25)*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)))),0)</f>
        <v/>
      </c>
      <c r="V19" s="5">
        <f>IFERROR(IF(I19="LeaseUp",H19*D19*(1+GrowthMarketRent)^8*IF(8=0,(12-DowntimeNew)/12,1),IF(F19="",0,IF(F19&gt;=DATE(2027+8,4,30),G19*D19*(1+EscalatorInLease)^8,IF(F19&lt;DATE(2026+8,5,1),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,((F19-DATE(2026+8,5,1))/365.25)*G19*D19*(1+EscalatorInLease)^8+((DATE(2027+8,4,30)-F19)/365.25)*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)))),0)</f>
        <v/>
      </c>
      <c r="W19" s="5">
        <f>IFERROR(IF(I19="LeaseUp",H19*D19*(1+GrowthMarketRent)^9*IF(9=0,(12-DowntimeNew)/12,1),IF(F19="",0,IF(F19&gt;=DATE(2027+9,4,30),G19*D19*(1+EscalatorInLease)^9,IF(F19&lt;DATE(2026+9,5,1),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,((F19-DATE(2026+9,5,1))/365.25)*G19*D19*(1+EscalatorInLease)^9+((DATE(2027+9,4,30)-F19)/365.25)*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)))),0)</f>
        <v/>
      </c>
      <c r="X19" s="5">
        <f>IFERROR(IF(I19="LeaseUp",H19*D19*(1+GrowthMarketRent)^10*IF(10=0,(12-DowntimeNew)/12,1),IF(F19="",0,IF(F19&gt;=DATE(2027+10,4,30),G19*D19*(1+EscalatorInLease)^10,IF(F19&lt;DATE(2026+10,5,1),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,((F19-DATE(2026+10,5,1))/365.25)*G19*D19*(1+EscalatorInLease)^10+((DATE(2027+10,4,30)-F19)/365.25)*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)))),0)</f>
        <v/>
      </c>
      <c r="Y19" s="5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5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5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5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5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5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5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5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5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5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5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9" t="n">
        <v>1870</v>
      </c>
      <c r="E20" s="40" t="n">
        <v>45870</v>
      </c>
      <c r="F20" s="40" t="n">
        <v>46569</v>
      </c>
      <c r="G20" s="41" t="n">
        <v>14</v>
      </c>
      <c r="H20" s="10">
        <f>VLOOKUP("Carrollton — "&amp;J20,MLA!$A$5:$L$11,3,FALSE)</f>
        <v/>
      </c>
      <c r="I20" s="25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7">
        <f>IF(E20="",0,(AnalysisStart-E20)/365.25)</f>
        <v/>
      </c>
      <c r="N20" s="5">
        <f>IFERROR(IF(I20="LeaseUp",H20*D20*(1+GrowthMarketRent)^0*IF(0=0,(12-DowntimeNew)/12,1),IF(F20="",0,IF(F20&gt;=DATE(2027+0,4,30),G20*D20*(1+EscalatorInLease)^0,IF(F20&lt;DATE(2026+0,5,1),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,((F20-DATE(2026+0,5,1))/365.25)*G20*D20*(1+EscalatorInLease)^0+((DATE(2027+0,4,30)-F20)/365.25)*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)))),0)</f>
        <v/>
      </c>
      <c r="O20" s="5">
        <f>IFERROR(IF(I20="LeaseUp",H20*D20*(1+GrowthMarketRent)^1*IF(1=0,(12-DowntimeNew)/12,1),IF(F20="",0,IF(F20&gt;=DATE(2027+1,4,30),G20*D20*(1+EscalatorInLease)^1,IF(F20&lt;DATE(2026+1,5,1),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,((F20-DATE(2026+1,5,1))/365.25)*G20*D20*(1+EscalatorInLease)^1+((DATE(2027+1,4,30)-F20)/365.25)*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)))),0)</f>
        <v/>
      </c>
      <c r="P20" s="5">
        <f>IFERROR(IF(I20="LeaseUp",H20*D20*(1+GrowthMarketRent)^2*IF(2=0,(12-DowntimeNew)/12,1),IF(F20="",0,IF(F20&gt;=DATE(2027+2,4,30),G20*D20*(1+EscalatorInLease)^2,IF(F20&lt;DATE(2026+2,5,1),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,((F20-DATE(2026+2,5,1))/365.25)*G20*D20*(1+EscalatorInLease)^2+((DATE(2027+2,4,30)-F20)/365.25)*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)))),0)</f>
        <v/>
      </c>
      <c r="Q20" s="5">
        <f>IFERROR(IF(I20="LeaseUp",H20*D20*(1+GrowthMarketRent)^3*IF(3=0,(12-DowntimeNew)/12,1),IF(F20="",0,IF(F20&gt;=DATE(2027+3,4,30),G20*D20*(1+EscalatorInLease)^3,IF(F20&lt;DATE(2026+3,5,1),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,((F20-DATE(2026+3,5,1))/365.25)*G20*D20*(1+EscalatorInLease)^3+((DATE(2027+3,4,30)-F20)/365.25)*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)))),0)</f>
        <v/>
      </c>
      <c r="R20" s="5">
        <f>IFERROR(IF(I20="LeaseUp",H20*D20*(1+GrowthMarketRent)^4*IF(4=0,(12-DowntimeNew)/12,1),IF(F20="",0,IF(F20&gt;=DATE(2027+4,4,30),G20*D20*(1+EscalatorInLease)^4,IF(F20&lt;DATE(2026+4,5,1),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,((F20-DATE(2026+4,5,1))/365.25)*G20*D20*(1+EscalatorInLease)^4+((DATE(2027+4,4,30)-F20)/365.25)*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)))),0)</f>
        <v/>
      </c>
      <c r="S20" s="5">
        <f>IFERROR(IF(I20="LeaseUp",H20*D20*(1+GrowthMarketRent)^5*IF(5=0,(12-DowntimeNew)/12,1),IF(F20="",0,IF(F20&gt;=DATE(2027+5,4,30),G20*D20*(1+EscalatorInLease)^5,IF(F20&lt;DATE(2026+5,5,1),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,((F20-DATE(2026+5,5,1))/365.25)*G20*D20*(1+EscalatorInLease)^5+((DATE(2027+5,4,30)-F20)/365.25)*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)))),0)</f>
        <v/>
      </c>
      <c r="T20" s="5">
        <f>IFERROR(IF(I20="LeaseUp",H20*D20*(1+GrowthMarketRent)^6*IF(6=0,(12-DowntimeNew)/12,1),IF(F20="",0,IF(F20&gt;=DATE(2027+6,4,30),G20*D20*(1+EscalatorInLease)^6,IF(F20&lt;DATE(2026+6,5,1),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,((F20-DATE(2026+6,5,1))/365.25)*G20*D20*(1+EscalatorInLease)^6+((DATE(2027+6,4,30)-F20)/365.25)*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)))),0)</f>
        <v/>
      </c>
      <c r="U20" s="5">
        <f>IFERROR(IF(I20="LeaseUp",H20*D20*(1+GrowthMarketRent)^7*IF(7=0,(12-DowntimeNew)/12,1),IF(F20="",0,IF(F20&gt;=DATE(2027+7,4,30),G20*D20*(1+EscalatorInLease)^7,IF(F20&lt;DATE(2026+7,5,1),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,((F20-DATE(2026+7,5,1))/365.25)*G20*D20*(1+EscalatorInLease)^7+((DATE(2027+7,4,30)-F20)/365.25)*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)))),0)</f>
        <v/>
      </c>
      <c r="V20" s="5">
        <f>IFERROR(IF(I20="LeaseUp",H20*D20*(1+GrowthMarketRent)^8*IF(8=0,(12-DowntimeNew)/12,1),IF(F20="",0,IF(F20&gt;=DATE(2027+8,4,30),G20*D20*(1+EscalatorInLease)^8,IF(F20&lt;DATE(2026+8,5,1),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,((F20-DATE(2026+8,5,1))/365.25)*G20*D20*(1+EscalatorInLease)^8+((DATE(2027+8,4,30)-F20)/365.25)*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)))),0)</f>
        <v/>
      </c>
      <c r="W20" s="5">
        <f>IFERROR(IF(I20="LeaseUp",H20*D20*(1+GrowthMarketRent)^9*IF(9=0,(12-DowntimeNew)/12,1),IF(F20="",0,IF(F20&gt;=DATE(2027+9,4,30),G20*D20*(1+EscalatorInLease)^9,IF(F20&lt;DATE(2026+9,5,1),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,((F20-DATE(2026+9,5,1))/365.25)*G20*D20*(1+EscalatorInLease)^9+((DATE(2027+9,4,30)-F20)/365.25)*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)))),0)</f>
        <v/>
      </c>
      <c r="X20" s="5">
        <f>IFERROR(IF(I20="LeaseUp",H20*D20*(1+GrowthMarketRent)^10*IF(10=0,(12-DowntimeNew)/12,1),IF(F20="",0,IF(F20&gt;=DATE(2027+10,4,30),G20*D20*(1+EscalatorInLease)^10,IF(F20&lt;DATE(2026+10,5,1),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,((F20-DATE(2026+10,5,1))/365.25)*G20*D20*(1+EscalatorInLease)^10+((DATE(2027+10,4,30)-F20)/365.25)*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)))),0)</f>
        <v/>
      </c>
      <c r="Y20" s="5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5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5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5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5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5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5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5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5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5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5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9" t="n">
        <v>1870</v>
      </c>
      <c r="E21" s="40" t="n">
        <v>45870</v>
      </c>
      <c r="F21" s="40" t="n">
        <v>46569</v>
      </c>
      <c r="G21" s="41" t="n">
        <v>14</v>
      </c>
      <c r="H21" s="10">
        <f>VLOOKUP("Carrollton — "&amp;J21,MLA!$A$5:$L$11,3,FALSE)</f>
        <v/>
      </c>
      <c r="I21" s="25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7">
        <f>IF(E21="",0,(AnalysisStart-E21)/365.25)</f>
        <v/>
      </c>
      <c r="N21" s="5">
        <f>IFERROR(IF(I21="LeaseUp",H21*D21*(1+GrowthMarketRent)^0*IF(0=0,(12-DowntimeNew)/12,1),IF(F21="",0,IF(F21&gt;=DATE(2027+0,4,30),G21*D21*(1+EscalatorInLease)^0,IF(F21&lt;DATE(2026+0,5,1),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,((F21-DATE(2026+0,5,1))/365.25)*G21*D21*(1+EscalatorInLease)^0+((DATE(2027+0,4,30)-F21)/365.25)*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)))),0)</f>
        <v/>
      </c>
      <c r="O21" s="5">
        <f>IFERROR(IF(I21="LeaseUp",H21*D21*(1+GrowthMarketRent)^1*IF(1=0,(12-DowntimeNew)/12,1),IF(F21="",0,IF(F21&gt;=DATE(2027+1,4,30),G21*D21*(1+EscalatorInLease)^1,IF(F21&lt;DATE(2026+1,5,1),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,((F21-DATE(2026+1,5,1))/365.25)*G21*D21*(1+EscalatorInLease)^1+((DATE(2027+1,4,30)-F21)/365.25)*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)))),0)</f>
        <v/>
      </c>
      <c r="P21" s="5">
        <f>IFERROR(IF(I21="LeaseUp",H21*D21*(1+GrowthMarketRent)^2*IF(2=0,(12-DowntimeNew)/12,1),IF(F21="",0,IF(F21&gt;=DATE(2027+2,4,30),G21*D21*(1+EscalatorInLease)^2,IF(F21&lt;DATE(2026+2,5,1),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,((F21-DATE(2026+2,5,1))/365.25)*G21*D21*(1+EscalatorInLease)^2+((DATE(2027+2,4,30)-F21)/365.25)*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)))),0)</f>
        <v/>
      </c>
      <c r="Q21" s="5">
        <f>IFERROR(IF(I21="LeaseUp",H21*D21*(1+GrowthMarketRent)^3*IF(3=0,(12-DowntimeNew)/12,1),IF(F21="",0,IF(F21&gt;=DATE(2027+3,4,30),G21*D21*(1+EscalatorInLease)^3,IF(F21&lt;DATE(2026+3,5,1),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,((F21-DATE(2026+3,5,1))/365.25)*G21*D21*(1+EscalatorInLease)^3+((DATE(2027+3,4,30)-F21)/365.25)*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)))),0)</f>
        <v/>
      </c>
      <c r="R21" s="5">
        <f>IFERROR(IF(I21="LeaseUp",H21*D21*(1+GrowthMarketRent)^4*IF(4=0,(12-DowntimeNew)/12,1),IF(F21="",0,IF(F21&gt;=DATE(2027+4,4,30),G21*D21*(1+EscalatorInLease)^4,IF(F21&lt;DATE(2026+4,5,1),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,((F21-DATE(2026+4,5,1))/365.25)*G21*D21*(1+EscalatorInLease)^4+((DATE(2027+4,4,30)-F21)/365.25)*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)))),0)</f>
        <v/>
      </c>
      <c r="S21" s="5">
        <f>IFERROR(IF(I21="LeaseUp",H21*D21*(1+GrowthMarketRent)^5*IF(5=0,(12-DowntimeNew)/12,1),IF(F21="",0,IF(F21&gt;=DATE(2027+5,4,30),G21*D21*(1+EscalatorInLease)^5,IF(F21&lt;DATE(2026+5,5,1),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,((F21-DATE(2026+5,5,1))/365.25)*G21*D21*(1+EscalatorInLease)^5+((DATE(2027+5,4,30)-F21)/365.25)*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)))),0)</f>
        <v/>
      </c>
      <c r="T21" s="5">
        <f>IFERROR(IF(I21="LeaseUp",H21*D21*(1+GrowthMarketRent)^6*IF(6=0,(12-DowntimeNew)/12,1),IF(F21="",0,IF(F21&gt;=DATE(2027+6,4,30),G21*D21*(1+EscalatorInLease)^6,IF(F21&lt;DATE(2026+6,5,1),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,((F21-DATE(2026+6,5,1))/365.25)*G21*D21*(1+EscalatorInLease)^6+((DATE(2027+6,4,30)-F21)/365.25)*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)))),0)</f>
        <v/>
      </c>
      <c r="U21" s="5">
        <f>IFERROR(IF(I21="LeaseUp",H21*D21*(1+GrowthMarketRent)^7*IF(7=0,(12-DowntimeNew)/12,1),IF(F21="",0,IF(F21&gt;=DATE(2027+7,4,30),G21*D21*(1+EscalatorInLease)^7,IF(F21&lt;DATE(2026+7,5,1),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,((F21-DATE(2026+7,5,1))/365.25)*G21*D21*(1+EscalatorInLease)^7+((DATE(2027+7,4,30)-F21)/365.25)*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)))),0)</f>
        <v/>
      </c>
      <c r="V21" s="5">
        <f>IFERROR(IF(I21="LeaseUp",H21*D21*(1+GrowthMarketRent)^8*IF(8=0,(12-DowntimeNew)/12,1),IF(F21="",0,IF(F21&gt;=DATE(2027+8,4,30),G21*D21*(1+EscalatorInLease)^8,IF(F21&lt;DATE(2026+8,5,1),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,((F21-DATE(2026+8,5,1))/365.25)*G21*D21*(1+EscalatorInLease)^8+((DATE(2027+8,4,30)-F21)/365.25)*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)))),0)</f>
        <v/>
      </c>
      <c r="W21" s="5">
        <f>IFERROR(IF(I21="LeaseUp",H21*D21*(1+GrowthMarketRent)^9*IF(9=0,(12-DowntimeNew)/12,1),IF(F21="",0,IF(F21&gt;=DATE(2027+9,4,30),G21*D21*(1+EscalatorInLease)^9,IF(F21&lt;DATE(2026+9,5,1),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,((F21-DATE(2026+9,5,1))/365.25)*G21*D21*(1+EscalatorInLease)^9+((DATE(2027+9,4,30)-F21)/365.25)*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)))),0)</f>
        <v/>
      </c>
      <c r="X21" s="5">
        <f>IFERROR(IF(I21="LeaseUp",H21*D21*(1+GrowthMarketRent)^10*IF(10=0,(12-DowntimeNew)/12,1),IF(F21="",0,IF(F21&gt;=DATE(2027+10,4,30),G21*D21*(1+EscalatorInLease)^10,IF(F21&lt;DATE(2026+10,5,1),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,((F21-DATE(2026+10,5,1))/365.25)*G21*D21*(1+EscalatorInLease)^10+((DATE(2027+10,4,30)-F21)/365.25)*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)))),0)</f>
        <v/>
      </c>
      <c r="Y21" s="5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5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5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5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5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5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5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5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5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5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5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9" t="n">
        <v>1870</v>
      </c>
      <c r="E22" s="40" t="n">
        <v>45505</v>
      </c>
      <c r="F22" s="40" t="n">
        <v>46784</v>
      </c>
      <c r="G22" s="41" t="n">
        <v>16.4</v>
      </c>
      <c r="H22" s="10">
        <f>VLOOKUP("Carrollton — "&amp;J22,MLA!$A$5:$L$11,3,FALSE)</f>
        <v/>
      </c>
      <c r="I22" s="25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7">
        <f>IF(E22="",0,(AnalysisStart-E22)/365.25)</f>
        <v/>
      </c>
      <c r="N22" s="5">
        <f>IFERROR(IF(I22="LeaseUp",H22*D22*(1+GrowthMarketRent)^0*IF(0=0,(12-DowntimeNew)/12,1),IF(F22="",0,IF(F22&gt;=DATE(2027+0,4,30),G22*D22*(1+EscalatorInLease)^0,IF(F22&lt;DATE(2026+0,5,1),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,((F22-DATE(2026+0,5,1))/365.25)*G22*D22*(1+EscalatorInLease)^0+((DATE(2027+0,4,30)-F22)/365.25)*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)))),0)</f>
        <v/>
      </c>
      <c r="O22" s="5">
        <f>IFERROR(IF(I22="LeaseUp",H22*D22*(1+GrowthMarketRent)^1*IF(1=0,(12-DowntimeNew)/12,1),IF(F22="",0,IF(F22&gt;=DATE(2027+1,4,30),G22*D22*(1+EscalatorInLease)^1,IF(F22&lt;DATE(2026+1,5,1),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,((F22-DATE(2026+1,5,1))/365.25)*G22*D22*(1+EscalatorInLease)^1+((DATE(2027+1,4,30)-F22)/365.25)*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)))),0)</f>
        <v/>
      </c>
      <c r="P22" s="5">
        <f>IFERROR(IF(I22="LeaseUp",H22*D22*(1+GrowthMarketRent)^2*IF(2=0,(12-DowntimeNew)/12,1),IF(F22="",0,IF(F22&gt;=DATE(2027+2,4,30),G22*D22*(1+EscalatorInLease)^2,IF(F22&lt;DATE(2026+2,5,1),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,((F22-DATE(2026+2,5,1))/365.25)*G22*D22*(1+EscalatorInLease)^2+((DATE(2027+2,4,30)-F22)/365.25)*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)))),0)</f>
        <v/>
      </c>
      <c r="Q22" s="5">
        <f>IFERROR(IF(I22="LeaseUp",H22*D22*(1+GrowthMarketRent)^3*IF(3=0,(12-DowntimeNew)/12,1),IF(F22="",0,IF(F22&gt;=DATE(2027+3,4,30),G22*D22*(1+EscalatorInLease)^3,IF(F22&lt;DATE(2026+3,5,1),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,((F22-DATE(2026+3,5,1))/365.25)*G22*D22*(1+EscalatorInLease)^3+((DATE(2027+3,4,30)-F22)/365.25)*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)))),0)</f>
        <v/>
      </c>
      <c r="R22" s="5">
        <f>IFERROR(IF(I22="LeaseUp",H22*D22*(1+GrowthMarketRent)^4*IF(4=0,(12-DowntimeNew)/12,1),IF(F22="",0,IF(F22&gt;=DATE(2027+4,4,30),G22*D22*(1+EscalatorInLease)^4,IF(F22&lt;DATE(2026+4,5,1),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,((F22-DATE(2026+4,5,1))/365.25)*G22*D22*(1+EscalatorInLease)^4+((DATE(2027+4,4,30)-F22)/365.25)*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)))),0)</f>
        <v/>
      </c>
      <c r="S22" s="5">
        <f>IFERROR(IF(I22="LeaseUp",H22*D22*(1+GrowthMarketRent)^5*IF(5=0,(12-DowntimeNew)/12,1),IF(F22="",0,IF(F22&gt;=DATE(2027+5,4,30),G22*D22*(1+EscalatorInLease)^5,IF(F22&lt;DATE(2026+5,5,1),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,((F22-DATE(2026+5,5,1))/365.25)*G22*D22*(1+EscalatorInLease)^5+((DATE(2027+5,4,30)-F22)/365.25)*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)))),0)</f>
        <v/>
      </c>
      <c r="T22" s="5">
        <f>IFERROR(IF(I22="LeaseUp",H22*D22*(1+GrowthMarketRent)^6*IF(6=0,(12-DowntimeNew)/12,1),IF(F22="",0,IF(F22&gt;=DATE(2027+6,4,30),G22*D22*(1+EscalatorInLease)^6,IF(F22&lt;DATE(2026+6,5,1),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,((F22-DATE(2026+6,5,1))/365.25)*G22*D22*(1+EscalatorInLease)^6+((DATE(2027+6,4,30)-F22)/365.25)*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)))),0)</f>
        <v/>
      </c>
      <c r="U22" s="5">
        <f>IFERROR(IF(I22="LeaseUp",H22*D22*(1+GrowthMarketRent)^7*IF(7=0,(12-DowntimeNew)/12,1),IF(F22="",0,IF(F22&gt;=DATE(2027+7,4,30),G22*D22*(1+EscalatorInLease)^7,IF(F22&lt;DATE(2026+7,5,1),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,((F22-DATE(2026+7,5,1))/365.25)*G22*D22*(1+EscalatorInLease)^7+((DATE(2027+7,4,30)-F22)/365.25)*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)))),0)</f>
        <v/>
      </c>
      <c r="V22" s="5">
        <f>IFERROR(IF(I22="LeaseUp",H22*D22*(1+GrowthMarketRent)^8*IF(8=0,(12-DowntimeNew)/12,1),IF(F22="",0,IF(F22&gt;=DATE(2027+8,4,30),G22*D22*(1+EscalatorInLease)^8,IF(F22&lt;DATE(2026+8,5,1),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,((F22-DATE(2026+8,5,1))/365.25)*G22*D22*(1+EscalatorInLease)^8+((DATE(2027+8,4,30)-F22)/365.25)*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)))),0)</f>
        <v/>
      </c>
      <c r="W22" s="5">
        <f>IFERROR(IF(I22="LeaseUp",H22*D22*(1+GrowthMarketRent)^9*IF(9=0,(12-DowntimeNew)/12,1),IF(F22="",0,IF(F22&gt;=DATE(2027+9,4,30),G22*D22*(1+EscalatorInLease)^9,IF(F22&lt;DATE(2026+9,5,1),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,((F22-DATE(2026+9,5,1))/365.25)*G22*D22*(1+EscalatorInLease)^9+((DATE(2027+9,4,30)-F22)/365.25)*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)))),0)</f>
        <v/>
      </c>
      <c r="X22" s="5">
        <f>IFERROR(IF(I22="LeaseUp",H22*D22*(1+GrowthMarketRent)^10*IF(10=0,(12-DowntimeNew)/12,1),IF(F22="",0,IF(F22&gt;=DATE(2027+10,4,30),G22*D22*(1+EscalatorInLease)^10,IF(F22&lt;DATE(2026+10,5,1),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,((F22-DATE(2026+10,5,1))/365.25)*G22*D22*(1+EscalatorInLease)^10+((DATE(2027+10,4,30)-F22)/365.25)*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)))),0)</f>
        <v/>
      </c>
      <c r="Y22" s="5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5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5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5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5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5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5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5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5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5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5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9" t="n">
        <v>1870</v>
      </c>
      <c r="G23" s="41" t="n">
        <v>0</v>
      </c>
      <c r="H23" s="10">
        <f>VLOOKUP("Carrollton — "&amp;J23,MLA!$A$5:$L$11,3,FALSE)</f>
        <v/>
      </c>
      <c r="I23" s="25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7">
        <f>IF(E23="",0,(AnalysisStart-E23)/365.25)</f>
        <v/>
      </c>
      <c r="N23" s="5">
        <f>IFERROR(IF(I23="LeaseUp",H23*D23*(1+GrowthMarketRent)^0*IF(0=0,(12-DowntimeNew)/12,1),IF(F23="",0,IF(F23&gt;=DATE(2027+0,4,30),G23*D23*(1+EscalatorInLease)^0,IF(F23&lt;DATE(2026+0,5,1),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,((F23-DATE(2026+0,5,1))/365.25)*G23*D23*(1+EscalatorInLease)^0+((DATE(2027+0,4,30)-F23)/365.25)*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)))),0)</f>
        <v/>
      </c>
      <c r="O23" s="5">
        <f>IFERROR(IF(I23="LeaseUp",H23*D23*(1+GrowthMarketRent)^1*IF(1=0,(12-DowntimeNew)/12,1),IF(F23="",0,IF(F23&gt;=DATE(2027+1,4,30),G23*D23*(1+EscalatorInLease)^1,IF(F23&lt;DATE(2026+1,5,1),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,((F23-DATE(2026+1,5,1))/365.25)*G23*D23*(1+EscalatorInLease)^1+((DATE(2027+1,4,30)-F23)/365.25)*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)))),0)</f>
        <v/>
      </c>
      <c r="P23" s="5">
        <f>IFERROR(IF(I23="LeaseUp",H23*D23*(1+GrowthMarketRent)^2*IF(2=0,(12-DowntimeNew)/12,1),IF(F23="",0,IF(F23&gt;=DATE(2027+2,4,30),G23*D23*(1+EscalatorInLease)^2,IF(F23&lt;DATE(2026+2,5,1),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,((F23-DATE(2026+2,5,1))/365.25)*G23*D23*(1+EscalatorInLease)^2+((DATE(2027+2,4,30)-F23)/365.25)*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)))),0)</f>
        <v/>
      </c>
      <c r="Q23" s="5">
        <f>IFERROR(IF(I23="LeaseUp",H23*D23*(1+GrowthMarketRent)^3*IF(3=0,(12-DowntimeNew)/12,1),IF(F23="",0,IF(F23&gt;=DATE(2027+3,4,30),G23*D23*(1+EscalatorInLease)^3,IF(F23&lt;DATE(2026+3,5,1),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,((F23-DATE(2026+3,5,1))/365.25)*G23*D23*(1+EscalatorInLease)^3+((DATE(2027+3,4,30)-F23)/365.25)*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)))),0)</f>
        <v/>
      </c>
      <c r="R23" s="5">
        <f>IFERROR(IF(I23="LeaseUp",H23*D23*(1+GrowthMarketRent)^4*IF(4=0,(12-DowntimeNew)/12,1),IF(F23="",0,IF(F23&gt;=DATE(2027+4,4,30),G23*D23*(1+EscalatorInLease)^4,IF(F23&lt;DATE(2026+4,5,1),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,((F23-DATE(2026+4,5,1))/365.25)*G23*D23*(1+EscalatorInLease)^4+((DATE(2027+4,4,30)-F23)/365.25)*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)))),0)</f>
        <v/>
      </c>
      <c r="S23" s="5">
        <f>IFERROR(IF(I23="LeaseUp",H23*D23*(1+GrowthMarketRent)^5*IF(5=0,(12-DowntimeNew)/12,1),IF(F23="",0,IF(F23&gt;=DATE(2027+5,4,30),G23*D23*(1+EscalatorInLease)^5,IF(F23&lt;DATE(2026+5,5,1),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,((F23-DATE(2026+5,5,1))/365.25)*G23*D23*(1+EscalatorInLease)^5+((DATE(2027+5,4,30)-F23)/365.25)*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)))),0)</f>
        <v/>
      </c>
      <c r="T23" s="5">
        <f>IFERROR(IF(I23="LeaseUp",H23*D23*(1+GrowthMarketRent)^6*IF(6=0,(12-DowntimeNew)/12,1),IF(F23="",0,IF(F23&gt;=DATE(2027+6,4,30),G23*D23*(1+EscalatorInLease)^6,IF(F23&lt;DATE(2026+6,5,1),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,((F23-DATE(2026+6,5,1))/365.25)*G23*D23*(1+EscalatorInLease)^6+((DATE(2027+6,4,30)-F23)/365.25)*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)))),0)</f>
        <v/>
      </c>
      <c r="U23" s="5">
        <f>IFERROR(IF(I23="LeaseUp",H23*D23*(1+GrowthMarketRent)^7*IF(7=0,(12-DowntimeNew)/12,1),IF(F23="",0,IF(F23&gt;=DATE(2027+7,4,30),G23*D23*(1+EscalatorInLease)^7,IF(F23&lt;DATE(2026+7,5,1),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,((F23-DATE(2026+7,5,1))/365.25)*G23*D23*(1+EscalatorInLease)^7+((DATE(2027+7,4,30)-F23)/365.25)*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)))),0)</f>
        <v/>
      </c>
      <c r="V23" s="5">
        <f>IFERROR(IF(I23="LeaseUp",H23*D23*(1+GrowthMarketRent)^8*IF(8=0,(12-DowntimeNew)/12,1),IF(F23="",0,IF(F23&gt;=DATE(2027+8,4,30),G23*D23*(1+EscalatorInLease)^8,IF(F23&lt;DATE(2026+8,5,1),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,((F23-DATE(2026+8,5,1))/365.25)*G23*D23*(1+EscalatorInLease)^8+((DATE(2027+8,4,30)-F23)/365.25)*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)))),0)</f>
        <v/>
      </c>
      <c r="W23" s="5">
        <f>IFERROR(IF(I23="LeaseUp",H23*D23*(1+GrowthMarketRent)^9*IF(9=0,(12-DowntimeNew)/12,1),IF(F23="",0,IF(F23&gt;=DATE(2027+9,4,30),G23*D23*(1+EscalatorInLease)^9,IF(F23&lt;DATE(2026+9,5,1),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,((F23-DATE(2026+9,5,1))/365.25)*G23*D23*(1+EscalatorInLease)^9+((DATE(2027+9,4,30)-F23)/365.25)*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)))),0)</f>
        <v/>
      </c>
      <c r="X23" s="5">
        <f>IFERROR(IF(I23="LeaseUp",H23*D23*(1+GrowthMarketRent)^10*IF(10=0,(12-DowntimeNew)/12,1),IF(F23="",0,IF(F23&gt;=DATE(2027+10,4,30),G23*D23*(1+EscalatorInLease)^10,IF(F23&lt;DATE(2026+10,5,1),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,((F23-DATE(2026+10,5,1))/365.25)*G23*D23*(1+EscalatorInLease)^10+((DATE(2027+10,4,30)-F23)/365.25)*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)))),0)</f>
        <v/>
      </c>
      <c r="Y23" s="5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5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5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5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5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5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5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5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5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5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5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9" t="n">
        <v>2580</v>
      </c>
      <c r="G24" s="41" t="n">
        <v>0</v>
      </c>
      <c r="H24" s="10">
        <f>VLOOKUP("Carrollton — "&amp;J24,MLA!$A$5:$L$11,3,FALSE)</f>
        <v/>
      </c>
      <c r="I24" s="25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7">
        <f>IF(E24="",0,(AnalysisStart-E24)/365.25)</f>
        <v/>
      </c>
      <c r="N24" s="5">
        <f>IFERROR(IF(I24="LeaseUp",H24*D24*(1+GrowthMarketRent)^0*IF(0=0,(12-DowntimeNew)/12,1),IF(F24="",0,IF(F24&gt;=DATE(2027+0,4,30),G24*D24*(1+EscalatorInLease)^0,IF(F24&lt;DATE(2026+0,5,1),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,((F24-DATE(2026+0,5,1))/365.25)*G24*D24*(1+EscalatorInLease)^0+((DATE(2027+0,4,30)-F24)/365.25)*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)))),0)</f>
        <v/>
      </c>
      <c r="O24" s="5">
        <f>IFERROR(IF(I24="LeaseUp",H24*D24*(1+GrowthMarketRent)^1*IF(1=0,(12-DowntimeNew)/12,1),IF(F24="",0,IF(F24&gt;=DATE(2027+1,4,30),G24*D24*(1+EscalatorInLease)^1,IF(F24&lt;DATE(2026+1,5,1),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,((F24-DATE(2026+1,5,1))/365.25)*G24*D24*(1+EscalatorInLease)^1+((DATE(2027+1,4,30)-F24)/365.25)*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)))),0)</f>
        <v/>
      </c>
      <c r="P24" s="5">
        <f>IFERROR(IF(I24="LeaseUp",H24*D24*(1+GrowthMarketRent)^2*IF(2=0,(12-DowntimeNew)/12,1),IF(F24="",0,IF(F24&gt;=DATE(2027+2,4,30),G24*D24*(1+EscalatorInLease)^2,IF(F24&lt;DATE(2026+2,5,1),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,((F24-DATE(2026+2,5,1))/365.25)*G24*D24*(1+EscalatorInLease)^2+((DATE(2027+2,4,30)-F24)/365.25)*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)))),0)</f>
        <v/>
      </c>
      <c r="Q24" s="5">
        <f>IFERROR(IF(I24="LeaseUp",H24*D24*(1+GrowthMarketRent)^3*IF(3=0,(12-DowntimeNew)/12,1),IF(F24="",0,IF(F24&gt;=DATE(2027+3,4,30),G24*D24*(1+EscalatorInLease)^3,IF(F24&lt;DATE(2026+3,5,1),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,((F24-DATE(2026+3,5,1))/365.25)*G24*D24*(1+EscalatorInLease)^3+((DATE(2027+3,4,30)-F24)/365.25)*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)))),0)</f>
        <v/>
      </c>
      <c r="R24" s="5">
        <f>IFERROR(IF(I24="LeaseUp",H24*D24*(1+GrowthMarketRent)^4*IF(4=0,(12-DowntimeNew)/12,1),IF(F24="",0,IF(F24&gt;=DATE(2027+4,4,30),G24*D24*(1+EscalatorInLease)^4,IF(F24&lt;DATE(2026+4,5,1),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,((F24-DATE(2026+4,5,1))/365.25)*G24*D24*(1+EscalatorInLease)^4+((DATE(2027+4,4,30)-F24)/365.25)*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)))),0)</f>
        <v/>
      </c>
      <c r="S24" s="5">
        <f>IFERROR(IF(I24="LeaseUp",H24*D24*(1+GrowthMarketRent)^5*IF(5=0,(12-DowntimeNew)/12,1),IF(F24="",0,IF(F24&gt;=DATE(2027+5,4,30),G24*D24*(1+EscalatorInLease)^5,IF(F24&lt;DATE(2026+5,5,1),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,((F24-DATE(2026+5,5,1))/365.25)*G24*D24*(1+EscalatorInLease)^5+((DATE(2027+5,4,30)-F24)/365.25)*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)))),0)</f>
        <v/>
      </c>
      <c r="T24" s="5">
        <f>IFERROR(IF(I24="LeaseUp",H24*D24*(1+GrowthMarketRent)^6*IF(6=0,(12-DowntimeNew)/12,1),IF(F24="",0,IF(F24&gt;=DATE(2027+6,4,30),G24*D24*(1+EscalatorInLease)^6,IF(F24&lt;DATE(2026+6,5,1),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,((F24-DATE(2026+6,5,1))/365.25)*G24*D24*(1+EscalatorInLease)^6+((DATE(2027+6,4,30)-F24)/365.25)*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)))),0)</f>
        <v/>
      </c>
      <c r="U24" s="5">
        <f>IFERROR(IF(I24="LeaseUp",H24*D24*(1+GrowthMarketRent)^7*IF(7=0,(12-DowntimeNew)/12,1),IF(F24="",0,IF(F24&gt;=DATE(2027+7,4,30),G24*D24*(1+EscalatorInLease)^7,IF(F24&lt;DATE(2026+7,5,1),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,((F24-DATE(2026+7,5,1))/365.25)*G24*D24*(1+EscalatorInLease)^7+((DATE(2027+7,4,30)-F24)/365.25)*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)))),0)</f>
        <v/>
      </c>
      <c r="V24" s="5">
        <f>IFERROR(IF(I24="LeaseUp",H24*D24*(1+GrowthMarketRent)^8*IF(8=0,(12-DowntimeNew)/12,1),IF(F24="",0,IF(F24&gt;=DATE(2027+8,4,30),G24*D24*(1+EscalatorInLease)^8,IF(F24&lt;DATE(2026+8,5,1),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,((F24-DATE(2026+8,5,1))/365.25)*G24*D24*(1+EscalatorInLease)^8+((DATE(2027+8,4,30)-F24)/365.25)*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)))),0)</f>
        <v/>
      </c>
      <c r="W24" s="5">
        <f>IFERROR(IF(I24="LeaseUp",H24*D24*(1+GrowthMarketRent)^9*IF(9=0,(12-DowntimeNew)/12,1),IF(F24="",0,IF(F24&gt;=DATE(2027+9,4,30),G24*D24*(1+EscalatorInLease)^9,IF(F24&lt;DATE(2026+9,5,1),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,((F24-DATE(2026+9,5,1))/365.25)*G24*D24*(1+EscalatorInLease)^9+((DATE(2027+9,4,30)-F24)/365.25)*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)))),0)</f>
        <v/>
      </c>
      <c r="X24" s="5">
        <f>IFERROR(IF(I24="LeaseUp",H24*D24*(1+GrowthMarketRent)^10*IF(10=0,(12-DowntimeNew)/12,1),IF(F24="",0,IF(F24&gt;=DATE(2027+10,4,30),G24*D24*(1+EscalatorInLease)^10,IF(F24&lt;DATE(2026+10,5,1),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,((F24-DATE(2026+10,5,1))/365.25)*G24*D24*(1+EscalatorInLease)^10+((DATE(2027+10,4,30)-F24)/365.25)*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)))),0)</f>
        <v/>
      </c>
      <c r="Y24" s="5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5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5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5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5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5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5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5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5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5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5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9" t="n">
        <v>2720</v>
      </c>
      <c r="E25" s="40" t="n">
        <v>45870</v>
      </c>
      <c r="F25" s="40" t="n">
        <v>47119</v>
      </c>
      <c r="G25" s="41" t="n">
        <v>14</v>
      </c>
      <c r="H25" s="10">
        <f>VLOOKUP("Carrollton — "&amp;J25,MLA!$A$5:$L$11,3,FALSE)</f>
        <v/>
      </c>
      <c r="I25" s="25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7">
        <f>IF(E25="",0,(AnalysisStart-E25)/365.25)</f>
        <v/>
      </c>
      <c r="N25" s="5">
        <f>IFERROR(IF(I25="LeaseUp",H25*D25*(1+GrowthMarketRent)^0*IF(0=0,(12-DowntimeNew)/12,1),IF(F25="",0,IF(F25&gt;=DATE(2027+0,4,30),G25*D25*(1+EscalatorInLease)^0,IF(F25&lt;DATE(2026+0,5,1),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,((F25-DATE(2026+0,5,1))/365.25)*G25*D25*(1+EscalatorInLease)^0+((DATE(2027+0,4,30)-F25)/365.25)*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)))),0)</f>
        <v/>
      </c>
      <c r="O25" s="5">
        <f>IFERROR(IF(I25="LeaseUp",H25*D25*(1+GrowthMarketRent)^1*IF(1=0,(12-DowntimeNew)/12,1),IF(F25="",0,IF(F25&gt;=DATE(2027+1,4,30),G25*D25*(1+EscalatorInLease)^1,IF(F25&lt;DATE(2026+1,5,1),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,((F25-DATE(2026+1,5,1))/365.25)*G25*D25*(1+EscalatorInLease)^1+((DATE(2027+1,4,30)-F25)/365.25)*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)))),0)</f>
        <v/>
      </c>
      <c r="P25" s="5">
        <f>IFERROR(IF(I25="LeaseUp",H25*D25*(1+GrowthMarketRent)^2*IF(2=0,(12-DowntimeNew)/12,1),IF(F25="",0,IF(F25&gt;=DATE(2027+2,4,30),G25*D25*(1+EscalatorInLease)^2,IF(F25&lt;DATE(2026+2,5,1),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,((F25-DATE(2026+2,5,1))/365.25)*G25*D25*(1+EscalatorInLease)^2+((DATE(2027+2,4,30)-F25)/365.25)*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)))),0)</f>
        <v/>
      </c>
      <c r="Q25" s="5">
        <f>IFERROR(IF(I25="LeaseUp",H25*D25*(1+GrowthMarketRent)^3*IF(3=0,(12-DowntimeNew)/12,1),IF(F25="",0,IF(F25&gt;=DATE(2027+3,4,30),G25*D25*(1+EscalatorInLease)^3,IF(F25&lt;DATE(2026+3,5,1),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,((F25-DATE(2026+3,5,1))/365.25)*G25*D25*(1+EscalatorInLease)^3+((DATE(2027+3,4,30)-F25)/365.25)*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)))),0)</f>
        <v/>
      </c>
      <c r="R25" s="5">
        <f>IFERROR(IF(I25="LeaseUp",H25*D25*(1+GrowthMarketRent)^4*IF(4=0,(12-DowntimeNew)/12,1),IF(F25="",0,IF(F25&gt;=DATE(2027+4,4,30),G25*D25*(1+EscalatorInLease)^4,IF(F25&lt;DATE(2026+4,5,1),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,((F25-DATE(2026+4,5,1))/365.25)*G25*D25*(1+EscalatorInLease)^4+((DATE(2027+4,4,30)-F25)/365.25)*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)))),0)</f>
        <v/>
      </c>
      <c r="S25" s="5">
        <f>IFERROR(IF(I25="LeaseUp",H25*D25*(1+GrowthMarketRent)^5*IF(5=0,(12-DowntimeNew)/12,1),IF(F25="",0,IF(F25&gt;=DATE(2027+5,4,30),G25*D25*(1+EscalatorInLease)^5,IF(F25&lt;DATE(2026+5,5,1),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,((F25-DATE(2026+5,5,1))/365.25)*G25*D25*(1+EscalatorInLease)^5+((DATE(2027+5,4,30)-F25)/365.25)*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)))),0)</f>
        <v/>
      </c>
      <c r="T25" s="5">
        <f>IFERROR(IF(I25="LeaseUp",H25*D25*(1+GrowthMarketRent)^6*IF(6=0,(12-DowntimeNew)/12,1),IF(F25="",0,IF(F25&gt;=DATE(2027+6,4,30),G25*D25*(1+EscalatorInLease)^6,IF(F25&lt;DATE(2026+6,5,1),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,((F25-DATE(2026+6,5,1))/365.25)*G25*D25*(1+EscalatorInLease)^6+((DATE(2027+6,4,30)-F25)/365.25)*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)))),0)</f>
        <v/>
      </c>
      <c r="U25" s="5">
        <f>IFERROR(IF(I25="LeaseUp",H25*D25*(1+GrowthMarketRent)^7*IF(7=0,(12-DowntimeNew)/12,1),IF(F25="",0,IF(F25&gt;=DATE(2027+7,4,30),G25*D25*(1+EscalatorInLease)^7,IF(F25&lt;DATE(2026+7,5,1),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,((F25-DATE(2026+7,5,1))/365.25)*G25*D25*(1+EscalatorInLease)^7+((DATE(2027+7,4,30)-F25)/365.25)*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)))),0)</f>
        <v/>
      </c>
      <c r="V25" s="5">
        <f>IFERROR(IF(I25="LeaseUp",H25*D25*(1+GrowthMarketRent)^8*IF(8=0,(12-DowntimeNew)/12,1),IF(F25="",0,IF(F25&gt;=DATE(2027+8,4,30),G25*D25*(1+EscalatorInLease)^8,IF(F25&lt;DATE(2026+8,5,1),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,((F25-DATE(2026+8,5,1))/365.25)*G25*D25*(1+EscalatorInLease)^8+((DATE(2027+8,4,30)-F25)/365.25)*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)))),0)</f>
        <v/>
      </c>
      <c r="W25" s="5">
        <f>IFERROR(IF(I25="LeaseUp",H25*D25*(1+GrowthMarketRent)^9*IF(9=0,(12-DowntimeNew)/12,1),IF(F25="",0,IF(F25&gt;=DATE(2027+9,4,30),G25*D25*(1+EscalatorInLease)^9,IF(F25&lt;DATE(2026+9,5,1),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,((F25-DATE(2026+9,5,1))/365.25)*G25*D25*(1+EscalatorInLease)^9+((DATE(2027+9,4,30)-F25)/365.25)*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)))),0)</f>
        <v/>
      </c>
      <c r="X25" s="5">
        <f>IFERROR(IF(I25="LeaseUp",H25*D25*(1+GrowthMarketRent)^10*IF(10=0,(12-DowntimeNew)/12,1),IF(F25="",0,IF(F25&gt;=DATE(2027+10,4,30),G25*D25*(1+EscalatorInLease)^10,IF(F25&lt;DATE(2026+10,5,1),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,((F25-DATE(2026+10,5,1))/365.25)*G25*D25*(1+EscalatorInLease)^10+((DATE(2027+10,4,30)-F25)/365.25)*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)))),0)</f>
        <v/>
      </c>
      <c r="Y25" s="5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5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5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5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5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5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5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5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5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5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5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9" t="n">
        <v>3230</v>
      </c>
      <c r="E26" s="40" t="n">
        <v>46023</v>
      </c>
      <c r="F26" s="40" t="n">
        <v>47300</v>
      </c>
      <c r="G26" s="41" t="n">
        <v>14</v>
      </c>
      <c r="H26" s="10">
        <f>VLOOKUP("Carrollton — "&amp;J26,MLA!$A$5:$L$11,3,FALSE)</f>
        <v/>
      </c>
      <c r="I26" s="25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7">
        <f>IF(E26="",0,(AnalysisStart-E26)/365.25)</f>
        <v/>
      </c>
      <c r="N26" s="5">
        <f>IFERROR(IF(I26="LeaseUp",H26*D26*(1+GrowthMarketRent)^0*IF(0=0,(12-DowntimeNew)/12,1),IF(F26="",0,IF(F26&gt;=DATE(2027+0,4,30),G26*D26*(1+EscalatorInLease)^0,IF(F26&lt;DATE(2026+0,5,1),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,((F26-DATE(2026+0,5,1))/365.25)*G26*D26*(1+EscalatorInLease)^0+((DATE(2027+0,4,30)-F26)/365.25)*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)))),0)</f>
        <v/>
      </c>
      <c r="O26" s="5">
        <f>IFERROR(IF(I26="LeaseUp",H26*D26*(1+GrowthMarketRent)^1*IF(1=0,(12-DowntimeNew)/12,1),IF(F26="",0,IF(F26&gt;=DATE(2027+1,4,30),G26*D26*(1+EscalatorInLease)^1,IF(F26&lt;DATE(2026+1,5,1),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,((F26-DATE(2026+1,5,1))/365.25)*G26*D26*(1+EscalatorInLease)^1+((DATE(2027+1,4,30)-F26)/365.25)*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)))),0)</f>
        <v/>
      </c>
      <c r="P26" s="5">
        <f>IFERROR(IF(I26="LeaseUp",H26*D26*(1+GrowthMarketRent)^2*IF(2=0,(12-DowntimeNew)/12,1),IF(F26="",0,IF(F26&gt;=DATE(2027+2,4,30),G26*D26*(1+EscalatorInLease)^2,IF(F26&lt;DATE(2026+2,5,1),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,((F26-DATE(2026+2,5,1))/365.25)*G26*D26*(1+EscalatorInLease)^2+((DATE(2027+2,4,30)-F26)/365.25)*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)))),0)</f>
        <v/>
      </c>
      <c r="Q26" s="5">
        <f>IFERROR(IF(I26="LeaseUp",H26*D26*(1+GrowthMarketRent)^3*IF(3=0,(12-DowntimeNew)/12,1),IF(F26="",0,IF(F26&gt;=DATE(2027+3,4,30),G26*D26*(1+EscalatorInLease)^3,IF(F26&lt;DATE(2026+3,5,1),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,((F26-DATE(2026+3,5,1))/365.25)*G26*D26*(1+EscalatorInLease)^3+((DATE(2027+3,4,30)-F26)/365.25)*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)))),0)</f>
        <v/>
      </c>
      <c r="R26" s="5">
        <f>IFERROR(IF(I26="LeaseUp",H26*D26*(1+GrowthMarketRent)^4*IF(4=0,(12-DowntimeNew)/12,1),IF(F26="",0,IF(F26&gt;=DATE(2027+4,4,30),G26*D26*(1+EscalatorInLease)^4,IF(F26&lt;DATE(2026+4,5,1),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,((F26-DATE(2026+4,5,1))/365.25)*G26*D26*(1+EscalatorInLease)^4+((DATE(2027+4,4,30)-F26)/365.25)*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)))),0)</f>
        <v/>
      </c>
      <c r="S26" s="5">
        <f>IFERROR(IF(I26="LeaseUp",H26*D26*(1+GrowthMarketRent)^5*IF(5=0,(12-DowntimeNew)/12,1),IF(F26="",0,IF(F26&gt;=DATE(2027+5,4,30),G26*D26*(1+EscalatorInLease)^5,IF(F26&lt;DATE(2026+5,5,1),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,((F26-DATE(2026+5,5,1))/365.25)*G26*D26*(1+EscalatorInLease)^5+((DATE(2027+5,4,30)-F26)/365.25)*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)))),0)</f>
        <v/>
      </c>
      <c r="T26" s="5">
        <f>IFERROR(IF(I26="LeaseUp",H26*D26*(1+GrowthMarketRent)^6*IF(6=0,(12-DowntimeNew)/12,1),IF(F26="",0,IF(F26&gt;=DATE(2027+6,4,30),G26*D26*(1+EscalatorInLease)^6,IF(F26&lt;DATE(2026+6,5,1),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,((F26-DATE(2026+6,5,1))/365.25)*G26*D26*(1+EscalatorInLease)^6+((DATE(2027+6,4,30)-F26)/365.25)*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)))),0)</f>
        <v/>
      </c>
      <c r="U26" s="5">
        <f>IFERROR(IF(I26="LeaseUp",H26*D26*(1+GrowthMarketRent)^7*IF(7=0,(12-DowntimeNew)/12,1),IF(F26="",0,IF(F26&gt;=DATE(2027+7,4,30),G26*D26*(1+EscalatorInLease)^7,IF(F26&lt;DATE(2026+7,5,1),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,((F26-DATE(2026+7,5,1))/365.25)*G26*D26*(1+EscalatorInLease)^7+((DATE(2027+7,4,30)-F26)/365.25)*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)))),0)</f>
        <v/>
      </c>
      <c r="V26" s="5">
        <f>IFERROR(IF(I26="LeaseUp",H26*D26*(1+GrowthMarketRent)^8*IF(8=0,(12-DowntimeNew)/12,1),IF(F26="",0,IF(F26&gt;=DATE(2027+8,4,30),G26*D26*(1+EscalatorInLease)^8,IF(F26&lt;DATE(2026+8,5,1),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,((F26-DATE(2026+8,5,1))/365.25)*G26*D26*(1+EscalatorInLease)^8+((DATE(2027+8,4,30)-F26)/365.25)*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)))),0)</f>
        <v/>
      </c>
      <c r="W26" s="5">
        <f>IFERROR(IF(I26="LeaseUp",H26*D26*(1+GrowthMarketRent)^9*IF(9=0,(12-DowntimeNew)/12,1),IF(F26="",0,IF(F26&gt;=DATE(2027+9,4,30),G26*D26*(1+EscalatorInLease)^9,IF(F26&lt;DATE(2026+9,5,1),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,((F26-DATE(2026+9,5,1))/365.25)*G26*D26*(1+EscalatorInLease)^9+((DATE(2027+9,4,30)-F26)/365.25)*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)))),0)</f>
        <v/>
      </c>
      <c r="X26" s="5">
        <f>IFERROR(IF(I26="LeaseUp",H26*D26*(1+GrowthMarketRent)^10*IF(10=0,(12-DowntimeNew)/12,1),IF(F26="",0,IF(F26&gt;=DATE(2027+10,4,30),G26*D26*(1+EscalatorInLease)^10,IF(F26&lt;DATE(2026+10,5,1),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,((F26-DATE(2026+10,5,1))/365.25)*G26*D26*(1+EscalatorInLease)^10+((DATE(2027+10,4,30)-F26)/365.25)*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)))),0)</f>
        <v/>
      </c>
      <c r="Y26" s="5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5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5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5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5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5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5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5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5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5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5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9" t="n">
        <v>1870</v>
      </c>
      <c r="E27" s="40" t="n">
        <v>45778</v>
      </c>
      <c r="F27" s="40" t="n">
        <v>47027</v>
      </c>
      <c r="G27" s="41" t="n">
        <v>14.3502673796791</v>
      </c>
      <c r="H27" s="10">
        <f>VLOOKUP("Carrollton — "&amp;J27,MLA!$A$5:$L$11,3,FALSE)</f>
        <v/>
      </c>
      <c r="I27" s="25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7">
        <f>IF(E27="",0,(AnalysisStart-E27)/365.25)</f>
        <v/>
      </c>
      <c r="N27" s="5">
        <f>IFERROR(IF(I27="LeaseUp",H27*D27*(1+GrowthMarketRent)^0*IF(0=0,(12-DowntimeNew)/12,1),IF(F27="",0,IF(F27&gt;=DATE(2027+0,4,30),G27*D27*(1+EscalatorInLease)^0,IF(F27&lt;DATE(2026+0,5,1),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,((F27-DATE(2026+0,5,1))/365.25)*G27*D27*(1+EscalatorInLease)^0+((DATE(2027+0,4,30)-F27)/365.25)*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)))),0)</f>
        <v/>
      </c>
      <c r="O27" s="5">
        <f>IFERROR(IF(I27="LeaseUp",H27*D27*(1+GrowthMarketRent)^1*IF(1=0,(12-DowntimeNew)/12,1),IF(F27="",0,IF(F27&gt;=DATE(2027+1,4,30),G27*D27*(1+EscalatorInLease)^1,IF(F27&lt;DATE(2026+1,5,1),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,((F27-DATE(2026+1,5,1))/365.25)*G27*D27*(1+EscalatorInLease)^1+((DATE(2027+1,4,30)-F27)/365.25)*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)))),0)</f>
        <v/>
      </c>
      <c r="P27" s="5">
        <f>IFERROR(IF(I27="LeaseUp",H27*D27*(1+GrowthMarketRent)^2*IF(2=0,(12-DowntimeNew)/12,1),IF(F27="",0,IF(F27&gt;=DATE(2027+2,4,30),G27*D27*(1+EscalatorInLease)^2,IF(F27&lt;DATE(2026+2,5,1),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,((F27-DATE(2026+2,5,1))/365.25)*G27*D27*(1+EscalatorInLease)^2+((DATE(2027+2,4,30)-F27)/365.25)*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)))),0)</f>
        <v/>
      </c>
      <c r="Q27" s="5">
        <f>IFERROR(IF(I27="LeaseUp",H27*D27*(1+GrowthMarketRent)^3*IF(3=0,(12-DowntimeNew)/12,1),IF(F27="",0,IF(F27&gt;=DATE(2027+3,4,30),G27*D27*(1+EscalatorInLease)^3,IF(F27&lt;DATE(2026+3,5,1),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,((F27-DATE(2026+3,5,1))/365.25)*G27*D27*(1+EscalatorInLease)^3+((DATE(2027+3,4,30)-F27)/365.25)*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)))),0)</f>
        <v/>
      </c>
      <c r="R27" s="5">
        <f>IFERROR(IF(I27="LeaseUp",H27*D27*(1+GrowthMarketRent)^4*IF(4=0,(12-DowntimeNew)/12,1),IF(F27="",0,IF(F27&gt;=DATE(2027+4,4,30),G27*D27*(1+EscalatorInLease)^4,IF(F27&lt;DATE(2026+4,5,1),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,((F27-DATE(2026+4,5,1))/365.25)*G27*D27*(1+EscalatorInLease)^4+((DATE(2027+4,4,30)-F27)/365.25)*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)))),0)</f>
        <v/>
      </c>
      <c r="S27" s="5">
        <f>IFERROR(IF(I27="LeaseUp",H27*D27*(1+GrowthMarketRent)^5*IF(5=0,(12-DowntimeNew)/12,1),IF(F27="",0,IF(F27&gt;=DATE(2027+5,4,30),G27*D27*(1+EscalatorInLease)^5,IF(F27&lt;DATE(2026+5,5,1),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,((F27-DATE(2026+5,5,1))/365.25)*G27*D27*(1+EscalatorInLease)^5+((DATE(2027+5,4,30)-F27)/365.25)*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)))),0)</f>
        <v/>
      </c>
      <c r="T27" s="5">
        <f>IFERROR(IF(I27="LeaseUp",H27*D27*(1+GrowthMarketRent)^6*IF(6=0,(12-DowntimeNew)/12,1),IF(F27="",0,IF(F27&gt;=DATE(2027+6,4,30),G27*D27*(1+EscalatorInLease)^6,IF(F27&lt;DATE(2026+6,5,1),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,((F27-DATE(2026+6,5,1))/365.25)*G27*D27*(1+EscalatorInLease)^6+((DATE(2027+6,4,30)-F27)/365.25)*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)))),0)</f>
        <v/>
      </c>
      <c r="U27" s="5">
        <f>IFERROR(IF(I27="LeaseUp",H27*D27*(1+GrowthMarketRent)^7*IF(7=0,(12-DowntimeNew)/12,1),IF(F27="",0,IF(F27&gt;=DATE(2027+7,4,30),G27*D27*(1+EscalatorInLease)^7,IF(F27&lt;DATE(2026+7,5,1),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,((F27-DATE(2026+7,5,1))/365.25)*G27*D27*(1+EscalatorInLease)^7+((DATE(2027+7,4,30)-F27)/365.25)*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)))),0)</f>
        <v/>
      </c>
      <c r="V27" s="5">
        <f>IFERROR(IF(I27="LeaseUp",H27*D27*(1+GrowthMarketRent)^8*IF(8=0,(12-DowntimeNew)/12,1),IF(F27="",0,IF(F27&gt;=DATE(2027+8,4,30),G27*D27*(1+EscalatorInLease)^8,IF(F27&lt;DATE(2026+8,5,1),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,((F27-DATE(2026+8,5,1))/365.25)*G27*D27*(1+EscalatorInLease)^8+((DATE(2027+8,4,30)-F27)/365.25)*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)))),0)</f>
        <v/>
      </c>
      <c r="W27" s="5">
        <f>IFERROR(IF(I27="LeaseUp",H27*D27*(1+GrowthMarketRent)^9*IF(9=0,(12-DowntimeNew)/12,1),IF(F27="",0,IF(F27&gt;=DATE(2027+9,4,30),G27*D27*(1+EscalatorInLease)^9,IF(F27&lt;DATE(2026+9,5,1),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,((F27-DATE(2026+9,5,1))/365.25)*G27*D27*(1+EscalatorInLease)^9+((DATE(2027+9,4,30)-F27)/365.25)*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)))),0)</f>
        <v/>
      </c>
      <c r="X27" s="5">
        <f>IFERROR(IF(I27="LeaseUp",H27*D27*(1+GrowthMarketRent)^10*IF(10=0,(12-DowntimeNew)/12,1),IF(F27="",0,IF(F27&gt;=DATE(2027+10,4,30),G27*D27*(1+EscalatorInLease)^10,IF(F27&lt;DATE(2026+10,5,1),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,((F27-DATE(2026+10,5,1))/365.25)*G27*D27*(1+EscalatorInLease)^10+((DATE(2027+10,4,30)-F27)/365.25)*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)))),0)</f>
        <v/>
      </c>
      <c r="Y27" s="5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5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5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5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5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5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5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5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5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5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5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9" t="n">
        <v>1870</v>
      </c>
      <c r="E28" s="40" t="n">
        <v>45992</v>
      </c>
      <c r="F28" s="40" t="n">
        <v>47027</v>
      </c>
      <c r="G28" s="41" t="n">
        <v>14</v>
      </c>
      <c r="H28" s="10">
        <f>VLOOKUP("Carrollton — "&amp;J28,MLA!$A$5:$L$11,3,FALSE)</f>
        <v/>
      </c>
      <c r="I28" s="25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7">
        <f>IF(E28="",0,(AnalysisStart-E28)/365.25)</f>
        <v/>
      </c>
      <c r="N28" s="5">
        <f>IFERROR(IF(I28="LeaseUp",H28*D28*(1+GrowthMarketRent)^0*IF(0=0,(12-DowntimeNew)/12,1),IF(F28="",0,IF(F28&gt;=DATE(2027+0,4,30),G28*D28*(1+EscalatorInLease)^0,IF(F28&lt;DATE(2026+0,5,1),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,((F28-DATE(2026+0,5,1))/365.25)*G28*D28*(1+EscalatorInLease)^0+((DATE(2027+0,4,30)-F28)/365.25)*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)))),0)</f>
        <v/>
      </c>
      <c r="O28" s="5">
        <f>IFERROR(IF(I28="LeaseUp",H28*D28*(1+GrowthMarketRent)^1*IF(1=0,(12-DowntimeNew)/12,1),IF(F28="",0,IF(F28&gt;=DATE(2027+1,4,30),G28*D28*(1+EscalatorInLease)^1,IF(F28&lt;DATE(2026+1,5,1),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,((F28-DATE(2026+1,5,1))/365.25)*G28*D28*(1+EscalatorInLease)^1+((DATE(2027+1,4,30)-F28)/365.25)*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)))),0)</f>
        <v/>
      </c>
      <c r="P28" s="5">
        <f>IFERROR(IF(I28="LeaseUp",H28*D28*(1+GrowthMarketRent)^2*IF(2=0,(12-DowntimeNew)/12,1),IF(F28="",0,IF(F28&gt;=DATE(2027+2,4,30),G28*D28*(1+EscalatorInLease)^2,IF(F28&lt;DATE(2026+2,5,1),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,((F28-DATE(2026+2,5,1))/365.25)*G28*D28*(1+EscalatorInLease)^2+((DATE(2027+2,4,30)-F28)/365.25)*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)))),0)</f>
        <v/>
      </c>
      <c r="Q28" s="5">
        <f>IFERROR(IF(I28="LeaseUp",H28*D28*(1+GrowthMarketRent)^3*IF(3=0,(12-DowntimeNew)/12,1),IF(F28="",0,IF(F28&gt;=DATE(2027+3,4,30),G28*D28*(1+EscalatorInLease)^3,IF(F28&lt;DATE(2026+3,5,1),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,((F28-DATE(2026+3,5,1))/365.25)*G28*D28*(1+EscalatorInLease)^3+((DATE(2027+3,4,30)-F28)/365.25)*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)))),0)</f>
        <v/>
      </c>
      <c r="R28" s="5">
        <f>IFERROR(IF(I28="LeaseUp",H28*D28*(1+GrowthMarketRent)^4*IF(4=0,(12-DowntimeNew)/12,1),IF(F28="",0,IF(F28&gt;=DATE(2027+4,4,30),G28*D28*(1+EscalatorInLease)^4,IF(F28&lt;DATE(2026+4,5,1),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,((F28-DATE(2026+4,5,1))/365.25)*G28*D28*(1+EscalatorInLease)^4+((DATE(2027+4,4,30)-F28)/365.25)*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)))),0)</f>
        <v/>
      </c>
      <c r="S28" s="5">
        <f>IFERROR(IF(I28="LeaseUp",H28*D28*(1+GrowthMarketRent)^5*IF(5=0,(12-DowntimeNew)/12,1),IF(F28="",0,IF(F28&gt;=DATE(2027+5,4,30),G28*D28*(1+EscalatorInLease)^5,IF(F28&lt;DATE(2026+5,5,1),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,((F28-DATE(2026+5,5,1))/365.25)*G28*D28*(1+EscalatorInLease)^5+((DATE(2027+5,4,30)-F28)/365.25)*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)))),0)</f>
        <v/>
      </c>
      <c r="T28" s="5">
        <f>IFERROR(IF(I28="LeaseUp",H28*D28*(1+GrowthMarketRent)^6*IF(6=0,(12-DowntimeNew)/12,1),IF(F28="",0,IF(F28&gt;=DATE(2027+6,4,30),G28*D28*(1+EscalatorInLease)^6,IF(F28&lt;DATE(2026+6,5,1),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,((F28-DATE(2026+6,5,1))/365.25)*G28*D28*(1+EscalatorInLease)^6+((DATE(2027+6,4,30)-F28)/365.25)*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)))),0)</f>
        <v/>
      </c>
      <c r="U28" s="5">
        <f>IFERROR(IF(I28="LeaseUp",H28*D28*(1+GrowthMarketRent)^7*IF(7=0,(12-DowntimeNew)/12,1),IF(F28="",0,IF(F28&gt;=DATE(2027+7,4,30),G28*D28*(1+EscalatorInLease)^7,IF(F28&lt;DATE(2026+7,5,1),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,((F28-DATE(2026+7,5,1))/365.25)*G28*D28*(1+EscalatorInLease)^7+((DATE(2027+7,4,30)-F28)/365.25)*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)))),0)</f>
        <v/>
      </c>
      <c r="V28" s="5">
        <f>IFERROR(IF(I28="LeaseUp",H28*D28*(1+GrowthMarketRent)^8*IF(8=0,(12-DowntimeNew)/12,1),IF(F28="",0,IF(F28&gt;=DATE(2027+8,4,30),G28*D28*(1+EscalatorInLease)^8,IF(F28&lt;DATE(2026+8,5,1),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,((F28-DATE(2026+8,5,1))/365.25)*G28*D28*(1+EscalatorInLease)^8+((DATE(2027+8,4,30)-F28)/365.25)*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)))),0)</f>
        <v/>
      </c>
      <c r="W28" s="5">
        <f>IFERROR(IF(I28="LeaseUp",H28*D28*(1+GrowthMarketRent)^9*IF(9=0,(12-DowntimeNew)/12,1),IF(F28="",0,IF(F28&gt;=DATE(2027+9,4,30),G28*D28*(1+EscalatorInLease)^9,IF(F28&lt;DATE(2026+9,5,1),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,((F28-DATE(2026+9,5,1))/365.25)*G28*D28*(1+EscalatorInLease)^9+((DATE(2027+9,4,30)-F28)/365.25)*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)))),0)</f>
        <v/>
      </c>
      <c r="X28" s="5">
        <f>IFERROR(IF(I28="LeaseUp",H28*D28*(1+GrowthMarketRent)^10*IF(10=0,(12-DowntimeNew)/12,1),IF(F28="",0,IF(F28&gt;=DATE(2027+10,4,30),G28*D28*(1+EscalatorInLease)^10,IF(F28&lt;DATE(2026+10,5,1),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,((F28-DATE(2026+10,5,1))/365.25)*G28*D28*(1+EscalatorInLease)^10+((DATE(2027+10,4,30)-F28)/365.25)*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)))),0)</f>
        <v/>
      </c>
      <c r="Y28" s="5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5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5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5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5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5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5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5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5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5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5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9" t="n">
        <v>1870</v>
      </c>
      <c r="E29" s="40" t="n">
        <v>45962</v>
      </c>
      <c r="F29" s="40" t="n">
        <v>47239</v>
      </c>
      <c r="G29" s="41" t="n">
        <v>16</v>
      </c>
      <c r="H29" s="10">
        <f>VLOOKUP("Carrollton — "&amp;J29,MLA!$A$5:$L$11,3,FALSE)</f>
        <v/>
      </c>
      <c r="I29" s="25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7">
        <f>IF(E29="",0,(AnalysisStart-E29)/365.25)</f>
        <v/>
      </c>
      <c r="N29" s="5">
        <f>IFERROR(IF(I29="LeaseUp",H29*D29*(1+GrowthMarketRent)^0*IF(0=0,(12-DowntimeNew)/12,1),IF(F29="",0,IF(F29&gt;=DATE(2027+0,4,30),G29*D29*(1+EscalatorInLease)^0,IF(F29&lt;DATE(2026+0,5,1),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,((F29-DATE(2026+0,5,1))/365.25)*G29*D29*(1+EscalatorInLease)^0+((DATE(2027+0,4,30)-F29)/365.25)*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)))),0)</f>
        <v/>
      </c>
      <c r="O29" s="5">
        <f>IFERROR(IF(I29="LeaseUp",H29*D29*(1+GrowthMarketRent)^1*IF(1=0,(12-DowntimeNew)/12,1),IF(F29="",0,IF(F29&gt;=DATE(2027+1,4,30),G29*D29*(1+EscalatorInLease)^1,IF(F29&lt;DATE(2026+1,5,1),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,((F29-DATE(2026+1,5,1))/365.25)*G29*D29*(1+EscalatorInLease)^1+((DATE(2027+1,4,30)-F29)/365.25)*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)))),0)</f>
        <v/>
      </c>
      <c r="P29" s="5">
        <f>IFERROR(IF(I29="LeaseUp",H29*D29*(1+GrowthMarketRent)^2*IF(2=0,(12-DowntimeNew)/12,1),IF(F29="",0,IF(F29&gt;=DATE(2027+2,4,30),G29*D29*(1+EscalatorInLease)^2,IF(F29&lt;DATE(2026+2,5,1),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,((F29-DATE(2026+2,5,1))/365.25)*G29*D29*(1+EscalatorInLease)^2+((DATE(2027+2,4,30)-F29)/365.25)*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)))),0)</f>
        <v/>
      </c>
      <c r="Q29" s="5">
        <f>IFERROR(IF(I29="LeaseUp",H29*D29*(1+GrowthMarketRent)^3*IF(3=0,(12-DowntimeNew)/12,1),IF(F29="",0,IF(F29&gt;=DATE(2027+3,4,30),G29*D29*(1+EscalatorInLease)^3,IF(F29&lt;DATE(2026+3,5,1),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,((F29-DATE(2026+3,5,1))/365.25)*G29*D29*(1+EscalatorInLease)^3+((DATE(2027+3,4,30)-F29)/365.25)*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)))),0)</f>
        <v/>
      </c>
      <c r="R29" s="5">
        <f>IFERROR(IF(I29="LeaseUp",H29*D29*(1+GrowthMarketRent)^4*IF(4=0,(12-DowntimeNew)/12,1),IF(F29="",0,IF(F29&gt;=DATE(2027+4,4,30),G29*D29*(1+EscalatorInLease)^4,IF(F29&lt;DATE(2026+4,5,1),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,((F29-DATE(2026+4,5,1))/365.25)*G29*D29*(1+EscalatorInLease)^4+((DATE(2027+4,4,30)-F29)/365.25)*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)))),0)</f>
        <v/>
      </c>
      <c r="S29" s="5">
        <f>IFERROR(IF(I29="LeaseUp",H29*D29*(1+GrowthMarketRent)^5*IF(5=0,(12-DowntimeNew)/12,1),IF(F29="",0,IF(F29&gt;=DATE(2027+5,4,30),G29*D29*(1+EscalatorInLease)^5,IF(F29&lt;DATE(2026+5,5,1),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,((F29-DATE(2026+5,5,1))/365.25)*G29*D29*(1+EscalatorInLease)^5+((DATE(2027+5,4,30)-F29)/365.25)*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)))),0)</f>
        <v/>
      </c>
      <c r="T29" s="5">
        <f>IFERROR(IF(I29="LeaseUp",H29*D29*(1+GrowthMarketRent)^6*IF(6=0,(12-DowntimeNew)/12,1),IF(F29="",0,IF(F29&gt;=DATE(2027+6,4,30),G29*D29*(1+EscalatorInLease)^6,IF(F29&lt;DATE(2026+6,5,1),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,((F29-DATE(2026+6,5,1))/365.25)*G29*D29*(1+EscalatorInLease)^6+((DATE(2027+6,4,30)-F29)/365.25)*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)))),0)</f>
        <v/>
      </c>
      <c r="U29" s="5">
        <f>IFERROR(IF(I29="LeaseUp",H29*D29*(1+GrowthMarketRent)^7*IF(7=0,(12-DowntimeNew)/12,1),IF(F29="",0,IF(F29&gt;=DATE(2027+7,4,30),G29*D29*(1+EscalatorInLease)^7,IF(F29&lt;DATE(2026+7,5,1),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,((F29-DATE(2026+7,5,1))/365.25)*G29*D29*(1+EscalatorInLease)^7+((DATE(2027+7,4,30)-F29)/365.25)*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)))),0)</f>
        <v/>
      </c>
      <c r="V29" s="5">
        <f>IFERROR(IF(I29="LeaseUp",H29*D29*(1+GrowthMarketRent)^8*IF(8=0,(12-DowntimeNew)/12,1),IF(F29="",0,IF(F29&gt;=DATE(2027+8,4,30),G29*D29*(1+EscalatorInLease)^8,IF(F29&lt;DATE(2026+8,5,1),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,((F29-DATE(2026+8,5,1))/365.25)*G29*D29*(1+EscalatorInLease)^8+((DATE(2027+8,4,30)-F29)/365.25)*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)))),0)</f>
        <v/>
      </c>
      <c r="W29" s="5">
        <f>IFERROR(IF(I29="LeaseUp",H29*D29*(1+GrowthMarketRent)^9*IF(9=0,(12-DowntimeNew)/12,1),IF(F29="",0,IF(F29&gt;=DATE(2027+9,4,30),G29*D29*(1+EscalatorInLease)^9,IF(F29&lt;DATE(2026+9,5,1),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,((F29-DATE(2026+9,5,1))/365.25)*G29*D29*(1+EscalatorInLease)^9+((DATE(2027+9,4,30)-F29)/365.25)*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)))),0)</f>
        <v/>
      </c>
      <c r="X29" s="5">
        <f>IFERROR(IF(I29="LeaseUp",H29*D29*(1+GrowthMarketRent)^10*IF(10=0,(12-DowntimeNew)/12,1),IF(F29="",0,IF(F29&gt;=DATE(2027+10,4,30),G29*D29*(1+EscalatorInLease)^10,IF(F29&lt;DATE(2026+10,5,1),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,((F29-DATE(2026+10,5,1))/365.25)*G29*D29*(1+EscalatorInLease)^10+((DATE(2027+10,4,30)-F29)/365.25)*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)))),0)</f>
        <v/>
      </c>
      <c r="Y29" s="5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5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5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5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5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5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5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5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5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5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5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9" t="n">
        <v>1870</v>
      </c>
      <c r="G30" s="41" t="n">
        <v>0</v>
      </c>
      <c r="H30" s="10">
        <f>VLOOKUP("Carrollton — "&amp;J30,MLA!$A$5:$L$11,3,FALSE)</f>
        <v/>
      </c>
      <c r="I30" s="25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7">
        <f>IF(E30="",0,(AnalysisStart-E30)/365.25)</f>
        <v/>
      </c>
      <c r="N30" s="5">
        <f>IFERROR(IF(I30="LeaseUp",H30*D30*(1+GrowthMarketRent)^0*IF(0=0,(12-DowntimeNew)/12,1),IF(F30="",0,IF(F30&gt;=DATE(2027+0,4,30),G30*D30*(1+EscalatorInLease)^0,IF(F30&lt;DATE(2026+0,5,1),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,((F30-DATE(2026+0,5,1))/365.25)*G30*D30*(1+EscalatorInLease)^0+((DATE(2027+0,4,30)-F30)/365.25)*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)))),0)</f>
        <v/>
      </c>
      <c r="O30" s="5">
        <f>IFERROR(IF(I30="LeaseUp",H30*D30*(1+GrowthMarketRent)^1*IF(1=0,(12-DowntimeNew)/12,1),IF(F30="",0,IF(F30&gt;=DATE(2027+1,4,30),G30*D30*(1+EscalatorInLease)^1,IF(F30&lt;DATE(2026+1,5,1),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,((F30-DATE(2026+1,5,1))/365.25)*G30*D30*(1+EscalatorInLease)^1+((DATE(2027+1,4,30)-F30)/365.25)*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)))),0)</f>
        <v/>
      </c>
      <c r="P30" s="5">
        <f>IFERROR(IF(I30="LeaseUp",H30*D30*(1+GrowthMarketRent)^2*IF(2=0,(12-DowntimeNew)/12,1),IF(F30="",0,IF(F30&gt;=DATE(2027+2,4,30),G30*D30*(1+EscalatorInLease)^2,IF(F30&lt;DATE(2026+2,5,1),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,((F30-DATE(2026+2,5,1))/365.25)*G30*D30*(1+EscalatorInLease)^2+((DATE(2027+2,4,30)-F30)/365.25)*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)))),0)</f>
        <v/>
      </c>
      <c r="Q30" s="5">
        <f>IFERROR(IF(I30="LeaseUp",H30*D30*(1+GrowthMarketRent)^3*IF(3=0,(12-DowntimeNew)/12,1),IF(F30="",0,IF(F30&gt;=DATE(2027+3,4,30),G30*D30*(1+EscalatorInLease)^3,IF(F30&lt;DATE(2026+3,5,1),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,((F30-DATE(2026+3,5,1))/365.25)*G30*D30*(1+EscalatorInLease)^3+((DATE(2027+3,4,30)-F30)/365.25)*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)))),0)</f>
        <v/>
      </c>
      <c r="R30" s="5">
        <f>IFERROR(IF(I30="LeaseUp",H30*D30*(1+GrowthMarketRent)^4*IF(4=0,(12-DowntimeNew)/12,1),IF(F30="",0,IF(F30&gt;=DATE(2027+4,4,30),G30*D30*(1+EscalatorInLease)^4,IF(F30&lt;DATE(2026+4,5,1),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,((F30-DATE(2026+4,5,1))/365.25)*G30*D30*(1+EscalatorInLease)^4+((DATE(2027+4,4,30)-F30)/365.25)*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)))),0)</f>
        <v/>
      </c>
      <c r="S30" s="5">
        <f>IFERROR(IF(I30="LeaseUp",H30*D30*(1+GrowthMarketRent)^5*IF(5=0,(12-DowntimeNew)/12,1),IF(F30="",0,IF(F30&gt;=DATE(2027+5,4,30),G30*D30*(1+EscalatorInLease)^5,IF(F30&lt;DATE(2026+5,5,1),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,((F30-DATE(2026+5,5,1))/365.25)*G30*D30*(1+EscalatorInLease)^5+((DATE(2027+5,4,30)-F30)/365.25)*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)))),0)</f>
        <v/>
      </c>
      <c r="T30" s="5">
        <f>IFERROR(IF(I30="LeaseUp",H30*D30*(1+GrowthMarketRent)^6*IF(6=0,(12-DowntimeNew)/12,1),IF(F30="",0,IF(F30&gt;=DATE(2027+6,4,30),G30*D30*(1+EscalatorInLease)^6,IF(F30&lt;DATE(2026+6,5,1),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,((F30-DATE(2026+6,5,1))/365.25)*G30*D30*(1+EscalatorInLease)^6+((DATE(2027+6,4,30)-F30)/365.25)*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)))),0)</f>
        <v/>
      </c>
      <c r="U30" s="5">
        <f>IFERROR(IF(I30="LeaseUp",H30*D30*(1+GrowthMarketRent)^7*IF(7=0,(12-DowntimeNew)/12,1),IF(F30="",0,IF(F30&gt;=DATE(2027+7,4,30),G30*D30*(1+EscalatorInLease)^7,IF(F30&lt;DATE(2026+7,5,1),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,((F30-DATE(2026+7,5,1))/365.25)*G30*D30*(1+EscalatorInLease)^7+((DATE(2027+7,4,30)-F30)/365.25)*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)))),0)</f>
        <v/>
      </c>
      <c r="V30" s="5">
        <f>IFERROR(IF(I30="LeaseUp",H30*D30*(1+GrowthMarketRent)^8*IF(8=0,(12-DowntimeNew)/12,1),IF(F30="",0,IF(F30&gt;=DATE(2027+8,4,30),G30*D30*(1+EscalatorInLease)^8,IF(F30&lt;DATE(2026+8,5,1),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,((F30-DATE(2026+8,5,1))/365.25)*G30*D30*(1+EscalatorInLease)^8+((DATE(2027+8,4,30)-F30)/365.25)*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)))),0)</f>
        <v/>
      </c>
      <c r="W30" s="5">
        <f>IFERROR(IF(I30="LeaseUp",H30*D30*(1+GrowthMarketRent)^9*IF(9=0,(12-DowntimeNew)/12,1),IF(F30="",0,IF(F30&gt;=DATE(2027+9,4,30),G30*D30*(1+EscalatorInLease)^9,IF(F30&lt;DATE(2026+9,5,1),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,((F30-DATE(2026+9,5,1))/365.25)*G30*D30*(1+EscalatorInLease)^9+((DATE(2027+9,4,30)-F30)/365.25)*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)))),0)</f>
        <v/>
      </c>
      <c r="X30" s="5">
        <f>IFERROR(IF(I30="LeaseUp",H30*D30*(1+GrowthMarketRent)^10*IF(10=0,(12-DowntimeNew)/12,1),IF(F30="",0,IF(F30&gt;=DATE(2027+10,4,30),G30*D30*(1+EscalatorInLease)^10,IF(F30&lt;DATE(2026+10,5,1),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,((F30-DATE(2026+10,5,1))/365.25)*G30*D30*(1+EscalatorInLease)^10+((DATE(2027+10,4,30)-F30)/365.25)*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)))),0)</f>
        <v/>
      </c>
      <c r="Y30" s="5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5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5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5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5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5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5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5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5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5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5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9" t="n">
        <v>1870</v>
      </c>
      <c r="E31" s="40" t="n">
        <v>45870</v>
      </c>
      <c r="F31" s="40" t="n">
        <v>46692</v>
      </c>
      <c r="G31" s="41" t="n">
        <v>14</v>
      </c>
      <c r="H31" s="10">
        <f>VLOOKUP("Carrollton — "&amp;J31,MLA!$A$5:$L$11,3,FALSE)</f>
        <v/>
      </c>
      <c r="I31" s="25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7">
        <f>IF(E31="",0,(AnalysisStart-E31)/365.25)</f>
        <v/>
      </c>
      <c r="N31" s="5">
        <f>IFERROR(IF(I31="LeaseUp",H31*D31*(1+GrowthMarketRent)^0*IF(0=0,(12-DowntimeNew)/12,1),IF(F31="",0,IF(F31&gt;=DATE(2027+0,4,30),G31*D31*(1+EscalatorInLease)^0,IF(F31&lt;DATE(2026+0,5,1),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,((F31-DATE(2026+0,5,1))/365.25)*G31*D31*(1+EscalatorInLease)^0+((DATE(2027+0,4,30)-F31)/365.25)*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)))),0)</f>
        <v/>
      </c>
      <c r="O31" s="5">
        <f>IFERROR(IF(I31="LeaseUp",H31*D31*(1+GrowthMarketRent)^1*IF(1=0,(12-DowntimeNew)/12,1),IF(F31="",0,IF(F31&gt;=DATE(2027+1,4,30),G31*D31*(1+EscalatorInLease)^1,IF(F31&lt;DATE(2026+1,5,1),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,((F31-DATE(2026+1,5,1))/365.25)*G31*D31*(1+EscalatorInLease)^1+((DATE(2027+1,4,30)-F31)/365.25)*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)))),0)</f>
        <v/>
      </c>
      <c r="P31" s="5">
        <f>IFERROR(IF(I31="LeaseUp",H31*D31*(1+GrowthMarketRent)^2*IF(2=0,(12-DowntimeNew)/12,1),IF(F31="",0,IF(F31&gt;=DATE(2027+2,4,30),G31*D31*(1+EscalatorInLease)^2,IF(F31&lt;DATE(2026+2,5,1),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,((F31-DATE(2026+2,5,1))/365.25)*G31*D31*(1+EscalatorInLease)^2+((DATE(2027+2,4,30)-F31)/365.25)*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)))),0)</f>
        <v/>
      </c>
      <c r="Q31" s="5">
        <f>IFERROR(IF(I31="LeaseUp",H31*D31*(1+GrowthMarketRent)^3*IF(3=0,(12-DowntimeNew)/12,1),IF(F31="",0,IF(F31&gt;=DATE(2027+3,4,30),G31*D31*(1+EscalatorInLease)^3,IF(F31&lt;DATE(2026+3,5,1),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,((F31-DATE(2026+3,5,1))/365.25)*G31*D31*(1+EscalatorInLease)^3+((DATE(2027+3,4,30)-F31)/365.25)*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)))),0)</f>
        <v/>
      </c>
      <c r="R31" s="5">
        <f>IFERROR(IF(I31="LeaseUp",H31*D31*(1+GrowthMarketRent)^4*IF(4=0,(12-DowntimeNew)/12,1),IF(F31="",0,IF(F31&gt;=DATE(2027+4,4,30),G31*D31*(1+EscalatorInLease)^4,IF(F31&lt;DATE(2026+4,5,1),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,((F31-DATE(2026+4,5,1))/365.25)*G31*D31*(1+EscalatorInLease)^4+((DATE(2027+4,4,30)-F31)/365.25)*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)))),0)</f>
        <v/>
      </c>
      <c r="S31" s="5">
        <f>IFERROR(IF(I31="LeaseUp",H31*D31*(1+GrowthMarketRent)^5*IF(5=0,(12-DowntimeNew)/12,1),IF(F31="",0,IF(F31&gt;=DATE(2027+5,4,30),G31*D31*(1+EscalatorInLease)^5,IF(F31&lt;DATE(2026+5,5,1),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,((F31-DATE(2026+5,5,1))/365.25)*G31*D31*(1+EscalatorInLease)^5+((DATE(2027+5,4,30)-F31)/365.25)*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)))),0)</f>
        <v/>
      </c>
      <c r="T31" s="5">
        <f>IFERROR(IF(I31="LeaseUp",H31*D31*(1+GrowthMarketRent)^6*IF(6=0,(12-DowntimeNew)/12,1),IF(F31="",0,IF(F31&gt;=DATE(2027+6,4,30),G31*D31*(1+EscalatorInLease)^6,IF(F31&lt;DATE(2026+6,5,1),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,((F31-DATE(2026+6,5,1))/365.25)*G31*D31*(1+EscalatorInLease)^6+((DATE(2027+6,4,30)-F31)/365.25)*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)))),0)</f>
        <v/>
      </c>
      <c r="U31" s="5">
        <f>IFERROR(IF(I31="LeaseUp",H31*D31*(1+GrowthMarketRent)^7*IF(7=0,(12-DowntimeNew)/12,1),IF(F31="",0,IF(F31&gt;=DATE(2027+7,4,30),G31*D31*(1+EscalatorInLease)^7,IF(F31&lt;DATE(2026+7,5,1),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,((F31-DATE(2026+7,5,1))/365.25)*G31*D31*(1+EscalatorInLease)^7+((DATE(2027+7,4,30)-F31)/365.25)*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)))),0)</f>
        <v/>
      </c>
      <c r="V31" s="5">
        <f>IFERROR(IF(I31="LeaseUp",H31*D31*(1+GrowthMarketRent)^8*IF(8=0,(12-DowntimeNew)/12,1),IF(F31="",0,IF(F31&gt;=DATE(2027+8,4,30),G31*D31*(1+EscalatorInLease)^8,IF(F31&lt;DATE(2026+8,5,1),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,((F31-DATE(2026+8,5,1))/365.25)*G31*D31*(1+EscalatorInLease)^8+((DATE(2027+8,4,30)-F31)/365.25)*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)))),0)</f>
        <v/>
      </c>
      <c r="W31" s="5">
        <f>IFERROR(IF(I31="LeaseUp",H31*D31*(1+GrowthMarketRent)^9*IF(9=0,(12-DowntimeNew)/12,1),IF(F31="",0,IF(F31&gt;=DATE(2027+9,4,30),G31*D31*(1+EscalatorInLease)^9,IF(F31&lt;DATE(2026+9,5,1),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,((F31-DATE(2026+9,5,1))/365.25)*G31*D31*(1+EscalatorInLease)^9+((DATE(2027+9,4,30)-F31)/365.25)*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)))),0)</f>
        <v/>
      </c>
      <c r="X31" s="5">
        <f>IFERROR(IF(I31="LeaseUp",H31*D31*(1+GrowthMarketRent)^10*IF(10=0,(12-DowntimeNew)/12,1),IF(F31="",0,IF(F31&gt;=DATE(2027+10,4,30),G31*D31*(1+EscalatorInLease)^10,IF(F31&lt;DATE(2026+10,5,1),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,((F31-DATE(2026+10,5,1))/365.25)*G31*D31*(1+EscalatorInLease)^10+((DATE(2027+10,4,30)-F31)/365.25)*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)))),0)</f>
        <v/>
      </c>
      <c r="Y31" s="5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5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5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5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5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5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5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5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5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5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5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9" t="n">
        <v>1870</v>
      </c>
      <c r="E32" s="40" t="n">
        <v>45444</v>
      </c>
      <c r="F32" s="40" t="n">
        <v>46692</v>
      </c>
      <c r="G32" s="41" t="n">
        <v>16.4</v>
      </c>
      <c r="H32" s="10">
        <f>VLOOKUP("Carrollton — "&amp;J32,MLA!$A$5:$L$11,3,FALSE)</f>
        <v/>
      </c>
      <c r="I32" s="25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7">
        <f>IF(E32="",0,(AnalysisStart-E32)/365.25)</f>
        <v/>
      </c>
      <c r="N32" s="5">
        <f>IFERROR(IF(I32="LeaseUp",H32*D32*(1+GrowthMarketRent)^0*IF(0=0,(12-DowntimeNew)/12,1),IF(F32="",0,IF(F32&gt;=DATE(2027+0,4,30),G32*D32*(1+EscalatorInLease)^0,IF(F32&lt;DATE(2026+0,5,1),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,((F32-DATE(2026+0,5,1))/365.25)*G32*D32*(1+EscalatorInLease)^0+((DATE(2027+0,4,30)-F32)/365.25)*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)))),0)</f>
        <v/>
      </c>
      <c r="O32" s="5">
        <f>IFERROR(IF(I32="LeaseUp",H32*D32*(1+GrowthMarketRent)^1*IF(1=0,(12-DowntimeNew)/12,1),IF(F32="",0,IF(F32&gt;=DATE(2027+1,4,30),G32*D32*(1+EscalatorInLease)^1,IF(F32&lt;DATE(2026+1,5,1),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,((F32-DATE(2026+1,5,1))/365.25)*G32*D32*(1+EscalatorInLease)^1+((DATE(2027+1,4,30)-F32)/365.25)*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)))),0)</f>
        <v/>
      </c>
      <c r="P32" s="5">
        <f>IFERROR(IF(I32="LeaseUp",H32*D32*(1+GrowthMarketRent)^2*IF(2=0,(12-DowntimeNew)/12,1),IF(F32="",0,IF(F32&gt;=DATE(2027+2,4,30),G32*D32*(1+EscalatorInLease)^2,IF(F32&lt;DATE(2026+2,5,1),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,((F32-DATE(2026+2,5,1))/365.25)*G32*D32*(1+EscalatorInLease)^2+((DATE(2027+2,4,30)-F32)/365.25)*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)))),0)</f>
        <v/>
      </c>
      <c r="Q32" s="5">
        <f>IFERROR(IF(I32="LeaseUp",H32*D32*(1+GrowthMarketRent)^3*IF(3=0,(12-DowntimeNew)/12,1),IF(F32="",0,IF(F32&gt;=DATE(2027+3,4,30),G32*D32*(1+EscalatorInLease)^3,IF(F32&lt;DATE(2026+3,5,1),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,((F32-DATE(2026+3,5,1))/365.25)*G32*D32*(1+EscalatorInLease)^3+((DATE(2027+3,4,30)-F32)/365.25)*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)))),0)</f>
        <v/>
      </c>
      <c r="R32" s="5">
        <f>IFERROR(IF(I32="LeaseUp",H32*D32*(1+GrowthMarketRent)^4*IF(4=0,(12-DowntimeNew)/12,1),IF(F32="",0,IF(F32&gt;=DATE(2027+4,4,30),G32*D32*(1+EscalatorInLease)^4,IF(F32&lt;DATE(2026+4,5,1),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,((F32-DATE(2026+4,5,1))/365.25)*G32*D32*(1+EscalatorInLease)^4+((DATE(2027+4,4,30)-F32)/365.25)*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)))),0)</f>
        <v/>
      </c>
      <c r="S32" s="5">
        <f>IFERROR(IF(I32="LeaseUp",H32*D32*(1+GrowthMarketRent)^5*IF(5=0,(12-DowntimeNew)/12,1),IF(F32="",0,IF(F32&gt;=DATE(2027+5,4,30),G32*D32*(1+EscalatorInLease)^5,IF(F32&lt;DATE(2026+5,5,1),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,((F32-DATE(2026+5,5,1))/365.25)*G32*D32*(1+EscalatorInLease)^5+((DATE(2027+5,4,30)-F32)/365.25)*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)))),0)</f>
        <v/>
      </c>
      <c r="T32" s="5">
        <f>IFERROR(IF(I32="LeaseUp",H32*D32*(1+GrowthMarketRent)^6*IF(6=0,(12-DowntimeNew)/12,1),IF(F32="",0,IF(F32&gt;=DATE(2027+6,4,30),G32*D32*(1+EscalatorInLease)^6,IF(F32&lt;DATE(2026+6,5,1),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,((F32-DATE(2026+6,5,1))/365.25)*G32*D32*(1+EscalatorInLease)^6+((DATE(2027+6,4,30)-F32)/365.25)*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)))),0)</f>
        <v/>
      </c>
      <c r="U32" s="5">
        <f>IFERROR(IF(I32="LeaseUp",H32*D32*(1+GrowthMarketRent)^7*IF(7=0,(12-DowntimeNew)/12,1),IF(F32="",0,IF(F32&gt;=DATE(2027+7,4,30),G32*D32*(1+EscalatorInLease)^7,IF(F32&lt;DATE(2026+7,5,1),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,((F32-DATE(2026+7,5,1))/365.25)*G32*D32*(1+EscalatorInLease)^7+((DATE(2027+7,4,30)-F32)/365.25)*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)))),0)</f>
        <v/>
      </c>
      <c r="V32" s="5">
        <f>IFERROR(IF(I32="LeaseUp",H32*D32*(1+GrowthMarketRent)^8*IF(8=0,(12-DowntimeNew)/12,1),IF(F32="",0,IF(F32&gt;=DATE(2027+8,4,30),G32*D32*(1+EscalatorInLease)^8,IF(F32&lt;DATE(2026+8,5,1),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,((F32-DATE(2026+8,5,1))/365.25)*G32*D32*(1+EscalatorInLease)^8+((DATE(2027+8,4,30)-F32)/365.25)*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)))),0)</f>
        <v/>
      </c>
      <c r="W32" s="5">
        <f>IFERROR(IF(I32="LeaseUp",H32*D32*(1+GrowthMarketRent)^9*IF(9=0,(12-DowntimeNew)/12,1),IF(F32="",0,IF(F32&gt;=DATE(2027+9,4,30),G32*D32*(1+EscalatorInLease)^9,IF(F32&lt;DATE(2026+9,5,1),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,((F32-DATE(2026+9,5,1))/365.25)*G32*D32*(1+EscalatorInLease)^9+((DATE(2027+9,4,30)-F32)/365.25)*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)))),0)</f>
        <v/>
      </c>
      <c r="X32" s="5">
        <f>IFERROR(IF(I32="LeaseUp",H32*D32*(1+GrowthMarketRent)^10*IF(10=0,(12-DowntimeNew)/12,1),IF(F32="",0,IF(F32&gt;=DATE(2027+10,4,30),G32*D32*(1+EscalatorInLease)^10,IF(F32&lt;DATE(2026+10,5,1),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,((F32-DATE(2026+10,5,1))/365.25)*G32*D32*(1+EscalatorInLease)^10+((DATE(2027+10,4,30)-F32)/365.25)*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)))),0)</f>
        <v/>
      </c>
      <c r="Y32" s="5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5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5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5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5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5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5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5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5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5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5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9" t="n">
        <v>12805</v>
      </c>
      <c r="E33" s="40" t="n">
        <v>45962</v>
      </c>
      <c r="F33" s="40" t="n">
        <v>47757</v>
      </c>
      <c r="G33" s="41" t="n">
        <v>16.6199921905506</v>
      </c>
      <c r="H33" s="10">
        <f>VLOOKUP("Carrollton — "&amp;J33,MLA!$A$5:$L$11,3,FALSE)</f>
        <v/>
      </c>
      <c r="I33" s="25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7">
        <f>IF(E33="",0,(AnalysisStart-E33)/365.25)</f>
        <v/>
      </c>
      <c r="N33" s="5">
        <f>IFERROR(IF(I33="LeaseUp",H33*D33*(1+GrowthMarketRent)^0*IF(0=0,(12-DowntimeNew)/12,1),IF(F33="",0,IF(F33&gt;=DATE(2027+0,4,30),G33*D33*(1+EscalatorInLease)^0,IF(F33&lt;DATE(2026+0,5,1),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,((F33-DATE(2026+0,5,1))/365.25)*G33*D33*(1+EscalatorInLease)^0+((DATE(2027+0,4,30)-F33)/365.25)*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)))),0)</f>
        <v/>
      </c>
      <c r="O33" s="5">
        <f>IFERROR(IF(I33="LeaseUp",H33*D33*(1+GrowthMarketRent)^1*IF(1=0,(12-DowntimeNew)/12,1),IF(F33="",0,IF(F33&gt;=DATE(2027+1,4,30),G33*D33*(1+EscalatorInLease)^1,IF(F33&lt;DATE(2026+1,5,1),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,((F33-DATE(2026+1,5,1))/365.25)*G33*D33*(1+EscalatorInLease)^1+((DATE(2027+1,4,30)-F33)/365.25)*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)))),0)</f>
        <v/>
      </c>
      <c r="P33" s="5">
        <f>IFERROR(IF(I33="LeaseUp",H33*D33*(1+GrowthMarketRent)^2*IF(2=0,(12-DowntimeNew)/12,1),IF(F33="",0,IF(F33&gt;=DATE(2027+2,4,30),G33*D33*(1+EscalatorInLease)^2,IF(F33&lt;DATE(2026+2,5,1),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,((F33-DATE(2026+2,5,1))/365.25)*G33*D33*(1+EscalatorInLease)^2+((DATE(2027+2,4,30)-F33)/365.25)*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)))),0)</f>
        <v/>
      </c>
      <c r="Q33" s="5">
        <f>IFERROR(IF(I33="LeaseUp",H33*D33*(1+GrowthMarketRent)^3*IF(3=0,(12-DowntimeNew)/12,1),IF(F33="",0,IF(F33&gt;=DATE(2027+3,4,30),G33*D33*(1+EscalatorInLease)^3,IF(F33&lt;DATE(2026+3,5,1),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,((F33-DATE(2026+3,5,1))/365.25)*G33*D33*(1+EscalatorInLease)^3+((DATE(2027+3,4,30)-F33)/365.25)*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)))),0)</f>
        <v/>
      </c>
      <c r="R33" s="5">
        <f>IFERROR(IF(I33="LeaseUp",H33*D33*(1+GrowthMarketRent)^4*IF(4=0,(12-DowntimeNew)/12,1),IF(F33="",0,IF(F33&gt;=DATE(2027+4,4,30),G33*D33*(1+EscalatorInLease)^4,IF(F33&lt;DATE(2026+4,5,1),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,((F33-DATE(2026+4,5,1))/365.25)*G33*D33*(1+EscalatorInLease)^4+((DATE(2027+4,4,30)-F33)/365.25)*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)))),0)</f>
        <v/>
      </c>
      <c r="S33" s="5">
        <f>IFERROR(IF(I33="LeaseUp",H33*D33*(1+GrowthMarketRent)^5*IF(5=0,(12-DowntimeNew)/12,1),IF(F33="",0,IF(F33&gt;=DATE(2027+5,4,30),G33*D33*(1+EscalatorInLease)^5,IF(F33&lt;DATE(2026+5,5,1),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,((F33-DATE(2026+5,5,1))/365.25)*G33*D33*(1+EscalatorInLease)^5+((DATE(2027+5,4,30)-F33)/365.25)*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)))),0)</f>
        <v/>
      </c>
      <c r="T33" s="5">
        <f>IFERROR(IF(I33="LeaseUp",H33*D33*(1+GrowthMarketRent)^6*IF(6=0,(12-DowntimeNew)/12,1),IF(F33="",0,IF(F33&gt;=DATE(2027+6,4,30),G33*D33*(1+EscalatorInLease)^6,IF(F33&lt;DATE(2026+6,5,1),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,((F33-DATE(2026+6,5,1))/365.25)*G33*D33*(1+EscalatorInLease)^6+((DATE(2027+6,4,30)-F33)/365.25)*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)))),0)</f>
        <v/>
      </c>
      <c r="U33" s="5">
        <f>IFERROR(IF(I33="LeaseUp",H33*D33*(1+GrowthMarketRent)^7*IF(7=0,(12-DowntimeNew)/12,1),IF(F33="",0,IF(F33&gt;=DATE(2027+7,4,30),G33*D33*(1+EscalatorInLease)^7,IF(F33&lt;DATE(2026+7,5,1),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,((F33-DATE(2026+7,5,1))/365.25)*G33*D33*(1+EscalatorInLease)^7+((DATE(2027+7,4,30)-F33)/365.25)*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)))),0)</f>
        <v/>
      </c>
      <c r="V33" s="5">
        <f>IFERROR(IF(I33="LeaseUp",H33*D33*(1+GrowthMarketRent)^8*IF(8=0,(12-DowntimeNew)/12,1),IF(F33="",0,IF(F33&gt;=DATE(2027+8,4,30),G33*D33*(1+EscalatorInLease)^8,IF(F33&lt;DATE(2026+8,5,1),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,((F33-DATE(2026+8,5,1))/365.25)*G33*D33*(1+EscalatorInLease)^8+((DATE(2027+8,4,30)-F33)/365.25)*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)))),0)</f>
        <v/>
      </c>
      <c r="W33" s="5">
        <f>IFERROR(IF(I33="LeaseUp",H33*D33*(1+GrowthMarketRent)^9*IF(9=0,(12-DowntimeNew)/12,1),IF(F33="",0,IF(F33&gt;=DATE(2027+9,4,30),G33*D33*(1+EscalatorInLease)^9,IF(F33&lt;DATE(2026+9,5,1),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,((F33-DATE(2026+9,5,1))/365.25)*G33*D33*(1+EscalatorInLease)^9+((DATE(2027+9,4,30)-F33)/365.25)*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)))),0)</f>
        <v/>
      </c>
      <c r="X33" s="5">
        <f>IFERROR(IF(I33="LeaseUp",H33*D33*(1+GrowthMarketRent)^10*IF(10=0,(12-DowntimeNew)/12,1),IF(F33="",0,IF(F33&gt;=DATE(2027+10,4,30),G33*D33*(1+EscalatorInLease)^10,IF(F33&lt;DATE(2026+10,5,1),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,((F33-DATE(2026+10,5,1))/365.25)*G33*D33*(1+EscalatorInLease)^10+((DATE(2027+10,4,30)-F33)/365.25)*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)))),0)</f>
        <v/>
      </c>
      <c r="Y33" s="5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5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5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5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5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5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5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5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5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5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5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9" t="n">
        <v>2600</v>
      </c>
      <c r="E34" s="40" t="n">
        <v>46054</v>
      </c>
      <c r="F34" s="40" t="n">
        <v>47757</v>
      </c>
      <c r="G34" s="41" t="n">
        <v>18</v>
      </c>
      <c r="H34" s="10">
        <f>VLOOKUP("Carrollton — "&amp;J34,MLA!$A$5:$L$11,3,FALSE)</f>
        <v/>
      </c>
      <c r="I34" s="25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7">
        <f>IF(E34="",0,(AnalysisStart-E34)/365.25)</f>
        <v/>
      </c>
      <c r="N34" s="5">
        <f>IFERROR(IF(I34="LeaseUp",H34*D34*(1+GrowthMarketRent)^0*IF(0=0,(12-DowntimeNew)/12,1),IF(F34="",0,IF(F34&gt;=DATE(2027+0,4,30),G34*D34*(1+EscalatorInLease)^0,IF(F34&lt;DATE(2026+0,5,1),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,((F34-DATE(2026+0,5,1))/365.25)*G34*D34*(1+EscalatorInLease)^0+((DATE(2027+0,4,30)-F34)/365.25)*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)))),0)</f>
        <v/>
      </c>
      <c r="O34" s="5">
        <f>IFERROR(IF(I34="LeaseUp",H34*D34*(1+GrowthMarketRent)^1*IF(1=0,(12-DowntimeNew)/12,1),IF(F34="",0,IF(F34&gt;=DATE(2027+1,4,30),G34*D34*(1+EscalatorInLease)^1,IF(F34&lt;DATE(2026+1,5,1),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,((F34-DATE(2026+1,5,1))/365.25)*G34*D34*(1+EscalatorInLease)^1+((DATE(2027+1,4,30)-F34)/365.25)*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)))),0)</f>
        <v/>
      </c>
      <c r="P34" s="5">
        <f>IFERROR(IF(I34="LeaseUp",H34*D34*(1+GrowthMarketRent)^2*IF(2=0,(12-DowntimeNew)/12,1),IF(F34="",0,IF(F34&gt;=DATE(2027+2,4,30),G34*D34*(1+EscalatorInLease)^2,IF(F34&lt;DATE(2026+2,5,1),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,((F34-DATE(2026+2,5,1))/365.25)*G34*D34*(1+EscalatorInLease)^2+((DATE(2027+2,4,30)-F34)/365.25)*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)))),0)</f>
        <v/>
      </c>
      <c r="Q34" s="5">
        <f>IFERROR(IF(I34="LeaseUp",H34*D34*(1+GrowthMarketRent)^3*IF(3=0,(12-DowntimeNew)/12,1),IF(F34="",0,IF(F34&gt;=DATE(2027+3,4,30),G34*D34*(1+EscalatorInLease)^3,IF(F34&lt;DATE(2026+3,5,1),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,((F34-DATE(2026+3,5,1))/365.25)*G34*D34*(1+EscalatorInLease)^3+((DATE(2027+3,4,30)-F34)/365.25)*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)))),0)</f>
        <v/>
      </c>
      <c r="R34" s="5">
        <f>IFERROR(IF(I34="LeaseUp",H34*D34*(1+GrowthMarketRent)^4*IF(4=0,(12-DowntimeNew)/12,1),IF(F34="",0,IF(F34&gt;=DATE(2027+4,4,30),G34*D34*(1+EscalatorInLease)^4,IF(F34&lt;DATE(2026+4,5,1),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,((F34-DATE(2026+4,5,1))/365.25)*G34*D34*(1+EscalatorInLease)^4+((DATE(2027+4,4,30)-F34)/365.25)*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)))),0)</f>
        <v/>
      </c>
      <c r="S34" s="5">
        <f>IFERROR(IF(I34="LeaseUp",H34*D34*(1+GrowthMarketRent)^5*IF(5=0,(12-DowntimeNew)/12,1),IF(F34="",0,IF(F34&gt;=DATE(2027+5,4,30),G34*D34*(1+EscalatorInLease)^5,IF(F34&lt;DATE(2026+5,5,1),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,((F34-DATE(2026+5,5,1))/365.25)*G34*D34*(1+EscalatorInLease)^5+((DATE(2027+5,4,30)-F34)/365.25)*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)))),0)</f>
        <v/>
      </c>
      <c r="T34" s="5">
        <f>IFERROR(IF(I34="LeaseUp",H34*D34*(1+GrowthMarketRent)^6*IF(6=0,(12-DowntimeNew)/12,1),IF(F34="",0,IF(F34&gt;=DATE(2027+6,4,30),G34*D34*(1+EscalatorInLease)^6,IF(F34&lt;DATE(2026+6,5,1),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,((F34-DATE(2026+6,5,1))/365.25)*G34*D34*(1+EscalatorInLease)^6+((DATE(2027+6,4,30)-F34)/365.25)*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)))),0)</f>
        <v/>
      </c>
      <c r="U34" s="5">
        <f>IFERROR(IF(I34="LeaseUp",H34*D34*(1+GrowthMarketRent)^7*IF(7=0,(12-DowntimeNew)/12,1),IF(F34="",0,IF(F34&gt;=DATE(2027+7,4,30),G34*D34*(1+EscalatorInLease)^7,IF(F34&lt;DATE(2026+7,5,1),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,((F34-DATE(2026+7,5,1))/365.25)*G34*D34*(1+EscalatorInLease)^7+((DATE(2027+7,4,30)-F34)/365.25)*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)))),0)</f>
        <v/>
      </c>
      <c r="V34" s="5">
        <f>IFERROR(IF(I34="LeaseUp",H34*D34*(1+GrowthMarketRent)^8*IF(8=0,(12-DowntimeNew)/12,1),IF(F34="",0,IF(F34&gt;=DATE(2027+8,4,30),G34*D34*(1+EscalatorInLease)^8,IF(F34&lt;DATE(2026+8,5,1),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,((F34-DATE(2026+8,5,1))/365.25)*G34*D34*(1+EscalatorInLease)^8+((DATE(2027+8,4,30)-F34)/365.25)*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)))),0)</f>
        <v/>
      </c>
      <c r="W34" s="5">
        <f>IFERROR(IF(I34="LeaseUp",H34*D34*(1+GrowthMarketRent)^9*IF(9=0,(12-DowntimeNew)/12,1),IF(F34="",0,IF(F34&gt;=DATE(2027+9,4,30),G34*D34*(1+EscalatorInLease)^9,IF(F34&lt;DATE(2026+9,5,1),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,((F34-DATE(2026+9,5,1))/365.25)*G34*D34*(1+EscalatorInLease)^9+((DATE(2027+9,4,30)-F34)/365.25)*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)))),0)</f>
        <v/>
      </c>
      <c r="X34" s="5">
        <f>IFERROR(IF(I34="LeaseUp",H34*D34*(1+GrowthMarketRent)^10*IF(10=0,(12-DowntimeNew)/12,1),IF(F34="",0,IF(F34&gt;=DATE(2027+10,4,30),G34*D34*(1+EscalatorInLease)^10,IF(F34&lt;DATE(2026+10,5,1),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,((F34-DATE(2026+10,5,1))/365.25)*G34*D34*(1+EscalatorInLease)^10+((DATE(2027+10,4,30)-F34)/365.25)*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)))),0)</f>
        <v/>
      </c>
      <c r="Y34" s="5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5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5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5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5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5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5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5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5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5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5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9" t="n">
        <v>2600</v>
      </c>
      <c r="E35" s="40" t="n">
        <v>45748</v>
      </c>
      <c r="F35" s="40" t="n">
        <v>47178</v>
      </c>
      <c r="G35" s="41" t="n">
        <v>18.45</v>
      </c>
      <c r="H35" s="10">
        <f>VLOOKUP("Carrollton — "&amp;J35,MLA!$A$5:$L$11,3,FALSE)</f>
        <v/>
      </c>
      <c r="I35" s="25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7">
        <f>IF(E35="",0,(AnalysisStart-E35)/365.25)</f>
        <v/>
      </c>
      <c r="N35" s="5">
        <f>IFERROR(IF(I35="LeaseUp",H35*D35*(1+GrowthMarketRent)^0*IF(0=0,(12-DowntimeNew)/12,1),IF(F35="",0,IF(F35&gt;=DATE(2027+0,4,30),G35*D35*(1+EscalatorInLease)^0,IF(F35&lt;DATE(2026+0,5,1),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,((F35-DATE(2026+0,5,1))/365.25)*G35*D35*(1+EscalatorInLease)^0+((DATE(2027+0,4,30)-F35)/365.25)*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)))),0)</f>
        <v/>
      </c>
      <c r="O35" s="5">
        <f>IFERROR(IF(I35="LeaseUp",H35*D35*(1+GrowthMarketRent)^1*IF(1=0,(12-DowntimeNew)/12,1),IF(F35="",0,IF(F35&gt;=DATE(2027+1,4,30),G35*D35*(1+EscalatorInLease)^1,IF(F35&lt;DATE(2026+1,5,1),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,((F35-DATE(2026+1,5,1))/365.25)*G35*D35*(1+EscalatorInLease)^1+((DATE(2027+1,4,30)-F35)/365.25)*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)))),0)</f>
        <v/>
      </c>
      <c r="P35" s="5">
        <f>IFERROR(IF(I35="LeaseUp",H35*D35*(1+GrowthMarketRent)^2*IF(2=0,(12-DowntimeNew)/12,1),IF(F35="",0,IF(F35&gt;=DATE(2027+2,4,30),G35*D35*(1+EscalatorInLease)^2,IF(F35&lt;DATE(2026+2,5,1),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,((F35-DATE(2026+2,5,1))/365.25)*G35*D35*(1+EscalatorInLease)^2+((DATE(2027+2,4,30)-F35)/365.25)*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)))),0)</f>
        <v/>
      </c>
      <c r="Q35" s="5">
        <f>IFERROR(IF(I35="LeaseUp",H35*D35*(1+GrowthMarketRent)^3*IF(3=0,(12-DowntimeNew)/12,1),IF(F35="",0,IF(F35&gt;=DATE(2027+3,4,30),G35*D35*(1+EscalatorInLease)^3,IF(F35&lt;DATE(2026+3,5,1),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,((F35-DATE(2026+3,5,1))/365.25)*G35*D35*(1+EscalatorInLease)^3+((DATE(2027+3,4,30)-F35)/365.25)*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)))),0)</f>
        <v/>
      </c>
      <c r="R35" s="5">
        <f>IFERROR(IF(I35="LeaseUp",H35*D35*(1+GrowthMarketRent)^4*IF(4=0,(12-DowntimeNew)/12,1),IF(F35="",0,IF(F35&gt;=DATE(2027+4,4,30),G35*D35*(1+EscalatorInLease)^4,IF(F35&lt;DATE(2026+4,5,1),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,((F35-DATE(2026+4,5,1))/365.25)*G35*D35*(1+EscalatorInLease)^4+((DATE(2027+4,4,30)-F35)/365.25)*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)))),0)</f>
        <v/>
      </c>
      <c r="S35" s="5">
        <f>IFERROR(IF(I35="LeaseUp",H35*D35*(1+GrowthMarketRent)^5*IF(5=0,(12-DowntimeNew)/12,1),IF(F35="",0,IF(F35&gt;=DATE(2027+5,4,30),G35*D35*(1+EscalatorInLease)^5,IF(F35&lt;DATE(2026+5,5,1),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,((F35-DATE(2026+5,5,1))/365.25)*G35*D35*(1+EscalatorInLease)^5+((DATE(2027+5,4,30)-F35)/365.25)*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)))),0)</f>
        <v/>
      </c>
      <c r="T35" s="5">
        <f>IFERROR(IF(I35="LeaseUp",H35*D35*(1+GrowthMarketRent)^6*IF(6=0,(12-DowntimeNew)/12,1),IF(F35="",0,IF(F35&gt;=DATE(2027+6,4,30),G35*D35*(1+EscalatorInLease)^6,IF(F35&lt;DATE(2026+6,5,1),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,((F35-DATE(2026+6,5,1))/365.25)*G35*D35*(1+EscalatorInLease)^6+((DATE(2027+6,4,30)-F35)/365.25)*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)))),0)</f>
        <v/>
      </c>
      <c r="U35" s="5">
        <f>IFERROR(IF(I35="LeaseUp",H35*D35*(1+GrowthMarketRent)^7*IF(7=0,(12-DowntimeNew)/12,1),IF(F35="",0,IF(F35&gt;=DATE(2027+7,4,30),G35*D35*(1+EscalatorInLease)^7,IF(F35&lt;DATE(2026+7,5,1),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,((F35-DATE(2026+7,5,1))/365.25)*G35*D35*(1+EscalatorInLease)^7+((DATE(2027+7,4,30)-F35)/365.25)*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)))),0)</f>
        <v/>
      </c>
      <c r="V35" s="5">
        <f>IFERROR(IF(I35="LeaseUp",H35*D35*(1+GrowthMarketRent)^8*IF(8=0,(12-DowntimeNew)/12,1),IF(F35="",0,IF(F35&gt;=DATE(2027+8,4,30),G35*D35*(1+EscalatorInLease)^8,IF(F35&lt;DATE(2026+8,5,1),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,((F35-DATE(2026+8,5,1))/365.25)*G35*D35*(1+EscalatorInLease)^8+((DATE(2027+8,4,30)-F35)/365.25)*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)))),0)</f>
        <v/>
      </c>
      <c r="W35" s="5">
        <f>IFERROR(IF(I35="LeaseUp",H35*D35*(1+GrowthMarketRent)^9*IF(9=0,(12-DowntimeNew)/12,1),IF(F35="",0,IF(F35&gt;=DATE(2027+9,4,30),G35*D35*(1+EscalatorInLease)^9,IF(F35&lt;DATE(2026+9,5,1),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,((F35-DATE(2026+9,5,1))/365.25)*G35*D35*(1+EscalatorInLease)^9+((DATE(2027+9,4,30)-F35)/365.25)*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)))),0)</f>
        <v/>
      </c>
      <c r="X35" s="5">
        <f>IFERROR(IF(I35="LeaseUp",H35*D35*(1+GrowthMarketRent)^10*IF(10=0,(12-DowntimeNew)/12,1),IF(F35="",0,IF(F35&gt;=DATE(2027+10,4,30),G35*D35*(1+EscalatorInLease)^10,IF(F35&lt;DATE(2026+10,5,1),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,((F35-DATE(2026+10,5,1))/365.25)*G35*D35*(1+EscalatorInLease)^10+((DATE(2027+10,4,30)-F35)/365.25)*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)))),0)</f>
        <v/>
      </c>
      <c r="Y35" s="5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5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5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5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5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5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5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5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5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5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5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9" t="n">
        <v>3450</v>
      </c>
      <c r="E36" s="40" t="n">
        <v>45689</v>
      </c>
      <c r="F36" s="40" t="n">
        <v>46935</v>
      </c>
      <c r="G36" s="41" t="n">
        <v>16.4</v>
      </c>
      <c r="H36" s="10">
        <f>VLOOKUP("Carrollton — "&amp;J36,MLA!$A$5:$L$11,3,FALSE)</f>
        <v/>
      </c>
      <c r="I36" s="25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7">
        <f>IF(E36="",0,(AnalysisStart-E36)/365.25)</f>
        <v/>
      </c>
      <c r="N36" s="5">
        <f>IFERROR(IF(I36="LeaseUp",H36*D36*(1+GrowthMarketRent)^0*IF(0=0,(12-DowntimeNew)/12,1),IF(F36="",0,IF(F36&gt;=DATE(2027+0,4,30),G36*D36*(1+EscalatorInLease)^0,IF(F36&lt;DATE(2026+0,5,1),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,((F36-DATE(2026+0,5,1))/365.25)*G36*D36*(1+EscalatorInLease)^0+((DATE(2027+0,4,30)-F36)/365.25)*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)))),0)</f>
        <v/>
      </c>
      <c r="O36" s="5">
        <f>IFERROR(IF(I36="LeaseUp",H36*D36*(1+GrowthMarketRent)^1*IF(1=0,(12-DowntimeNew)/12,1),IF(F36="",0,IF(F36&gt;=DATE(2027+1,4,30),G36*D36*(1+EscalatorInLease)^1,IF(F36&lt;DATE(2026+1,5,1),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,((F36-DATE(2026+1,5,1))/365.25)*G36*D36*(1+EscalatorInLease)^1+((DATE(2027+1,4,30)-F36)/365.25)*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)))),0)</f>
        <v/>
      </c>
      <c r="P36" s="5">
        <f>IFERROR(IF(I36="LeaseUp",H36*D36*(1+GrowthMarketRent)^2*IF(2=0,(12-DowntimeNew)/12,1),IF(F36="",0,IF(F36&gt;=DATE(2027+2,4,30),G36*D36*(1+EscalatorInLease)^2,IF(F36&lt;DATE(2026+2,5,1),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,((F36-DATE(2026+2,5,1))/365.25)*G36*D36*(1+EscalatorInLease)^2+((DATE(2027+2,4,30)-F36)/365.25)*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)))),0)</f>
        <v/>
      </c>
      <c r="Q36" s="5">
        <f>IFERROR(IF(I36="LeaseUp",H36*D36*(1+GrowthMarketRent)^3*IF(3=0,(12-DowntimeNew)/12,1),IF(F36="",0,IF(F36&gt;=DATE(2027+3,4,30),G36*D36*(1+EscalatorInLease)^3,IF(F36&lt;DATE(2026+3,5,1),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,((F36-DATE(2026+3,5,1))/365.25)*G36*D36*(1+EscalatorInLease)^3+((DATE(2027+3,4,30)-F36)/365.25)*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)))),0)</f>
        <v/>
      </c>
      <c r="R36" s="5">
        <f>IFERROR(IF(I36="LeaseUp",H36*D36*(1+GrowthMarketRent)^4*IF(4=0,(12-DowntimeNew)/12,1),IF(F36="",0,IF(F36&gt;=DATE(2027+4,4,30),G36*D36*(1+EscalatorInLease)^4,IF(F36&lt;DATE(2026+4,5,1),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,((F36-DATE(2026+4,5,1))/365.25)*G36*D36*(1+EscalatorInLease)^4+((DATE(2027+4,4,30)-F36)/365.25)*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)))),0)</f>
        <v/>
      </c>
      <c r="S36" s="5">
        <f>IFERROR(IF(I36="LeaseUp",H36*D36*(1+GrowthMarketRent)^5*IF(5=0,(12-DowntimeNew)/12,1),IF(F36="",0,IF(F36&gt;=DATE(2027+5,4,30),G36*D36*(1+EscalatorInLease)^5,IF(F36&lt;DATE(2026+5,5,1),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,((F36-DATE(2026+5,5,1))/365.25)*G36*D36*(1+EscalatorInLease)^5+((DATE(2027+5,4,30)-F36)/365.25)*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)))),0)</f>
        <v/>
      </c>
      <c r="T36" s="5">
        <f>IFERROR(IF(I36="LeaseUp",H36*D36*(1+GrowthMarketRent)^6*IF(6=0,(12-DowntimeNew)/12,1),IF(F36="",0,IF(F36&gt;=DATE(2027+6,4,30),G36*D36*(1+EscalatorInLease)^6,IF(F36&lt;DATE(2026+6,5,1),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,((F36-DATE(2026+6,5,1))/365.25)*G36*D36*(1+EscalatorInLease)^6+((DATE(2027+6,4,30)-F36)/365.25)*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)))),0)</f>
        <v/>
      </c>
      <c r="U36" s="5">
        <f>IFERROR(IF(I36="LeaseUp",H36*D36*(1+GrowthMarketRent)^7*IF(7=0,(12-DowntimeNew)/12,1),IF(F36="",0,IF(F36&gt;=DATE(2027+7,4,30),G36*D36*(1+EscalatorInLease)^7,IF(F36&lt;DATE(2026+7,5,1),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,((F36-DATE(2026+7,5,1))/365.25)*G36*D36*(1+EscalatorInLease)^7+((DATE(2027+7,4,30)-F36)/365.25)*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)))),0)</f>
        <v/>
      </c>
      <c r="V36" s="5">
        <f>IFERROR(IF(I36="LeaseUp",H36*D36*(1+GrowthMarketRent)^8*IF(8=0,(12-DowntimeNew)/12,1),IF(F36="",0,IF(F36&gt;=DATE(2027+8,4,30),G36*D36*(1+EscalatorInLease)^8,IF(F36&lt;DATE(2026+8,5,1),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,((F36-DATE(2026+8,5,1))/365.25)*G36*D36*(1+EscalatorInLease)^8+((DATE(2027+8,4,30)-F36)/365.25)*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)))),0)</f>
        <v/>
      </c>
      <c r="W36" s="5">
        <f>IFERROR(IF(I36="LeaseUp",H36*D36*(1+GrowthMarketRent)^9*IF(9=0,(12-DowntimeNew)/12,1),IF(F36="",0,IF(F36&gt;=DATE(2027+9,4,30),G36*D36*(1+EscalatorInLease)^9,IF(F36&lt;DATE(2026+9,5,1),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,((F36-DATE(2026+9,5,1))/365.25)*G36*D36*(1+EscalatorInLease)^9+((DATE(2027+9,4,30)-F36)/365.25)*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)))),0)</f>
        <v/>
      </c>
      <c r="X36" s="5">
        <f>IFERROR(IF(I36="LeaseUp",H36*D36*(1+GrowthMarketRent)^10*IF(10=0,(12-DowntimeNew)/12,1),IF(F36="",0,IF(F36&gt;=DATE(2027+10,4,30),G36*D36*(1+EscalatorInLease)^10,IF(F36&lt;DATE(2026+10,5,1),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,((F36-DATE(2026+10,5,1))/365.25)*G36*D36*(1+EscalatorInLease)^10+((DATE(2027+10,4,30)-F36)/365.25)*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)))),0)</f>
        <v/>
      </c>
      <c r="Y36" s="5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5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5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5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5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5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5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5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5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5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5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9" t="n">
        <v>2600</v>
      </c>
      <c r="E37" s="40" t="n">
        <v>46023</v>
      </c>
      <c r="F37" s="40" t="n">
        <v>47027</v>
      </c>
      <c r="G37" s="41" t="n">
        <v>18</v>
      </c>
      <c r="H37" s="10">
        <f>VLOOKUP("Carrollton — "&amp;J37,MLA!$A$5:$L$11,3,FALSE)</f>
        <v/>
      </c>
      <c r="I37" s="25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7">
        <f>IF(E37="",0,(AnalysisStart-E37)/365.25)</f>
        <v/>
      </c>
      <c r="N37" s="5">
        <f>IFERROR(IF(I37="LeaseUp",H37*D37*(1+GrowthMarketRent)^0*IF(0=0,(12-DowntimeNew)/12,1),IF(F37="",0,IF(F37&gt;=DATE(2027+0,4,30),G37*D37*(1+EscalatorInLease)^0,IF(F37&lt;DATE(2026+0,5,1),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,((F37-DATE(2026+0,5,1))/365.25)*G37*D37*(1+EscalatorInLease)^0+((DATE(2027+0,4,30)-F37)/365.25)*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)))),0)</f>
        <v/>
      </c>
      <c r="O37" s="5">
        <f>IFERROR(IF(I37="LeaseUp",H37*D37*(1+GrowthMarketRent)^1*IF(1=0,(12-DowntimeNew)/12,1),IF(F37="",0,IF(F37&gt;=DATE(2027+1,4,30),G37*D37*(1+EscalatorInLease)^1,IF(F37&lt;DATE(2026+1,5,1),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,((F37-DATE(2026+1,5,1))/365.25)*G37*D37*(1+EscalatorInLease)^1+((DATE(2027+1,4,30)-F37)/365.25)*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)))),0)</f>
        <v/>
      </c>
      <c r="P37" s="5">
        <f>IFERROR(IF(I37="LeaseUp",H37*D37*(1+GrowthMarketRent)^2*IF(2=0,(12-DowntimeNew)/12,1),IF(F37="",0,IF(F37&gt;=DATE(2027+2,4,30),G37*D37*(1+EscalatorInLease)^2,IF(F37&lt;DATE(2026+2,5,1),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,((F37-DATE(2026+2,5,1))/365.25)*G37*D37*(1+EscalatorInLease)^2+((DATE(2027+2,4,30)-F37)/365.25)*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)))),0)</f>
        <v/>
      </c>
      <c r="Q37" s="5">
        <f>IFERROR(IF(I37="LeaseUp",H37*D37*(1+GrowthMarketRent)^3*IF(3=0,(12-DowntimeNew)/12,1),IF(F37="",0,IF(F37&gt;=DATE(2027+3,4,30),G37*D37*(1+EscalatorInLease)^3,IF(F37&lt;DATE(2026+3,5,1),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,((F37-DATE(2026+3,5,1))/365.25)*G37*D37*(1+EscalatorInLease)^3+((DATE(2027+3,4,30)-F37)/365.25)*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)))),0)</f>
        <v/>
      </c>
      <c r="R37" s="5">
        <f>IFERROR(IF(I37="LeaseUp",H37*D37*(1+GrowthMarketRent)^4*IF(4=0,(12-DowntimeNew)/12,1),IF(F37="",0,IF(F37&gt;=DATE(2027+4,4,30),G37*D37*(1+EscalatorInLease)^4,IF(F37&lt;DATE(2026+4,5,1),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,((F37-DATE(2026+4,5,1))/365.25)*G37*D37*(1+EscalatorInLease)^4+((DATE(2027+4,4,30)-F37)/365.25)*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)))),0)</f>
        <v/>
      </c>
      <c r="S37" s="5">
        <f>IFERROR(IF(I37="LeaseUp",H37*D37*(1+GrowthMarketRent)^5*IF(5=0,(12-DowntimeNew)/12,1),IF(F37="",0,IF(F37&gt;=DATE(2027+5,4,30),G37*D37*(1+EscalatorInLease)^5,IF(F37&lt;DATE(2026+5,5,1),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,((F37-DATE(2026+5,5,1))/365.25)*G37*D37*(1+EscalatorInLease)^5+((DATE(2027+5,4,30)-F37)/365.25)*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)))),0)</f>
        <v/>
      </c>
      <c r="T37" s="5">
        <f>IFERROR(IF(I37="LeaseUp",H37*D37*(1+GrowthMarketRent)^6*IF(6=0,(12-DowntimeNew)/12,1),IF(F37="",0,IF(F37&gt;=DATE(2027+6,4,30),G37*D37*(1+EscalatorInLease)^6,IF(F37&lt;DATE(2026+6,5,1),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,((F37-DATE(2026+6,5,1))/365.25)*G37*D37*(1+EscalatorInLease)^6+((DATE(2027+6,4,30)-F37)/365.25)*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)))),0)</f>
        <v/>
      </c>
      <c r="U37" s="5">
        <f>IFERROR(IF(I37="LeaseUp",H37*D37*(1+GrowthMarketRent)^7*IF(7=0,(12-DowntimeNew)/12,1),IF(F37="",0,IF(F37&gt;=DATE(2027+7,4,30),G37*D37*(1+EscalatorInLease)^7,IF(F37&lt;DATE(2026+7,5,1),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,((F37-DATE(2026+7,5,1))/365.25)*G37*D37*(1+EscalatorInLease)^7+((DATE(2027+7,4,30)-F37)/365.25)*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)))),0)</f>
        <v/>
      </c>
      <c r="V37" s="5">
        <f>IFERROR(IF(I37="LeaseUp",H37*D37*(1+GrowthMarketRent)^8*IF(8=0,(12-DowntimeNew)/12,1),IF(F37="",0,IF(F37&gt;=DATE(2027+8,4,30),G37*D37*(1+EscalatorInLease)^8,IF(F37&lt;DATE(2026+8,5,1),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,((F37-DATE(2026+8,5,1))/365.25)*G37*D37*(1+EscalatorInLease)^8+((DATE(2027+8,4,30)-F37)/365.25)*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)))),0)</f>
        <v/>
      </c>
      <c r="W37" s="5">
        <f>IFERROR(IF(I37="LeaseUp",H37*D37*(1+GrowthMarketRent)^9*IF(9=0,(12-DowntimeNew)/12,1),IF(F37="",0,IF(F37&gt;=DATE(2027+9,4,30),G37*D37*(1+EscalatorInLease)^9,IF(F37&lt;DATE(2026+9,5,1),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,((F37-DATE(2026+9,5,1))/365.25)*G37*D37*(1+EscalatorInLease)^9+((DATE(2027+9,4,30)-F37)/365.25)*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)))),0)</f>
        <v/>
      </c>
      <c r="X37" s="5">
        <f>IFERROR(IF(I37="LeaseUp",H37*D37*(1+GrowthMarketRent)^10*IF(10=0,(12-DowntimeNew)/12,1),IF(F37="",0,IF(F37&gt;=DATE(2027+10,4,30),G37*D37*(1+EscalatorInLease)^10,IF(F37&lt;DATE(2026+10,5,1),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,((F37-DATE(2026+10,5,1))/365.25)*G37*D37*(1+EscalatorInLease)^10+((DATE(2027+10,4,30)-F37)/365.25)*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)))),0)</f>
        <v/>
      </c>
      <c r="Y37" s="5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5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5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5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5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5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5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5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5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5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5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9" t="n">
        <v>2600</v>
      </c>
      <c r="E38" s="40" t="n">
        <v>45778</v>
      </c>
      <c r="F38" s="40" t="n">
        <v>47027</v>
      </c>
      <c r="G38" s="41" t="n">
        <v>18.45</v>
      </c>
      <c r="H38" s="10">
        <f>VLOOKUP("Carrollton — "&amp;J38,MLA!$A$5:$L$11,3,FALSE)</f>
        <v/>
      </c>
      <c r="I38" s="25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7">
        <f>IF(E38="",0,(AnalysisStart-E38)/365.25)</f>
        <v/>
      </c>
      <c r="N38" s="5">
        <f>IFERROR(IF(I38="LeaseUp",H38*D38*(1+GrowthMarketRent)^0*IF(0=0,(12-DowntimeNew)/12,1),IF(F38="",0,IF(F38&gt;=DATE(2027+0,4,30),G38*D38*(1+EscalatorInLease)^0,IF(F38&lt;DATE(2026+0,5,1),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,((F38-DATE(2026+0,5,1))/365.25)*G38*D38*(1+EscalatorInLease)^0+((DATE(2027+0,4,30)-F38)/365.25)*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)))),0)</f>
        <v/>
      </c>
      <c r="O38" s="5">
        <f>IFERROR(IF(I38="LeaseUp",H38*D38*(1+GrowthMarketRent)^1*IF(1=0,(12-DowntimeNew)/12,1),IF(F38="",0,IF(F38&gt;=DATE(2027+1,4,30),G38*D38*(1+EscalatorInLease)^1,IF(F38&lt;DATE(2026+1,5,1),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,((F38-DATE(2026+1,5,1))/365.25)*G38*D38*(1+EscalatorInLease)^1+((DATE(2027+1,4,30)-F38)/365.25)*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)))),0)</f>
        <v/>
      </c>
      <c r="P38" s="5">
        <f>IFERROR(IF(I38="LeaseUp",H38*D38*(1+GrowthMarketRent)^2*IF(2=0,(12-DowntimeNew)/12,1),IF(F38="",0,IF(F38&gt;=DATE(2027+2,4,30),G38*D38*(1+EscalatorInLease)^2,IF(F38&lt;DATE(2026+2,5,1),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,((F38-DATE(2026+2,5,1))/365.25)*G38*D38*(1+EscalatorInLease)^2+((DATE(2027+2,4,30)-F38)/365.25)*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)))),0)</f>
        <v/>
      </c>
      <c r="Q38" s="5">
        <f>IFERROR(IF(I38="LeaseUp",H38*D38*(1+GrowthMarketRent)^3*IF(3=0,(12-DowntimeNew)/12,1),IF(F38="",0,IF(F38&gt;=DATE(2027+3,4,30),G38*D38*(1+EscalatorInLease)^3,IF(F38&lt;DATE(2026+3,5,1),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,((F38-DATE(2026+3,5,1))/365.25)*G38*D38*(1+EscalatorInLease)^3+((DATE(2027+3,4,30)-F38)/365.25)*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)))),0)</f>
        <v/>
      </c>
      <c r="R38" s="5">
        <f>IFERROR(IF(I38="LeaseUp",H38*D38*(1+GrowthMarketRent)^4*IF(4=0,(12-DowntimeNew)/12,1),IF(F38="",0,IF(F38&gt;=DATE(2027+4,4,30),G38*D38*(1+EscalatorInLease)^4,IF(F38&lt;DATE(2026+4,5,1),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,((F38-DATE(2026+4,5,1))/365.25)*G38*D38*(1+EscalatorInLease)^4+((DATE(2027+4,4,30)-F38)/365.25)*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)))),0)</f>
        <v/>
      </c>
      <c r="S38" s="5">
        <f>IFERROR(IF(I38="LeaseUp",H38*D38*(1+GrowthMarketRent)^5*IF(5=0,(12-DowntimeNew)/12,1),IF(F38="",0,IF(F38&gt;=DATE(2027+5,4,30),G38*D38*(1+EscalatorInLease)^5,IF(F38&lt;DATE(2026+5,5,1),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,((F38-DATE(2026+5,5,1))/365.25)*G38*D38*(1+EscalatorInLease)^5+((DATE(2027+5,4,30)-F38)/365.25)*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)))),0)</f>
        <v/>
      </c>
      <c r="T38" s="5">
        <f>IFERROR(IF(I38="LeaseUp",H38*D38*(1+GrowthMarketRent)^6*IF(6=0,(12-DowntimeNew)/12,1),IF(F38="",0,IF(F38&gt;=DATE(2027+6,4,30),G38*D38*(1+EscalatorInLease)^6,IF(F38&lt;DATE(2026+6,5,1),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,((F38-DATE(2026+6,5,1))/365.25)*G38*D38*(1+EscalatorInLease)^6+((DATE(2027+6,4,30)-F38)/365.25)*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)))),0)</f>
        <v/>
      </c>
      <c r="U38" s="5">
        <f>IFERROR(IF(I38="LeaseUp",H38*D38*(1+GrowthMarketRent)^7*IF(7=0,(12-DowntimeNew)/12,1),IF(F38="",0,IF(F38&gt;=DATE(2027+7,4,30),G38*D38*(1+EscalatorInLease)^7,IF(F38&lt;DATE(2026+7,5,1),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,((F38-DATE(2026+7,5,1))/365.25)*G38*D38*(1+EscalatorInLease)^7+((DATE(2027+7,4,30)-F38)/365.25)*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)))),0)</f>
        <v/>
      </c>
      <c r="V38" s="5">
        <f>IFERROR(IF(I38="LeaseUp",H38*D38*(1+GrowthMarketRent)^8*IF(8=0,(12-DowntimeNew)/12,1),IF(F38="",0,IF(F38&gt;=DATE(2027+8,4,30),G38*D38*(1+EscalatorInLease)^8,IF(F38&lt;DATE(2026+8,5,1),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,((F38-DATE(2026+8,5,1))/365.25)*G38*D38*(1+EscalatorInLease)^8+((DATE(2027+8,4,30)-F38)/365.25)*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)))),0)</f>
        <v/>
      </c>
      <c r="W38" s="5">
        <f>IFERROR(IF(I38="LeaseUp",H38*D38*(1+GrowthMarketRent)^9*IF(9=0,(12-DowntimeNew)/12,1),IF(F38="",0,IF(F38&gt;=DATE(2027+9,4,30),G38*D38*(1+EscalatorInLease)^9,IF(F38&lt;DATE(2026+9,5,1),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,((F38-DATE(2026+9,5,1))/365.25)*G38*D38*(1+EscalatorInLease)^9+((DATE(2027+9,4,30)-F38)/365.25)*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)))),0)</f>
        <v/>
      </c>
      <c r="X38" s="5">
        <f>IFERROR(IF(I38="LeaseUp",H38*D38*(1+GrowthMarketRent)^10*IF(10=0,(12-DowntimeNew)/12,1),IF(F38="",0,IF(F38&gt;=DATE(2027+10,4,30),G38*D38*(1+EscalatorInLease)^10,IF(F38&lt;DATE(2026+10,5,1),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,((F38-DATE(2026+10,5,1))/365.25)*G38*D38*(1+EscalatorInLease)^10+((DATE(2027+10,4,30)-F38)/365.25)*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)))),0)</f>
        <v/>
      </c>
      <c r="Y38" s="5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5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5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5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5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5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5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5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5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5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5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9" t="n">
        <v>4525</v>
      </c>
      <c r="E39" s="40" t="n">
        <v>45778</v>
      </c>
      <c r="F39" s="40" t="n">
        <v>46844</v>
      </c>
      <c r="G39" s="41" t="n">
        <v>18.4499447513812</v>
      </c>
      <c r="H39" s="10">
        <f>VLOOKUP("Carrollton — "&amp;J39,MLA!$A$5:$L$11,3,FALSE)</f>
        <v/>
      </c>
      <c r="I39" s="25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7">
        <f>IF(E39="",0,(AnalysisStart-E39)/365.25)</f>
        <v/>
      </c>
      <c r="N39" s="5">
        <f>IFERROR(IF(I39="LeaseUp",H39*D39*(1+GrowthMarketRent)^0*IF(0=0,(12-DowntimeNew)/12,1),IF(F39="",0,IF(F39&gt;=DATE(2027+0,4,30),G39*D39*(1+EscalatorInLease)^0,IF(F39&lt;DATE(2026+0,5,1),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,((F39-DATE(2026+0,5,1))/365.25)*G39*D39*(1+EscalatorInLease)^0+((DATE(2027+0,4,30)-F39)/365.25)*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)))),0)</f>
        <v/>
      </c>
      <c r="O39" s="5">
        <f>IFERROR(IF(I39="LeaseUp",H39*D39*(1+GrowthMarketRent)^1*IF(1=0,(12-DowntimeNew)/12,1),IF(F39="",0,IF(F39&gt;=DATE(2027+1,4,30),G39*D39*(1+EscalatorInLease)^1,IF(F39&lt;DATE(2026+1,5,1),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,((F39-DATE(2026+1,5,1))/365.25)*G39*D39*(1+EscalatorInLease)^1+((DATE(2027+1,4,30)-F39)/365.25)*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)))),0)</f>
        <v/>
      </c>
      <c r="P39" s="5">
        <f>IFERROR(IF(I39="LeaseUp",H39*D39*(1+GrowthMarketRent)^2*IF(2=0,(12-DowntimeNew)/12,1),IF(F39="",0,IF(F39&gt;=DATE(2027+2,4,30),G39*D39*(1+EscalatorInLease)^2,IF(F39&lt;DATE(2026+2,5,1),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,((F39-DATE(2026+2,5,1))/365.25)*G39*D39*(1+EscalatorInLease)^2+((DATE(2027+2,4,30)-F39)/365.25)*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)))),0)</f>
        <v/>
      </c>
      <c r="Q39" s="5">
        <f>IFERROR(IF(I39="LeaseUp",H39*D39*(1+GrowthMarketRent)^3*IF(3=0,(12-DowntimeNew)/12,1),IF(F39="",0,IF(F39&gt;=DATE(2027+3,4,30),G39*D39*(1+EscalatorInLease)^3,IF(F39&lt;DATE(2026+3,5,1),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,((F39-DATE(2026+3,5,1))/365.25)*G39*D39*(1+EscalatorInLease)^3+((DATE(2027+3,4,30)-F39)/365.25)*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)))),0)</f>
        <v/>
      </c>
      <c r="R39" s="5">
        <f>IFERROR(IF(I39="LeaseUp",H39*D39*(1+GrowthMarketRent)^4*IF(4=0,(12-DowntimeNew)/12,1),IF(F39="",0,IF(F39&gt;=DATE(2027+4,4,30),G39*D39*(1+EscalatorInLease)^4,IF(F39&lt;DATE(2026+4,5,1),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,((F39-DATE(2026+4,5,1))/365.25)*G39*D39*(1+EscalatorInLease)^4+((DATE(2027+4,4,30)-F39)/365.25)*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)))),0)</f>
        <v/>
      </c>
      <c r="S39" s="5">
        <f>IFERROR(IF(I39="LeaseUp",H39*D39*(1+GrowthMarketRent)^5*IF(5=0,(12-DowntimeNew)/12,1),IF(F39="",0,IF(F39&gt;=DATE(2027+5,4,30),G39*D39*(1+EscalatorInLease)^5,IF(F39&lt;DATE(2026+5,5,1),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,((F39-DATE(2026+5,5,1))/365.25)*G39*D39*(1+EscalatorInLease)^5+((DATE(2027+5,4,30)-F39)/365.25)*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)))),0)</f>
        <v/>
      </c>
      <c r="T39" s="5">
        <f>IFERROR(IF(I39="LeaseUp",H39*D39*(1+GrowthMarketRent)^6*IF(6=0,(12-DowntimeNew)/12,1),IF(F39="",0,IF(F39&gt;=DATE(2027+6,4,30),G39*D39*(1+EscalatorInLease)^6,IF(F39&lt;DATE(2026+6,5,1),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,((F39-DATE(2026+6,5,1))/365.25)*G39*D39*(1+EscalatorInLease)^6+((DATE(2027+6,4,30)-F39)/365.25)*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)))),0)</f>
        <v/>
      </c>
      <c r="U39" s="5">
        <f>IFERROR(IF(I39="LeaseUp",H39*D39*(1+GrowthMarketRent)^7*IF(7=0,(12-DowntimeNew)/12,1),IF(F39="",0,IF(F39&gt;=DATE(2027+7,4,30),G39*D39*(1+EscalatorInLease)^7,IF(F39&lt;DATE(2026+7,5,1),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,((F39-DATE(2026+7,5,1))/365.25)*G39*D39*(1+EscalatorInLease)^7+((DATE(2027+7,4,30)-F39)/365.25)*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)))),0)</f>
        <v/>
      </c>
      <c r="V39" s="5">
        <f>IFERROR(IF(I39="LeaseUp",H39*D39*(1+GrowthMarketRent)^8*IF(8=0,(12-DowntimeNew)/12,1),IF(F39="",0,IF(F39&gt;=DATE(2027+8,4,30),G39*D39*(1+EscalatorInLease)^8,IF(F39&lt;DATE(2026+8,5,1),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,((F39-DATE(2026+8,5,1))/365.25)*G39*D39*(1+EscalatorInLease)^8+((DATE(2027+8,4,30)-F39)/365.25)*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)))),0)</f>
        <v/>
      </c>
      <c r="W39" s="5">
        <f>IFERROR(IF(I39="LeaseUp",H39*D39*(1+GrowthMarketRent)^9*IF(9=0,(12-DowntimeNew)/12,1),IF(F39="",0,IF(F39&gt;=DATE(2027+9,4,30),G39*D39*(1+EscalatorInLease)^9,IF(F39&lt;DATE(2026+9,5,1),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,((F39-DATE(2026+9,5,1))/365.25)*G39*D39*(1+EscalatorInLease)^9+((DATE(2027+9,4,30)-F39)/365.25)*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)))),0)</f>
        <v/>
      </c>
      <c r="X39" s="5">
        <f>IFERROR(IF(I39="LeaseUp",H39*D39*(1+GrowthMarketRent)^10*IF(10=0,(12-DowntimeNew)/12,1),IF(F39="",0,IF(F39&gt;=DATE(2027+10,4,30),G39*D39*(1+EscalatorInLease)^10,IF(F39&lt;DATE(2026+10,5,1),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,((F39-DATE(2026+10,5,1))/365.25)*G39*D39*(1+EscalatorInLease)^10+((DATE(2027+10,4,30)-F39)/365.25)*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)))),0)</f>
        <v/>
      </c>
      <c r="Y39" s="5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5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5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5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5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5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5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5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5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5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5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9" t="n">
        <v>3450</v>
      </c>
      <c r="E40" s="40" t="n">
        <v>45717</v>
      </c>
      <c r="F40" s="40" t="n">
        <v>46966</v>
      </c>
      <c r="G40" s="41" t="n">
        <v>16.4</v>
      </c>
      <c r="H40" s="10">
        <f>VLOOKUP("Carrollton — "&amp;J40,MLA!$A$5:$L$11,3,FALSE)</f>
        <v/>
      </c>
      <c r="I40" s="25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7">
        <f>IF(E40="",0,(AnalysisStart-E40)/365.25)</f>
        <v/>
      </c>
      <c r="N40" s="5">
        <f>IFERROR(IF(I40="LeaseUp",H40*D40*(1+GrowthMarketRent)^0*IF(0=0,(12-DowntimeNew)/12,1),IF(F40="",0,IF(F40&gt;=DATE(2027+0,4,30),G40*D40*(1+EscalatorInLease)^0,IF(F40&lt;DATE(2026+0,5,1),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,((F40-DATE(2026+0,5,1))/365.25)*G40*D40*(1+EscalatorInLease)^0+((DATE(2027+0,4,30)-F40)/365.25)*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)))),0)</f>
        <v/>
      </c>
      <c r="O40" s="5">
        <f>IFERROR(IF(I40="LeaseUp",H40*D40*(1+GrowthMarketRent)^1*IF(1=0,(12-DowntimeNew)/12,1),IF(F40="",0,IF(F40&gt;=DATE(2027+1,4,30),G40*D40*(1+EscalatorInLease)^1,IF(F40&lt;DATE(2026+1,5,1),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,((F40-DATE(2026+1,5,1))/365.25)*G40*D40*(1+EscalatorInLease)^1+((DATE(2027+1,4,30)-F40)/365.25)*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)))),0)</f>
        <v/>
      </c>
      <c r="P40" s="5">
        <f>IFERROR(IF(I40="LeaseUp",H40*D40*(1+GrowthMarketRent)^2*IF(2=0,(12-DowntimeNew)/12,1),IF(F40="",0,IF(F40&gt;=DATE(2027+2,4,30),G40*D40*(1+EscalatorInLease)^2,IF(F40&lt;DATE(2026+2,5,1),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,((F40-DATE(2026+2,5,1))/365.25)*G40*D40*(1+EscalatorInLease)^2+((DATE(2027+2,4,30)-F40)/365.25)*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)))),0)</f>
        <v/>
      </c>
      <c r="Q40" s="5">
        <f>IFERROR(IF(I40="LeaseUp",H40*D40*(1+GrowthMarketRent)^3*IF(3=0,(12-DowntimeNew)/12,1),IF(F40="",0,IF(F40&gt;=DATE(2027+3,4,30),G40*D40*(1+EscalatorInLease)^3,IF(F40&lt;DATE(2026+3,5,1),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,((F40-DATE(2026+3,5,1))/365.25)*G40*D40*(1+EscalatorInLease)^3+((DATE(2027+3,4,30)-F40)/365.25)*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)))),0)</f>
        <v/>
      </c>
      <c r="R40" s="5">
        <f>IFERROR(IF(I40="LeaseUp",H40*D40*(1+GrowthMarketRent)^4*IF(4=0,(12-DowntimeNew)/12,1),IF(F40="",0,IF(F40&gt;=DATE(2027+4,4,30),G40*D40*(1+EscalatorInLease)^4,IF(F40&lt;DATE(2026+4,5,1),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,((F40-DATE(2026+4,5,1))/365.25)*G40*D40*(1+EscalatorInLease)^4+((DATE(2027+4,4,30)-F40)/365.25)*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)))),0)</f>
        <v/>
      </c>
      <c r="S40" s="5">
        <f>IFERROR(IF(I40="LeaseUp",H40*D40*(1+GrowthMarketRent)^5*IF(5=0,(12-DowntimeNew)/12,1),IF(F40="",0,IF(F40&gt;=DATE(2027+5,4,30),G40*D40*(1+EscalatorInLease)^5,IF(F40&lt;DATE(2026+5,5,1),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,((F40-DATE(2026+5,5,1))/365.25)*G40*D40*(1+EscalatorInLease)^5+((DATE(2027+5,4,30)-F40)/365.25)*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)))),0)</f>
        <v/>
      </c>
      <c r="T40" s="5">
        <f>IFERROR(IF(I40="LeaseUp",H40*D40*(1+GrowthMarketRent)^6*IF(6=0,(12-DowntimeNew)/12,1),IF(F40="",0,IF(F40&gt;=DATE(2027+6,4,30),G40*D40*(1+EscalatorInLease)^6,IF(F40&lt;DATE(2026+6,5,1),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,((F40-DATE(2026+6,5,1))/365.25)*G40*D40*(1+EscalatorInLease)^6+((DATE(2027+6,4,30)-F40)/365.25)*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)))),0)</f>
        <v/>
      </c>
      <c r="U40" s="5">
        <f>IFERROR(IF(I40="LeaseUp",H40*D40*(1+GrowthMarketRent)^7*IF(7=0,(12-DowntimeNew)/12,1),IF(F40="",0,IF(F40&gt;=DATE(2027+7,4,30),G40*D40*(1+EscalatorInLease)^7,IF(F40&lt;DATE(2026+7,5,1),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,((F40-DATE(2026+7,5,1))/365.25)*G40*D40*(1+EscalatorInLease)^7+((DATE(2027+7,4,30)-F40)/365.25)*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)))),0)</f>
        <v/>
      </c>
      <c r="V40" s="5">
        <f>IFERROR(IF(I40="LeaseUp",H40*D40*(1+GrowthMarketRent)^8*IF(8=0,(12-DowntimeNew)/12,1),IF(F40="",0,IF(F40&gt;=DATE(2027+8,4,30),G40*D40*(1+EscalatorInLease)^8,IF(F40&lt;DATE(2026+8,5,1),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,((F40-DATE(2026+8,5,1))/365.25)*G40*D40*(1+EscalatorInLease)^8+((DATE(2027+8,4,30)-F40)/365.25)*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)))),0)</f>
        <v/>
      </c>
      <c r="W40" s="5">
        <f>IFERROR(IF(I40="LeaseUp",H40*D40*(1+GrowthMarketRent)^9*IF(9=0,(12-DowntimeNew)/12,1),IF(F40="",0,IF(F40&gt;=DATE(2027+9,4,30),G40*D40*(1+EscalatorInLease)^9,IF(F40&lt;DATE(2026+9,5,1),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,((F40-DATE(2026+9,5,1))/365.25)*G40*D40*(1+EscalatorInLease)^9+((DATE(2027+9,4,30)-F40)/365.25)*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)))),0)</f>
        <v/>
      </c>
      <c r="X40" s="5">
        <f>IFERROR(IF(I40="LeaseUp",H40*D40*(1+GrowthMarketRent)^10*IF(10=0,(12-DowntimeNew)/12,1),IF(F40="",0,IF(F40&gt;=DATE(2027+10,4,30),G40*D40*(1+EscalatorInLease)^10,IF(F40&lt;DATE(2026+10,5,1),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,((F40-DATE(2026+10,5,1))/365.25)*G40*D40*(1+EscalatorInLease)^10+((DATE(2027+10,4,30)-F40)/365.25)*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)))),0)</f>
        <v/>
      </c>
      <c r="Y40" s="5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5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5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5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5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5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5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5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5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5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5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9" t="n">
        <v>2600</v>
      </c>
      <c r="E41" s="40" t="n">
        <v>45748</v>
      </c>
      <c r="F41" s="40" t="n">
        <v>46997</v>
      </c>
      <c r="G41" s="41" t="n">
        <v>19.475</v>
      </c>
      <c r="H41" s="10">
        <f>VLOOKUP(A41,MLA!$A$5:$L$11,3,FALSE)</f>
        <v/>
      </c>
      <c r="I41" s="25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7">
        <f>IF(E41="",0,(AnalysisStart-E41)/365.25)</f>
        <v/>
      </c>
      <c r="N41" s="5">
        <f>IFERROR(IF(I41="LeaseUp",H41*D41*(1+GrowthMarketRent)^0*IF(0=0,(12-DowntimeNew)/12,1),IF(F41="",0,IF(F41&gt;=DATE(2027+0,4,30),G41*D41*(1+EscalatorInLease)^0,IF(F41&lt;DATE(2026+0,5,1),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,((F41-DATE(2026+0,5,1))/365.25)*G41*D41*(1+EscalatorInLease)^0+((DATE(2027+0,4,30)-F41)/365.25)*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)))),0)</f>
        <v/>
      </c>
      <c r="O41" s="5">
        <f>IFERROR(IF(I41="LeaseUp",H41*D41*(1+GrowthMarketRent)^1*IF(1=0,(12-DowntimeNew)/12,1),IF(F41="",0,IF(F41&gt;=DATE(2027+1,4,30),G41*D41*(1+EscalatorInLease)^1,IF(F41&lt;DATE(2026+1,5,1),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,((F41-DATE(2026+1,5,1))/365.25)*G41*D41*(1+EscalatorInLease)^1+((DATE(2027+1,4,30)-F41)/365.25)*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)))),0)</f>
        <v/>
      </c>
      <c r="P41" s="5">
        <f>IFERROR(IF(I41="LeaseUp",H41*D41*(1+GrowthMarketRent)^2*IF(2=0,(12-DowntimeNew)/12,1),IF(F41="",0,IF(F41&gt;=DATE(2027+2,4,30),G41*D41*(1+EscalatorInLease)^2,IF(F41&lt;DATE(2026+2,5,1),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,((F41-DATE(2026+2,5,1))/365.25)*G41*D41*(1+EscalatorInLease)^2+((DATE(2027+2,4,30)-F41)/365.25)*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)))),0)</f>
        <v/>
      </c>
      <c r="Q41" s="5">
        <f>IFERROR(IF(I41="LeaseUp",H41*D41*(1+GrowthMarketRent)^3*IF(3=0,(12-DowntimeNew)/12,1),IF(F41="",0,IF(F41&gt;=DATE(2027+3,4,30),G41*D41*(1+EscalatorInLease)^3,IF(F41&lt;DATE(2026+3,5,1),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,((F41-DATE(2026+3,5,1))/365.25)*G41*D41*(1+EscalatorInLease)^3+((DATE(2027+3,4,30)-F41)/365.25)*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)))),0)</f>
        <v/>
      </c>
      <c r="R41" s="5">
        <f>IFERROR(IF(I41="LeaseUp",H41*D41*(1+GrowthMarketRent)^4*IF(4=0,(12-DowntimeNew)/12,1),IF(F41="",0,IF(F41&gt;=DATE(2027+4,4,30),G41*D41*(1+EscalatorInLease)^4,IF(F41&lt;DATE(2026+4,5,1),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,((F41-DATE(2026+4,5,1))/365.25)*G41*D41*(1+EscalatorInLease)^4+((DATE(2027+4,4,30)-F41)/365.25)*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)))),0)</f>
        <v/>
      </c>
      <c r="S41" s="5">
        <f>IFERROR(IF(I41="LeaseUp",H41*D41*(1+GrowthMarketRent)^5*IF(5=0,(12-DowntimeNew)/12,1),IF(F41="",0,IF(F41&gt;=DATE(2027+5,4,30),G41*D41*(1+EscalatorInLease)^5,IF(F41&lt;DATE(2026+5,5,1),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,((F41-DATE(2026+5,5,1))/365.25)*G41*D41*(1+EscalatorInLease)^5+((DATE(2027+5,4,30)-F41)/365.25)*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)))),0)</f>
        <v/>
      </c>
      <c r="T41" s="5">
        <f>IFERROR(IF(I41="LeaseUp",H41*D41*(1+GrowthMarketRent)^6*IF(6=0,(12-DowntimeNew)/12,1),IF(F41="",0,IF(F41&gt;=DATE(2027+6,4,30),G41*D41*(1+EscalatorInLease)^6,IF(F41&lt;DATE(2026+6,5,1),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,((F41-DATE(2026+6,5,1))/365.25)*G41*D41*(1+EscalatorInLease)^6+((DATE(2027+6,4,30)-F41)/365.25)*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)))),0)</f>
        <v/>
      </c>
      <c r="U41" s="5">
        <f>IFERROR(IF(I41="LeaseUp",H41*D41*(1+GrowthMarketRent)^7*IF(7=0,(12-DowntimeNew)/12,1),IF(F41="",0,IF(F41&gt;=DATE(2027+7,4,30),G41*D41*(1+EscalatorInLease)^7,IF(F41&lt;DATE(2026+7,5,1),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,((F41-DATE(2026+7,5,1))/365.25)*G41*D41*(1+EscalatorInLease)^7+((DATE(2027+7,4,30)-F41)/365.25)*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)))),0)</f>
        <v/>
      </c>
      <c r="V41" s="5">
        <f>IFERROR(IF(I41="LeaseUp",H41*D41*(1+GrowthMarketRent)^8*IF(8=0,(12-DowntimeNew)/12,1),IF(F41="",0,IF(F41&gt;=DATE(2027+8,4,30),G41*D41*(1+EscalatorInLease)^8,IF(F41&lt;DATE(2026+8,5,1),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,((F41-DATE(2026+8,5,1))/365.25)*G41*D41*(1+EscalatorInLease)^8+((DATE(2027+8,4,30)-F41)/365.25)*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)))),0)</f>
        <v/>
      </c>
      <c r="W41" s="5">
        <f>IFERROR(IF(I41="LeaseUp",H41*D41*(1+GrowthMarketRent)^9*IF(9=0,(12-DowntimeNew)/12,1),IF(F41="",0,IF(F41&gt;=DATE(2027+9,4,30),G41*D41*(1+EscalatorInLease)^9,IF(F41&lt;DATE(2026+9,5,1),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,((F41-DATE(2026+9,5,1))/365.25)*G41*D41*(1+EscalatorInLease)^9+((DATE(2027+9,4,30)-F41)/365.25)*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)))),0)</f>
        <v/>
      </c>
      <c r="X41" s="5">
        <f>IFERROR(IF(I41="LeaseUp",H41*D41*(1+GrowthMarketRent)^10*IF(10=0,(12-DowntimeNew)/12,1),IF(F41="",0,IF(F41&gt;=DATE(2027+10,4,30),G41*D41*(1+EscalatorInLease)^10,IF(F41&lt;DATE(2026+10,5,1),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,((F41-DATE(2026+10,5,1))/365.25)*G41*D41*(1+EscalatorInLease)^10+((DATE(2027+10,4,30)-F41)/365.25)*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)))),0)</f>
        <v/>
      </c>
      <c r="Y41" s="5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5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5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5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5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5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5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5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5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5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5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9" t="n">
        <v>2600</v>
      </c>
      <c r="E42" s="40" t="n">
        <v>45748</v>
      </c>
      <c r="F42" s="40" t="n">
        <v>46997</v>
      </c>
      <c r="G42" s="41" t="n">
        <v>18.45</v>
      </c>
      <c r="H42" s="10">
        <f>VLOOKUP(A42,MLA!$A$5:$L$11,3,FALSE)</f>
        <v/>
      </c>
      <c r="I42" s="25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7">
        <f>IF(E42="",0,(AnalysisStart-E42)/365.25)</f>
        <v/>
      </c>
      <c r="N42" s="5">
        <f>IFERROR(IF(I42="LeaseUp",H42*D42*(1+GrowthMarketRent)^0*IF(0=0,(12-DowntimeNew)/12,1),IF(F42="",0,IF(F42&gt;=DATE(2027+0,4,30),G42*D42*(1+EscalatorInLease)^0,IF(F42&lt;DATE(2026+0,5,1),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,((F42-DATE(2026+0,5,1))/365.25)*G42*D42*(1+EscalatorInLease)^0+((DATE(2027+0,4,30)-F42)/365.25)*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)))),0)</f>
        <v/>
      </c>
      <c r="O42" s="5">
        <f>IFERROR(IF(I42="LeaseUp",H42*D42*(1+GrowthMarketRent)^1*IF(1=0,(12-DowntimeNew)/12,1),IF(F42="",0,IF(F42&gt;=DATE(2027+1,4,30),G42*D42*(1+EscalatorInLease)^1,IF(F42&lt;DATE(2026+1,5,1),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,((F42-DATE(2026+1,5,1))/365.25)*G42*D42*(1+EscalatorInLease)^1+((DATE(2027+1,4,30)-F42)/365.25)*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)))),0)</f>
        <v/>
      </c>
      <c r="P42" s="5">
        <f>IFERROR(IF(I42="LeaseUp",H42*D42*(1+GrowthMarketRent)^2*IF(2=0,(12-DowntimeNew)/12,1),IF(F42="",0,IF(F42&gt;=DATE(2027+2,4,30),G42*D42*(1+EscalatorInLease)^2,IF(F42&lt;DATE(2026+2,5,1),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,((F42-DATE(2026+2,5,1))/365.25)*G42*D42*(1+EscalatorInLease)^2+((DATE(2027+2,4,30)-F42)/365.25)*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)))),0)</f>
        <v/>
      </c>
      <c r="Q42" s="5">
        <f>IFERROR(IF(I42="LeaseUp",H42*D42*(1+GrowthMarketRent)^3*IF(3=0,(12-DowntimeNew)/12,1),IF(F42="",0,IF(F42&gt;=DATE(2027+3,4,30),G42*D42*(1+EscalatorInLease)^3,IF(F42&lt;DATE(2026+3,5,1),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,((F42-DATE(2026+3,5,1))/365.25)*G42*D42*(1+EscalatorInLease)^3+((DATE(2027+3,4,30)-F42)/365.25)*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)))),0)</f>
        <v/>
      </c>
      <c r="R42" s="5">
        <f>IFERROR(IF(I42="LeaseUp",H42*D42*(1+GrowthMarketRent)^4*IF(4=0,(12-DowntimeNew)/12,1),IF(F42="",0,IF(F42&gt;=DATE(2027+4,4,30),G42*D42*(1+EscalatorInLease)^4,IF(F42&lt;DATE(2026+4,5,1),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,((F42-DATE(2026+4,5,1))/365.25)*G42*D42*(1+EscalatorInLease)^4+((DATE(2027+4,4,30)-F42)/365.25)*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)))),0)</f>
        <v/>
      </c>
      <c r="S42" s="5">
        <f>IFERROR(IF(I42="LeaseUp",H42*D42*(1+GrowthMarketRent)^5*IF(5=0,(12-DowntimeNew)/12,1),IF(F42="",0,IF(F42&gt;=DATE(2027+5,4,30),G42*D42*(1+EscalatorInLease)^5,IF(F42&lt;DATE(2026+5,5,1),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,((F42-DATE(2026+5,5,1))/365.25)*G42*D42*(1+EscalatorInLease)^5+((DATE(2027+5,4,30)-F42)/365.25)*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)))),0)</f>
        <v/>
      </c>
      <c r="T42" s="5">
        <f>IFERROR(IF(I42="LeaseUp",H42*D42*(1+GrowthMarketRent)^6*IF(6=0,(12-DowntimeNew)/12,1),IF(F42="",0,IF(F42&gt;=DATE(2027+6,4,30),G42*D42*(1+EscalatorInLease)^6,IF(F42&lt;DATE(2026+6,5,1),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,((F42-DATE(2026+6,5,1))/365.25)*G42*D42*(1+EscalatorInLease)^6+((DATE(2027+6,4,30)-F42)/365.25)*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)))),0)</f>
        <v/>
      </c>
      <c r="U42" s="5">
        <f>IFERROR(IF(I42="LeaseUp",H42*D42*(1+GrowthMarketRent)^7*IF(7=0,(12-DowntimeNew)/12,1),IF(F42="",0,IF(F42&gt;=DATE(2027+7,4,30),G42*D42*(1+EscalatorInLease)^7,IF(F42&lt;DATE(2026+7,5,1),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,((F42-DATE(2026+7,5,1))/365.25)*G42*D42*(1+EscalatorInLease)^7+((DATE(2027+7,4,30)-F42)/365.25)*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)))),0)</f>
        <v/>
      </c>
      <c r="V42" s="5">
        <f>IFERROR(IF(I42="LeaseUp",H42*D42*(1+GrowthMarketRent)^8*IF(8=0,(12-DowntimeNew)/12,1),IF(F42="",0,IF(F42&gt;=DATE(2027+8,4,30),G42*D42*(1+EscalatorInLease)^8,IF(F42&lt;DATE(2026+8,5,1),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,((F42-DATE(2026+8,5,1))/365.25)*G42*D42*(1+EscalatorInLease)^8+((DATE(2027+8,4,30)-F42)/365.25)*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)))),0)</f>
        <v/>
      </c>
      <c r="W42" s="5">
        <f>IFERROR(IF(I42="LeaseUp",H42*D42*(1+GrowthMarketRent)^9*IF(9=0,(12-DowntimeNew)/12,1),IF(F42="",0,IF(F42&gt;=DATE(2027+9,4,30),G42*D42*(1+EscalatorInLease)^9,IF(F42&lt;DATE(2026+9,5,1),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,((F42-DATE(2026+9,5,1))/365.25)*G42*D42*(1+EscalatorInLease)^9+((DATE(2027+9,4,30)-F42)/365.25)*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)))),0)</f>
        <v/>
      </c>
      <c r="X42" s="5">
        <f>IFERROR(IF(I42="LeaseUp",H42*D42*(1+GrowthMarketRent)^10*IF(10=0,(12-DowntimeNew)/12,1),IF(F42="",0,IF(F42&gt;=DATE(2027+10,4,30),G42*D42*(1+EscalatorInLease)^10,IF(F42&lt;DATE(2026+10,5,1),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,((F42-DATE(2026+10,5,1))/365.25)*G42*D42*(1+EscalatorInLease)^10+((DATE(2027+10,4,30)-F42)/365.25)*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)))),0)</f>
        <v/>
      </c>
      <c r="Y42" s="5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5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5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5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5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5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5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5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5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5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5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9" t="n">
        <v>2600</v>
      </c>
      <c r="E43" s="40" t="n">
        <v>45748</v>
      </c>
      <c r="F43" s="40" t="n">
        <v>47178</v>
      </c>
      <c r="G43" s="41" t="n">
        <v>17.425</v>
      </c>
      <c r="H43" s="10">
        <f>VLOOKUP(A43,MLA!$A$5:$L$11,3,FALSE)</f>
        <v/>
      </c>
      <c r="I43" s="25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7">
        <f>IF(E43="",0,(AnalysisStart-E43)/365.25)</f>
        <v/>
      </c>
      <c r="N43" s="5">
        <f>IFERROR(IF(I43="LeaseUp",H43*D43*(1+GrowthMarketRent)^0*IF(0=0,(12-DowntimeNew)/12,1),IF(F43="",0,IF(F43&gt;=DATE(2027+0,4,30),G43*D43*(1+EscalatorInLease)^0,IF(F43&lt;DATE(2026+0,5,1),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,((F43-DATE(2026+0,5,1))/365.25)*G43*D43*(1+EscalatorInLease)^0+((DATE(2027+0,4,30)-F43)/365.25)*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)))),0)</f>
        <v/>
      </c>
      <c r="O43" s="5">
        <f>IFERROR(IF(I43="LeaseUp",H43*D43*(1+GrowthMarketRent)^1*IF(1=0,(12-DowntimeNew)/12,1),IF(F43="",0,IF(F43&gt;=DATE(2027+1,4,30),G43*D43*(1+EscalatorInLease)^1,IF(F43&lt;DATE(2026+1,5,1),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,((F43-DATE(2026+1,5,1))/365.25)*G43*D43*(1+EscalatorInLease)^1+((DATE(2027+1,4,30)-F43)/365.25)*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)))),0)</f>
        <v/>
      </c>
      <c r="P43" s="5">
        <f>IFERROR(IF(I43="LeaseUp",H43*D43*(1+GrowthMarketRent)^2*IF(2=0,(12-DowntimeNew)/12,1),IF(F43="",0,IF(F43&gt;=DATE(2027+2,4,30),G43*D43*(1+EscalatorInLease)^2,IF(F43&lt;DATE(2026+2,5,1),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,((F43-DATE(2026+2,5,1))/365.25)*G43*D43*(1+EscalatorInLease)^2+((DATE(2027+2,4,30)-F43)/365.25)*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)))),0)</f>
        <v/>
      </c>
      <c r="Q43" s="5">
        <f>IFERROR(IF(I43="LeaseUp",H43*D43*(1+GrowthMarketRent)^3*IF(3=0,(12-DowntimeNew)/12,1),IF(F43="",0,IF(F43&gt;=DATE(2027+3,4,30),G43*D43*(1+EscalatorInLease)^3,IF(F43&lt;DATE(2026+3,5,1),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,((F43-DATE(2026+3,5,1))/365.25)*G43*D43*(1+EscalatorInLease)^3+((DATE(2027+3,4,30)-F43)/365.25)*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)))),0)</f>
        <v/>
      </c>
      <c r="R43" s="5">
        <f>IFERROR(IF(I43="LeaseUp",H43*D43*(1+GrowthMarketRent)^4*IF(4=0,(12-DowntimeNew)/12,1),IF(F43="",0,IF(F43&gt;=DATE(2027+4,4,30),G43*D43*(1+EscalatorInLease)^4,IF(F43&lt;DATE(2026+4,5,1),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,((F43-DATE(2026+4,5,1))/365.25)*G43*D43*(1+EscalatorInLease)^4+((DATE(2027+4,4,30)-F43)/365.25)*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)))),0)</f>
        <v/>
      </c>
      <c r="S43" s="5">
        <f>IFERROR(IF(I43="LeaseUp",H43*D43*(1+GrowthMarketRent)^5*IF(5=0,(12-DowntimeNew)/12,1),IF(F43="",0,IF(F43&gt;=DATE(2027+5,4,30),G43*D43*(1+EscalatorInLease)^5,IF(F43&lt;DATE(2026+5,5,1),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,((F43-DATE(2026+5,5,1))/365.25)*G43*D43*(1+EscalatorInLease)^5+((DATE(2027+5,4,30)-F43)/365.25)*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)))),0)</f>
        <v/>
      </c>
      <c r="T43" s="5">
        <f>IFERROR(IF(I43="LeaseUp",H43*D43*(1+GrowthMarketRent)^6*IF(6=0,(12-DowntimeNew)/12,1),IF(F43="",0,IF(F43&gt;=DATE(2027+6,4,30),G43*D43*(1+EscalatorInLease)^6,IF(F43&lt;DATE(2026+6,5,1),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,((F43-DATE(2026+6,5,1))/365.25)*G43*D43*(1+EscalatorInLease)^6+((DATE(2027+6,4,30)-F43)/365.25)*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)))),0)</f>
        <v/>
      </c>
      <c r="U43" s="5">
        <f>IFERROR(IF(I43="LeaseUp",H43*D43*(1+GrowthMarketRent)^7*IF(7=0,(12-DowntimeNew)/12,1),IF(F43="",0,IF(F43&gt;=DATE(2027+7,4,30),G43*D43*(1+EscalatorInLease)^7,IF(F43&lt;DATE(2026+7,5,1),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,((F43-DATE(2026+7,5,1))/365.25)*G43*D43*(1+EscalatorInLease)^7+((DATE(2027+7,4,30)-F43)/365.25)*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)))),0)</f>
        <v/>
      </c>
      <c r="V43" s="5">
        <f>IFERROR(IF(I43="LeaseUp",H43*D43*(1+GrowthMarketRent)^8*IF(8=0,(12-DowntimeNew)/12,1),IF(F43="",0,IF(F43&gt;=DATE(2027+8,4,30),G43*D43*(1+EscalatorInLease)^8,IF(F43&lt;DATE(2026+8,5,1),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,((F43-DATE(2026+8,5,1))/365.25)*G43*D43*(1+EscalatorInLease)^8+((DATE(2027+8,4,30)-F43)/365.25)*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)))),0)</f>
        <v/>
      </c>
      <c r="W43" s="5">
        <f>IFERROR(IF(I43="LeaseUp",H43*D43*(1+GrowthMarketRent)^9*IF(9=0,(12-DowntimeNew)/12,1),IF(F43="",0,IF(F43&gt;=DATE(2027+9,4,30),G43*D43*(1+EscalatorInLease)^9,IF(F43&lt;DATE(2026+9,5,1),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,((F43-DATE(2026+9,5,1))/365.25)*G43*D43*(1+EscalatorInLease)^9+((DATE(2027+9,4,30)-F43)/365.25)*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)))),0)</f>
        <v/>
      </c>
      <c r="X43" s="5">
        <f>IFERROR(IF(I43="LeaseUp",H43*D43*(1+GrowthMarketRent)^10*IF(10=0,(12-DowntimeNew)/12,1),IF(F43="",0,IF(F43&gt;=DATE(2027+10,4,30),G43*D43*(1+EscalatorInLease)^10,IF(F43&lt;DATE(2026+10,5,1),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,((F43-DATE(2026+10,5,1))/365.25)*G43*D43*(1+EscalatorInLease)^10+((DATE(2027+10,4,30)-F43)/365.25)*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)))),0)</f>
        <v/>
      </c>
      <c r="Y43" s="5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5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5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5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5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5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5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5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5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5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5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9" t="n">
        <v>2600</v>
      </c>
      <c r="E44" s="40" t="n">
        <v>45748</v>
      </c>
      <c r="F44" s="40" t="n">
        <v>46997</v>
      </c>
      <c r="G44" s="41" t="n">
        <v>16.1438461538462</v>
      </c>
      <c r="H44" s="10">
        <f>VLOOKUP(A44,MLA!$A$5:$L$11,3,FALSE)</f>
        <v/>
      </c>
      <c r="I44" s="25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7">
        <f>IF(E44="",0,(AnalysisStart-E44)/365.25)</f>
        <v/>
      </c>
      <c r="N44" s="5">
        <f>IFERROR(IF(I44="LeaseUp",H44*D44*(1+GrowthMarketRent)^0*IF(0=0,(12-DowntimeNew)/12,1),IF(F44="",0,IF(F44&gt;=DATE(2027+0,4,30),G44*D44*(1+EscalatorInLease)^0,IF(F44&lt;DATE(2026+0,5,1),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,((F44-DATE(2026+0,5,1))/365.25)*G44*D44*(1+EscalatorInLease)^0+((DATE(2027+0,4,30)-F44)/365.25)*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)))),0)</f>
        <v/>
      </c>
      <c r="O44" s="5">
        <f>IFERROR(IF(I44="LeaseUp",H44*D44*(1+GrowthMarketRent)^1*IF(1=0,(12-DowntimeNew)/12,1),IF(F44="",0,IF(F44&gt;=DATE(2027+1,4,30),G44*D44*(1+EscalatorInLease)^1,IF(F44&lt;DATE(2026+1,5,1),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,((F44-DATE(2026+1,5,1))/365.25)*G44*D44*(1+EscalatorInLease)^1+((DATE(2027+1,4,30)-F44)/365.25)*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)))),0)</f>
        <v/>
      </c>
      <c r="P44" s="5">
        <f>IFERROR(IF(I44="LeaseUp",H44*D44*(1+GrowthMarketRent)^2*IF(2=0,(12-DowntimeNew)/12,1),IF(F44="",0,IF(F44&gt;=DATE(2027+2,4,30),G44*D44*(1+EscalatorInLease)^2,IF(F44&lt;DATE(2026+2,5,1),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,((F44-DATE(2026+2,5,1))/365.25)*G44*D44*(1+EscalatorInLease)^2+((DATE(2027+2,4,30)-F44)/365.25)*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)))),0)</f>
        <v/>
      </c>
      <c r="Q44" s="5">
        <f>IFERROR(IF(I44="LeaseUp",H44*D44*(1+GrowthMarketRent)^3*IF(3=0,(12-DowntimeNew)/12,1),IF(F44="",0,IF(F44&gt;=DATE(2027+3,4,30),G44*D44*(1+EscalatorInLease)^3,IF(F44&lt;DATE(2026+3,5,1),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,((F44-DATE(2026+3,5,1))/365.25)*G44*D44*(1+EscalatorInLease)^3+((DATE(2027+3,4,30)-F44)/365.25)*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)))),0)</f>
        <v/>
      </c>
      <c r="R44" s="5">
        <f>IFERROR(IF(I44="LeaseUp",H44*D44*(1+GrowthMarketRent)^4*IF(4=0,(12-DowntimeNew)/12,1),IF(F44="",0,IF(F44&gt;=DATE(2027+4,4,30),G44*D44*(1+EscalatorInLease)^4,IF(F44&lt;DATE(2026+4,5,1),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,((F44-DATE(2026+4,5,1))/365.25)*G44*D44*(1+EscalatorInLease)^4+((DATE(2027+4,4,30)-F44)/365.25)*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)))),0)</f>
        <v/>
      </c>
      <c r="S44" s="5">
        <f>IFERROR(IF(I44="LeaseUp",H44*D44*(1+GrowthMarketRent)^5*IF(5=0,(12-DowntimeNew)/12,1),IF(F44="",0,IF(F44&gt;=DATE(2027+5,4,30),G44*D44*(1+EscalatorInLease)^5,IF(F44&lt;DATE(2026+5,5,1),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,((F44-DATE(2026+5,5,1))/365.25)*G44*D44*(1+EscalatorInLease)^5+((DATE(2027+5,4,30)-F44)/365.25)*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)))),0)</f>
        <v/>
      </c>
      <c r="T44" s="5">
        <f>IFERROR(IF(I44="LeaseUp",H44*D44*(1+GrowthMarketRent)^6*IF(6=0,(12-DowntimeNew)/12,1),IF(F44="",0,IF(F44&gt;=DATE(2027+6,4,30),G44*D44*(1+EscalatorInLease)^6,IF(F44&lt;DATE(2026+6,5,1),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,((F44-DATE(2026+6,5,1))/365.25)*G44*D44*(1+EscalatorInLease)^6+((DATE(2027+6,4,30)-F44)/365.25)*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)))),0)</f>
        <v/>
      </c>
      <c r="U44" s="5">
        <f>IFERROR(IF(I44="LeaseUp",H44*D44*(1+GrowthMarketRent)^7*IF(7=0,(12-DowntimeNew)/12,1),IF(F44="",0,IF(F44&gt;=DATE(2027+7,4,30),G44*D44*(1+EscalatorInLease)^7,IF(F44&lt;DATE(2026+7,5,1),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,((F44-DATE(2026+7,5,1))/365.25)*G44*D44*(1+EscalatorInLease)^7+((DATE(2027+7,4,30)-F44)/365.25)*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)))),0)</f>
        <v/>
      </c>
      <c r="V44" s="5">
        <f>IFERROR(IF(I44="LeaseUp",H44*D44*(1+GrowthMarketRent)^8*IF(8=0,(12-DowntimeNew)/12,1),IF(F44="",0,IF(F44&gt;=DATE(2027+8,4,30),G44*D44*(1+EscalatorInLease)^8,IF(F44&lt;DATE(2026+8,5,1),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,((F44-DATE(2026+8,5,1))/365.25)*G44*D44*(1+EscalatorInLease)^8+((DATE(2027+8,4,30)-F44)/365.25)*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)))),0)</f>
        <v/>
      </c>
      <c r="W44" s="5">
        <f>IFERROR(IF(I44="LeaseUp",H44*D44*(1+GrowthMarketRent)^9*IF(9=0,(12-DowntimeNew)/12,1),IF(F44="",0,IF(F44&gt;=DATE(2027+9,4,30),G44*D44*(1+EscalatorInLease)^9,IF(F44&lt;DATE(2026+9,5,1),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,((F44-DATE(2026+9,5,1))/365.25)*G44*D44*(1+EscalatorInLease)^9+((DATE(2027+9,4,30)-F44)/365.25)*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)))),0)</f>
        <v/>
      </c>
      <c r="X44" s="5">
        <f>IFERROR(IF(I44="LeaseUp",H44*D44*(1+GrowthMarketRent)^10*IF(10=0,(12-DowntimeNew)/12,1),IF(F44="",0,IF(F44&gt;=DATE(2027+10,4,30),G44*D44*(1+EscalatorInLease)^10,IF(F44&lt;DATE(2026+10,5,1),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,((F44-DATE(2026+10,5,1))/365.25)*G44*D44*(1+EscalatorInLease)^10+((DATE(2027+10,4,30)-F44)/365.25)*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)))),0)</f>
        <v/>
      </c>
      <c r="Y44" s="5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5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5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5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5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5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5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5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5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5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5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9" t="n">
        <v>2600</v>
      </c>
      <c r="E45" s="40" t="n">
        <v>45870</v>
      </c>
      <c r="F45" s="40" t="n">
        <v>47119</v>
      </c>
      <c r="G45" s="41" t="n">
        <v>18</v>
      </c>
      <c r="H45" s="10">
        <f>VLOOKUP(A45,MLA!$A$5:$L$11,3,FALSE)</f>
        <v/>
      </c>
      <c r="I45" s="25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7">
        <f>IF(E45="",0,(AnalysisStart-E45)/365.25)</f>
        <v/>
      </c>
      <c r="N45" s="5">
        <f>IFERROR(IF(I45="LeaseUp",H45*D45*(1+GrowthMarketRent)^0*IF(0=0,(12-DowntimeNew)/12,1),IF(F45="",0,IF(F45&gt;=DATE(2027+0,4,30),G45*D45*(1+EscalatorInLease)^0,IF(F45&lt;DATE(2026+0,5,1),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,((F45-DATE(2026+0,5,1))/365.25)*G45*D45*(1+EscalatorInLease)^0+((DATE(2027+0,4,30)-F45)/365.25)*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)))),0)</f>
        <v/>
      </c>
      <c r="O45" s="5">
        <f>IFERROR(IF(I45="LeaseUp",H45*D45*(1+GrowthMarketRent)^1*IF(1=0,(12-DowntimeNew)/12,1),IF(F45="",0,IF(F45&gt;=DATE(2027+1,4,30),G45*D45*(1+EscalatorInLease)^1,IF(F45&lt;DATE(2026+1,5,1),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,((F45-DATE(2026+1,5,1))/365.25)*G45*D45*(1+EscalatorInLease)^1+((DATE(2027+1,4,30)-F45)/365.25)*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)))),0)</f>
        <v/>
      </c>
      <c r="P45" s="5">
        <f>IFERROR(IF(I45="LeaseUp",H45*D45*(1+GrowthMarketRent)^2*IF(2=0,(12-DowntimeNew)/12,1),IF(F45="",0,IF(F45&gt;=DATE(2027+2,4,30),G45*D45*(1+EscalatorInLease)^2,IF(F45&lt;DATE(2026+2,5,1),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,((F45-DATE(2026+2,5,1))/365.25)*G45*D45*(1+EscalatorInLease)^2+((DATE(2027+2,4,30)-F45)/365.25)*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)))),0)</f>
        <v/>
      </c>
      <c r="Q45" s="5">
        <f>IFERROR(IF(I45="LeaseUp",H45*D45*(1+GrowthMarketRent)^3*IF(3=0,(12-DowntimeNew)/12,1),IF(F45="",0,IF(F45&gt;=DATE(2027+3,4,30),G45*D45*(1+EscalatorInLease)^3,IF(F45&lt;DATE(2026+3,5,1),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,((F45-DATE(2026+3,5,1))/365.25)*G45*D45*(1+EscalatorInLease)^3+((DATE(2027+3,4,30)-F45)/365.25)*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)))),0)</f>
        <v/>
      </c>
      <c r="R45" s="5">
        <f>IFERROR(IF(I45="LeaseUp",H45*D45*(1+GrowthMarketRent)^4*IF(4=0,(12-DowntimeNew)/12,1),IF(F45="",0,IF(F45&gt;=DATE(2027+4,4,30),G45*D45*(1+EscalatorInLease)^4,IF(F45&lt;DATE(2026+4,5,1),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,((F45-DATE(2026+4,5,1))/365.25)*G45*D45*(1+EscalatorInLease)^4+((DATE(2027+4,4,30)-F45)/365.25)*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)))),0)</f>
        <v/>
      </c>
      <c r="S45" s="5">
        <f>IFERROR(IF(I45="LeaseUp",H45*D45*(1+GrowthMarketRent)^5*IF(5=0,(12-DowntimeNew)/12,1),IF(F45="",0,IF(F45&gt;=DATE(2027+5,4,30),G45*D45*(1+EscalatorInLease)^5,IF(F45&lt;DATE(2026+5,5,1),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,((F45-DATE(2026+5,5,1))/365.25)*G45*D45*(1+EscalatorInLease)^5+((DATE(2027+5,4,30)-F45)/365.25)*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)))),0)</f>
        <v/>
      </c>
      <c r="T45" s="5">
        <f>IFERROR(IF(I45="LeaseUp",H45*D45*(1+GrowthMarketRent)^6*IF(6=0,(12-DowntimeNew)/12,1),IF(F45="",0,IF(F45&gt;=DATE(2027+6,4,30),G45*D45*(1+EscalatorInLease)^6,IF(F45&lt;DATE(2026+6,5,1),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,((F45-DATE(2026+6,5,1))/365.25)*G45*D45*(1+EscalatorInLease)^6+((DATE(2027+6,4,30)-F45)/365.25)*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)))),0)</f>
        <v/>
      </c>
      <c r="U45" s="5">
        <f>IFERROR(IF(I45="LeaseUp",H45*D45*(1+GrowthMarketRent)^7*IF(7=0,(12-DowntimeNew)/12,1),IF(F45="",0,IF(F45&gt;=DATE(2027+7,4,30),G45*D45*(1+EscalatorInLease)^7,IF(F45&lt;DATE(2026+7,5,1),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,((F45-DATE(2026+7,5,1))/365.25)*G45*D45*(1+EscalatorInLease)^7+((DATE(2027+7,4,30)-F45)/365.25)*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)))),0)</f>
        <v/>
      </c>
      <c r="V45" s="5">
        <f>IFERROR(IF(I45="LeaseUp",H45*D45*(1+GrowthMarketRent)^8*IF(8=0,(12-DowntimeNew)/12,1),IF(F45="",0,IF(F45&gt;=DATE(2027+8,4,30),G45*D45*(1+EscalatorInLease)^8,IF(F45&lt;DATE(2026+8,5,1),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,((F45-DATE(2026+8,5,1))/365.25)*G45*D45*(1+EscalatorInLease)^8+((DATE(2027+8,4,30)-F45)/365.25)*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)))),0)</f>
        <v/>
      </c>
      <c r="W45" s="5">
        <f>IFERROR(IF(I45="LeaseUp",H45*D45*(1+GrowthMarketRent)^9*IF(9=0,(12-DowntimeNew)/12,1),IF(F45="",0,IF(F45&gt;=DATE(2027+9,4,30),G45*D45*(1+EscalatorInLease)^9,IF(F45&lt;DATE(2026+9,5,1),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,((F45-DATE(2026+9,5,1))/365.25)*G45*D45*(1+EscalatorInLease)^9+((DATE(2027+9,4,30)-F45)/365.25)*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)))),0)</f>
        <v/>
      </c>
      <c r="X45" s="5">
        <f>IFERROR(IF(I45="LeaseUp",H45*D45*(1+GrowthMarketRent)^10*IF(10=0,(12-DowntimeNew)/12,1),IF(F45="",0,IF(F45&gt;=DATE(2027+10,4,30),G45*D45*(1+EscalatorInLease)^10,IF(F45&lt;DATE(2026+10,5,1),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,((F45-DATE(2026+10,5,1))/365.25)*G45*D45*(1+EscalatorInLease)^10+((DATE(2027+10,4,30)-F45)/365.25)*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)))),0)</f>
        <v/>
      </c>
      <c r="Y45" s="5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5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5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5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5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5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5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5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5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5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5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9" t="n">
        <v>2600</v>
      </c>
      <c r="E46" s="40" t="n">
        <v>45870</v>
      </c>
      <c r="F46" s="40" t="n">
        <v>47119</v>
      </c>
      <c r="G46" s="41" t="n">
        <v>18</v>
      </c>
      <c r="H46" s="10">
        <f>VLOOKUP(A46,MLA!$A$5:$L$11,3,FALSE)</f>
        <v/>
      </c>
      <c r="I46" s="25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7">
        <f>IF(E46="",0,(AnalysisStart-E46)/365.25)</f>
        <v/>
      </c>
      <c r="N46" s="5">
        <f>IFERROR(IF(I46="LeaseUp",H46*D46*(1+GrowthMarketRent)^0*IF(0=0,(12-DowntimeNew)/12,1),IF(F46="",0,IF(F46&gt;=DATE(2027+0,4,30),G46*D46*(1+EscalatorInLease)^0,IF(F46&lt;DATE(2026+0,5,1),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,((F46-DATE(2026+0,5,1))/365.25)*G46*D46*(1+EscalatorInLease)^0+((DATE(2027+0,4,30)-F46)/365.25)*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)))),0)</f>
        <v/>
      </c>
      <c r="O46" s="5">
        <f>IFERROR(IF(I46="LeaseUp",H46*D46*(1+GrowthMarketRent)^1*IF(1=0,(12-DowntimeNew)/12,1),IF(F46="",0,IF(F46&gt;=DATE(2027+1,4,30),G46*D46*(1+EscalatorInLease)^1,IF(F46&lt;DATE(2026+1,5,1),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,((F46-DATE(2026+1,5,1))/365.25)*G46*D46*(1+EscalatorInLease)^1+((DATE(2027+1,4,30)-F46)/365.25)*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)))),0)</f>
        <v/>
      </c>
      <c r="P46" s="5">
        <f>IFERROR(IF(I46="LeaseUp",H46*D46*(1+GrowthMarketRent)^2*IF(2=0,(12-DowntimeNew)/12,1),IF(F46="",0,IF(F46&gt;=DATE(2027+2,4,30),G46*D46*(1+EscalatorInLease)^2,IF(F46&lt;DATE(2026+2,5,1),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,((F46-DATE(2026+2,5,1))/365.25)*G46*D46*(1+EscalatorInLease)^2+((DATE(2027+2,4,30)-F46)/365.25)*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)))),0)</f>
        <v/>
      </c>
      <c r="Q46" s="5">
        <f>IFERROR(IF(I46="LeaseUp",H46*D46*(1+GrowthMarketRent)^3*IF(3=0,(12-DowntimeNew)/12,1),IF(F46="",0,IF(F46&gt;=DATE(2027+3,4,30),G46*D46*(1+EscalatorInLease)^3,IF(F46&lt;DATE(2026+3,5,1),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,((F46-DATE(2026+3,5,1))/365.25)*G46*D46*(1+EscalatorInLease)^3+((DATE(2027+3,4,30)-F46)/365.25)*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)))),0)</f>
        <v/>
      </c>
      <c r="R46" s="5">
        <f>IFERROR(IF(I46="LeaseUp",H46*D46*(1+GrowthMarketRent)^4*IF(4=0,(12-DowntimeNew)/12,1),IF(F46="",0,IF(F46&gt;=DATE(2027+4,4,30),G46*D46*(1+EscalatorInLease)^4,IF(F46&lt;DATE(2026+4,5,1),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,((F46-DATE(2026+4,5,1))/365.25)*G46*D46*(1+EscalatorInLease)^4+((DATE(2027+4,4,30)-F46)/365.25)*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)))),0)</f>
        <v/>
      </c>
      <c r="S46" s="5">
        <f>IFERROR(IF(I46="LeaseUp",H46*D46*(1+GrowthMarketRent)^5*IF(5=0,(12-DowntimeNew)/12,1),IF(F46="",0,IF(F46&gt;=DATE(2027+5,4,30),G46*D46*(1+EscalatorInLease)^5,IF(F46&lt;DATE(2026+5,5,1),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,((F46-DATE(2026+5,5,1))/365.25)*G46*D46*(1+EscalatorInLease)^5+((DATE(2027+5,4,30)-F46)/365.25)*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)))),0)</f>
        <v/>
      </c>
      <c r="T46" s="5">
        <f>IFERROR(IF(I46="LeaseUp",H46*D46*(1+GrowthMarketRent)^6*IF(6=0,(12-DowntimeNew)/12,1),IF(F46="",0,IF(F46&gt;=DATE(2027+6,4,30),G46*D46*(1+EscalatorInLease)^6,IF(F46&lt;DATE(2026+6,5,1),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,((F46-DATE(2026+6,5,1))/365.25)*G46*D46*(1+EscalatorInLease)^6+((DATE(2027+6,4,30)-F46)/365.25)*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)))),0)</f>
        <v/>
      </c>
      <c r="U46" s="5">
        <f>IFERROR(IF(I46="LeaseUp",H46*D46*(1+GrowthMarketRent)^7*IF(7=0,(12-DowntimeNew)/12,1),IF(F46="",0,IF(F46&gt;=DATE(2027+7,4,30),G46*D46*(1+EscalatorInLease)^7,IF(F46&lt;DATE(2026+7,5,1),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,((F46-DATE(2026+7,5,1))/365.25)*G46*D46*(1+EscalatorInLease)^7+((DATE(2027+7,4,30)-F46)/365.25)*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)))),0)</f>
        <v/>
      </c>
      <c r="V46" s="5">
        <f>IFERROR(IF(I46="LeaseUp",H46*D46*(1+GrowthMarketRent)^8*IF(8=0,(12-DowntimeNew)/12,1),IF(F46="",0,IF(F46&gt;=DATE(2027+8,4,30),G46*D46*(1+EscalatorInLease)^8,IF(F46&lt;DATE(2026+8,5,1),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,((F46-DATE(2026+8,5,1))/365.25)*G46*D46*(1+EscalatorInLease)^8+((DATE(2027+8,4,30)-F46)/365.25)*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)))),0)</f>
        <v/>
      </c>
      <c r="W46" s="5">
        <f>IFERROR(IF(I46="LeaseUp",H46*D46*(1+GrowthMarketRent)^9*IF(9=0,(12-DowntimeNew)/12,1),IF(F46="",0,IF(F46&gt;=DATE(2027+9,4,30),G46*D46*(1+EscalatorInLease)^9,IF(F46&lt;DATE(2026+9,5,1),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,((F46-DATE(2026+9,5,1))/365.25)*G46*D46*(1+EscalatorInLease)^9+((DATE(2027+9,4,30)-F46)/365.25)*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)))),0)</f>
        <v/>
      </c>
      <c r="X46" s="5">
        <f>IFERROR(IF(I46="LeaseUp",H46*D46*(1+GrowthMarketRent)^10*IF(10=0,(12-DowntimeNew)/12,1),IF(F46="",0,IF(F46&gt;=DATE(2027+10,4,30),G46*D46*(1+EscalatorInLease)^10,IF(F46&lt;DATE(2026+10,5,1),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,((F46-DATE(2026+10,5,1))/365.25)*G46*D46*(1+EscalatorInLease)^10+((DATE(2027+10,4,30)-F46)/365.25)*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)))),0)</f>
        <v/>
      </c>
      <c r="Y46" s="5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5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5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5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5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5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5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5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5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5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5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9" t="n">
        <v>2600</v>
      </c>
      <c r="E47" s="40" t="n">
        <v>45748</v>
      </c>
      <c r="F47" s="40" t="n">
        <v>46997</v>
      </c>
      <c r="G47" s="41" t="n">
        <v>16.9126923076923</v>
      </c>
      <c r="H47" s="10">
        <f>VLOOKUP(A47,MLA!$A$5:$L$11,3,FALSE)</f>
        <v/>
      </c>
      <c r="I47" s="25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7">
        <f>IF(E47="",0,(AnalysisStart-E47)/365.25)</f>
        <v/>
      </c>
      <c r="N47" s="5">
        <f>IFERROR(IF(I47="LeaseUp",H47*D47*(1+GrowthMarketRent)^0*IF(0=0,(12-DowntimeNew)/12,1),IF(F47="",0,IF(F47&gt;=DATE(2027+0,4,30),G47*D47*(1+EscalatorInLease)^0,IF(F47&lt;DATE(2026+0,5,1),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,((F47-DATE(2026+0,5,1))/365.25)*G47*D47*(1+EscalatorInLease)^0+((DATE(2027+0,4,30)-F47)/365.25)*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)))),0)</f>
        <v/>
      </c>
      <c r="O47" s="5">
        <f>IFERROR(IF(I47="LeaseUp",H47*D47*(1+GrowthMarketRent)^1*IF(1=0,(12-DowntimeNew)/12,1),IF(F47="",0,IF(F47&gt;=DATE(2027+1,4,30),G47*D47*(1+EscalatorInLease)^1,IF(F47&lt;DATE(2026+1,5,1),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,((F47-DATE(2026+1,5,1))/365.25)*G47*D47*(1+EscalatorInLease)^1+((DATE(2027+1,4,30)-F47)/365.25)*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)))),0)</f>
        <v/>
      </c>
      <c r="P47" s="5">
        <f>IFERROR(IF(I47="LeaseUp",H47*D47*(1+GrowthMarketRent)^2*IF(2=0,(12-DowntimeNew)/12,1),IF(F47="",0,IF(F47&gt;=DATE(2027+2,4,30),G47*D47*(1+EscalatorInLease)^2,IF(F47&lt;DATE(2026+2,5,1),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,((F47-DATE(2026+2,5,1))/365.25)*G47*D47*(1+EscalatorInLease)^2+((DATE(2027+2,4,30)-F47)/365.25)*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)))),0)</f>
        <v/>
      </c>
      <c r="Q47" s="5">
        <f>IFERROR(IF(I47="LeaseUp",H47*D47*(1+GrowthMarketRent)^3*IF(3=0,(12-DowntimeNew)/12,1),IF(F47="",0,IF(F47&gt;=DATE(2027+3,4,30),G47*D47*(1+EscalatorInLease)^3,IF(F47&lt;DATE(2026+3,5,1),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,((F47-DATE(2026+3,5,1))/365.25)*G47*D47*(1+EscalatorInLease)^3+((DATE(2027+3,4,30)-F47)/365.25)*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)))),0)</f>
        <v/>
      </c>
      <c r="R47" s="5">
        <f>IFERROR(IF(I47="LeaseUp",H47*D47*(1+GrowthMarketRent)^4*IF(4=0,(12-DowntimeNew)/12,1),IF(F47="",0,IF(F47&gt;=DATE(2027+4,4,30),G47*D47*(1+EscalatorInLease)^4,IF(F47&lt;DATE(2026+4,5,1),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,((F47-DATE(2026+4,5,1))/365.25)*G47*D47*(1+EscalatorInLease)^4+((DATE(2027+4,4,30)-F47)/365.25)*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)))),0)</f>
        <v/>
      </c>
      <c r="S47" s="5">
        <f>IFERROR(IF(I47="LeaseUp",H47*D47*(1+GrowthMarketRent)^5*IF(5=0,(12-DowntimeNew)/12,1),IF(F47="",0,IF(F47&gt;=DATE(2027+5,4,30),G47*D47*(1+EscalatorInLease)^5,IF(F47&lt;DATE(2026+5,5,1),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,((F47-DATE(2026+5,5,1))/365.25)*G47*D47*(1+EscalatorInLease)^5+((DATE(2027+5,4,30)-F47)/365.25)*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)))),0)</f>
        <v/>
      </c>
      <c r="T47" s="5">
        <f>IFERROR(IF(I47="LeaseUp",H47*D47*(1+GrowthMarketRent)^6*IF(6=0,(12-DowntimeNew)/12,1),IF(F47="",0,IF(F47&gt;=DATE(2027+6,4,30),G47*D47*(1+EscalatorInLease)^6,IF(F47&lt;DATE(2026+6,5,1),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,((F47-DATE(2026+6,5,1))/365.25)*G47*D47*(1+EscalatorInLease)^6+((DATE(2027+6,4,30)-F47)/365.25)*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)))),0)</f>
        <v/>
      </c>
      <c r="U47" s="5">
        <f>IFERROR(IF(I47="LeaseUp",H47*D47*(1+GrowthMarketRent)^7*IF(7=0,(12-DowntimeNew)/12,1),IF(F47="",0,IF(F47&gt;=DATE(2027+7,4,30),G47*D47*(1+EscalatorInLease)^7,IF(F47&lt;DATE(2026+7,5,1),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,((F47-DATE(2026+7,5,1))/365.25)*G47*D47*(1+EscalatorInLease)^7+((DATE(2027+7,4,30)-F47)/365.25)*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)))),0)</f>
        <v/>
      </c>
      <c r="V47" s="5">
        <f>IFERROR(IF(I47="LeaseUp",H47*D47*(1+GrowthMarketRent)^8*IF(8=0,(12-DowntimeNew)/12,1),IF(F47="",0,IF(F47&gt;=DATE(2027+8,4,30),G47*D47*(1+EscalatorInLease)^8,IF(F47&lt;DATE(2026+8,5,1),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,((F47-DATE(2026+8,5,1))/365.25)*G47*D47*(1+EscalatorInLease)^8+((DATE(2027+8,4,30)-F47)/365.25)*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)))),0)</f>
        <v/>
      </c>
      <c r="W47" s="5">
        <f>IFERROR(IF(I47="LeaseUp",H47*D47*(1+GrowthMarketRent)^9*IF(9=0,(12-DowntimeNew)/12,1),IF(F47="",0,IF(F47&gt;=DATE(2027+9,4,30),G47*D47*(1+EscalatorInLease)^9,IF(F47&lt;DATE(2026+9,5,1),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,((F47-DATE(2026+9,5,1))/365.25)*G47*D47*(1+EscalatorInLease)^9+((DATE(2027+9,4,30)-F47)/365.25)*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)))),0)</f>
        <v/>
      </c>
      <c r="X47" s="5">
        <f>IFERROR(IF(I47="LeaseUp",H47*D47*(1+GrowthMarketRent)^10*IF(10=0,(12-DowntimeNew)/12,1),IF(F47="",0,IF(F47&gt;=DATE(2027+10,4,30),G47*D47*(1+EscalatorInLease)^10,IF(F47&lt;DATE(2026+10,5,1),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,((F47-DATE(2026+10,5,1))/365.25)*G47*D47*(1+EscalatorInLease)^10+((DATE(2027+10,4,30)-F47)/365.25)*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)))),0)</f>
        <v/>
      </c>
      <c r="Y47" s="5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5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5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5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5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5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5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5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5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5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5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9" t="n">
        <v>2600</v>
      </c>
      <c r="E48" s="40" t="n">
        <v>45809</v>
      </c>
      <c r="F48" s="40" t="n">
        <v>47058</v>
      </c>
      <c r="G48" s="41" t="n">
        <v>19</v>
      </c>
      <c r="H48" s="10">
        <f>VLOOKUP(A48,MLA!$A$5:$L$11,3,FALSE)</f>
        <v/>
      </c>
      <c r="I48" s="25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7">
        <f>IF(E48="",0,(AnalysisStart-E48)/365.25)</f>
        <v/>
      </c>
      <c r="N48" s="5">
        <f>IFERROR(IF(I48="LeaseUp",H48*D48*(1+GrowthMarketRent)^0*IF(0=0,(12-DowntimeNew)/12,1),IF(F48="",0,IF(F48&gt;=DATE(2027+0,4,30),G48*D48*(1+EscalatorInLease)^0,IF(F48&lt;DATE(2026+0,5,1),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,((F48-DATE(2026+0,5,1))/365.25)*G48*D48*(1+EscalatorInLease)^0+((DATE(2027+0,4,30)-F48)/365.25)*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)))),0)</f>
        <v/>
      </c>
      <c r="O48" s="5">
        <f>IFERROR(IF(I48="LeaseUp",H48*D48*(1+GrowthMarketRent)^1*IF(1=0,(12-DowntimeNew)/12,1),IF(F48="",0,IF(F48&gt;=DATE(2027+1,4,30),G48*D48*(1+EscalatorInLease)^1,IF(F48&lt;DATE(2026+1,5,1),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,((F48-DATE(2026+1,5,1))/365.25)*G48*D48*(1+EscalatorInLease)^1+((DATE(2027+1,4,30)-F48)/365.25)*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)))),0)</f>
        <v/>
      </c>
      <c r="P48" s="5">
        <f>IFERROR(IF(I48="LeaseUp",H48*D48*(1+GrowthMarketRent)^2*IF(2=0,(12-DowntimeNew)/12,1),IF(F48="",0,IF(F48&gt;=DATE(2027+2,4,30),G48*D48*(1+EscalatorInLease)^2,IF(F48&lt;DATE(2026+2,5,1),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,((F48-DATE(2026+2,5,1))/365.25)*G48*D48*(1+EscalatorInLease)^2+((DATE(2027+2,4,30)-F48)/365.25)*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)))),0)</f>
        <v/>
      </c>
      <c r="Q48" s="5">
        <f>IFERROR(IF(I48="LeaseUp",H48*D48*(1+GrowthMarketRent)^3*IF(3=0,(12-DowntimeNew)/12,1),IF(F48="",0,IF(F48&gt;=DATE(2027+3,4,30),G48*D48*(1+EscalatorInLease)^3,IF(F48&lt;DATE(2026+3,5,1),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,((F48-DATE(2026+3,5,1))/365.25)*G48*D48*(1+EscalatorInLease)^3+((DATE(2027+3,4,30)-F48)/365.25)*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)))),0)</f>
        <v/>
      </c>
      <c r="R48" s="5">
        <f>IFERROR(IF(I48="LeaseUp",H48*D48*(1+GrowthMarketRent)^4*IF(4=0,(12-DowntimeNew)/12,1),IF(F48="",0,IF(F48&gt;=DATE(2027+4,4,30),G48*D48*(1+EscalatorInLease)^4,IF(F48&lt;DATE(2026+4,5,1),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,((F48-DATE(2026+4,5,1))/365.25)*G48*D48*(1+EscalatorInLease)^4+((DATE(2027+4,4,30)-F48)/365.25)*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)))),0)</f>
        <v/>
      </c>
      <c r="S48" s="5">
        <f>IFERROR(IF(I48="LeaseUp",H48*D48*(1+GrowthMarketRent)^5*IF(5=0,(12-DowntimeNew)/12,1),IF(F48="",0,IF(F48&gt;=DATE(2027+5,4,30),G48*D48*(1+EscalatorInLease)^5,IF(F48&lt;DATE(2026+5,5,1),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,((F48-DATE(2026+5,5,1))/365.25)*G48*D48*(1+EscalatorInLease)^5+((DATE(2027+5,4,30)-F48)/365.25)*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)))),0)</f>
        <v/>
      </c>
      <c r="T48" s="5">
        <f>IFERROR(IF(I48="LeaseUp",H48*D48*(1+GrowthMarketRent)^6*IF(6=0,(12-DowntimeNew)/12,1),IF(F48="",0,IF(F48&gt;=DATE(2027+6,4,30),G48*D48*(1+EscalatorInLease)^6,IF(F48&lt;DATE(2026+6,5,1),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,((F48-DATE(2026+6,5,1))/365.25)*G48*D48*(1+EscalatorInLease)^6+((DATE(2027+6,4,30)-F48)/365.25)*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)))),0)</f>
        <v/>
      </c>
      <c r="U48" s="5">
        <f>IFERROR(IF(I48="LeaseUp",H48*D48*(1+GrowthMarketRent)^7*IF(7=0,(12-DowntimeNew)/12,1),IF(F48="",0,IF(F48&gt;=DATE(2027+7,4,30),G48*D48*(1+EscalatorInLease)^7,IF(F48&lt;DATE(2026+7,5,1),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,((F48-DATE(2026+7,5,1))/365.25)*G48*D48*(1+EscalatorInLease)^7+((DATE(2027+7,4,30)-F48)/365.25)*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)))),0)</f>
        <v/>
      </c>
      <c r="V48" s="5">
        <f>IFERROR(IF(I48="LeaseUp",H48*D48*(1+GrowthMarketRent)^8*IF(8=0,(12-DowntimeNew)/12,1),IF(F48="",0,IF(F48&gt;=DATE(2027+8,4,30),G48*D48*(1+EscalatorInLease)^8,IF(F48&lt;DATE(2026+8,5,1),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,((F48-DATE(2026+8,5,1))/365.25)*G48*D48*(1+EscalatorInLease)^8+((DATE(2027+8,4,30)-F48)/365.25)*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)))),0)</f>
        <v/>
      </c>
      <c r="W48" s="5">
        <f>IFERROR(IF(I48="LeaseUp",H48*D48*(1+GrowthMarketRent)^9*IF(9=0,(12-DowntimeNew)/12,1),IF(F48="",0,IF(F48&gt;=DATE(2027+9,4,30),G48*D48*(1+EscalatorInLease)^9,IF(F48&lt;DATE(2026+9,5,1),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,((F48-DATE(2026+9,5,1))/365.25)*G48*D48*(1+EscalatorInLease)^9+((DATE(2027+9,4,30)-F48)/365.25)*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)))),0)</f>
        <v/>
      </c>
      <c r="X48" s="5">
        <f>IFERROR(IF(I48="LeaseUp",H48*D48*(1+GrowthMarketRent)^10*IF(10=0,(12-DowntimeNew)/12,1),IF(F48="",0,IF(F48&gt;=DATE(2027+10,4,30),G48*D48*(1+EscalatorInLease)^10,IF(F48&lt;DATE(2026+10,5,1),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,((F48-DATE(2026+10,5,1))/365.25)*G48*D48*(1+EscalatorInLease)^10+((DATE(2027+10,4,30)-F48)/365.25)*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)))),0)</f>
        <v/>
      </c>
      <c r="Y48" s="5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5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5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5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5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5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5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5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5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5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5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9" t="n">
        <v>2600</v>
      </c>
      <c r="E49" s="40" t="n">
        <v>45748</v>
      </c>
      <c r="F49" s="40" t="n">
        <v>46997</v>
      </c>
      <c r="G49" s="41" t="n">
        <v>17.425</v>
      </c>
      <c r="H49" s="10">
        <f>VLOOKUP(A49,MLA!$A$5:$L$11,3,FALSE)</f>
        <v/>
      </c>
      <c r="I49" s="25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7">
        <f>IF(E49="",0,(AnalysisStart-E49)/365.25)</f>
        <v/>
      </c>
      <c r="N49" s="5">
        <f>IFERROR(IF(I49="LeaseUp",H49*D49*(1+GrowthMarketRent)^0*IF(0=0,(12-DowntimeNew)/12,1),IF(F49="",0,IF(F49&gt;=DATE(2027+0,4,30),G49*D49*(1+EscalatorInLease)^0,IF(F49&lt;DATE(2026+0,5,1),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,((F49-DATE(2026+0,5,1))/365.25)*G49*D49*(1+EscalatorInLease)^0+((DATE(2027+0,4,30)-F49)/365.25)*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)))),0)</f>
        <v/>
      </c>
      <c r="O49" s="5">
        <f>IFERROR(IF(I49="LeaseUp",H49*D49*(1+GrowthMarketRent)^1*IF(1=0,(12-DowntimeNew)/12,1),IF(F49="",0,IF(F49&gt;=DATE(2027+1,4,30),G49*D49*(1+EscalatorInLease)^1,IF(F49&lt;DATE(2026+1,5,1),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,((F49-DATE(2026+1,5,1))/365.25)*G49*D49*(1+EscalatorInLease)^1+((DATE(2027+1,4,30)-F49)/365.25)*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)))),0)</f>
        <v/>
      </c>
      <c r="P49" s="5">
        <f>IFERROR(IF(I49="LeaseUp",H49*D49*(1+GrowthMarketRent)^2*IF(2=0,(12-DowntimeNew)/12,1),IF(F49="",0,IF(F49&gt;=DATE(2027+2,4,30),G49*D49*(1+EscalatorInLease)^2,IF(F49&lt;DATE(2026+2,5,1),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,((F49-DATE(2026+2,5,1))/365.25)*G49*D49*(1+EscalatorInLease)^2+((DATE(2027+2,4,30)-F49)/365.25)*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)))),0)</f>
        <v/>
      </c>
      <c r="Q49" s="5">
        <f>IFERROR(IF(I49="LeaseUp",H49*D49*(1+GrowthMarketRent)^3*IF(3=0,(12-DowntimeNew)/12,1),IF(F49="",0,IF(F49&gt;=DATE(2027+3,4,30),G49*D49*(1+EscalatorInLease)^3,IF(F49&lt;DATE(2026+3,5,1),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,((F49-DATE(2026+3,5,1))/365.25)*G49*D49*(1+EscalatorInLease)^3+((DATE(2027+3,4,30)-F49)/365.25)*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)))),0)</f>
        <v/>
      </c>
      <c r="R49" s="5">
        <f>IFERROR(IF(I49="LeaseUp",H49*D49*(1+GrowthMarketRent)^4*IF(4=0,(12-DowntimeNew)/12,1),IF(F49="",0,IF(F49&gt;=DATE(2027+4,4,30),G49*D49*(1+EscalatorInLease)^4,IF(F49&lt;DATE(2026+4,5,1),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,((F49-DATE(2026+4,5,1))/365.25)*G49*D49*(1+EscalatorInLease)^4+((DATE(2027+4,4,30)-F49)/365.25)*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)))),0)</f>
        <v/>
      </c>
      <c r="S49" s="5">
        <f>IFERROR(IF(I49="LeaseUp",H49*D49*(1+GrowthMarketRent)^5*IF(5=0,(12-DowntimeNew)/12,1),IF(F49="",0,IF(F49&gt;=DATE(2027+5,4,30),G49*D49*(1+EscalatorInLease)^5,IF(F49&lt;DATE(2026+5,5,1),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,((F49-DATE(2026+5,5,1))/365.25)*G49*D49*(1+EscalatorInLease)^5+((DATE(2027+5,4,30)-F49)/365.25)*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)))),0)</f>
        <v/>
      </c>
      <c r="T49" s="5">
        <f>IFERROR(IF(I49="LeaseUp",H49*D49*(1+GrowthMarketRent)^6*IF(6=0,(12-DowntimeNew)/12,1),IF(F49="",0,IF(F49&gt;=DATE(2027+6,4,30),G49*D49*(1+EscalatorInLease)^6,IF(F49&lt;DATE(2026+6,5,1),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,((F49-DATE(2026+6,5,1))/365.25)*G49*D49*(1+EscalatorInLease)^6+((DATE(2027+6,4,30)-F49)/365.25)*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)))),0)</f>
        <v/>
      </c>
      <c r="U49" s="5">
        <f>IFERROR(IF(I49="LeaseUp",H49*D49*(1+GrowthMarketRent)^7*IF(7=0,(12-DowntimeNew)/12,1),IF(F49="",0,IF(F49&gt;=DATE(2027+7,4,30),G49*D49*(1+EscalatorInLease)^7,IF(F49&lt;DATE(2026+7,5,1),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,((F49-DATE(2026+7,5,1))/365.25)*G49*D49*(1+EscalatorInLease)^7+((DATE(2027+7,4,30)-F49)/365.25)*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)))),0)</f>
        <v/>
      </c>
      <c r="V49" s="5">
        <f>IFERROR(IF(I49="LeaseUp",H49*D49*(1+GrowthMarketRent)^8*IF(8=0,(12-DowntimeNew)/12,1),IF(F49="",0,IF(F49&gt;=DATE(2027+8,4,30),G49*D49*(1+EscalatorInLease)^8,IF(F49&lt;DATE(2026+8,5,1),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,((F49-DATE(2026+8,5,1))/365.25)*G49*D49*(1+EscalatorInLease)^8+((DATE(2027+8,4,30)-F49)/365.25)*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)))),0)</f>
        <v/>
      </c>
      <c r="W49" s="5">
        <f>IFERROR(IF(I49="LeaseUp",H49*D49*(1+GrowthMarketRent)^9*IF(9=0,(12-DowntimeNew)/12,1),IF(F49="",0,IF(F49&gt;=DATE(2027+9,4,30),G49*D49*(1+EscalatorInLease)^9,IF(F49&lt;DATE(2026+9,5,1),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,((F49-DATE(2026+9,5,1))/365.25)*G49*D49*(1+EscalatorInLease)^9+((DATE(2027+9,4,30)-F49)/365.25)*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)))),0)</f>
        <v/>
      </c>
      <c r="X49" s="5">
        <f>IFERROR(IF(I49="LeaseUp",H49*D49*(1+GrowthMarketRent)^10*IF(10=0,(12-DowntimeNew)/12,1),IF(F49="",0,IF(F49&gt;=DATE(2027+10,4,30),G49*D49*(1+EscalatorInLease)^10,IF(F49&lt;DATE(2026+10,5,1),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,((F49-DATE(2026+10,5,1))/365.25)*G49*D49*(1+EscalatorInLease)^10+((DATE(2027+10,4,30)-F49)/365.25)*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)))),0)</f>
        <v/>
      </c>
      <c r="Y49" s="5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5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5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5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5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5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5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5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5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5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5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9" t="n">
        <v>2600</v>
      </c>
      <c r="E50" s="40" t="n">
        <v>45778</v>
      </c>
      <c r="F50" s="40" t="n">
        <v>47027</v>
      </c>
      <c r="G50" s="41" t="n">
        <v>17.425</v>
      </c>
      <c r="H50" s="10">
        <f>VLOOKUP(A50,MLA!$A$5:$L$11,3,FALSE)</f>
        <v/>
      </c>
      <c r="I50" s="25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7">
        <f>IF(E50="",0,(AnalysisStart-E50)/365.25)</f>
        <v/>
      </c>
      <c r="N50" s="5">
        <f>IFERROR(IF(I50="LeaseUp",H50*D50*(1+GrowthMarketRent)^0*IF(0=0,(12-DowntimeNew)/12,1),IF(F50="",0,IF(F50&gt;=DATE(2027+0,4,30),G50*D50*(1+EscalatorInLease)^0,IF(F50&lt;DATE(2026+0,5,1),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,((F50-DATE(2026+0,5,1))/365.25)*G50*D50*(1+EscalatorInLease)^0+((DATE(2027+0,4,30)-F50)/365.25)*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)))),0)</f>
        <v/>
      </c>
      <c r="O50" s="5">
        <f>IFERROR(IF(I50="LeaseUp",H50*D50*(1+GrowthMarketRent)^1*IF(1=0,(12-DowntimeNew)/12,1),IF(F50="",0,IF(F50&gt;=DATE(2027+1,4,30),G50*D50*(1+EscalatorInLease)^1,IF(F50&lt;DATE(2026+1,5,1),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,((F50-DATE(2026+1,5,1))/365.25)*G50*D50*(1+EscalatorInLease)^1+((DATE(2027+1,4,30)-F50)/365.25)*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)))),0)</f>
        <v/>
      </c>
      <c r="P50" s="5">
        <f>IFERROR(IF(I50="LeaseUp",H50*D50*(1+GrowthMarketRent)^2*IF(2=0,(12-DowntimeNew)/12,1),IF(F50="",0,IF(F50&gt;=DATE(2027+2,4,30),G50*D50*(1+EscalatorInLease)^2,IF(F50&lt;DATE(2026+2,5,1),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,((F50-DATE(2026+2,5,1))/365.25)*G50*D50*(1+EscalatorInLease)^2+((DATE(2027+2,4,30)-F50)/365.25)*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)))),0)</f>
        <v/>
      </c>
      <c r="Q50" s="5">
        <f>IFERROR(IF(I50="LeaseUp",H50*D50*(1+GrowthMarketRent)^3*IF(3=0,(12-DowntimeNew)/12,1),IF(F50="",0,IF(F50&gt;=DATE(2027+3,4,30),G50*D50*(1+EscalatorInLease)^3,IF(F50&lt;DATE(2026+3,5,1),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,((F50-DATE(2026+3,5,1))/365.25)*G50*D50*(1+EscalatorInLease)^3+((DATE(2027+3,4,30)-F50)/365.25)*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)))),0)</f>
        <v/>
      </c>
      <c r="R50" s="5">
        <f>IFERROR(IF(I50="LeaseUp",H50*D50*(1+GrowthMarketRent)^4*IF(4=0,(12-DowntimeNew)/12,1),IF(F50="",0,IF(F50&gt;=DATE(2027+4,4,30),G50*D50*(1+EscalatorInLease)^4,IF(F50&lt;DATE(2026+4,5,1),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,((F50-DATE(2026+4,5,1))/365.25)*G50*D50*(1+EscalatorInLease)^4+((DATE(2027+4,4,30)-F50)/365.25)*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)))),0)</f>
        <v/>
      </c>
      <c r="S50" s="5">
        <f>IFERROR(IF(I50="LeaseUp",H50*D50*(1+GrowthMarketRent)^5*IF(5=0,(12-DowntimeNew)/12,1),IF(F50="",0,IF(F50&gt;=DATE(2027+5,4,30),G50*D50*(1+EscalatorInLease)^5,IF(F50&lt;DATE(2026+5,5,1),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,((F50-DATE(2026+5,5,1))/365.25)*G50*D50*(1+EscalatorInLease)^5+((DATE(2027+5,4,30)-F50)/365.25)*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)))),0)</f>
        <v/>
      </c>
      <c r="T50" s="5">
        <f>IFERROR(IF(I50="LeaseUp",H50*D50*(1+GrowthMarketRent)^6*IF(6=0,(12-DowntimeNew)/12,1),IF(F50="",0,IF(F50&gt;=DATE(2027+6,4,30),G50*D50*(1+EscalatorInLease)^6,IF(F50&lt;DATE(2026+6,5,1),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,((F50-DATE(2026+6,5,1))/365.25)*G50*D50*(1+EscalatorInLease)^6+((DATE(2027+6,4,30)-F50)/365.25)*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)))),0)</f>
        <v/>
      </c>
      <c r="U50" s="5">
        <f>IFERROR(IF(I50="LeaseUp",H50*D50*(1+GrowthMarketRent)^7*IF(7=0,(12-DowntimeNew)/12,1),IF(F50="",0,IF(F50&gt;=DATE(2027+7,4,30),G50*D50*(1+EscalatorInLease)^7,IF(F50&lt;DATE(2026+7,5,1),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,((F50-DATE(2026+7,5,1))/365.25)*G50*D50*(1+EscalatorInLease)^7+((DATE(2027+7,4,30)-F50)/365.25)*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)))),0)</f>
        <v/>
      </c>
      <c r="V50" s="5">
        <f>IFERROR(IF(I50="LeaseUp",H50*D50*(1+GrowthMarketRent)^8*IF(8=0,(12-DowntimeNew)/12,1),IF(F50="",0,IF(F50&gt;=DATE(2027+8,4,30),G50*D50*(1+EscalatorInLease)^8,IF(F50&lt;DATE(2026+8,5,1),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,((F50-DATE(2026+8,5,1))/365.25)*G50*D50*(1+EscalatorInLease)^8+((DATE(2027+8,4,30)-F50)/365.25)*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)))),0)</f>
        <v/>
      </c>
      <c r="W50" s="5">
        <f>IFERROR(IF(I50="LeaseUp",H50*D50*(1+GrowthMarketRent)^9*IF(9=0,(12-DowntimeNew)/12,1),IF(F50="",0,IF(F50&gt;=DATE(2027+9,4,30),G50*D50*(1+EscalatorInLease)^9,IF(F50&lt;DATE(2026+9,5,1),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,((F50-DATE(2026+9,5,1))/365.25)*G50*D50*(1+EscalatorInLease)^9+((DATE(2027+9,4,30)-F50)/365.25)*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)))),0)</f>
        <v/>
      </c>
      <c r="X50" s="5">
        <f>IFERROR(IF(I50="LeaseUp",H50*D50*(1+GrowthMarketRent)^10*IF(10=0,(12-DowntimeNew)/12,1),IF(F50="",0,IF(F50&gt;=DATE(2027+10,4,30),G50*D50*(1+EscalatorInLease)^10,IF(F50&lt;DATE(2026+10,5,1),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,((F50-DATE(2026+10,5,1))/365.25)*G50*D50*(1+EscalatorInLease)^10+((DATE(2027+10,4,30)-F50)/365.25)*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)))),0)</f>
        <v/>
      </c>
      <c r="Y50" s="5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5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5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5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5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5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5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5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5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5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5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9" t="n">
        <v>2600</v>
      </c>
      <c r="E51" s="40" t="n">
        <v>45748</v>
      </c>
      <c r="F51" s="40" t="n">
        <v>46997</v>
      </c>
      <c r="G51" s="41" t="n">
        <v>16.9126923076923</v>
      </c>
      <c r="H51" s="10">
        <f>VLOOKUP(A51,MLA!$A$5:$L$11,3,FALSE)</f>
        <v/>
      </c>
      <c r="I51" s="25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7">
        <f>IF(E51="",0,(AnalysisStart-E51)/365.25)</f>
        <v/>
      </c>
      <c r="N51" s="5">
        <f>IFERROR(IF(I51="LeaseUp",H51*D51*(1+GrowthMarketRent)^0*IF(0=0,(12-DowntimeNew)/12,1),IF(F51="",0,IF(F51&gt;=DATE(2027+0,4,30),G51*D51*(1+EscalatorInLease)^0,IF(F51&lt;DATE(2026+0,5,1),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,((F51-DATE(2026+0,5,1))/365.25)*G51*D51*(1+EscalatorInLease)^0+((DATE(2027+0,4,30)-F51)/365.25)*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)))),0)</f>
        <v/>
      </c>
      <c r="O51" s="5">
        <f>IFERROR(IF(I51="LeaseUp",H51*D51*(1+GrowthMarketRent)^1*IF(1=0,(12-DowntimeNew)/12,1),IF(F51="",0,IF(F51&gt;=DATE(2027+1,4,30),G51*D51*(1+EscalatorInLease)^1,IF(F51&lt;DATE(2026+1,5,1),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,((F51-DATE(2026+1,5,1))/365.25)*G51*D51*(1+EscalatorInLease)^1+((DATE(2027+1,4,30)-F51)/365.25)*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)))),0)</f>
        <v/>
      </c>
      <c r="P51" s="5">
        <f>IFERROR(IF(I51="LeaseUp",H51*D51*(1+GrowthMarketRent)^2*IF(2=0,(12-DowntimeNew)/12,1),IF(F51="",0,IF(F51&gt;=DATE(2027+2,4,30),G51*D51*(1+EscalatorInLease)^2,IF(F51&lt;DATE(2026+2,5,1),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,((F51-DATE(2026+2,5,1))/365.25)*G51*D51*(1+EscalatorInLease)^2+((DATE(2027+2,4,30)-F51)/365.25)*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)))),0)</f>
        <v/>
      </c>
      <c r="Q51" s="5">
        <f>IFERROR(IF(I51="LeaseUp",H51*D51*(1+GrowthMarketRent)^3*IF(3=0,(12-DowntimeNew)/12,1),IF(F51="",0,IF(F51&gt;=DATE(2027+3,4,30),G51*D51*(1+EscalatorInLease)^3,IF(F51&lt;DATE(2026+3,5,1),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,((F51-DATE(2026+3,5,1))/365.25)*G51*D51*(1+EscalatorInLease)^3+((DATE(2027+3,4,30)-F51)/365.25)*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)))),0)</f>
        <v/>
      </c>
      <c r="R51" s="5">
        <f>IFERROR(IF(I51="LeaseUp",H51*D51*(1+GrowthMarketRent)^4*IF(4=0,(12-DowntimeNew)/12,1),IF(F51="",0,IF(F51&gt;=DATE(2027+4,4,30),G51*D51*(1+EscalatorInLease)^4,IF(F51&lt;DATE(2026+4,5,1),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,((F51-DATE(2026+4,5,1))/365.25)*G51*D51*(1+EscalatorInLease)^4+((DATE(2027+4,4,30)-F51)/365.25)*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)))),0)</f>
        <v/>
      </c>
      <c r="S51" s="5">
        <f>IFERROR(IF(I51="LeaseUp",H51*D51*(1+GrowthMarketRent)^5*IF(5=0,(12-DowntimeNew)/12,1),IF(F51="",0,IF(F51&gt;=DATE(2027+5,4,30),G51*D51*(1+EscalatorInLease)^5,IF(F51&lt;DATE(2026+5,5,1),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,((F51-DATE(2026+5,5,1))/365.25)*G51*D51*(1+EscalatorInLease)^5+((DATE(2027+5,4,30)-F51)/365.25)*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)))),0)</f>
        <v/>
      </c>
      <c r="T51" s="5">
        <f>IFERROR(IF(I51="LeaseUp",H51*D51*(1+GrowthMarketRent)^6*IF(6=0,(12-DowntimeNew)/12,1),IF(F51="",0,IF(F51&gt;=DATE(2027+6,4,30),G51*D51*(1+EscalatorInLease)^6,IF(F51&lt;DATE(2026+6,5,1),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,((F51-DATE(2026+6,5,1))/365.25)*G51*D51*(1+EscalatorInLease)^6+((DATE(2027+6,4,30)-F51)/365.25)*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)))),0)</f>
        <v/>
      </c>
      <c r="U51" s="5">
        <f>IFERROR(IF(I51="LeaseUp",H51*D51*(1+GrowthMarketRent)^7*IF(7=0,(12-DowntimeNew)/12,1),IF(F51="",0,IF(F51&gt;=DATE(2027+7,4,30),G51*D51*(1+EscalatorInLease)^7,IF(F51&lt;DATE(2026+7,5,1),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,((F51-DATE(2026+7,5,1))/365.25)*G51*D51*(1+EscalatorInLease)^7+((DATE(2027+7,4,30)-F51)/365.25)*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)))),0)</f>
        <v/>
      </c>
      <c r="V51" s="5">
        <f>IFERROR(IF(I51="LeaseUp",H51*D51*(1+GrowthMarketRent)^8*IF(8=0,(12-DowntimeNew)/12,1),IF(F51="",0,IF(F51&gt;=DATE(2027+8,4,30),G51*D51*(1+EscalatorInLease)^8,IF(F51&lt;DATE(2026+8,5,1),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,((F51-DATE(2026+8,5,1))/365.25)*G51*D51*(1+EscalatorInLease)^8+((DATE(2027+8,4,30)-F51)/365.25)*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)))),0)</f>
        <v/>
      </c>
      <c r="W51" s="5">
        <f>IFERROR(IF(I51="LeaseUp",H51*D51*(1+GrowthMarketRent)^9*IF(9=0,(12-DowntimeNew)/12,1),IF(F51="",0,IF(F51&gt;=DATE(2027+9,4,30),G51*D51*(1+EscalatorInLease)^9,IF(F51&lt;DATE(2026+9,5,1),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,((F51-DATE(2026+9,5,1))/365.25)*G51*D51*(1+EscalatorInLease)^9+((DATE(2027+9,4,30)-F51)/365.25)*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)))),0)</f>
        <v/>
      </c>
      <c r="X51" s="5">
        <f>IFERROR(IF(I51="LeaseUp",H51*D51*(1+GrowthMarketRent)^10*IF(10=0,(12-DowntimeNew)/12,1),IF(F51="",0,IF(F51&gt;=DATE(2027+10,4,30),G51*D51*(1+EscalatorInLease)^10,IF(F51&lt;DATE(2026+10,5,1),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,((F51-DATE(2026+10,5,1))/365.25)*G51*D51*(1+EscalatorInLease)^10+((DATE(2027+10,4,30)-F51)/365.25)*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)))),0)</f>
        <v/>
      </c>
      <c r="Y51" s="5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5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5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5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5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5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5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5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5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5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5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9" t="n">
        <v>2600</v>
      </c>
      <c r="E52" s="40" t="n">
        <v>45748</v>
      </c>
      <c r="F52" s="40" t="n">
        <v>46997</v>
      </c>
      <c r="G52" s="41" t="n">
        <v>18.45</v>
      </c>
      <c r="H52" s="10">
        <f>VLOOKUP(A52,MLA!$A$5:$L$11,3,FALSE)</f>
        <v/>
      </c>
      <c r="I52" s="25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7">
        <f>IF(E52="",0,(AnalysisStart-E52)/365.25)</f>
        <v/>
      </c>
      <c r="N52" s="5">
        <f>IFERROR(IF(I52="LeaseUp",H52*D52*(1+GrowthMarketRent)^0*IF(0=0,(12-DowntimeNew)/12,1),IF(F52="",0,IF(F52&gt;=DATE(2027+0,4,30),G52*D52*(1+EscalatorInLease)^0,IF(F52&lt;DATE(2026+0,5,1),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,((F52-DATE(2026+0,5,1))/365.25)*G52*D52*(1+EscalatorInLease)^0+((DATE(2027+0,4,30)-F52)/365.25)*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)))),0)</f>
        <v/>
      </c>
      <c r="O52" s="5">
        <f>IFERROR(IF(I52="LeaseUp",H52*D52*(1+GrowthMarketRent)^1*IF(1=0,(12-DowntimeNew)/12,1),IF(F52="",0,IF(F52&gt;=DATE(2027+1,4,30),G52*D52*(1+EscalatorInLease)^1,IF(F52&lt;DATE(2026+1,5,1),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,((F52-DATE(2026+1,5,1))/365.25)*G52*D52*(1+EscalatorInLease)^1+((DATE(2027+1,4,30)-F52)/365.25)*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)))),0)</f>
        <v/>
      </c>
      <c r="P52" s="5">
        <f>IFERROR(IF(I52="LeaseUp",H52*D52*(1+GrowthMarketRent)^2*IF(2=0,(12-DowntimeNew)/12,1),IF(F52="",0,IF(F52&gt;=DATE(2027+2,4,30),G52*D52*(1+EscalatorInLease)^2,IF(F52&lt;DATE(2026+2,5,1),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,((F52-DATE(2026+2,5,1))/365.25)*G52*D52*(1+EscalatorInLease)^2+((DATE(2027+2,4,30)-F52)/365.25)*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)))),0)</f>
        <v/>
      </c>
      <c r="Q52" s="5">
        <f>IFERROR(IF(I52="LeaseUp",H52*D52*(1+GrowthMarketRent)^3*IF(3=0,(12-DowntimeNew)/12,1),IF(F52="",0,IF(F52&gt;=DATE(2027+3,4,30),G52*D52*(1+EscalatorInLease)^3,IF(F52&lt;DATE(2026+3,5,1),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,((F52-DATE(2026+3,5,1))/365.25)*G52*D52*(1+EscalatorInLease)^3+((DATE(2027+3,4,30)-F52)/365.25)*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)))),0)</f>
        <v/>
      </c>
      <c r="R52" s="5">
        <f>IFERROR(IF(I52="LeaseUp",H52*D52*(1+GrowthMarketRent)^4*IF(4=0,(12-DowntimeNew)/12,1),IF(F52="",0,IF(F52&gt;=DATE(2027+4,4,30),G52*D52*(1+EscalatorInLease)^4,IF(F52&lt;DATE(2026+4,5,1),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,((F52-DATE(2026+4,5,1))/365.25)*G52*D52*(1+EscalatorInLease)^4+((DATE(2027+4,4,30)-F52)/365.25)*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)))),0)</f>
        <v/>
      </c>
      <c r="S52" s="5">
        <f>IFERROR(IF(I52="LeaseUp",H52*D52*(1+GrowthMarketRent)^5*IF(5=0,(12-DowntimeNew)/12,1),IF(F52="",0,IF(F52&gt;=DATE(2027+5,4,30),G52*D52*(1+EscalatorInLease)^5,IF(F52&lt;DATE(2026+5,5,1),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,((F52-DATE(2026+5,5,1))/365.25)*G52*D52*(1+EscalatorInLease)^5+((DATE(2027+5,4,30)-F52)/365.25)*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)))),0)</f>
        <v/>
      </c>
      <c r="T52" s="5">
        <f>IFERROR(IF(I52="LeaseUp",H52*D52*(1+GrowthMarketRent)^6*IF(6=0,(12-DowntimeNew)/12,1),IF(F52="",0,IF(F52&gt;=DATE(2027+6,4,30),G52*D52*(1+EscalatorInLease)^6,IF(F52&lt;DATE(2026+6,5,1),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,((F52-DATE(2026+6,5,1))/365.25)*G52*D52*(1+EscalatorInLease)^6+((DATE(2027+6,4,30)-F52)/365.25)*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)))),0)</f>
        <v/>
      </c>
      <c r="U52" s="5">
        <f>IFERROR(IF(I52="LeaseUp",H52*D52*(1+GrowthMarketRent)^7*IF(7=0,(12-DowntimeNew)/12,1),IF(F52="",0,IF(F52&gt;=DATE(2027+7,4,30),G52*D52*(1+EscalatorInLease)^7,IF(F52&lt;DATE(2026+7,5,1),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,((F52-DATE(2026+7,5,1))/365.25)*G52*D52*(1+EscalatorInLease)^7+((DATE(2027+7,4,30)-F52)/365.25)*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)))),0)</f>
        <v/>
      </c>
      <c r="V52" s="5">
        <f>IFERROR(IF(I52="LeaseUp",H52*D52*(1+GrowthMarketRent)^8*IF(8=0,(12-DowntimeNew)/12,1),IF(F52="",0,IF(F52&gt;=DATE(2027+8,4,30),G52*D52*(1+EscalatorInLease)^8,IF(F52&lt;DATE(2026+8,5,1),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,((F52-DATE(2026+8,5,1))/365.25)*G52*D52*(1+EscalatorInLease)^8+((DATE(2027+8,4,30)-F52)/365.25)*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)))),0)</f>
        <v/>
      </c>
      <c r="W52" s="5">
        <f>IFERROR(IF(I52="LeaseUp",H52*D52*(1+GrowthMarketRent)^9*IF(9=0,(12-DowntimeNew)/12,1),IF(F52="",0,IF(F52&gt;=DATE(2027+9,4,30),G52*D52*(1+EscalatorInLease)^9,IF(F52&lt;DATE(2026+9,5,1),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,((F52-DATE(2026+9,5,1))/365.25)*G52*D52*(1+EscalatorInLease)^9+((DATE(2027+9,4,30)-F52)/365.25)*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)))),0)</f>
        <v/>
      </c>
      <c r="X52" s="5">
        <f>IFERROR(IF(I52="LeaseUp",H52*D52*(1+GrowthMarketRent)^10*IF(10=0,(12-DowntimeNew)/12,1),IF(F52="",0,IF(F52&gt;=DATE(2027+10,4,30),G52*D52*(1+EscalatorInLease)^10,IF(F52&lt;DATE(2026+10,5,1),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,((F52-DATE(2026+10,5,1))/365.25)*G52*D52*(1+EscalatorInLease)^10+((DATE(2027+10,4,30)-F52)/365.25)*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)))),0)</f>
        <v/>
      </c>
      <c r="Y52" s="5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5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5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5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5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5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5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5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5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5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5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9" t="n">
        <v>2600</v>
      </c>
      <c r="E53" s="40" t="n">
        <v>45809</v>
      </c>
      <c r="F53" s="40" t="n">
        <v>47058</v>
      </c>
      <c r="G53" s="41" t="n">
        <v>19</v>
      </c>
      <c r="H53" s="10">
        <f>VLOOKUP(A53,MLA!$A$5:$L$11,3,FALSE)</f>
        <v/>
      </c>
      <c r="I53" s="25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7">
        <f>IF(E53="",0,(AnalysisStart-E53)/365.25)</f>
        <v/>
      </c>
      <c r="N53" s="5">
        <f>IFERROR(IF(I53="LeaseUp",H53*D53*(1+GrowthMarketRent)^0*IF(0=0,(12-DowntimeNew)/12,1),IF(F53="",0,IF(F53&gt;=DATE(2027+0,4,30),G53*D53*(1+EscalatorInLease)^0,IF(F53&lt;DATE(2026+0,5,1),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,((F53-DATE(2026+0,5,1))/365.25)*G53*D53*(1+EscalatorInLease)^0+((DATE(2027+0,4,30)-F53)/365.25)*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)))),0)</f>
        <v/>
      </c>
      <c r="O53" s="5">
        <f>IFERROR(IF(I53="LeaseUp",H53*D53*(1+GrowthMarketRent)^1*IF(1=0,(12-DowntimeNew)/12,1),IF(F53="",0,IF(F53&gt;=DATE(2027+1,4,30),G53*D53*(1+EscalatorInLease)^1,IF(F53&lt;DATE(2026+1,5,1),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,((F53-DATE(2026+1,5,1))/365.25)*G53*D53*(1+EscalatorInLease)^1+((DATE(2027+1,4,30)-F53)/365.25)*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)))),0)</f>
        <v/>
      </c>
      <c r="P53" s="5">
        <f>IFERROR(IF(I53="LeaseUp",H53*D53*(1+GrowthMarketRent)^2*IF(2=0,(12-DowntimeNew)/12,1),IF(F53="",0,IF(F53&gt;=DATE(2027+2,4,30),G53*D53*(1+EscalatorInLease)^2,IF(F53&lt;DATE(2026+2,5,1),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,((F53-DATE(2026+2,5,1))/365.25)*G53*D53*(1+EscalatorInLease)^2+((DATE(2027+2,4,30)-F53)/365.25)*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)))),0)</f>
        <v/>
      </c>
      <c r="Q53" s="5">
        <f>IFERROR(IF(I53="LeaseUp",H53*D53*(1+GrowthMarketRent)^3*IF(3=0,(12-DowntimeNew)/12,1),IF(F53="",0,IF(F53&gt;=DATE(2027+3,4,30),G53*D53*(1+EscalatorInLease)^3,IF(F53&lt;DATE(2026+3,5,1),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,((F53-DATE(2026+3,5,1))/365.25)*G53*D53*(1+EscalatorInLease)^3+((DATE(2027+3,4,30)-F53)/365.25)*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)))),0)</f>
        <v/>
      </c>
      <c r="R53" s="5">
        <f>IFERROR(IF(I53="LeaseUp",H53*D53*(1+GrowthMarketRent)^4*IF(4=0,(12-DowntimeNew)/12,1),IF(F53="",0,IF(F53&gt;=DATE(2027+4,4,30),G53*D53*(1+EscalatorInLease)^4,IF(F53&lt;DATE(2026+4,5,1),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,((F53-DATE(2026+4,5,1))/365.25)*G53*D53*(1+EscalatorInLease)^4+((DATE(2027+4,4,30)-F53)/365.25)*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)))),0)</f>
        <v/>
      </c>
      <c r="S53" s="5">
        <f>IFERROR(IF(I53="LeaseUp",H53*D53*(1+GrowthMarketRent)^5*IF(5=0,(12-DowntimeNew)/12,1),IF(F53="",0,IF(F53&gt;=DATE(2027+5,4,30),G53*D53*(1+EscalatorInLease)^5,IF(F53&lt;DATE(2026+5,5,1),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,((F53-DATE(2026+5,5,1))/365.25)*G53*D53*(1+EscalatorInLease)^5+((DATE(2027+5,4,30)-F53)/365.25)*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)))),0)</f>
        <v/>
      </c>
      <c r="T53" s="5">
        <f>IFERROR(IF(I53="LeaseUp",H53*D53*(1+GrowthMarketRent)^6*IF(6=0,(12-DowntimeNew)/12,1),IF(F53="",0,IF(F53&gt;=DATE(2027+6,4,30),G53*D53*(1+EscalatorInLease)^6,IF(F53&lt;DATE(2026+6,5,1),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,((F53-DATE(2026+6,5,1))/365.25)*G53*D53*(1+EscalatorInLease)^6+((DATE(2027+6,4,30)-F53)/365.25)*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)))),0)</f>
        <v/>
      </c>
      <c r="U53" s="5">
        <f>IFERROR(IF(I53="LeaseUp",H53*D53*(1+GrowthMarketRent)^7*IF(7=0,(12-DowntimeNew)/12,1),IF(F53="",0,IF(F53&gt;=DATE(2027+7,4,30),G53*D53*(1+EscalatorInLease)^7,IF(F53&lt;DATE(2026+7,5,1),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,((F53-DATE(2026+7,5,1))/365.25)*G53*D53*(1+EscalatorInLease)^7+((DATE(2027+7,4,30)-F53)/365.25)*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)))),0)</f>
        <v/>
      </c>
      <c r="V53" s="5">
        <f>IFERROR(IF(I53="LeaseUp",H53*D53*(1+GrowthMarketRent)^8*IF(8=0,(12-DowntimeNew)/12,1),IF(F53="",0,IF(F53&gt;=DATE(2027+8,4,30),G53*D53*(1+EscalatorInLease)^8,IF(F53&lt;DATE(2026+8,5,1),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,((F53-DATE(2026+8,5,1))/365.25)*G53*D53*(1+EscalatorInLease)^8+((DATE(2027+8,4,30)-F53)/365.25)*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)))),0)</f>
        <v/>
      </c>
      <c r="W53" s="5">
        <f>IFERROR(IF(I53="LeaseUp",H53*D53*(1+GrowthMarketRent)^9*IF(9=0,(12-DowntimeNew)/12,1),IF(F53="",0,IF(F53&gt;=DATE(2027+9,4,30),G53*D53*(1+EscalatorInLease)^9,IF(F53&lt;DATE(2026+9,5,1),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,((F53-DATE(2026+9,5,1))/365.25)*G53*D53*(1+EscalatorInLease)^9+((DATE(2027+9,4,30)-F53)/365.25)*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)))),0)</f>
        <v/>
      </c>
      <c r="X53" s="5">
        <f>IFERROR(IF(I53="LeaseUp",H53*D53*(1+GrowthMarketRent)^10*IF(10=0,(12-DowntimeNew)/12,1),IF(F53="",0,IF(F53&gt;=DATE(2027+10,4,30),G53*D53*(1+EscalatorInLease)^10,IF(F53&lt;DATE(2026+10,5,1),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,((F53-DATE(2026+10,5,1))/365.25)*G53*D53*(1+EscalatorInLease)^10+((DATE(2027+10,4,30)-F53)/365.25)*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)))),0)</f>
        <v/>
      </c>
      <c r="Y53" s="5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5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5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5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5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5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5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5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5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5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5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9" t="n">
        <v>2600</v>
      </c>
      <c r="E54" s="40" t="n">
        <v>45809</v>
      </c>
      <c r="F54" s="40" t="n">
        <v>47058</v>
      </c>
      <c r="G54" s="41" t="n">
        <v>19</v>
      </c>
      <c r="H54" s="10">
        <f>VLOOKUP(A54,MLA!$A$5:$L$11,3,FALSE)</f>
        <v/>
      </c>
      <c r="I54" s="25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7">
        <f>IF(E54="",0,(AnalysisStart-E54)/365.25)</f>
        <v/>
      </c>
      <c r="N54" s="5">
        <f>IFERROR(IF(I54="LeaseUp",H54*D54*(1+GrowthMarketRent)^0*IF(0=0,(12-DowntimeNew)/12,1),IF(F54="",0,IF(F54&gt;=DATE(2027+0,4,30),G54*D54*(1+EscalatorInLease)^0,IF(F54&lt;DATE(2026+0,5,1),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,((F54-DATE(2026+0,5,1))/365.25)*G54*D54*(1+EscalatorInLease)^0+((DATE(2027+0,4,30)-F54)/365.25)*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)))),0)</f>
        <v/>
      </c>
      <c r="O54" s="5">
        <f>IFERROR(IF(I54="LeaseUp",H54*D54*(1+GrowthMarketRent)^1*IF(1=0,(12-DowntimeNew)/12,1),IF(F54="",0,IF(F54&gt;=DATE(2027+1,4,30),G54*D54*(1+EscalatorInLease)^1,IF(F54&lt;DATE(2026+1,5,1),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,((F54-DATE(2026+1,5,1))/365.25)*G54*D54*(1+EscalatorInLease)^1+((DATE(2027+1,4,30)-F54)/365.25)*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)))),0)</f>
        <v/>
      </c>
      <c r="P54" s="5">
        <f>IFERROR(IF(I54="LeaseUp",H54*D54*(1+GrowthMarketRent)^2*IF(2=0,(12-DowntimeNew)/12,1),IF(F54="",0,IF(F54&gt;=DATE(2027+2,4,30),G54*D54*(1+EscalatorInLease)^2,IF(F54&lt;DATE(2026+2,5,1),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,((F54-DATE(2026+2,5,1))/365.25)*G54*D54*(1+EscalatorInLease)^2+((DATE(2027+2,4,30)-F54)/365.25)*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)))),0)</f>
        <v/>
      </c>
      <c r="Q54" s="5">
        <f>IFERROR(IF(I54="LeaseUp",H54*D54*(1+GrowthMarketRent)^3*IF(3=0,(12-DowntimeNew)/12,1),IF(F54="",0,IF(F54&gt;=DATE(2027+3,4,30),G54*D54*(1+EscalatorInLease)^3,IF(F54&lt;DATE(2026+3,5,1),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,((F54-DATE(2026+3,5,1))/365.25)*G54*D54*(1+EscalatorInLease)^3+((DATE(2027+3,4,30)-F54)/365.25)*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)))),0)</f>
        <v/>
      </c>
      <c r="R54" s="5">
        <f>IFERROR(IF(I54="LeaseUp",H54*D54*(1+GrowthMarketRent)^4*IF(4=0,(12-DowntimeNew)/12,1),IF(F54="",0,IF(F54&gt;=DATE(2027+4,4,30),G54*D54*(1+EscalatorInLease)^4,IF(F54&lt;DATE(2026+4,5,1),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,((F54-DATE(2026+4,5,1))/365.25)*G54*D54*(1+EscalatorInLease)^4+((DATE(2027+4,4,30)-F54)/365.25)*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)))),0)</f>
        <v/>
      </c>
      <c r="S54" s="5">
        <f>IFERROR(IF(I54="LeaseUp",H54*D54*(1+GrowthMarketRent)^5*IF(5=0,(12-DowntimeNew)/12,1),IF(F54="",0,IF(F54&gt;=DATE(2027+5,4,30),G54*D54*(1+EscalatorInLease)^5,IF(F54&lt;DATE(2026+5,5,1),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,((F54-DATE(2026+5,5,1))/365.25)*G54*D54*(1+EscalatorInLease)^5+((DATE(2027+5,4,30)-F54)/365.25)*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)))),0)</f>
        <v/>
      </c>
      <c r="T54" s="5">
        <f>IFERROR(IF(I54="LeaseUp",H54*D54*(1+GrowthMarketRent)^6*IF(6=0,(12-DowntimeNew)/12,1),IF(F54="",0,IF(F54&gt;=DATE(2027+6,4,30),G54*D54*(1+EscalatorInLease)^6,IF(F54&lt;DATE(2026+6,5,1),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,((F54-DATE(2026+6,5,1))/365.25)*G54*D54*(1+EscalatorInLease)^6+((DATE(2027+6,4,30)-F54)/365.25)*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)))),0)</f>
        <v/>
      </c>
      <c r="U54" s="5">
        <f>IFERROR(IF(I54="LeaseUp",H54*D54*(1+GrowthMarketRent)^7*IF(7=0,(12-DowntimeNew)/12,1),IF(F54="",0,IF(F54&gt;=DATE(2027+7,4,30),G54*D54*(1+EscalatorInLease)^7,IF(F54&lt;DATE(2026+7,5,1),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,((F54-DATE(2026+7,5,1))/365.25)*G54*D54*(1+EscalatorInLease)^7+((DATE(2027+7,4,30)-F54)/365.25)*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)))),0)</f>
        <v/>
      </c>
      <c r="V54" s="5">
        <f>IFERROR(IF(I54="LeaseUp",H54*D54*(1+GrowthMarketRent)^8*IF(8=0,(12-DowntimeNew)/12,1),IF(F54="",0,IF(F54&gt;=DATE(2027+8,4,30),G54*D54*(1+EscalatorInLease)^8,IF(F54&lt;DATE(2026+8,5,1),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,((F54-DATE(2026+8,5,1))/365.25)*G54*D54*(1+EscalatorInLease)^8+((DATE(2027+8,4,30)-F54)/365.25)*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)))),0)</f>
        <v/>
      </c>
      <c r="W54" s="5">
        <f>IFERROR(IF(I54="LeaseUp",H54*D54*(1+GrowthMarketRent)^9*IF(9=0,(12-DowntimeNew)/12,1),IF(F54="",0,IF(F54&gt;=DATE(2027+9,4,30),G54*D54*(1+EscalatorInLease)^9,IF(F54&lt;DATE(2026+9,5,1),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,((F54-DATE(2026+9,5,1))/365.25)*G54*D54*(1+EscalatorInLease)^9+((DATE(2027+9,4,30)-F54)/365.25)*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)))),0)</f>
        <v/>
      </c>
      <c r="X54" s="5">
        <f>IFERROR(IF(I54="LeaseUp",H54*D54*(1+GrowthMarketRent)^10*IF(10=0,(12-DowntimeNew)/12,1),IF(F54="",0,IF(F54&gt;=DATE(2027+10,4,30),G54*D54*(1+EscalatorInLease)^10,IF(F54&lt;DATE(2026+10,5,1),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,((F54-DATE(2026+10,5,1))/365.25)*G54*D54*(1+EscalatorInLease)^10+((DATE(2027+10,4,30)-F54)/365.25)*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)))),0)</f>
        <v/>
      </c>
      <c r="Y54" s="5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5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5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5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5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5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5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5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5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5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5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9" t="n">
        <v>2600</v>
      </c>
      <c r="E55" s="40" t="n">
        <v>45748</v>
      </c>
      <c r="F55" s="40" t="n">
        <v>46997</v>
      </c>
      <c r="G55" s="41" t="n">
        <v>18.45</v>
      </c>
      <c r="H55" s="10">
        <f>VLOOKUP(A55,MLA!$A$5:$L$11,3,FALSE)</f>
        <v/>
      </c>
      <c r="I55" s="25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7">
        <f>IF(E55="",0,(AnalysisStart-E55)/365.25)</f>
        <v/>
      </c>
      <c r="N55" s="5">
        <f>IFERROR(IF(I55="LeaseUp",H55*D55*(1+GrowthMarketRent)^0*IF(0=0,(12-DowntimeNew)/12,1),IF(F55="",0,IF(F55&gt;=DATE(2027+0,4,30),G55*D55*(1+EscalatorInLease)^0,IF(F55&lt;DATE(2026+0,5,1),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,((F55-DATE(2026+0,5,1))/365.25)*G55*D55*(1+EscalatorInLease)^0+((DATE(2027+0,4,30)-F55)/365.25)*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)))),0)</f>
        <v/>
      </c>
      <c r="O55" s="5">
        <f>IFERROR(IF(I55="LeaseUp",H55*D55*(1+GrowthMarketRent)^1*IF(1=0,(12-DowntimeNew)/12,1),IF(F55="",0,IF(F55&gt;=DATE(2027+1,4,30),G55*D55*(1+EscalatorInLease)^1,IF(F55&lt;DATE(2026+1,5,1),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,((F55-DATE(2026+1,5,1))/365.25)*G55*D55*(1+EscalatorInLease)^1+((DATE(2027+1,4,30)-F55)/365.25)*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)))),0)</f>
        <v/>
      </c>
      <c r="P55" s="5">
        <f>IFERROR(IF(I55="LeaseUp",H55*D55*(1+GrowthMarketRent)^2*IF(2=0,(12-DowntimeNew)/12,1),IF(F55="",0,IF(F55&gt;=DATE(2027+2,4,30),G55*D55*(1+EscalatorInLease)^2,IF(F55&lt;DATE(2026+2,5,1),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,((F55-DATE(2026+2,5,1))/365.25)*G55*D55*(1+EscalatorInLease)^2+((DATE(2027+2,4,30)-F55)/365.25)*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)))),0)</f>
        <v/>
      </c>
      <c r="Q55" s="5">
        <f>IFERROR(IF(I55="LeaseUp",H55*D55*(1+GrowthMarketRent)^3*IF(3=0,(12-DowntimeNew)/12,1),IF(F55="",0,IF(F55&gt;=DATE(2027+3,4,30),G55*D55*(1+EscalatorInLease)^3,IF(F55&lt;DATE(2026+3,5,1),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,((F55-DATE(2026+3,5,1))/365.25)*G55*D55*(1+EscalatorInLease)^3+((DATE(2027+3,4,30)-F55)/365.25)*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)))),0)</f>
        <v/>
      </c>
      <c r="R55" s="5">
        <f>IFERROR(IF(I55="LeaseUp",H55*D55*(1+GrowthMarketRent)^4*IF(4=0,(12-DowntimeNew)/12,1),IF(F55="",0,IF(F55&gt;=DATE(2027+4,4,30),G55*D55*(1+EscalatorInLease)^4,IF(F55&lt;DATE(2026+4,5,1),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,((F55-DATE(2026+4,5,1))/365.25)*G55*D55*(1+EscalatorInLease)^4+((DATE(2027+4,4,30)-F55)/365.25)*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)))),0)</f>
        <v/>
      </c>
      <c r="S55" s="5">
        <f>IFERROR(IF(I55="LeaseUp",H55*D55*(1+GrowthMarketRent)^5*IF(5=0,(12-DowntimeNew)/12,1),IF(F55="",0,IF(F55&gt;=DATE(2027+5,4,30),G55*D55*(1+EscalatorInLease)^5,IF(F55&lt;DATE(2026+5,5,1),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,((F55-DATE(2026+5,5,1))/365.25)*G55*D55*(1+EscalatorInLease)^5+((DATE(2027+5,4,30)-F55)/365.25)*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)))),0)</f>
        <v/>
      </c>
      <c r="T55" s="5">
        <f>IFERROR(IF(I55="LeaseUp",H55*D55*(1+GrowthMarketRent)^6*IF(6=0,(12-DowntimeNew)/12,1),IF(F55="",0,IF(F55&gt;=DATE(2027+6,4,30),G55*D55*(1+EscalatorInLease)^6,IF(F55&lt;DATE(2026+6,5,1),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,((F55-DATE(2026+6,5,1))/365.25)*G55*D55*(1+EscalatorInLease)^6+((DATE(2027+6,4,30)-F55)/365.25)*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)))),0)</f>
        <v/>
      </c>
      <c r="U55" s="5">
        <f>IFERROR(IF(I55="LeaseUp",H55*D55*(1+GrowthMarketRent)^7*IF(7=0,(12-DowntimeNew)/12,1),IF(F55="",0,IF(F55&gt;=DATE(2027+7,4,30),G55*D55*(1+EscalatorInLease)^7,IF(F55&lt;DATE(2026+7,5,1),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,((F55-DATE(2026+7,5,1))/365.25)*G55*D55*(1+EscalatorInLease)^7+((DATE(2027+7,4,30)-F55)/365.25)*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)))),0)</f>
        <v/>
      </c>
      <c r="V55" s="5">
        <f>IFERROR(IF(I55="LeaseUp",H55*D55*(1+GrowthMarketRent)^8*IF(8=0,(12-DowntimeNew)/12,1),IF(F55="",0,IF(F55&gt;=DATE(2027+8,4,30),G55*D55*(1+EscalatorInLease)^8,IF(F55&lt;DATE(2026+8,5,1),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,((F55-DATE(2026+8,5,1))/365.25)*G55*D55*(1+EscalatorInLease)^8+((DATE(2027+8,4,30)-F55)/365.25)*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)))),0)</f>
        <v/>
      </c>
      <c r="W55" s="5">
        <f>IFERROR(IF(I55="LeaseUp",H55*D55*(1+GrowthMarketRent)^9*IF(9=0,(12-DowntimeNew)/12,1),IF(F55="",0,IF(F55&gt;=DATE(2027+9,4,30),G55*D55*(1+EscalatorInLease)^9,IF(F55&lt;DATE(2026+9,5,1),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,((F55-DATE(2026+9,5,1))/365.25)*G55*D55*(1+EscalatorInLease)^9+((DATE(2027+9,4,30)-F55)/365.25)*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)))),0)</f>
        <v/>
      </c>
      <c r="X55" s="5">
        <f>IFERROR(IF(I55="LeaseUp",H55*D55*(1+GrowthMarketRent)^10*IF(10=0,(12-DowntimeNew)/12,1),IF(F55="",0,IF(F55&gt;=DATE(2027+10,4,30),G55*D55*(1+EscalatorInLease)^10,IF(F55&lt;DATE(2026+10,5,1),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,((F55-DATE(2026+10,5,1))/365.25)*G55*D55*(1+EscalatorInLease)^10+((DATE(2027+10,4,30)-F55)/365.25)*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)))),0)</f>
        <v/>
      </c>
      <c r="Y55" s="5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5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5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5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5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5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5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5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5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5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5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9" t="n">
        <v>2600</v>
      </c>
      <c r="E56" s="40" t="n">
        <v>45748</v>
      </c>
      <c r="F56" s="40" t="n">
        <v>46997</v>
      </c>
      <c r="G56" s="41" t="n">
        <v>17.425</v>
      </c>
      <c r="H56" s="10">
        <f>VLOOKUP(A56,MLA!$A$5:$L$11,3,FALSE)</f>
        <v/>
      </c>
      <c r="I56" s="25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7">
        <f>IF(E56="",0,(AnalysisStart-E56)/365.25)</f>
        <v/>
      </c>
      <c r="N56" s="5">
        <f>IFERROR(IF(I56="LeaseUp",H56*D56*(1+GrowthMarketRent)^0*IF(0=0,(12-DowntimeNew)/12,1),IF(F56="",0,IF(F56&gt;=DATE(2027+0,4,30),G56*D56*(1+EscalatorInLease)^0,IF(F56&lt;DATE(2026+0,5,1),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,((F56-DATE(2026+0,5,1))/365.25)*G56*D56*(1+EscalatorInLease)^0+((DATE(2027+0,4,30)-F56)/365.25)*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)))),0)</f>
        <v/>
      </c>
      <c r="O56" s="5">
        <f>IFERROR(IF(I56="LeaseUp",H56*D56*(1+GrowthMarketRent)^1*IF(1=0,(12-DowntimeNew)/12,1),IF(F56="",0,IF(F56&gt;=DATE(2027+1,4,30),G56*D56*(1+EscalatorInLease)^1,IF(F56&lt;DATE(2026+1,5,1),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,((F56-DATE(2026+1,5,1))/365.25)*G56*D56*(1+EscalatorInLease)^1+((DATE(2027+1,4,30)-F56)/365.25)*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)))),0)</f>
        <v/>
      </c>
      <c r="P56" s="5">
        <f>IFERROR(IF(I56="LeaseUp",H56*D56*(1+GrowthMarketRent)^2*IF(2=0,(12-DowntimeNew)/12,1),IF(F56="",0,IF(F56&gt;=DATE(2027+2,4,30),G56*D56*(1+EscalatorInLease)^2,IF(F56&lt;DATE(2026+2,5,1),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,((F56-DATE(2026+2,5,1))/365.25)*G56*D56*(1+EscalatorInLease)^2+((DATE(2027+2,4,30)-F56)/365.25)*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)))),0)</f>
        <v/>
      </c>
      <c r="Q56" s="5">
        <f>IFERROR(IF(I56="LeaseUp",H56*D56*(1+GrowthMarketRent)^3*IF(3=0,(12-DowntimeNew)/12,1),IF(F56="",0,IF(F56&gt;=DATE(2027+3,4,30),G56*D56*(1+EscalatorInLease)^3,IF(F56&lt;DATE(2026+3,5,1),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,((F56-DATE(2026+3,5,1))/365.25)*G56*D56*(1+EscalatorInLease)^3+((DATE(2027+3,4,30)-F56)/365.25)*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)))),0)</f>
        <v/>
      </c>
      <c r="R56" s="5">
        <f>IFERROR(IF(I56="LeaseUp",H56*D56*(1+GrowthMarketRent)^4*IF(4=0,(12-DowntimeNew)/12,1),IF(F56="",0,IF(F56&gt;=DATE(2027+4,4,30),G56*D56*(1+EscalatorInLease)^4,IF(F56&lt;DATE(2026+4,5,1),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,((F56-DATE(2026+4,5,1))/365.25)*G56*D56*(1+EscalatorInLease)^4+((DATE(2027+4,4,30)-F56)/365.25)*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)))),0)</f>
        <v/>
      </c>
      <c r="S56" s="5">
        <f>IFERROR(IF(I56="LeaseUp",H56*D56*(1+GrowthMarketRent)^5*IF(5=0,(12-DowntimeNew)/12,1),IF(F56="",0,IF(F56&gt;=DATE(2027+5,4,30),G56*D56*(1+EscalatorInLease)^5,IF(F56&lt;DATE(2026+5,5,1),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,((F56-DATE(2026+5,5,1))/365.25)*G56*D56*(1+EscalatorInLease)^5+((DATE(2027+5,4,30)-F56)/365.25)*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)))),0)</f>
        <v/>
      </c>
      <c r="T56" s="5">
        <f>IFERROR(IF(I56="LeaseUp",H56*D56*(1+GrowthMarketRent)^6*IF(6=0,(12-DowntimeNew)/12,1),IF(F56="",0,IF(F56&gt;=DATE(2027+6,4,30),G56*D56*(1+EscalatorInLease)^6,IF(F56&lt;DATE(2026+6,5,1),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,((F56-DATE(2026+6,5,1))/365.25)*G56*D56*(1+EscalatorInLease)^6+((DATE(2027+6,4,30)-F56)/365.25)*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)))),0)</f>
        <v/>
      </c>
      <c r="U56" s="5">
        <f>IFERROR(IF(I56="LeaseUp",H56*D56*(1+GrowthMarketRent)^7*IF(7=0,(12-DowntimeNew)/12,1),IF(F56="",0,IF(F56&gt;=DATE(2027+7,4,30),G56*D56*(1+EscalatorInLease)^7,IF(F56&lt;DATE(2026+7,5,1),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,((F56-DATE(2026+7,5,1))/365.25)*G56*D56*(1+EscalatorInLease)^7+((DATE(2027+7,4,30)-F56)/365.25)*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)))),0)</f>
        <v/>
      </c>
      <c r="V56" s="5">
        <f>IFERROR(IF(I56="LeaseUp",H56*D56*(1+GrowthMarketRent)^8*IF(8=0,(12-DowntimeNew)/12,1),IF(F56="",0,IF(F56&gt;=DATE(2027+8,4,30),G56*D56*(1+EscalatorInLease)^8,IF(F56&lt;DATE(2026+8,5,1),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,((F56-DATE(2026+8,5,1))/365.25)*G56*D56*(1+EscalatorInLease)^8+((DATE(2027+8,4,30)-F56)/365.25)*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)))),0)</f>
        <v/>
      </c>
      <c r="W56" s="5">
        <f>IFERROR(IF(I56="LeaseUp",H56*D56*(1+GrowthMarketRent)^9*IF(9=0,(12-DowntimeNew)/12,1),IF(F56="",0,IF(F56&gt;=DATE(2027+9,4,30),G56*D56*(1+EscalatorInLease)^9,IF(F56&lt;DATE(2026+9,5,1),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,((F56-DATE(2026+9,5,1))/365.25)*G56*D56*(1+EscalatorInLease)^9+((DATE(2027+9,4,30)-F56)/365.25)*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)))),0)</f>
        <v/>
      </c>
      <c r="X56" s="5">
        <f>IFERROR(IF(I56="LeaseUp",H56*D56*(1+GrowthMarketRent)^10*IF(10=0,(12-DowntimeNew)/12,1),IF(F56="",0,IF(F56&gt;=DATE(2027+10,4,30),G56*D56*(1+EscalatorInLease)^10,IF(F56&lt;DATE(2026+10,5,1),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,((F56-DATE(2026+10,5,1))/365.25)*G56*D56*(1+EscalatorInLease)^10+((DATE(2027+10,4,30)-F56)/365.25)*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)))),0)</f>
        <v/>
      </c>
      <c r="Y56" s="5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5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5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5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5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5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5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5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5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5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5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9" t="n">
        <v>2600</v>
      </c>
      <c r="E57" s="40" t="n">
        <v>45778</v>
      </c>
      <c r="F57" s="40" t="n">
        <v>47027</v>
      </c>
      <c r="G57" s="41" t="n">
        <v>18.45</v>
      </c>
      <c r="H57" s="10">
        <f>VLOOKUP(A57,MLA!$A$5:$L$11,3,FALSE)</f>
        <v/>
      </c>
      <c r="I57" s="25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7">
        <f>IF(E57="",0,(AnalysisStart-E57)/365.25)</f>
        <v/>
      </c>
      <c r="N57" s="5">
        <f>IFERROR(IF(I57="LeaseUp",H57*D57*(1+GrowthMarketRent)^0*IF(0=0,(12-DowntimeNew)/12,1),IF(F57="",0,IF(F57&gt;=DATE(2027+0,4,30),G57*D57*(1+EscalatorInLease)^0,IF(F57&lt;DATE(2026+0,5,1),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,((F57-DATE(2026+0,5,1))/365.25)*G57*D57*(1+EscalatorInLease)^0+((DATE(2027+0,4,30)-F57)/365.25)*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)))),0)</f>
        <v/>
      </c>
      <c r="O57" s="5">
        <f>IFERROR(IF(I57="LeaseUp",H57*D57*(1+GrowthMarketRent)^1*IF(1=0,(12-DowntimeNew)/12,1),IF(F57="",0,IF(F57&gt;=DATE(2027+1,4,30),G57*D57*(1+EscalatorInLease)^1,IF(F57&lt;DATE(2026+1,5,1),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,((F57-DATE(2026+1,5,1))/365.25)*G57*D57*(1+EscalatorInLease)^1+((DATE(2027+1,4,30)-F57)/365.25)*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)))),0)</f>
        <v/>
      </c>
      <c r="P57" s="5">
        <f>IFERROR(IF(I57="LeaseUp",H57*D57*(1+GrowthMarketRent)^2*IF(2=0,(12-DowntimeNew)/12,1),IF(F57="",0,IF(F57&gt;=DATE(2027+2,4,30),G57*D57*(1+EscalatorInLease)^2,IF(F57&lt;DATE(2026+2,5,1),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,((F57-DATE(2026+2,5,1))/365.25)*G57*D57*(1+EscalatorInLease)^2+((DATE(2027+2,4,30)-F57)/365.25)*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)))),0)</f>
        <v/>
      </c>
      <c r="Q57" s="5">
        <f>IFERROR(IF(I57="LeaseUp",H57*D57*(1+GrowthMarketRent)^3*IF(3=0,(12-DowntimeNew)/12,1),IF(F57="",0,IF(F57&gt;=DATE(2027+3,4,30),G57*D57*(1+EscalatorInLease)^3,IF(F57&lt;DATE(2026+3,5,1),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,((F57-DATE(2026+3,5,1))/365.25)*G57*D57*(1+EscalatorInLease)^3+((DATE(2027+3,4,30)-F57)/365.25)*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)))),0)</f>
        <v/>
      </c>
      <c r="R57" s="5">
        <f>IFERROR(IF(I57="LeaseUp",H57*D57*(1+GrowthMarketRent)^4*IF(4=0,(12-DowntimeNew)/12,1),IF(F57="",0,IF(F57&gt;=DATE(2027+4,4,30),G57*D57*(1+EscalatorInLease)^4,IF(F57&lt;DATE(2026+4,5,1),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,((F57-DATE(2026+4,5,1))/365.25)*G57*D57*(1+EscalatorInLease)^4+((DATE(2027+4,4,30)-F57)/365.25)*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)))),0)</f>
        <v/>
      </c>
      <c r="S57" s="5">
        <f>IFERROR(IF(I57="LeaseUp",H57*D57*(1+GrowthMarketRent)^5*IF(5=0,(12-DowntimeNew)/12,1),IF(F57="",0,IF(F57&gt;=DATE(2027+5,4,30),G57*D57*(1+EscalatorInLease)^5,IF(F57&lt;DATE(2026+5,5,1),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,((F57-DATE(2026+5,5,1))/365.25)*G57*D57*(1+EscalatorInLease)^5+((DATE(2027+5,4,30)-F57)/365.25)*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)))),0)</f>
        <v/>
      </c>
      <c r="T57" s="5">
        <f>IFERROR(IF(I57="LeaseUp",H57*D57*(1+GrowthMarketRent)^6*IF(6=0,(12-DowntimeNew)/12,1),IF(F57="",0,IF(F57&gt;=DATE(2027+6,4,30),G57*D57*(1+EscalatorInLease)^6,IF(F57&lt;DATE(2026+6,5,1),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,((F57-DATE(2026+6,5,1))/365.25)*G57*D57*(1+EscalatorInLease)^6+((DATE(2027+6,4,30)-F57)/365.25)*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)))),0)</f>
        <v/>
      </c>
      <c r="U57" s="5">
        <f>IFERROR(IF(I57="LeaseUp",H57*D57*(1+GrowthMarketRent)^7*IF(7=0,(12-DowntimeNew)/12,1),IF(F57="",0,IF(F57&gt;=DATE(2027+7,4,30),G57*D57*(1+EscalatorInLease)^7,IF(F57&lt;DATE(2026+7,5,1),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,((F57-DATE(2026+7,5,1))/365.25)*G57*D57*(1+EscalatorInLease)^7+((DATE(2027+7,4,30)-F57)/365.25)*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)))),0)</f>
        <v/>
      </c>
      <c r="V57" s="5">
        <f>IFERROR(IF(I57="LeaseUp",H57*D57*(1+GrowthMarketRent)^8*IF(8=0,(12-DowntimeNew)/12,1),IF(F57="",0,IF(F57&gt;=DATE(2027+8,4,30),G57*D57*(1+EscalatorInLease)^8,IF(F57&lt;DATE(2026+8,5,1),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,((F57-DATE(2026+8,5,1))/365.25)*G57*D57*(1+EscalatorInLease)^8+((DATE(2027+8,4,30)-F57)/365.25)*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)))),0)</f>
        <v/>
      </c>
      <c r="W57" s="5">
        <f>IFERROR(IF(I57="LeaseUp",H57*D57*(1+GrowthMarketRent)^9*IF(9=0,(12-DowntimeNew)/12,1),IF(F57="",0,IF(F57&gt;=DATE(2027+9,4,30),G57*D57*(1+EscalatorInLease)^9,IF(F57&lt;DATE(2026+9,5,1),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,((F57-DATE(2026+9,5,1))/365.25)*G57*D57*(1+EscalatorInLease)^9+((DATE(2027+9,4,30)-F57)/365.25)*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)))),0)</f>
        <v/>
      </c>
      <c r="X57" s="5">
        <f>IFERROR(IF(I57="LeaseUp",H57*D57*(1+GrowthMarketRent)^10*IF(10=0,(12-DowntimeNew)/12,1),IF(F57="",0,IF(F57&gt;=DATE(2027+10,4,30),G57*D57*(1+EscalatorInLease)^10,IF(F57&lt;DATE(2026+10,5,1),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,((F57-DATE(2026+10,5,1))/365.25)*G57*D57*(1+EscalatorInLease)^10+((DATE(2027+10,4,30)-F57)/365.25)*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)))),0)</f>
        <v/>
      </c>
      <c r="Y57" s="5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5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5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5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5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5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5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5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5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5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5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9" t="n">
        <v>2600</v>
      </c>
      <c r="E58" s="40" t="n">
        <v>45748</v>
      </c>
      <c r="F58" s="40" t="n">
        <v>47543</v>
      </c>
      <c r="G58" s="41" t="n">
        <v>16.9126923076923</v>
      </c>
      <c r="H58" s="10">
        <f>VLOOKUP(A58,MLA!$A$5:$L$11,3,FALSE)</f>
        <v/>
      </c>
      <c r="I58" s="25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7">
        <f>IF(E58="",0,(AnalysisStart-E58)/365.25)</f>
        <v/>
      </c>
      <c r="N58" s="5">
        <f>IFERROR(IF(I58="LeaseUp",H58*D58*(1+GrowthMarketRent)^0*IF(0=0,(12-DowntimeNew)/12,1),IF(F58="",0,IF(F58&gt;=DATE(2027+0,4,30),G58*D58*(1+EscalatorInLease)^0,IF(F58&lt;DATE(2026+0,5,1),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,((F58-DATE(2026+0,5,1))/365.25)*G58*D58*(1+EscalatorInLease)^0+((DATE(2027+0,4,30)-F58)/365.25)*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)))),0)</f>
        <v/>
      </c>
      <c r="O58" s="5">
        <f>IFERROR(IF(I58="LeaseUp",H58*D58*(1+GrowthMarketRent)^1*IF(1=0,(12-DowntimeNew)/12,1),IF(F58="",0,IF(F58&gt;=DATE(2027+1,4,30),G58*D58*(1+EscalatorInLease)^1,IF(F58&lt;DATE(2026+1,5,1),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,((F58-DATE(2026+1,5,1))/365.25)*G58*D58*(1+EscalatorInLease)^1+((DATE(2027+1,4,30)-F58)/365.25)*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)))),0)</f>
        <v/>
      </c>
      <c r="P58" s="5">
        <f>IFERROR(IF(I58="LeaseUp",H58*D58*(1+GrowthMarketRent)^2*IF(2=0,(12-DowntimeNew)/12,1),IF(F58="",0,IF(F58&gt;=DATE(2027+2,4,30),G58*D58*(1+EscalatorInLease)^2,IF(F58&lt;DATE(2026+2,5,1),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,((F58-DATE(2026+2,5,1))/365.25)*G58*D58*(1+EscalatorInLease)^2+((DATE(2027+2,4,30)-F58)/365.25)*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)))),0)</f>
        <v/>
      </c>
      <c r="Q58" s="5">
        <f>IFERROR(IF(I58="LeaseUp",H58*D58*(1+GrowthMarketRent)^3*IF(3=0,(12-DowntimeNew)/12,1),IF(F58="",0,IF(F58&gt;=DATE(2027+3,4,30),G58*D58*(1+EscalatorInLease)^3,IF(F58&lt;DATE(2026+3,5,1),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,((F58-DATE(2026+3,5,1))/365.25)*G58*D58*(1+EscalatorInLease)^3+((DATE(2027+3,4,30)-F58)/365.25)*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)))),0)</f>
        <v/>
      </c>
      <c r="R58" s="5">
        <f>IFERROR(IF(I58="LeaseUp",H58*D58*(1+GrowthMarketRent)^4*IF(4=0,(12-DowntimeNew)/12,1),IF(F58="",0,IF(F58&gt;=DATE(2027+4,4,30),G58*D58*(1+EscalatorInLease)^4,IF(F58&lt;DATE(2026+4,5,1),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,((F58-DATE(2026+4,5,1))/365.25)*G58*D58*(1+EscalatorInLease)^4+((DATE(2027+4,4,30)-F58)/365.25)*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)))),0)</f>
        <v/>
      </c>
      <c r="S58" s="5">
        <f>IFERROR(IF(I58="LeaseUp",H58*D58*(1+GrowthMarketRent)^5*IF(5=0,(12-DowntimeNew)/12,1),IF(F58="",0,IF(F58&gt;=DATE(2027+5,4,30),G58*D58*(1+EscalatorInLease)^5,IF(F58&lt;DATE(2026+5,5,1),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,((F58-DATE(2026+5,5,1))/365.25)*G58*D58*(1+EscalatorInLease)^5+((DATE(2027+5,4,30)-F58)/365.25)*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)))),0)</f>
        <v/>
      </c>
      <c r="T58" s="5">
        <f>IFERROR(IF(I58="LeaseUp",H58*D58*(1+GrowthMarketRent)^6*IF(6=0,(12-DowntimeNew)/12,1),IF(F58="",0,IF(F58&gt;=DATE(2027+6,4,30),G58*D58*(1+EscalatorInLease)^6,IF(F58&lt;DATE(2026+6,5,1),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,((F58-DATE(2026+6,5,1))/365.25)*G58*D58*(1+EscalatorInLease)^6+((DATE(2027+6,4,30)-F58)/365.25)*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)))),0)</f>
        <v/>
      </c>
      <c r="U58" s="5">
        <f>IFERROR(IF(I58="LeaseUp",H58*D58*(1+GrowthMarketRent)^7*IF(7=0,(12-DowntimeNew)/12,1),IF(F58="",0,IF(F58&gt;=DATE(2027+7,4,30),G58*D58*(1+EscalatorInLease)^7,IF(F58&lt;DATE(2026+7,5,1),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,((F58-DATE(2026+7,5,1))/365.25)*G58*D58*(1+EscalatorInLease)^7+((DATE(2027+7,4,30)-F58)/365.25)*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)))),0)</f>
        <v/>
      </c>
      <c r="V58" s="5">
        <f>IFERROR(IF(I58="LeaseUp",H58*D58*(1+GrowthMarketRent)^8*IF(8=0,(12-DowntimeNew)/12,1),IF(F58="",0,IF(F58&gt;=DATE(2027+8,4,30),G58*D58*(1+EscalatorInLease)^8,IF(F58&lt;DATE(2026+8,5,1),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,((F58-DATE(2026+8,5,1))/365.25)*G58*D58*(1+EscalatorInLease)^8+((DATE(2027+8,4,30)-F58)/365.25)*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)))),0)</f>
        <v/>
      </c>
      <c r="W58" s="5">
        <f>IFERROR(IF(I58="LeaseUp",H58*D58*(1+GrowthMarketRent)^9*IF(9=0,(12-DowntimeNew)/12,1),IF(F58="",0,IF(F58&gt;=DATE(2027+9,4,30),G58*D58*(1+EscalatorInLease)^9,IF(F58&lt;DATE(2026+9,5,1),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,((F58-DATE(2026+9,5,1))/365.25)*G58*D58*(1+EscalatorInLease)^9+((DATE(2027+9,4,30)-F58)/365.25)*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)))),0)</f>
        <v/>
      </c>
      <c r="X58" s="5">
        <f>IFERROR(IF(I58="LeaseUp",H58*D58*(1+GrowthMarketRent)^10*IF(10=0,(12-DowntimeNew)/12,1),IF(F58="",0,IF(F58&gt;=DATE(2027+10,4,30),G58*D58*(1+EscalatorInLease)^10,IF(F58&lt;DATE(2026+10,5,1),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,((F58-DATE(2026+10,5,1))/365.25)*G58*D58*(1+EscalatorInLease)^10+((DATE(2027+10,4,30)-F58)/365.25)*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)))),0)</f>
        <v/>
      </c>
      <c r="Y58" s="5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5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5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5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5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5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5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5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5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5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5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9" t="n">
        <v>2600</v>
      </c>
      <c r="E59" s="40" t="n">
        <v>45748</v>
      </c>
      <c r="F59" s="40" t="n">
        <v>46997</v>
      </c>
      <c r="G59" s="41" t="n">
        <v>16.9126923076923</v>
      </c>
      <c r="H59" s="10">
        <f>VLOOKUP(A59,MLA!$A$5:$L$11,3,FALSE)</f>
        <v/>
      </c>
      <c r="I59" s="25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7">
        <f>IF(E59="",0,(AnalysisStart-E59)/365.25)</f>
        <v/>
      </c>
      <c r="N59" s="5">
        <f>IFERROR(IF(I59="LeaseUp",H59*D59*(1+GrowthMarketRent)^0*IF(0=0,(12-DowntimeNew)/12,1),IF(F59="",0,IF(F59&gt;=DATE(2027+0,4,30),G59*D59*(1+EscalatorInLease)^0,IF(F59&lt;DATE(2026+0,5,1),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,((F59-DATE(2026+0,5,1))/365.25)*G59*D59*(1+EscalatorInLease)^0+((DATE(2027+0,4,30)-F59)/365.25)*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)))),0)</f>
        <v/>
      </c>
      <c r="O59" s="5">
        <f>IFERROR(IF(I59="LeaseUp",H59*D59*(1+GrowthMarketRent)^1*IF(1=0,(12-DowntimeNew)/12,1),IF(F59="",0,IF(F59&gt;=DATE(2027+1,4,30),G59*D59*(1+EscalatorInLease)^1,IF(F59&lt;DATE(2026+1,5,1),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,((F59-DATE(2026+1,5,1))/365.25)*G59*D59*(1+EscalatorInLease)^1+((DATE(2027+1,4,30)-F59)/365.25)*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)))),0)</f>
        <v/>
      </c>
      <c r="P59" s="5">
        <f>IFERROR(IF(I59="LeaseUp",H59*D59*(1+GrowthMarketRent)^2*IF(2=0,(12-DowntimeNew)/12,1),IF(F59="",0,IF(F59&gt;=DATE(2027+2,4,30),G59*D59*(1+EscalatorInLease)^2,IF(F59&lt;DATE(2026+2,5,1),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,((F59-DATE(2026+2,5,1))/365.25)*G59*D59*(1+EscalatorInLease)^2+((DATE(2027+2,4,30)-F59)/365.25)*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)))),0)</f>
        <v/>
      </c>
      <c r="Q59" s="5">
        <f>IFERROR(IF(I59="LeaseUp",H59*D59*(1+GrowthMarketRent)^3*IF(3=0,(12-DowntimeNew)/12,1),IF(F59="",0,IF(F59&gt;=DATE(2027+3,4,30),G59*D59*(1+EscalatorInLease)^3,IF(F59&lt;DATE(2026+3,5,1),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,((F59-DATE(2026+3,5,1))/365.25)*G59*D59*(1+EscalatorInLease)^3+((DATE(2027+3,4,30)-F59)/365.25)*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)))),0)</f>
        <v/>
      </c>
      <c r="R59" s="5">
        <f>IFERROR(IF(I59="LeaseUp",H59*D59*(1+GrowthMarketRent)^4*IF(4=0,(12-DowntimeNew)/12,1),IF(F59="",0,IF(F59&gt;=DATE(2027+4,4,30),G59*D59*(1+EscalatorInLease)^4,IF(F59&lt;DATE(2026+4,5,1),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,((F59-DATE(2026+4,5,1))/365.25)*G59*D59*(1+EscalatorInLease)^4+((DATE(2027+4,4,30)-F59)/365.25)*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)))),0)</f>
        <v/>
      </c>
      <c r="S59" s="5">
        <f>IFERROR(IF(I59="LeaseUp",H59*D59*(1+GrowthMarketRent)^5*IF(5=0,(12-DowntimeNew)/12,1),IF(F59="",0,IF(F59&gt;=DATE(2027+5,4,30),G59*D59*(1+EscalatorInLease)^5,IF(F59&lt;DATE(2026+5,5,1),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,((F59-DATE(2026+5,5,1))/365.25)*G59*D59*(1+EscalatorInLease)^5+((DATE(2027+5,4,30)-F59)/365.25)*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)))),0)</f>
        <v/>
      </c>
      <c r="T59" s="5">
        <f>IFERROR(IF(I59="LeaseUp",H59*D59*(1+GrowthMarketRent)^6*IF(6=0,(12-DowntimeNew)/12,1),IF(F59="",0,IF(F59&gt;=DATE(2027+6,4,30),G59*D59*(1+EscalatorInLease)^6,IF(F59&lt;DATE(2026+6,5,1),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,((F59-DATE(2026+6,5,1))/365.25)*G59*D59*(1+EscalatorInLease)^6+((DATE(2027+6,4,30)-F59)/365.25)*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)))),0)</f>
        <v/>
      </c>
      <c r="U59" s="5">
        <f>IFERROR(IF(I59="LeaseUp",H59*D59*(1+GrowthMarketRent)^7*IF(7=0,(12-DowntimeNew)/12,1),IF(F59="",0,IF(F59&gt;=DATE(2027+7,4,30),G59*D59*(1+EscalatorInLease)^7,IF(F59&lt;DATE(2026+7,5,1),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,((F59-DATE(2026+7,5,1))/365.25)*G59*D59*(1+EscalatorInLease)^7+((DATE(2027+7,4,30)-F59)/365.25)*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)))),0)</f>
        <v/>
      </c>
      <c r="V59" s="5">
        <f>IFERROR(IF(I59="LeaseUp",H59*D59*(1+GrowthMarketRent)^8*IF(8=0,(12-DowntimeNew)/12,1),IF(F59="",0,IF(F59&gt;=DATE(2027+8,4,30),G59*D59*(1+EscalatorInLease)^8,IF(F59&lt;DATE(2026+8,5,1),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,((F59-DATE(2026+8,5,1))/365.25)*G59*D59*(1+EscalatorInLease)^8+((DATE(2027+8,4,30)-F59)/365.25)*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)))),0)</f>
        <v/>
      </c>
      <c r="W59" s="5">
        <f>IFERROR(IF(I59="LeaseUp",H59*D59*(1+GrowthMarketRent)^9*IF(9=0,(12-DowntimeNew)/12,1),IF(F59="",0,IF(F59&gt;=DATE(2027+9,4,30),G59*D59*(1+EscalatorInLease)^9,IF(F59&lt;DATE(2026+9,5,1),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,((F59-DATE(2026+9,5,1))/365.25)*G59*D59*(1+EscalatorInLease)^9+((DATE(2027+9,4,30)-F59)/365.25)*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)))),0)</f>
        <v/>
      </c>
      <c r="X59" s="5">
        <f>IFERROR(IF(I59="LeaseUp",H59*D59*(1+GrowthMarketRent)^10*IF(10=0,(12-DowntimeNew)/12,1),IF(F59="",0,IF(F59&gt;=DATE(2027+10,4,30),G59*D59*(1+EscalatorInLease)^10,IF(F59&lt;DATE(2026+10,5,1),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,((F59-DATE(2026+10,5,1))/365.25)*G59*D59*(1+EscalatorInLease)^10+((DATE(2027+10,4,30)-F59)/365.25)*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)))),0)</f>
        <v/>
      </c>
      <c r="Y59" s="5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5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5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5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5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5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5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5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5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5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5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9" t="n">
        <v>2600</v>
      </c>
      <c r="E60" s="40" t="n">
        <v>45748</v>
      </c>
      <c r="F60" s="40" t="n">
        <v>46997</v>
      </c>
      <c r="G60" s="41" t="n">
        <v>18.45</v>
      </c>
      <c r="H60" s="10">
        <f>VLOOKUP(A60,MLA!$A$5:$L$11,3,FALSE)</f>
        <v/>
      </c>
      <c r="I60" s="25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7">
        <f>IF(E60="",0,(AnalysisStart-E60)/365.25)</f>
        <v/>
      </c>
      <c r="N60" s="5">
        <f>IFERROR(IF(I60="LeaseUp",H60*D60*(1+GrowthMarketRent)^0*IF(0=0,(12-DowntimeNew)/12,1),IF(F60="",0,IF(F60&gt;=DATE(2027+0,4,30),G60*D60*(1+EscalatorInLease)^0,IF(F60&lt;DATE(2026+0,5,1),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,((F60-DATE(2026+0,5,1))/365.25)*G60*D60*(1+EscalatorInLease)^0+((DATE(2027+0,4,30)-F60)/365.25)*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)))),0)</f>
        <v/>
      </c>
      <c r="O60" s="5">
        <f>IFERROR(IF(I60="LeaseUp",H60*D60*(1+GrowthMarketRent)^1*IF(1=0,(12-DowntimeNew)/12,1),IF(F60="",0,IF(F60&gt;=DATE(2027+1,4,30),G60*D60*(1+EscalatorInLease)^1,IF(F60&lt;DATE(2026+1,5,1),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,((F60-DATE(2026+1,5,1))/365.25)*G60*D60*(1+EscalatorInLease)^1+((DATE(2027+1,4,30)-F60)/365.25)*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)))),0)</f>
        <v/>
      </c>
      <c r="P60" s="5">
        <f>IFERROR(IF(I60="LeaseUp",H60*D60*(1+GrowthMarketRent)^2*IF(2=0,(12-DowntimeNew)/12,1),IF(F60="",0,IF(F60&gt;=DATE(2027+2,4,30),G60*D60*(1+EscalatorInLease)^2,IF(F60&lt;DATE(2026+2,5,1),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,((F60-DATE(2026+2,5,1))/365.25)*G60*D60*(1+EscalatorInLease)^2+((DATE(2027+2,4,30)-F60)/365.25)*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)))),0)</f>
        <v/>
      </c>
      <c r="Q60" s="5">
        <f>IFERROR(IF(I60="LeaseUp",H60*D60*(1+GrowthMarketRent)^3*IF(3=0,(12-DowntimeNew)/12,1),IF(F60="",0,IF(F60&gt;=DATE(2027+3,4,30),G60*D60*(1+EscalatorInLease)^3,IF(F60&lt;DATE(2026+3,5,1),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,((F60-DATE(2026+3,5,1))/365.25)*G60*D60*(1+EscalatorInLease)^3+((DATE(2027+3,4,30)-F60)/365.25)*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)))),0)</f>
        <v/>
      </c>
      <c r="R60" s="5">
        <f>IFERROR(IF(I60="LeaseUp",H60*D60*(1+GrowthMarketRent)^4*IF(4=0,(12-DowntimeNew)/12,1),IF(F60="",0,IF(F60&gt;=DATE(2027+4,4,30),G60*D60*(1+EscalatorInLease)^4,IF(F60&lt;DATE(2026+4,5,1),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,((F60-DATE(2026+4,5,1))/365.25)*G60*D60*(1+EscalatorInLease)^4+((DATE(2027+4,4,30)-F60)/365.25)*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)))),0)</f>
        <v/>
      </c>
      <c r="S60" s="5">
        <f>IFERROR(IF(I60="LeaseUp",H60*D60*(1+GrowthMarketRent)^5*IF(5=0,(12-DowntimeNew)/12,1),IF(F60="",0,IF(F60&gt;=DATE(2027+5,4,30),G60*D60*(1+EscalatorInLease)^5,IF(F60&lt;DATE(2026+5,5,1),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,((F60-DATE(2026+5,5,1))/365.25)*G60*D60*(1+EscalatorInLease)^5+((DATE(2027+5,4,30)-F60)/365.25)*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)))),0)</f>
        <v/>
      </c>
      <c r="T60" s="5">
        <f>IFERROR(IF(I60="LeaseUp",H60*D60*(1+GrowthMarketRent)^6*IF(6=0,(12-DowntimeNew)/12,1),IF(F60="",0,IF(F60&gt;=DATE(2027+6,4,30),G60*D60*(1+EscalatorInLease)^6,IF(F60&lt;DATE(2026+6,5,1),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,((F60-DATE(2026+6,5,1))/365.25)*G60*D60*(1+EscalatorInLease)^6+((DATE(2027+6,4,30)-F60)/365.25)*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)))),0)</f>
        <v/>
      </c>
      <c r="U60" s="5">
        <f>IFERROR(IF(I60="LeaseUp",H60*D60*(1+GrowthMarketRent)^7*IF(7=0,(12-DowntimeNew)/12,1),IF(F60="",0,IF(F60&gt;=DATE(2027+7,4,30),G60*D60*(1+EscalatorInLease)^7,IF(F60&lt;DATE(2026+7,5,1),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,((F60-DATE(2026+7,5,1))/365.25)*G60*D60*(1+EscalatorInLease)^7+((DATE(2027+7,4,30)-F60)/365.25)*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)))),0)</f>
        <v/>
      </c>
      <c r="V60" s="5">
        <f>IFERROR(IF(I60="LeaseUp",H60*D60*(1+GrowthMarketRent)^8*IF(8=0,(12-DowntimeNew)/12,1),IF(F60="",0,IF(F60&gt;=DATE(2027+8,4,30),G60*D60*(1+EscalatorInLease)^8,IF(F60&lt;DATE(2026+8,5,1),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,((F60-DATE(2026+8,5,1))/365.25)*G60*D60*(1+EscalatorInLease)^8+((DATE(2027+8,4,30)-F60)/365.25)*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)))),0)</f>
        <v/>
      </c>
      <c r="W60" s="5">
        <f>IFERROR(IF(I60="LeaseUp",H60*D60*(1+GrowthMarketRent)^9*IF(9=0,(12-DowntimeNew)/12,1),IF(F60="",0,IF(F60&gt;=DATE(2027+9,4,30),G60*D60*(1+EscalatorInLease)^9,IF(F60&lt;DATE(2026+9,5,1),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,((F60-DATE(2026+9,5,1))/365.25)*G60*D60*(1+EscalatorInLease)^9+((DATE(2027+9,4,30)-F60)/365.25)*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)))),0)</f>
        <v/>
      </c>
      <c r="X60" s="5">
        <f>IFERROR(IF(I60="LeaseUp",H60*D60*(1+GrowthMarketRent)^10*IF(10=0,(12-DowntimeNew)/12,1),IF(F60="",0,IF(F60&gt;=DATE(2027+10,4,30),G60*D60*(1+EscalatorInLease)^10,IF(F60&lt;DATE(2026+10,5,1),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,((F60-DATE(2026+10,5,1))/365.25)*G60*D60*(1+EscalatorInLease)^10+((DATE(2027+10,4,30)-F60)/365.25)*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)))),0)</f>
        <v/>
      </c>
      <c r="Y60" s="5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5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5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5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5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5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5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5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5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5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5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9" t="n">
        <v>2600</v>
      </c>
      <c r="E61" s="40" t="n">
        <v>45809</v>
      </c>
      <c r="F61" s="40" t="n">
        <v>47058</v>
      </c>
      <c r="G61" s="41" t="n">
        <v>18</v>
      </c>
      <c r="H61" s="10">
        <f>VLOOKUP(A61,MLA!$A$5:$L$11,3,FALSE)</f>
        <v/>
      </c>
      <c r="I61" s="25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7">
        <f>IF(E61="",0,(AnalysisStart-E61)/365.25)</f>
        <v/>
      </c>
      <c r="N61" s="5">
        <f>IFERROR(IF(I61="LeaseUp",H61*D61*(1+GrowthMarketRent)^0*IF(0=0,(12-DowntimeNew)/12,1),IF(F61="",0,IF(F61&gt;=DATE(2027+0,4,30),G61*D61*(1+EscalatorInLease)^0,IF(F61&lt;DATE(2026+0,5,1),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,((F61-DATE(2026+0,5,1))/365.25)*G61*D61*(1+EscalatorInLease)^0+((DATE(2027+0,4,30)-F61)/365.25)*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)))),0)</f>
        <v/>
      </c>
      <c r="O61" s="5">
        <f>IFERROR(IF(I61="LeaseUp",H61*D61*(1+GrowthMarketRent)^1*IF(1=0,(12-DowntimeNew)/12,1),IF(F61="",0,IF(F61&gt;=DATE(2027+1,4,30),G61*D61*(1+EscalatorInLease)^1,IF(F61&lt;DATE(2026+1,5,1),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,((F61-DATE(2026+1,5,1))/365.25)*G61*D61*(1+EscalatorInLease)^1+((DATE(2027+1,4,30)-F61)/365.25)*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)))),0)</f>
        <v/>
      </c>
      <c r="P61" s="5">
        <f>IFERROR(IF(I61="LeaseUp",H61*D61*(1+GrowthMarketRent)^2*IF(2=0,(12-DowntimeNew)/12,1),IF(F61="",0,IF(F61&gt;=DATE(2027+2,4,30),G61*D61*(1+EscalatorInLease)^2,IF(F61&lt;DATE(2026+2,5,1),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,((F61-DATE(2026+2,5,1))/365.25)*G61*D61*(1+EscalatorInLease)^2+((DATE(2027+2,4,30)-F61)/365.25)*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)))),0)</f>
        <v/>
      </c>
      <c r="Q61" s="5">
        <f>IFERROR(IF(I61="LeaseUp",H61*D61*(1+GrowthMarketRent)^3*IF(3=0,(12-DowntimeNew)/12,1),IF(F61="",0,IF(F61&gt;=DATE(2027+3,4,30),G61*D61*(1+EscalatorInLease)^3,IF(F61&lt;DATE(2026+3,5,1),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,((F61-DATE(2026+3,5,1))/365.25)*G61*D61*(1+EscalatorInLease)^3+((DATE(2027+3,4,30)-F61)/365.25)*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)))),0)</f>
        <v/>
      </c>
      <c r="R61" s="5">
        <f>IFERROR(IF(I61="LeaseUp",H61*D61*(1+GrowthMarketRent)^4*IF(4=0,(12-DowntimeNew)/12,1),IF(F61="",0,IF(F61&gt;=DATE(2027+4,4,30),G61*D61*(1+EscalatorInLease)^4,IF(F61&lt;DATE(2026+4,5,1),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,((F61-DATE(2026+4,5,1))/365.25)*G61*D61*(1+EscalatorInLease)^4+((DATE(2027+4,4,30)-F61)/365.25)*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)))),0)</f>
        <v/>
      </c>
      <c r="S61" s="5">
        <f>IFERROR(IF(I61="LeaseUp",H61*D61*(1+GrowthMarketRent)^5*IF(5=0,(12-DowntimeNew)/12,1),IF(F61="",0,IF(F61&gt;=DATE(2027+5,4,30),G61*D61*(1+EscalatorInLease)^5,IF(F61&lt;DATE(2026+5,5,1),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,((F61-DATE(2026+5,5,1))/365.25)*G61*D61*(1+EscalatorInLease)^5+((DATE(2027+5,4,30)-F61)/365.25)*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)))),0)</f>
        <v/>
      </c>
      <c r="T61" s="5">
        <f>IFERROR(IF(I61="LeaseUp",H61*D61*(1+GrowthMarketRent)^6*IF(6=0,(12-DowntimeNew)/12,1),IF(F61="",0,IF(F61&gt;=DATE(2027+6,4,30),G61*D61*(1+EscalatorInLease)^6,IF(F61&lt;DATE(2026+6,5,1),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,((F61-DATE(2026+6,5,1))/365.25)*G61*D61*(1+EscalatorInLease)^6+((DATE(2027+6,4,30)-F61)/365.25)*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)))),0)</f>
        <v/>
      </c>
      <c r="U61" s="5">
        <f>IFERROR(IF(I61="LeaseUp",H61*D61*(1+GrowthMarketRent)^7*IF(7=0,(12-DowntimeNew)/12,1),IF(F61="",0,IF(F61&gt;=DATE(2027+7,4,30),G61*D61*(1+EscalatorInLease)^7,IF(F61&lt;DATE(2026+7,5,1),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,((F61-DATE(2026+7,5,1))/365.25)*G61*D61*(1+EscalatorInLease)^7+((DATE(2027+7,4,30)-F61)/365.25)*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)))),0)</f>
        <v/>
      </c>
      <c r="V61" s="5">
        <f>IFERROR(IF(I61="LeaseUp",H61*D61*(1+GrowthMarketRent)^8*IF(8=0,(12-DowntimeNew)/12,1),IF(F61="",0,IF(F61&gt;=DATE(2027+8,4,30),G61*D61*(1+EscalatorInLease)^8,IF(F61&lt;DATE(2026+8,5,1),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,((F61-DATE(2026+8,5,1))/365.25)*G61*D61*(1+EscalatorInLease)^8+((DATE(2027+8,4,30)-F61)/365.25)*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)))),0)</f>
        <v/>
      </c>
      <c r="W61" s="5">
        <f>IFERROR(IF(I61="LeaseUp",H61*D61*(1+GrowthMarketRent)^9*IF(9=0,(12-DowntimeNew)/12,1),IF(F61="",0,IF(F61&gt;=DATE(2027+9,4,30),G61*D61*(1+EscalatorInLease)^9,IF(F61&lt;DATE(2026+9,5,1),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,((F61-DATE(2026+9,5,1))/365.25)*G61*D61*(1+EscalatorInLease)^9+((DATE(2027+9,4,30)-F61)/365.25)*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)))),0)</f>
        <v/>
      </c>
      <c r="X61" s="5">
        <f>IFERROR(IF(I61="LeaseUp",H61*D61*(1+GrowthMarketRent)^10*IF(10=0,(12-DowntimeNew)/12,1),IF(F61="",0,IF(F61&gt;=DATE(2027+10,4,30),G61*D61*(1+EscalatorInLease)^10,IF(F61&lt;DATE(2026+10,5,1),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,((F61-DATE(2026+10,5,1))/365.25)*G61*D61*(1+EscalatorInLease)^10+((DATE(2027+10,4,30)-F61)/365.25)*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)))),0)</f>
        <v/>
      </c>
      <c r="Y61" s="5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5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5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5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5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5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5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5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5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5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5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9" t="n">
        <v>2600</v>
      </c>
      <c r="E62" s="40" t="n">
        <v>45931</v>
      </c>
      <c r="F62" s="40" t="n">
        <v>47178</v>
      </c>
      <c r="G62" s="41" t="n">
        <v>19</v>
      </c>
      <c r="H62" s="10">
        <f>VLOOKUP(A62,MLA!$A$5:$L$11,3,FALSE)</f>
        <v/>
      </c>
      <c r="I62" s="25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7">
        <f>IF(E62="",0,(AnalysisStart-E62)/365.25)</f>
        <v/>
      </c>
      <c r="N62" s="5">
        <f>IFERROR(IF(I62="LeaseUp",H62*D62*(1+GrowthMarketRent)^0*IF(0=0,(12-DowntimeNew)/12,1),IF(F62="",0,IF(F62&gt;=DATE(2027+0,4,30),G62*D62*(1+EscalatorInLease)^0,IF(F62&lt;DATE(2026+0,5,1),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,((F62-DATE(2026+0,5,1))/365.25)*G62*D62*(1+EscalatorInLease)^0+((DATE(2027+0,4,30)-F62)/365.25)*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)))),0)</f>
        <v/>
      </c>
      <c r="O62" s="5">
        <f>IFERROR(IF(I62="LeaseUp",H62*D62*(1+GrowthMarketRent)^1*IF(1=0,(12-DowntimeNew)/12,1),IF(F62="",0,IF(F62&gt;=DATE(2027+1,4,30),G62*D62*(1+EscalatorInLease)^1,IF(F62&lt;DATE(2026+1,5,1),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,((F62-DATE(2026+1,5,1))/365.25)*G62*D62*(1+EscalatorInLease)^1+((DATE(2027+1,4,30)-F62)/365.25)*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)))),0)</f>
        <v/>
      </c>
      <c r="P62" s="5">
        <f>IFERROR(IF(I62="LeaseUp",H62*D62*(1+GrowthMarketRent)^2*IF(2=0,(12-DowntimeNew)/12,1),IF(F62="",0,IF(F62&gt;=DATE(2027+2,4,30),G62*D62*(1+EscalatorInLease)^2,IF(F62&lt;DATE(2026+2,5,1),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,((F62-DATE(2026+2,5,1))/365.25)*G62*D62*(1+EscalatorInLease)^2+((DATE(2027+2,4,30)-F62)/365.25)*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)))),0)</f>
        <v/>
      </c>
      <c r="Q62" s="5">
        <f>IFERROR(IF(I62="LeaseUp",H62*D62*(1+GrowthMarketRent)^3*IF(3=0,(12-DowntimeNew)/12,1),IF(F62="",0,IF(F62&gt;=DATE(2027+3,4,30),G62*D62*(1+EscalatorInLease)^3,IF(F62&lt;DATE(2026+3,5,1),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,((F62-DATE(2026+3,5,1))/365.25)*G62*D62*(1+EscalatorInLease)^3+((DATE(2027+3,4,30)-F62)/365.25)*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)))),0)</f>
        <v/>
      </c>
      <c r="R62" s="5">
        <f>IFERROR(IF(I62="LeaseUp",H62*D62*(1+GrowthMarketRent)^4*IF(4=0,(12-DowntimeNew)/12,1),IF(F62="",0,IF(F62&gt;=DATE(2027+4,4,30),G62*D62*(1+EscalatorInLease)^4,IF(F62&lt;DATE(2026+4,5,1),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,((F62-DATE(2026+4,5,1))/365.25)*G62*D62*(1+EscalatorInLease)^4+((DATE(2027+4,4,30)-F62)/365.25)*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)))),0)</f>
        <v/>
      </c>
      <c r="S62" s="5">
        <f>IFERROR(IF(I62="LeaseUp",H62*D62*(1+GrowthMarketRent)^5*IF(5=0,(12-DowntimeNew)/12,1),IF(F62="",0,IF(F62&gt;=DATE(2027+5,4,30),G62*D62*(1+EscalatorInLease)^5,IF(F62&lt;DATE(2026+5,5,1),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,((F62-DATE(2026+5,5,1))/365.25)*G62*D62*(1+EscalatorInLease)^5+((DATE(2027+5,4,30)-F62)/365.25)*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)))),0)</f>
        <v/>
      </c>
      <c r="T62" s="5">
        <f>IFERROR(IF(I62="LeaseUp",H62*D62*(1+GrowthMarketRent)^6*IF(6=0,(12-DowntimeNew)/12,1),IF(F62="",0,IF(F62&gt;=DATE(2027+6,4,30),G62*D62*(1+EscalatorInLease)^6,IF(F62&lt;DATE(2026+6,5,1),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,((F62-DATE(2026+6,5,1))/365.25)*G62*D62*(1+EscalatorInLease)^6+((DATE(2027+6,4,30)-F62)/365.25)*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)))),0)</f>
        <v/>
      </c>
      <c r="U62" s="5">
        <f>IFERROR(IF(I62="LeaseUp",H62*D62*(1+GrowthMarketRent)^7*IF(7=0,(12-DowntimeNew)/12,1),IF(F62="",0,IF(F62&gt;=DATE(2027+7,4,30),G62*D62*(1+EscalatorInLease)^7,IF(F62&lt;DATE(2026+7,5,1),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,((F62-DATE(2026+7,5,1))/365.25)*G62*D62*(1+EscalatorInLease)^7+((DATE(2027+7,4,30)-F62)/365.25)*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)))),0)</f>
        <v/>
      </c>
      <c r="V62" s="5">
        <f>IFERROR(IF(I62="LeaseUp",H62*D62*(1+GrowthMarketRent)^8*IF(8=0,(12-DowntimeNew)/12,1),IF(F62="",0,IF(F62&gt;=DATE(2027+8,4,30),G62*D62*(1+EscalatorInLease)^8,IF(F62&lt;DATE(2026+8,5,1),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,((F62-DATE(2026+8,5,1))/365.25)*G62*D62*(1+EscalatorInLease)^8+((DATE(2027+8,4,30)-F62)/365.25)*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)))),0)</f>
        <v/>
      </c>
      <c r="W62" s="5">
        <f>IFERROR(IF(I62="LeaseUp",H62*D62*(1+GrowthMarketRent)^9*IF(9=0,(12-DowntimeNew)/12,1),IF(F62="",0,IF(F62&gt;=DATE(2027+9,4,30),G62*D62*(1+EscalatorInLease)^9,IF(F62&lt;DATE(2026+9,5,1),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,((F62-DATE(2026+9,5,1))/365.25)*G62*D62*(1+EscalatorInLease)^9+((DATE(2027+9,4,30)-F62)/365.25)*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)))),0)</f>
        <v/>
      </c>
      <c r="X62" s="5">
        <f>IFERROR(IF(I62="LeaseUp",H62*D62*(1+GrowthMarketRent)^10*IF(10=0,(12-DowntimeNew)/12,1),IF(F62="",0,IF(F62&gt;=DATE(2027+10,4,30),G62*D62*(1+EscalatorInLease)^10,IF(F62&lt;DATE(2026+10,5,1),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,((F62-DATE(2026+10,5,1))/365.25)*G62*D62*(1+EscalatorInLease)^10+((DATE(2027+10,4,30)-F62)/365.25)*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)))),0)</f>
        <v/>
      </c>
      <c r="Y62" s="5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5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5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5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5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5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5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5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5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5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5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9" t="n">
        <v>2900</v>
      </c>
      <c r="E63" s="40" t="n">
        <v>46023</v>
      </c>
      <c r="F63" s="40" t="n">
        <v>47300</v>
      </c>
      <c r="G63" s="41" t="n">
        <v>19</v>
      </c>
      <c r="H63" s="10">
        <f>VLOOKUP(A63,MLA!$A$5:$L$11,3,FALSE)</f>
        <v/>
      </c>
      <c r="I63" s="25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7">
        <f>IF(E63="",0,(AnalysisStart-E63)/365.25)</f>
        <v/>
      </c>
      <c r="N63" s="5">
        <f>IFERROR(IF(I63="LeaseUp",H63*D63*(1+GrowthMarketRent)^0*IF(0=0,(12-DowntimeNew)/12,1),IF(F63="",0,IF(F63&gt;=DATE(2027+0,4,30),G63*D63*(1+EscalatorInLease)^0,IF(F63&lt;DATE(2026+0,5,1),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,((F63-DATE(2026+0,5,1))/365.25)*G63*D63*(1+EscalatorInLease)^0+((DATE(2027+0,4,30)-F63)/365.25)*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)))),0)</f>
        <v/>
      </c>
      <c r="O63" s="5">
        <f>IFERROR(IF(I63="LeaseUp",H63*D63*(1+GrowthMarketRent)^1*IF(1=0,(12-DowntimeNew)/12,1),IF(F63="",0,IF(F63&gt;=DATE(2027+1,4,30),G63*D63*(1+EscalatorInLease)^1,IF(F63&lt;DATE(2026+1,5,1),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,((F63-DATE(2026+1,5,1))/365.25)*G63*D63*(1+EscalatorInLease)^1+((DATE(2027+1,4,30)-F63)/365.25)*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)))),0)</f>
        <v/>
      </c>
      <c r="P63" s="5">
        <f>IFERROR(IF(I63="LeaseUp",H63*D63*(1+GrowthMarketRent)^2*IF(2=0,(12-DowntimeNew)/12,1),IF(F63="",0,IF(F63&gt;=DATE(2027+2,4,30),G63*D63*(1+EscalatorInLease)^2,IF(F63&lt;DATE(2026+2,5,1),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,((F63-DATE(2026+2,5,1))/365.25)*G63*D63*(1+EscalatorInLease)^2+((DATE(2027+2,4,30)-F63)/365.25)*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)))),0)</f>
        <v/>
      </c>
      <c r="Q63" s="5">
        <f>IFERROR(IF(I63="LeaseUp",H63*D63*(1+GrowthMarketRent)^3*IF(3=0,(12-DowntimeNew)/12,1),IF(F63="",0,IF(F63&gt;=DATE(2027+3,4,30),G63*D63*(1+EscalatorInLease)^3,IF(F63&lt;DATE(2026+3,5,1),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,((F63-DATE(2026+3,5,1))/365.25)*G63*D63*(1+EscalatorInLease)^3+((DATE(2027+3,4,30)-F63)/365.25)*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)))),0)</f>
        <v/>
      </c>
      <c r="R63" s="5">
        <f>IFERROR(IF(I63="LeaseUp",H63*D63*(1+GrowthMarketRent)^4*IF(4=0,(12-DowntimeNew)/12,1),IF(F63="",0,IF(F63&gt;=DATE(2027+4,4,30),G63*D63*(1+EscalatorInLease)^4,IF(F63&lt;DATE(2026+4,5,1),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,((F63-DATE(2026+4,5,1))/365.25)*G63*D63*(1+EscalatorInLease)^4+((DATE(2027+4,4,30)-F63)/365.25)*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)))),0)</f>
        <v/>
      </c>
      <c r="S63" s="5">
        <f>IFERROR(IF(I63="LeaseUp",H63*D63*(1+GrowthMarketRent)^5*IF(5=0,(12-DowntimeNew)/12,1),IF(F63="",0,IF(F63&gt;=DATE(2027+5,4,30),G63*D63*(1+EscalatorInLease)^5,IF(F63&lt;DATE(2026+5,5,1),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,((F63-DATE(2026+5,5,1))/365.25)*G63*D63*(1+EscalatorInLease)^5+((DATE(2027+5,4,30)-F63)/365.25)*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)))),0)</f>
        <v/>
      </c>
      <c r="T63" s="5">
        <f>IFERROR(IF(I63="LeaseUp",H63*D63*(1+GrowthMarketRent)^6*IF(6=0,(12-DowntimeNew)/12,1),IF(F63="",0,IF(F63&gt;=DATE(2027+6,4,30),G63*D63*(1+EscalatorInLease)^6,IF(F63&lt;DATE(2026+6,5,1),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,((F63-DATE(2026+6,5,1))/365.25)*G63*D63*(1+EscalatorInLease)^6+((DATE(2027+6,4,30)-F63)/365.25)*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)))),0)</f>
        <v/>
      </c>
      <c r="U63" s="5">
        <f>IFERROR(IF(I63="LeaseUp",H63*D63*(1+GrowthMarketRent)^7*IF(7=0,(12-DowntimeNew)/12,1),IF(F63="",0,IF(F63&gt;=DATE(2027+7,4,30),G63*D63*(1+EscalatorInLease)^7,IF(F63&lt;DATE(2026+7,5,1),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,((F63-DATE(2026+7,5,1))/365.25)*G63*D63*(1+EscalatorInLease)^7+((DATE(2027+7,4,30)-F63)/365.25)*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)))),0)</f>
        <v/>
      </c>
      <c r="V63" s="5">
        <f>IFERROR(IF(I63="LeaseUp",H63*D63*(1+GrowthMarketRent)^8*IF(8=0,(12-DowntimeNew)/12,1),IF(F63="",0,IF(F63&gt;=DATE(2027+8,4,30),G63*D63*(1+EscalatorInLease)^8,IF(F63&lt;DATE(2026+8,5,1),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,((F63-DATE(2026+8,5,1))/365.25)*G63*D63*(1+EscalatorInLease)^8+((DATE(2027+8,4,30)-F63)/365.25)*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)))),0)</f>
        <v/>
      </c>
      <c r="W63" s="5">
        <f>IFERROR(IF(I63="LeaseUp",H63*D63*(1+GrowthMarketRent)^9*IF(9=0,(12-DowntimeNew)/12,1),IF(F63="",0,IF(F63&gt;=DATE(2027+9,4,30),G63*D63*(1+EscalatorInLease)^9,IF(F63&lt;DATE(2026+9,5,1),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,((F63-DATE(2026+9,5,1))/365.25)*G63*D63*(1+EscalatorInLease)^9+((DATE(2027+9,4,30)-F63)/365.25)*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)))),0)</f>
        <v/>
      </c>
      <c r="X63" s="5">
        <f>IFERROR(IF(I63="LeaseUp",H63*D63*(1+GrowthMarketRent)^10*IF(10=0,(12-DowntimeNew)/12,1),IF(F63="",0,IF(F63&gt;=DATE(2027+10,4,30),G63*D63*(1+EscalatorInLease)^10,IF(F63&lt;DATE(2026+10,5,1),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,((F63-DATE(2026+10,5,1))/365.25)*G63*D63*(1+EscalatorInLease)^10+((DATE(2027+10,4,30)-F63)/365.25)*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)))),0)</f>
        <v/>
      </c>
      <c r="Y63" s="5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5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5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5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5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5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5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5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5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5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5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9" t="n">
        <v>2900</v>
      </c>
      <c r="E64" s="40" t="n">
        <v>45748</v>
      </c>
      <c r="F64" s="40" t="n">
        <v>46997</v>
      </c>
      <c r="G64" s="41" t="n">
        <v>18.45</v>
      </c>
      <c r="H64" s="10">
        <f>VLOOKUP(A64,MLA!$A$5:$L$11,3,FALSE)</f>
        <v/>
      </c>
      <c r="I64" s="25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7">
        <f>IF(E64="",0,(AnalysisStart-E64)/365.25)</f>
        <v/>
      </c>
      <c r="N64" s="5">
        <f>IFERROR(IF(I64="LeaseUp",H64*D64*(1+GrowthMarketRent)^0*IF(0=0,(12-DowntimeNew)/12,1),IF(F64="",0,IF(F64&gt;=DATE(2027+0,4,30),G64*D64*(1+EscalatorInLease)^0,IF(F64&lt;DATE(2026+0,5,1),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,((F64-DATE(2026+0,5,1))/365.25)*G64*D64*(1+EscalatorInLease)^0+((DATE(2027+0,4,30)-F64)/365.25)*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)))),0)</f>
        <v/>
      </c>
      <c r="O64" s="5">
        <f>IFERROR(IF(I64="LeaseUp",H64*D64*(1+GrowthMarketRent)^1*IF(1=0,(12-DowntimeNew)/12,1),IF(F64="",0,IF(F64&gt;=DATE(2027+1,4,30),G64*D64*(1+EscalatorInLease)^1,IF(F64&lt;DATE(2026+1,5,1),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,((F64-DATE(2026+1,5,1))/365.25)*G64*D64*(1+EscalatorInLease)^1+((DATE(2027+1,4,30)-F64)/365.25)*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)))),0)</f>
        <v/>
      </c>
      <c r="P64" s="5">
        <f>IFERROR(IF(I64="LeaseUp",H64*D64*(1+GrowthMarketRent)^2*IF(2=0,(12-DowntimeNew)/12,1),IF(F64="",0,IF(F64&gt;=DATE(2027+2,4,30),G64*D64*(1+EscalatorInLease)^2,IF(F64&lt;DATE(2026+2,5,1),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,((F64-DATE(2026+2,5,1))/365.25)*G64*D64*(1+EscalatorInLease)^2+((DATE(2027+2,4,30)-F64)/365.25)*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)))),0)</f>
        <v/>
      </c>
      <c r="Q64" s="5">
        <f>IFERROR(IF(I64="LeaseUp",H64*D64*(1+GrowthMarketRent)^3*IF(3=0,(12-DowntimeNew)/12,1),IF(F64="",0,IF(F64&gt;=DATE(2027+3,4,30),G64*D64*(1+EscalatorInLease)^3,IF(F64&lt;DATE(2026+3,5,1),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,((F64-DATE(2026+3,5,1))/365.25)*G64*D64*(1+EscalatorInLease)^3+((DATE(2027+3,4,30)-F64)/365.25)*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)))),0)</f>
        <v/>
      </c>
      <c r="R64" s="5">
        <f>IFERROR(IF(I64="LeaseUp",H64*D64*(1+GrowthMarketRent)^4*IF(4=0,(12-DowntimeNew)/12,1),IF(F64="",0,IF(F64&gt;=DATE(2027+4,4,30),G64*D64*(1+EscalatorInLease)^4,IF(F64&lt;DATE(2026+4,5,1),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,((F64-DATE(2026+4,5,1))/365.25)*G64*D64*(1+EscalatorInLease)^4+((DATE(2027+4,4,30)-F64)/365.25)*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)))),0)</f>
        <v/>
      </c>
      <c r="S64" s="5">
        <f>IFERROR(IF(I64="LeaseUp",H64*D64*(1+GrowthMarketRent)^5*IF(5=0,(12-DowntimeNew)/12,1),IF(F64="",0,IF(F64&gt;=DATE(2027+5,4,30),G64*D64*(1+EscalatorInLease)^5,IF(F64&lt;DATE(2026+5,5,1),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,((F64-DATE(2026+5,5,1))/365.25)*G64*D64*(1+EscalatorInLease)^5+((DATE(2027+5,4,30)-F64)/365.25)*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)))),0)</f>
        <v/>
      </c>
      <c r="T64" s="5">
        <f>IFERROR(IF(I64="LeaseUp",H64*D64*(1+GrowthMarketRent)^6*IF(6=0,(12-DowntimeNew)/12,1),IF(F64="",0,IF(F64&gt;=DATE(2027+6,4,30),G64*D64*(1+EscalatorInLease)^6,IF(F64&lt;DATE(2026+6,5,1),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,((F64-DATE(2026+6,5,1))/365.25)*G64*D64*(1+EscalatorInLease)^6+((DATE(2027+6,4,30)-F64)/365.25)*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)))),0)</f>
        <v/>
      </c>
      <c r="U64" s="5">
        <f>IFERROR(IF(I64="LeaseUp",H64*D64*(1+GrowthMarketRent)^7*IF(7=0,(12-DowntimeNew)/12,1),IF(F64="",0,IF(F64&gt;=DATE(2027+7,4,30),G64*D64*(1+EscalatorInLease)^7,IF(F64&lt;DATE(2026+7,5,1),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,((F64-DATE(2026+7,5,1))/365.25)*G64*D64*(1+EscalatorInLease)^7+((DATE(2027+7,4,30)-F64)/365.25)*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)))),0)</f>
        <v/>
      </c>
      <c r="V64" s="5">
        <f>IFERROR(IF(I64="LeaseUp",H64*D64*(1+GrowthMarketRent)^8*IF(8=0,(12-DowntimeNew)/12,1),IF(F64="",0,IF(F64&gt;=DATE(2027+8,4,30),G64*D64*(1+EscalatorInLease)^8,IF(F64&lt;DATE(2026+8,5,1),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,((F64-DATE(2026+8,5,1))/365.25)*G64*D64*(1+EscalatorInLease)^8+((DATE(2027+8,4,30)-F64)/365.25)*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)))),0)</f>
        <v/>
      </c>
      <c r="W64" s="5">
        <f>IFERROR(IF(I64="LeaseUp",H64*D64*(1+GrowthMarketRent)^9*IF(9=0,(12-DowntimeNew)/12,1),IF(F64="",0,IF(F64&gt;=DATE(2027+9,4,30),G64*D64*(1+EscalatorInLease)^9,IF(F64&lt;DATE(2026+9,5,1),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,((F64-DATE(2026+9,5,1))/365.25)*G64*D64*(1+EscalatorInLease)^9+((DATE(2027+9,4,30)-F64)/365.25)*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)))),0)</f>
        <v/>
      </c>
      <c r="X64" s="5">
        <f>IFERROR(IF(I64="LeaseUp",H64*D64*(1+GrowthMarketRent)^10*IF(10=0,(12-DowntimeNew)/12,1),IF(F64="",0,IF(F64&gt;=DATE(2027+10,4,30),G64*D64*(1+EscalatorInLease)^10,IF(F64&lt;DATE(2026+10,5,1),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,((F64-DATE(2026+10,5,1))/365.25)*G64*D64*(1+EscalatorInLease)^10+((DATE(2027+10,4,30)-F64)/365.25)*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)))),0)</f>
        <v/>
      </c>
      <c r="Y64" s="5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5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5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5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5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5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5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5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5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5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5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9" t="n">
        <v>2900</v>
      </c>
      <c r="E65" s="40" t="n">
        <v>45901</v>
      </c>
      <c r="F65" s="40" t="n">
        <v>47696</v>
      </c>
      <c r="G65" s="41" t="n">
        <v>16.5</v>
      </c>
      <c r="H65" s="10">
        <f>VLOOKUP(A65,MLA!$A$5:$L$11,3,FALSE)</f>
        <v/>
      </c>
      <c r="I65" s="25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7">
        <f>IF(E65="",0,(AnalysisStart-E65)/365.25)</f>
        <v/>
      </c>
      <c r="N65" s="5">
        <f>IFERROR(IF(I65="LeaseUp",H65*D65*(1+GrowthMarketRent)^0*IF(0=0,(12-DowntimeNew)/12,1),IF(F65="",0,IF(F65&gt;=DATE(2027+0,4,30),G65*D65*(1+EscalatorInLease)^0,IF(F65&lt;DATE(2026+0,5,1),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,((F65-DATE(2026+0,5,1))/365.25)*G65*D65*(1+EscalatorInLease)^0+((DATE(2027+0,4,30)-F65)/365.25)*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)))),0)</f>
        <v/>
      </c>
      <c r="O65" s="5">
        <f>IFERROR(IF(I65="LeaseUp",H65*D65*(1+GrowthMarketRent)^1*IF(1=0,(12-DowntimeNew)/12,1),IF(F65="",0,IF(F65&gt;=DATE(2027+1,4,30),G65*D65*(1+EscalatorInLease)^1,IF(F65&lt;DATE(2026+1,5,1),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,((F65-DATE(2026+1,5,1))/365.25)*G65*D65*(1+EscalatorInLease)^1+((DATE(2027+1,4,30)-F65)/365.25)*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)))),0)</f>
        <v/>
      </c>
      <c r="P65" s="5">
        <f>IFERROR(IF(I65="LeaseUp",H65*D65*(1+GrowthMarketRent)^2*IF(2=0,(12-DowntimeNew)/12,1),IF(F65="",0,IF(F65&gt;=DATE(2027+2,4,30),G65*D65*(1+EscalatorInLease)^2,IF(F65&lt;DATE(2026+2,5,1),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,((F65-DATE(2026+2,5,1))/365.25)*G65*D65*(1+EscalatorInLease)^2+((DATE(2027+2,4,30)-F65)/365.25)*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)))),0)</f>
        <v/>
      </c>
      <c r="Q65" s="5">
        <f>IFERROR(IF(I65="LeaseUp",H65*D65*(1+GrowthMarketRent)^3*IF(3=0,(12-DowntimeNew)/12,1),IF(F65="",0,IF(F65&gt;=DATE(2027+3,4,30),G65*D65*(1+EscalatorInLease)^3,IF(F65&lt;DATE(2026+3,5,1),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,((F65-DATE(2026+3,5,1))/365.25)*G65*D65*(1+EscalatorInLease)^3+((DATE(2027+3,4,30)-F65)/365.25)*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)))),0)</f>
        <v/>
      </c>
      <c r="R65" s="5">
        <f>IFERROR(IF(I65="LeaseUp",H65*D65*(1+GrowthMarketRent)^4*IF(4=0,(12-DowntimeNew)/12,1),IF(F65="",0,IF(F65&gt;=DATE(2027+4,4,30),G65*D65*(1+EscalatorInLease)^4,IF(F65&lt;DATE(2026+4,5,1),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,((F65-DATE(2026+4,5,1))/365.25)*G65*D65*(1+EscalatorInLease)^4+((DATE(2027+4,4,30)-F65)/365.25)*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)))),0)</f>
        <v/>
      </c>
      <c r="S65" s="5">
        <f>IFERROR(IF(I65="LeaseUp",H65*D65*(1+GrowthMarketRent)^5*IF(5=0,(12-DowntimeNew)/12,1),IF(F65="",0,IF(F65&gt;=DATE(2027+5,4,30),G65*D65*(1+EscalatorInLease)^5,IF(F65&lt;DATE(2026+5,5,1),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,((F65-DATE(2026+5,5,1))/365.25)*G65*D65*(1+EscalatorInLease)^5+((DATE(2027+5,4,30)-F65)/365.25)*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)))),0)</f>
        <v/>
      </c>
      <c r="T65" s="5">
        <f>IFERROR(IF(I65="LeaseUp",H65*D65*(1+GrowthMarketRent)^6*IF(6=0,(12-DowntimeNew)/12,1),IF(F65="",0,IF(F65&gt;=DATE(2027+6,4,30),G65*D65*(1+EscalatorInLease)^6,IF(F65&lt;DATE(2026+6,5,1),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,((F65-DATE(2026+6,5,1))/365.25)*G65*D65*(1+EscalatorInLease)^6+((DATE(2027+6,4,30)-F65)/365.25)*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)))),0)</f>
        <v/>
      </c>
      <c r="U65" s="5">
        <f>IFERROR(IF(I65="LeaseUp",H65*D65*(1+GrowthMarketRent)^7*IF(7=0,(12-DowntimeNew)/12,1),IF(F65="",0,IF(F65&gt;=DATE(2027+7,4,30),G65*D65*(1+EscalatorInLease)^7,IF(F65&lt;DATE(2026+7,5,1),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,((F65-DATE(2026+7,5,1))/365.25)*G65*D65*(1+EscalatorInLease)^7+((DATE(2027+7,4,30)-F65)/365.25)*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)))),0)</f>
        <v/>
      </c>
      <c r="V65" s="5">
        <f>IFERROR(IF(I65="LeaseUp",H65*D65*(1+GrowthMarketRent)^8*IF(8=0,(12-DowntimeNew)/12,1),IF(F65="",0,IF(F65&gt;=DATE(2027+8,4,30),G65*D65*(1+EscalatorInLease)^8,IF(F65&lt;DATE(2026+8,5,1),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,((F65-DATE(2026+8,5,1))/365.25)*G65*D65*(1+EscalatorInLease)^8+((DATE(2027+8,4,30)-F65)/365.25)*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)))),0)</f>
        <v/>
      </c>
      <c r="W65" s="5">
        <f>IFERROR(IF(I65="LeaseUp",H65*D65*(1+GrowthMarketRent)^9*IF(9=0,(12-DowntimeNew)/12,1),IF(F65="",0,IF(F65&gt;=DATE(2027+9,4,30),G65*D65*(1+EscalatorInLease)^9,IF(F65&lt;DATE(2026+9,5,1),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,((F65-DATE(2026+9,5,1))/365.25)*G65*D65*(1+EscalatorInLease)^9+((DATE(2027+9,4,30)-F65)/365.25)*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)))),0)</f>
        <v/>
      </c>
      <c r="X65" s="5">
        <f>IFERROR(IF(I65="LeaseUp",H65*D65*(1+GrowthMarketRent)^10*IF(10=0,(12-DowntimeNew)/12,1),IF(F65="",0,IF(F65&gt;=DATE(2027+10,4,30),G65*D65*(1+EscalatorInLease)^10,IF(F65&lt;DATE(2026+10,5,1),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,((F65-DATE(2026+10,5,1))/365.25)*G65*D65*(1+EscalatorInLease)^10+((DATE(2027+10,4,30)-F65)/365.25)*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)))),0)</f>
        <v/>
      </c>
      <c r="Y65" s="5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5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5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5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5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5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5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5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5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5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5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9" t="n">
        <v>2900</v>
      </c>
      <c r="E66" s="40" t="n">
        <v>45748</v>
      </c>
      <c r="F66" s="40" t="n">
        <v>46997</v>
      </c>
      <c r="G66" s="41" t="n">
        <v>18.45</v>
      </c>
      <c r="H66" s="10">
        <f>VLOOKUP(A66,MLA!$A$5:$L$11,3,FALSE)</f>
        <v/>
      </c>
      <c r="I66" s="25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7">
        <f>IF(E66="",0,(AnalysisStart-E66)/365.25)</f>
        <v/>
      </c>
      <c r="N66" s="5">
        <f>IFERROR(IF(I66="LeaseUp",H66*D66*(1+GrowthMarketRent)^0*IF(0=0,(12-DowntimeNew)/12,1),IF(F66="",0,IF(F66&gt;=DATE(2027+0,4,30),G66*D66*(1+EscalatorInLease)^0,IF(F66&lt;DATE(2026+0,5,1),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,((F66-DATE(2026+0,5,1))/365.25)*G66*D66*(1+EscalatorInLease)^0+((DATE(2027+0,4,30)-F66)/365.25)*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)))),0)</f>
        <v/>
      </c>
      <c r="O66" s="5">
        <f>IFERROR(IF(I66="LeaseUp",H66*D66*(1+GrowthMarketRent)^1*IF(1=0,(12-DowntimeNew)/12,1),IF(F66="",0,IF(F66&gt;=DATE(2027+1,4,30),G66*D66*(1+EscalatorInLease)^1,IF(F66&lt;DATE(2026+1,5,1),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,((F66-DATE(2026+1,5,1))/365.25)*G66*D66*(1+EscalatorInLease)^1+((DATE(2027+1,4,30)-F66)/365.25)*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)))),0)</f>
        <v/>
      </c>
      <c r="P66" s="5">
        <f>IFERROR(IF(I66="LeaseUp",H66*D66*(1+GrowthMarketRent)^2*IF(2=0,(12-DowntimeNew)/12,1),IF(F66="",0,IF(F66&gt;=DATE(2027+2,4,30),G66*D66*(1+EscalatorInLease)^2,IF(F66&lt;DATE(2026+2,5,1),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,((F66-DATE(2026+2,5,1))/365.25)*G66*D66*(1+EscalatorInLease)^2+((DATE(2027+2,4,30)-F66)/365.25)*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)))),0)</f>
        <v/>
      </c>
      <c r="Q66" s="5">
        <f>IFERROR(IF(I66="LeaseUp",H66*D66*(1+GrowthMarketRent)^3*IF(3=0,(12-DowntimeNew)/12,1),IF(F66="",0,IF(F66&gt;=DATE(2027+3,4,30),G66*D66*(1+EscalatorInLease)^3,IF(F66&lt;DATE(2026+3,5,1),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,((F66-DATE(2026+3,5,1))/365.25)*G66*D66*(1+EscalatorInLease)^3+((DATE(2027+3,4,30)-F66)/365.25)*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)))),0)</f>
        <v/>
      </c>
      <c r="R66" s="5">
        <f>IFERROR(IF(I66="LeaseUp",H66*D66*(1+GrowthMarketRent)^4*IF(4=0,(12-DowntimeNew)/12,1),IF(F66="",0,IF(F66&gt;=DATE(2027+4,4,30),G66*D66*(1+EscalatorInLease)^4,IF(F66&lt;DATE(2026+4,5,1),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,((F66-DATE(2026+4,5,1))/365.25)*G66*D66*(1+EscalatorInLease)^4+((DATE(2027+4,4,30)-F66)/365.25)*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)))),0)</f>
        <v/>
      </c>
      <c r="S66" s="5">
        <f>IFERROR(IF(I66="LeaseUp",H66*D66*(1+GrowthMarketRent)^5*IF(5=0,(12-DowntimeNew)/12,1),IF(F66="",0,IF(F66&gt;=DATE(2027+5,4,30),G66*D66*(1+EscalatorInLease)^5,IF(F66&lt;DATE(2026+5,5,1),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,((F66-DATE(2026+5,5,1))/365.25)*G66*D66*(1+EscalatorInLease)^5+((DATE(2027+5,4,30)-F66)/365.25)*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)))),0)</f>
        <v/>
      </c>
      <c r="T66" s="5">
        <f>IFERROR(IF(I66="LeaseUp",H66*D66*(1+GrowthMarketRent)^6*IF(6=0,(12-DowntimeNew)/12,1),IF(F66="",0,IF(F66&gt;=DATE(2027+6,4,30),G66*D66*(1+EscalatorInLease)^6,IF(F66&lt;DATE(2026+6,5,1),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,((F66-DATE(2026+6,5,1))/365.25)*G66*D66*(1+EscalatorInLease)^6+((DATE(2027+6,4,30)-F66)/365.25)*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)))),0)</f>
        <v/>
      </c>
      <c r="U66" s="5">
        <f>IFERROR(IF(I66="LeaseUp",H66*D66*(1+GrowthMarketRent)^7*IF(7=0,(12-DowntimeNew)/12,1),IF(F66="",0,IF(F66&gt;=DATE(2027+7,4,30),G66*D66*(1+EscalatorInLease)^7,IF(F66&lt;DATE(2026+7,5,1),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,((F66-DATE(2026+7,5,1))/365.25)*G66*D66*(1+EscalatorInLease)^7+((DATE(2027+7,4,30)-F66)/365.25)*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)))),0)</f>
        <v/>
      </c>
      <c r="V66" s="5">
        <f>IFERROR(IF(I66="LeaseUp",H66*D66*(1+GrowthMarketRent)^8*IF(8=0,(12-DowntimeNew)/12,1),IF(F66="",0,IF(F66&gt;=DATE(2027+8,4,30),G66*D66*(1+EscalatorInLease)^8,IF(F66&lt;DATE(2026+8,5,1),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,((F66-DATE(2026+8,5,1))/365.25)*G66*D66*(1+EscalatorInLease)^8+((DATE(2027+8,4,30)-F66)/365.25)*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)))),0)</f>
        <v/>
      </c>
      <c r="W66" s="5">
        <f>IFERROR(IF(I66="LeaseUp",H66*D66*(1+GrowthMarketRent)^9*IF(9=0,(12-DowntimeNew)/12,1),IF(F66="",0,IF(F66&gt;=DATE(2027+9,4,30),G66*D66*(1+EscalatorInLease)^9,IF(F66&lt;DATE(2026+9,5,1),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,((F66-DATE(2026+9,5,1))/365.25)*G66*D66*(1+EscalatorInLease)^9+((DATE(2027+9,4,30)-F66)/365.25)*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)))),0)</f>
        <v/>
      </c>
      <c r="X66" s="5">
        <f>IFERROR(IF(I66="LeaseUp",H66*D66*(1+GrowthMarketRent)^10*IF(10=0,(12-DowntimeNew)/12,1),IF(F66="",0,IF(F66&gt;=DATE(2027+10,4,30),G66*D66*(1+EscalatorInLease)^10,IF(F66&lt;DATE(2026+10,5,1),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,((F66-DATE(2026+10,5,1))/365.25)*G66*D66*(1+EscalatorInLease)^10+((DATE(2027+10,4,30)-F66)/365.25)*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)))),0)</f>
        <v/>
      </c>
      <c r="Y66" s="5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5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5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5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5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5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5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5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5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5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5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9" t="n">
        <v>2900</v>
      </c>
      <c r="E67" s="40" t="n">
        <v>45809</v>
      </c>
      <c r="F67" s="40" t="n">
        <v>47058</v>
      </c>
      <c r="G67" s="41" t="n">
        <v>19</v>
      </c>
      <c r="H67" s="10">
        <f>VLOOKUP(A67,MLA!$A$5:$L$11,3,FALSE)</f>
        <v/>
      </c>
      <c r="I67" s="25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7">
        <f>IF(E67="",0,(AnalysisStart-E67)/365.25)</f>
        <v/>
      </c>
      <c r="N67" s="5">
        <f>IFERROR(IF(I67="LeaseUp",H67*D67*(1+GrowthMarketRent)^0*IF(0=0,(12-DowntimeNew)/12,1),IF(F67="",0,IF(F67&gt;=DATE(2027+0,4,30),G67*D67*(1+EscalatorInLease)^0,IF(F67&lt;DATE(2026+0,5,1),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,((F67-DATE(2026+0,5,1))/365.25)*G67*D67*(1+EscalatorInLease)^0+((DATE(2027+0,4,30)-F67)/365.25)*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)))),0)</f>
        <v/>
      </c>
      <c r="O67" s="5">
        <f>IFERROR(IF(I67="LeaseUp",H67*D67*(1+GrowthMarketRent)^1*IF(1=0,(12-DowntimeNew)/12,1),IF(F67="",0,IF(F67&gt;=DATE(2027+1,4,30),G67*D67*(1+EscalatorInLease)^1,IF(F67&lt;DATE(2026+1,5,1),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,((F67-DATE(2026+1,5,1))/365.25)*G67*D67*(1+EscalatorInLease)^1+((DATE(2027+1,4,30)-F67)/365.25)*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)))),0)</f>
        <v/>
      </c>
      <c r="P67" s="5">
        <f>IFERROR(IF(I67="LeaseUp",H67*D67*(1+GrowthMarketRent)^2*IF(2=0,(12-DowntimeNew)/12,1),IF(F67="",0,IF(F67&gt;=DATE(2027+2,4,30),G67*D67*(1+EscalatorInLease)^2,IF(F67&lt;DATE(2026+2,5,1),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,((F67-DATE(2026+2,5,1))/365.25)*G67*D67*(1+EscalatorInLease)^2+((DATE(2027+2,4,30)-F67)/365.25)*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)))),0)</f>
        <v/>
      </c>
      <c r="Q67" s="5">
        <f>IFERROR(IF(I67="LeaseUp",H67*D67*(1+GrowthMarketRent)^3*IF(3=0,(12-DowntimeNew)/12,1),IF(F67="",0,IF(F67&gt;=DATE(2027+3,4,30),G67*D67*(1+EscalatorInLease)^3,IF(F67&lt;DATE(2026+3,5,1),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,((F67-DATE(2026+3,5,1))/365.25)*G67*D67*(1+EscalatorInLease)^3+((DATE(2027+3,4,30)-F67)/365.25)*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)))),0)</f>
        <v/>
      </c>
      <c r="R67" s="5">
        <f>IFERROR(IF(I67="LeaseUp",H67*D67*(1+GrowthMarketRent)^4*IF(4=0,(12-DowntimeNew)/12,1),IF(F67="",0,IF(F67&gt;=DATE(2027+4,4,30),G67*D67*(1+EscalatorInLease)^4,IF(F67&lt;DATE(2026+4,5,1),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,((F67-DATE(2026+4,5,1))/365.25)*G67*D67*(1+EscalatorInLease)^4+((DATE(2027+4,4,30)-F67)/365.25)*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)))),0)</f>
        <v/>
      </c>
      <c r="S67" s="5">
        <f>IFERROR(IF(I67="LeaseUp",H67*D67*(1+GrowthMarketRent)^5*IF(5=0,(12-DowntimeNew)/12,1),IF(F67="",0,IF(F67&gt;=DATE(2027+5,4,30),G67*D67*(1+EscalatorInLease)^5,IF(F67&lt;DATE(2026+5,5,1),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,((F67-DATE(2026+5,5,1))/365.25)*G67*D67*(1+EscalatorInLease)^5+((DATE(2027+5,4,30)-F67)/365.25)*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)))),0)</f>
        <v/>
      </c>
      <c r="T67" s="5">
        <f>IFERROR(IF(I67="LeaseUp",H67*D67*(1+GrowthMarketRent)^6*IF(6=0,(12-DowntimeNew)/12,1),IF(F67="",0,IF(F67&gt;=DATE(2027+6,4,30),G67*D67*(1+EscalatorInLease)^6,IF(F67&lt;DATE(2026+6,5,1),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,((F67-DATE(2026+6,5,1))/365.25)*G67*D67*(1+EscalatorInLease)^6+((DATE(2027+6,4,30)-F67)/365.25)*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)))),0)</f>
        <v/>
      </c>
      <c r="U67" s="5">
        <f>IFERROR(IF(I67="LeaseUp",H67*D67*(1+GrowthMarketRent)^7*IF(7=0,(12-DowntimeNew)/12,1),IF(F67="",0,IF(F67&gt;=DATE(2027+7,4,30),G67*D67*(1+EscalatorInLease)^7,IF(F67&lt;DATE(2026+7,5,1),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,((F67-DATE(2026+7,5,1))/365.25)*G67*D67*(1+EscalatorInLease)^7+((DATE(2027+7,4,30)-F67)/365.25)*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)))),0)</f>
        <v/>
      </c>
      <c r="V67" s="5">
        <f>IFERROR(IF(I67="LeaseUp",H67*D67*(1+GrowthMarketRent)^8*IF(8=0,(12-DowntimeNew)/12,1),IF(F67="",0,IF(F67&gt;=DATE(2027+8,4,30),G67*D67*(1+EscalatorInLease)^8,IF(F67&lt;DATE(2026+8,5,1),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,((F67-DATE(2026+8,5,1))/365.25)*G67*D67*(1+EscalatorInLease)^8+((DATE(2027+8,4,30)-F67)/365.25)*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)))),0)</f>
        <v/>
      </c>
      <c r="W67" s="5">
        <f>IFERROR(IF(I67="LeaseUp",H67*D67*(1+GrowthMarketRent)^9*IF(9=0,(12-DowntimeNew)/12,1),IF(F67="",0,IF(F67&gt;=DATE(2027+9,4,30),G67*D67*(1+EscalatorInLease)^9,IF(F67&lt;DATE(2026+9,5,1),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,((F67-DATE(2026+9,5,1))/365.25)*G67*D67*(1+EscalatorInLease)^9+((DATE(2027+9,4,30)-F67)/365.25)*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)))),0)</f>
        <v/>
      </c>
      <c r="X67" s="5">
        <f>IFERROR(IF(I67="LeaseUp",H67*D67*(1+GrowthMarketRent)^10*IF(10=0,(12-DowntimeNew)/12,1),IF(F67="",0,IF(F67&gt;=DATE(2027+10,4,30),G67*D67*(1+EscalatorInLease)^10,IF(F67&lt;DATE(2026+10,5,1),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,((F67-DATE(2026+10,5,1))/365.25)*G67*D67*(1+EscalatorInLease)^10+((DATE(2027+10,4,30)-F67)/365.25)*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)))),0)</f>
        <v/>
      </c>
      <c r="Y67" s="5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5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5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5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5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5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5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5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5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5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5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9" t="n">
        <v>2900</v>
      </c>
      <c r="E68" s="40" t="n">
        <v>45748</v>
      </c>
      <c r="F68" s="40" t="n">
        <v>46997</v>
      </c>
      <c r="G68" s="41" t="n">
        <v>16.9124137931034</v>
      </c>
      <c r="H68" s="10">
        <f>VLOOKUP(A68,MLA!$A$5:$L$11,3,FALSE)</f>
        <v/>
      </c>
      <c r="I68" s="25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7">
        <f>IF(E68="",0,(AnalysisStart-E68)/365.25)</f>
        <v/>
      </c>
      <c r="N68" s="5">
        <f>IFERROR(IF(I68="LeaseUp",H68*D68*(1+GrowthMarketRent)^0*IF(0=0,(12-DowntimeNew)/12,1),IF(F68="",0,IF(F68&gt;=DATE(2027+0,4,30),G68*D68*(1+EscalatorInLease)^0,IF(F68&lt;DATE(2026+0,5,1),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,((F68-DATE(2026+0,5,1))/365.25)*G68*D68*(1+EscalatorInLease)^0+((DATE(2027+0,4,30)-F68)/365.25)*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)))),0)</f>
        <v/>
      </c>
      <c r="O68" s="5">
        <f>IFERROR(IF(I68="LeaseUp",H68*D68*(1+GrowthMarketRent)^1*IF(1=0,(12-DowntimeNew)/12,1),IF(F68="",0,IF(F68&gt;=DATE(2027+1,4,30),G68*D68*(1+EscalatorInLease)^1,IF(F68&lt;DATE(2026+1,5,1),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,((F68-DATE(2026+1,5,1))/365.25)*G68*D68*(1+EscalatorInLease)^1+((DATE(2027+1,4,30)-F68)/365.25)*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)))),0)</f>
        <v/>
      </c>
      <c r="P68" s="5">
        <f>IFERROR(IF(I68="LeaseUp",H68*D68*(1+GrowthMarketRent)^2*IF(2=0,(12-DowntimeNew)/12,1),IF(F68="",0,IF(F68&gt;=DATE(2027+2,4,30),G68*D68*(1+EscalatorInLease)^2,IF(F68&lt;DATE(2026+2,5,1),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,((F68-DATE(2026+2,5,1))/365.25)*G68*D68*(1+EscalatorInLease)^2+((DATE(2027+2,4,30)-F68)/365.25)*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)))),0)</f>
        <v/>
      </c>
      <c r="Q68" s="5">
        <f>IFERROR(IF(I68="LeaseUp",H68*D68*(1+GrowthMarketRent)^3*IF(3=0,(12-DowntimeNew)/12,1),IF(F68="",0,IF(F68&gt;=DATE(2027+3,4,30),G68*D68*(1+EscalatorInLease)^3,IF(F68&lt;DATE(2026+3,5,1),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,((F68-DATE(2026+3,5,1))/365.25)*G68*D68*(1+EscalatorInLease)^3+((DATE(2027+3,4,30)-F68)/365.25)*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)))),0)</f>
        <v/>
      </c>
      <c r="R68" s="5">
        <f>IFERROR(IF(I68="LeaseUp",H68*D68*(1+GrowthMarketRent)^4*IF(4=0,(12-DowntimeNew)/12,1),IF(F68="",0,IF(F68&gt;=DATE(2027+4,4,30),G68*D68*(1+EscalatorInLease)^4,IF(F68&lt;DATE(2026+4,5,1),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,((F68-DATE(2026+4,5,1))/365.25)*G68*D68*(1+EscalatorInLease)^4+((DATE(2027+4,4,30)-F68)/365.25)*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)))),0)</f>
        <v/>
      </c>
      <c r="S68" s="5">
        <f>IFERROR(IF(I68="LeaseUp",H68*D68*(1+GrowthMarketRent)^5*IF(5=0,(12-DowntimeNew)/12,1),IF(F68="",0,IF(F68&gt;=DATE(2027+5,4,30),G68*D68*(1+EscalatorInLease)^5,IF(F68&lt;DATE(2026+5,5,1),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,((F68-DATE(2026+5,5,1))/365.25)*G68*D68*(1+EscalatorInLease)^5+((DATE(2027+5,4,30)-F68)/365.25)*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)))),0)</f>
        <v/>
      </c>
      <c r="T68" s="5">
        <f>IFERROR(IF(I68="LeaseUp",H68*D68*(1+GrowthMarketRent)^6*IF(6=0,(12-DowntimeNew)/12,1),IF(F68="",0,IF(F68&gt;=DATE(2027+6,4,30),G68*D68*(1+EscalatorInLease)^6,IF(F68&lt;DATE(2026+6,5,1),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,((F68-DATE(2026+6,5,1))/365.25)*G68*D68*(1+EscalatorInLease)^6+((DATE(2027+6,4,30)-F68)/365.25)*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)))),0)</f>
        <v/>
      </c>
      <c r="U68" s="5">
        <f>IFERROR(IF(I68="LeaseUp",H68*D68*(1+GrowthMarketRent)^7*IF(7=0,(12-DowntimeNew)/12,1),IF(F68="",0,IF(F68&gt;=DATE(2027+7,4,30),G68*D68*(1+EscalatorInLease)^7,IF(F68&lt;DATE(2026+7,5,1),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,((F68-DATE(2026+7,5,1))/365.25)*G68*D68*(1+EscalatorInLease)^7+((DATE(2027+7,4,30)-F68)/365.25)*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)))),0)</f>
        <v/>
      </c>
      <c r="V68" s="5">
        <f>IFERROR(IF(I68="LeaseUp",H68*D68*(1+GrowthMarketRent)^8*IF(8=0,(12-DowntimeNew)/12,1),IF(F68="",0,IF(F68&gt;=DATE(2027+8,4,30),G68*D68*(1+EscalatorInLease)^8,IF(F68&lt;DATE(2026+8,5,1),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,((F68-DATE(2026+8,5,1))/365.25)*G68*D68*(1+EscalatorInLease)^8+((DATE(2027+8,4,30)-F68)/365.25)*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)))),0)</f>
        <v/>
      </c>
      <c r="W68" s="5">
        <f>IFERROR(IF(I68="LeaseUp",H68*D68*(1+GrowthMarketRent)^9*IF(9=0,(12-DowntimeNew)/12,1),IF(F68="",0,IF(F68&gt;=DATE(2027+9,4,30),G68*D68*(1+EscalatorInLease)^9,IF(F68&lt;DATE(2026+9,5,1),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,((F68-DATE(2026+9,5,1))/365.25)*G68*D68*(1+EscalatorInLease)^9+((DATE(2027+9,4,30)-F68)/365.25)*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)))),0)</f>
        <v/>
      </c>
      <c r="X68" s="5">
        <f>IFERROR(IF(I68="LeaseUp",H68*D68*(1+GrowthMarketRent)^10*IF(10=0,(12-DowntimeNew)/12,1),IF(F68="",0,IF(F68&gt;=DATE(2027+10,4,30),G68*D68*(1+EscalatorInLease)^10,IF(F68&lt;DATE(2026+10,5,1),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,((F68-DATE(2026+10,5,1))/365.25)*G68*D68*(1+EscalatorInLease)^10+((DATE(2027+10,4,30)-F68)/365.25)*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)))),0)</f>
        <v/>
      </c>
      <c r="Y68" s="5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5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5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5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5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5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5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5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5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5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5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9" t="n">
        <v>3450</v>
      </c>
      <c r="E69" s="40" t="n">
        <v>44866</v>
      </c>
      <c r="F69" s="40" t="n">
        <v>47150</v>
      </c>
      <c r="G69" s="41" t="n">
        <v>15.7292753623188</v>
      </c>
      <c r="H69" s="10">
        <f>VLOOKUP(A69,MLA!$A$5:$L$11,3,FALSE)</f>
        <v/>
      </c>
      <c r="I69" s="25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7">
        <f>IF(E69="",0,(AnalysisStart-E69)/365.25)</f>
        <v/>
      </c>
      <c r="N69" s="5">
        <f>IFERROR(IF(I69="LeaseUp",H69*D69*(1+GrowthMarketRent)^0*IF(0=0,(12-DowntimeNew)/12,1),IF(F69="",0,IF(F69&gt;=DATE(2027+0,4,30),G69*D69*(1+EscalatorInLease)^0,IF(F69&lt;DATE(2026+0,5,1),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,((F69-DATE(2026+0,5,1))/365.25)*G69*D69*(1+EscalatorInLease)^0+((DATE(2027+0,4,30)-F69)/365.25)*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)))),0)</f>
        <v/>
      </c>
      <c r="O69" s="5">
        <f>IFERROR(IF(I69="LeaseUp",H69*D69*(1+GrowthMarketRent)^1*IF(1=0,(12-DowntimeNew)/12,1),IF(F69="",0,IF(F69&gt;=DATE(2027+1,4,30),G69*D69*(1+EscalatorInLease)^1,IF(F69&lt;DATE(2026+1,5,1),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,((F69-DATE(2026+1,5,1))/365.25)*G69*D69*(1+EscalatorInLease)^1+((DATE(2027+1,4,30)-F69)/365.25)*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)))),0)</f>
        <v/>
      </c>
      <c r="P69" s="5">
        <f>IFERROR(IF(I69="LeaseUp",H69*D69*(1+GrowthMarketRent)^2*IF(2=0,(12-DowntimeNew)/12,1),IF(F69="",0,IF(F69&gt;=DATE(2027+2,4,30),G69*D69*(1+EscalatorInLease)^2,IF(F69&lt;DATE(2026+2,5,1),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,((F69-DATE(2026+2,5,1))/365.25)*G69*D69*(1+EscalatorInLease)^2+((DATE(2027+2,4,30)-F69)/365.25)*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)))),0)</f>
        <v/>
      </c>
      <c r="Q69" s="5">
        <f>IFERROR(IF(I69="LeaseUp",H69*D69*(1+GrowthMarketRent)^3*IF(3=0,(12-DowntimeNew)/12,1),IF(F69="",0,IF(F69&gt;=DATE(2027+3,4,30),G69*D69*(1+EscalatorInLease)^3,IF(F69&lt;DATE(2026+3,5,1),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,((F69-DATE(2026+3,5,1))/365.25)*G69*D69*(1+EscalatorInLease)^3+((DATE(2027+3,4,30)-F69)/365.25)*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)))),0)</f>
        <v/>
      </c>
      <c r="R69" s="5">
        <f>IFERROR(IF(I69="LeaseUp",H69*D69*(1+GrowthMarketRent)^4*IF(4=0,(12-DowntimeNew)/12,1),IF(F69="",0,IF(F69&gt;=DATE(2027+4,4,30),G69*D69*(1+EscalatorInLease)^4,IF(F69&lt;DATE(2026+4,5,1),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,((F69-DATE(2026+4,5,1))/365.25)*G69*D69*(1+EscalatorInLease)^4+((DATE(2027+4,4,30)-F69)/365.25)*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)))),0)</f>
        <v/>
      </c>
      <c r="S69" s="5">
        <f>IFERROR(IF(I69="LeaseUp",H69*D69*(1+GrowthMarketRent)^5*IF(5=0,(12-DowntimeNew)/12,1),IF(F69="",0,IF(F69&gt;=DATE(2027+5,4,30),G69*D69*(1+EscalatorInLease)^5,IF(F69&lt;DATE(2026+5,5,1),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,((F69-DATE(2026+5,5,1))/365.25)*G69*D69*(1+EscalatorInLease)^5+((DATE(2027+5,4,30)-F69)/365.25)*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)))),0)</f>
        <v/>
      </c>
      <c r="T69" s="5">
        <f>IFERROR(IF(I69="LeaseUp",H69*D69*(1+GrowthMarketRent)^6*IF(6=0,(12-DowntimeNew)/12,1),IF(F69="",0,IF(F69&gt;=DATE(2027+6,4,30),G69*D69*(1+EscalatorInLease)^6,IF(F69&lt;DATE(2026+6,5,1),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,((F69-DATE(2026+6,5,1))/365.25)*G69*D69*(1+EscalatorInLease)^6+((DATE(2027+6,4,30)-F69)/365.25)*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)))),0)</f>
        <v/>
      </c>
      <c r="U69" s="5">
        <f>IFERROR(IF(I69="LeaseUp",H69*D69*(1+GrowthMarketRent)^7*IF(7=0,(12-DowntimeNew)/12,1),IF(F69="",0,IF(F69&gt;=DATE(2027+7,4,30),G69*D69*(1+EscalatorInLease)^7,IF(F69&lt;DATE(2026+7,5,1),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,((F69-DATE(2026+7,5,1))/365.25)*G69*D69*(1+EscalatorInLease)^7+((DATE(2027+7,4,30)-F69)/365.25)*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)))),0)</f>
        <v/>
      </c>
      <c r="V69" s="5">
        <f>IFERROR(IF(I69="LeaseUp",H69*D69*(1+GrowthMarketRent)^8*IF(8=0,(12-DowntimeNew)/12,1),IF(F69="",0,IF(F69&gt;=DATE(2027+8,4,30),G69*D69*(1+EscalatorInLease)^8,IF(F69&lt;DATE(2026+8,5,1),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,((F69-DATE(2026+8,5,1))/365.25)*G69*D69*(1+EscalatorInLease)^8+((DATE(2027+8,4,30)-F69)/365.25)*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)))),0)</f>
        <v/>
      </c>
      <c r="W69" s="5">
        <f>IFERROR(IF(I69="LeaseUp",H69*D69*(1+GrowthMarketRent)^9*IF(9=0,(12-DowntimeNew)/12,1),IF(F69="",0,IF(F69&gt;=DATE(2027+9,4,30),G69*D69*(1+EscalatorInLease)^9,IF(F69&lt;DATE(2026+9,5,1),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,((F69-DATE(2026+9,5,1))/365.25)*G69*D69*(1+EscalatorInLease)^9+((DATE(2027+9,4,30)-F69)/365.25)*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)))),0)</f>
        <v/>
      </c>
      <c r="X69" s="5">
        <f>IFERROR(IF(I69="LeaseUp",H69*D69*(1+GrowthMarketRent)^10*IF(10=0,(12-DowntimeNew)/12,1),IF(F69="",0,IF(F69&gt;=DATE(2027+10,4,30),G69*D69*(1+EscalatorInLease)^10,IF(F69&lt;DATE(2026+10,5,1),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,((F69-DATE(2026+10,5,1))/365.25)*G69*D69*(1+EscalatorInLease)^10+((DATE(2027+10,4,30)-F69)/365.25)*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)))),0)</f>
        <v/>
      </c>
      <c r="Y69" s="5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5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5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5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5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5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5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5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5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5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5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9" t="n">
        <v>2600</v>
      </c>
      <c r="E70" s="40" t="n">
        <v>45566</v>
      </c>
      <c r="F70" s="40" t="n">
        <v>46813</v>
      </c>
      <c r="G70" s="41" t="n">
        <v>15.375</v>
      </c>
      <c r="H70" s="10">
        <f>VLOOKUP(A70,MLA!$A$5:$L$11,3,FALSE)</f>
        <v/>
      </c>
      <c r="I70" s="25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7">
        <f>IF(E70="",0,(AnalysisStart-E70)/365.25)</f>
        <v/>
      </c>
      <c r="N70" s="5">
        <f>IFERROR(IF(I70="LeaseUp",H70*D70*(1+GrowthMarketRent)^0*IF(0=0,(12-DowntimeNew)/12,1),IF(F70="",0,IF(F70&gt;=DATE(2027+0,4,30),G70*D70*(1+EscalatorInLease)^0,IF(F70&lt;DATE(2026+0,5,1),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,((F70-DATE(2026+0,5,1))/365.25)*G70*D70*(1+EscalatorInLease)^0+((DATE(2027+0,4,30)-F70)/365.25)*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)))),0)</f>
        <v/>
      </c>
      <c r="O70" s="5">
        <f>IFERROR(IF(I70="LeaseUp",H70*D70*(1+GrowthMarketRent)^1*IF(1=0,(12-DowntimeNew)/12,1),IF(F70="",0,IF(F70&gt;=DATE(2027+1,4,30),G70*D70*(1+EscalatorInLease)^1,IF(F70&lt;DATE(2026+1,5,1),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,((F70-DATE(2026+1,5,1))/365.25)*G70*D70*(1+EscalatorInLease)^1+((DATE(2027+1,4,30)-F70)/365.25)*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)))),0)</f>
        <v/>
      </c>
      <c r="P70" s="5">
        <f>IFERROR(IF(I70="LeaseUp",H70*D70*(1+GrowthMarketRent)^2*IF(2=0,(12-DowntimeNew)/12,1),IF(F70="",0,IF(F70&gt;=DATE(2027+2,4,30),G70*D70*(1+EscalatorInLease)^2,IF(F70&lt;DATE(2026+2,5,1),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,((F70-DATE(2026+2,5,1))/365.25)*G70*D70*(1+EscalatorInLease)^2+((DATE(2027+2,4,30)-F70)/365.25)*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)))),0)</f>
        <v/>
      </c>
      <c r="Q70" s="5">
        <f>IFERROR(IF(I70="LeaseUp",H70*D70*(1+GrowthMarketRent)^3*IF(3=0,(12-DowntimeNew)/12,1),IF(F70="",0,IF(F70&gt;=DATE(2027+3,4,30),G70*D70*(1+EscalatorInLease)^3,IF(F70&lt;DATE(2026+3,5,1),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,((F70-DATE(2026+3,5,1))/365.25)*G70*D70*(1+EscalatorInLease)^3+((DATE(2027+3,4,30)-F70)/365.25)*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)))),0)</f>
        <v/>
      </c>
      <c r="R70" s="5">
        <f>IFERROR(IF(I70="LeaseUp",H70*D70*(1+GrowthMarketRent)^4*IF(4=0,(12-DowntimeNew)/12,1),IF(F70="",0,IF(F70&gt;=DATE(2027+4,4,30),G70*D70*(1+EscalatorInLease)^4,IF(F70&lt;DATE(2026+4,5,1),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,((F70-DATE(2026+4,5,1))/365.25)*G70*D70*(1+EscalatorInLease)^4+((DATE(2027+4,4,30)-F70)/365.25)*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)))),0)</f>
        <v/>
      </c>
      <c r="S70" s="5">
        <f>IFERROR(IF(I70="LeaseUp",H70*D70*(1+GrowthMarketRent)^5*IF(5=0,(12-DowntimeNew)/12,1),IF(F70="",0,IF(F70&gt;=DATE(2027+5,4,30),G70*D70*(1+EscalatorInLease)^5,IF(F70&lt;DATE(2026+5,5,1),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,((F70-DATE(2026+5,5,1))/365.25)*G70*D70*(1+EscalatorInLease)^5+((DATE(2027+5,4,30)-F70)/365.25)*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)))),0)</f>
        <v/>
      </c>
      <c r="T70" s="5">
        <f>IFERROR(IF(I70="LeaseUp",H70*D70*(1+GrowthMarketRent)^6*IF(6=0,(12-DowntimeNew)/12,1),IF(F70="",0,IF(F70&gt;=DATE(2027+6,4,30),G70*D70*(1+EscalatorInLease)^6,IF(F70&lt;DATE(2026+6,5,1),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,((F70-DATE(2026+6,5,1))/365.25)*G70*D70*(1+EscalatorInLease)^6+((DATE(2027+6,4,30)-F70)/365.25)*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)))),0)</f>
        <v/>
      </c>
      <c r="U70" s="5">
        <f>IFERROR(IF(I70="LeaseUp",H70*D70*(1+GrowthMarketRent)^7*IF(7=0,(12-DowntimeNew)/12,1),IF(F70="",0,IF(F70&gt;=DATE(2027+7,4,30),G70*D70*(1+EscalatorInLease)^7,IF(F70&lt;DATE(2026+7,5,1),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,((F70-DATE(2026+7,5,1))/365.25)*G70*D70*(1+EscalatorInLease)^7+((DATE(2027+7,4,30)-F70)/365.25)*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)))),0)</f>
        <v/>
      </c>
      <c r="V70" s="5">
        <f>IFERROR(IF(I70="LeaseUp",H70*D70*(1+GrowthMarketRent)^8*IF(8=0,(12-DowntimeNew)/12,1),IF(F70="",0,IF(F70&gt;=DATE(2027+8,4,30),G70*D70*(1+EscalatorInLease)^8,IF(F70&lt;DATE(2026+8,5,1),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,((F70-DATE(2026+8,5,1))/365.25)*G70*D70*(1+EscalatorInLease)^8+((DATE(2027+8,4,30)-F70)/365.25)*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)))),0)</f>
        <v/>
      </c>
      <c r="W70" s="5">
        <f>IFERROR(IF(I70="LeaseUp",H70*D70*(1+GrowthMarketRent)^9*IF(9=0,(12-DowntimeNew)/12,1),IF(F70="",0,IF(F70&gt;=DATE(2027+9,4,30),G70*D70*(1+EscalatorInLease)^9,IF(F70&lt;DATE(2026+9,5,1),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,((F70-DATE(2026+9,5,1))/365.25)*G70*D70*(1+EscalatorInLease)^9+((DATE(2027+9,4,30)-F70)/365.25)*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)))),0)</f>
        <v/>
      </c>
      <c r="X70" s="5">
        <f>IFERROR(IF(I70="LeaseUp",H70*D70*(1+GrowthMarketRent)^10*IF(10=0,(12-DowntimeNew)/12,1),IF(F70="",0,IF(F70&gt;=DATE(2027+10,4,30),G70*D70*(1+EscalatorInLease)^10,IF(F70&lt;DATE(2026+10,5,1),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,((F70-DATE(2026+10,5,1))/365.25)*G70*D70*(1+EscalatorInLease)^10+((DATE(2027+10,4,30)-F70)/365.25)*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)))),0)</f>
        <v/>
      </c>
      <c r="Y70" s="5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5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5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5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5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5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5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5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5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5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5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9" t="n">
        <v>2600</v>
      </c>
      <c r="G71" s="41" t="n">
        <v>0</v>
      </c>
      <c r="H71" s="10">
        <f>VLOOKUP(A71,MLA!$A$5:$L$11,3,FALSE)</f>
        <v/>
      </c>
      <c r="I71" s="25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7">
        <f>IF(E71="",0,(AnalysisStart-E71)/365.25)</f>
        <v/>
      </c>
      <c r="N71" s="5">
        <f>IFERROR(IF(I71="LeaseUp",H71*D71*(1+GrowthMarketRent)^0*IF(0=0,(12-DowntimeNew)/12,1),IF(F71="",0,IF(F71&gt;=DATE(2027+0,4,30),G71*D71*(1+EscalatorInLease)^0,IF(F71&lt;DATE(2026+0,5,1),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,((F71-DATE(2026+0,5,1))/365.25)*G71*D71*(1+EscalatorInLease)^0+((DATE(2027+0,4,30)-F71)/365.25)*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)))),0)</f>
        <v/>
      </c>
      <c r="O71" s="5">
        <f>IFERROR(IF(I71="LeaseUp",H71*D71*(1+GrowthMarketRent)^1*IF(1=0,(12-DowntimeNew)/12,1),IF(F71="",0,IF(F71&gt;=DATE(2027+1,4,30),G71*D71*(1+EscalatorInLease)^1,IF(F71&lt;DATE(2026+1,5,1),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,((F71-DATE(2026+1,5,1))/365.25)*G71*D71*(1+EscalatorInLease)^1+((DATE(2027+1,4,30)-F71)/365.25)*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)))),0)</f>
        <v/>
      </c>
      <c r="P71" s="5">
        <f>IFERROR(IF(I71="LeaseUp",H71*D71*(1+GrowthMarketRent)^2*IF(2=0,(12-DowntimeNew)/12,1),IF(F71="",0,IF(F71&gt;=DATE(2027+2,4,30),G71*D71*(1+EscalatorInLease)^2,IF(F71&lt;DATE(2026+2,5,1),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,((F71-DATE(2026+2,5,1))/365.25)*G71*D71*(1+EscalatorInLease)^2+((DATE(2027+2,4,30)-F71)/365.25)*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)))),0)</f>
        <v/>
      </c>
      <c r="Q71" s="5">
        <f>IFERROR(IF(I71="LeaseUp",H71*D71*(1+GrowthMarketRent)^3*IF(3=0,(12-DowntimeNew)/12,1),IF(F71="",0,IF(F71&gt;=DATE(2027+3,4,30),G71*D71*(1+EscalatorInLease)^3,IF(F71&lt;DATE(2026+3,5,1),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,((F71-DATE(2026+3,5,1))/365.25)*G71*D71*(1+EscalatorInLease)^3+((DATE(2027+3,4,30)-F71)/365.25)*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)))),0)</f>
        <v/>
      </c>
      <c r="R71" s="5">
        <f>IFERROR(IF(I71="LeaseUp",H71*D71*(1+GrowthMarketRent)^4*IF(4=0,(12-DowntimeNew)/12,1),IF(F71="",0,IF(F71&gt;=DATE(2027+4,4,30),G71*D71*(1+EscalatorInLease)^4,IF(F71&lt;DATE(2026+4,5,1),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,((F71-DATE(2026+4,5,1))/365.25)*G71*D71*(1+EscalatorInLease)^4+((DATE(2027+4,4,30)-F71)/365.25)*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)))),0)</f>
        <v/>
      </c>
      <c r="S71" s="5">
        <f>IFERROR(IF(I71="LeaseUp",H71*D71*(1+GrowthMarketRent)^5*IF(5=0,(12-DowntimeNew)/12,1),IF(F71="",0,IF(F71&gt;=DATE(2027+5,4,30),G71*D71*(1+EscalatorInLease)^5,IF(F71&lt;DATE(2026+5,5,1),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,((F71-DATE(2026+5,5,1))/365.25)*G71*D71*(1+EscalatorInLease)^5+((DATE(2027+5,4,30)-F71)/365.25)*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)))),0)</f>
        <v/>
      </c>
      <c r="T71" s="5">
        <f>IFERROR(IF(I71="LeaseUp",H71*D71*(1+GrowthMarketRent)^6*IF(6=0,(12-DowntimeNew)/12,1),IF(F71="",0,IF(F71&gt;=DATE(2027+6,4,30),G71*D71*(1+EscalatorInLease)^6,IF(F71&lt;DATE(2026+6,5,1),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,((F71-DATE(2026+6,5,1))/365.25)*G71*D71*(1+EscalatorInLease)^6+((DATE(2027+6,4,30)-F71)/365.25)*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)))),0)</f>
        <v/>
      </c>
      <c r="U71" s="5">
        <f>IFERROR(IF(I71="LeaseUp",H71*D71*(1+GrowthMarketRent)^7*IF(7=0,(12-DowntimeNew)/12,1),IF(F71="",0,IF(F71&gt;=DATE(2027+7,4,30),G71*D71*(1+EscalatorInLease)^7,IF(F71&lt;DATE(2026+7,5,1),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,((F71-DATE(2026+7,5,1))/365.25)*G71*D71*(1+EscalatorInLease)^7+((DATE(2027+7,4,30)-F71)/365.25)*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)))),0)</f>
        <v/>
      </c>
      <c r="V71" s="5">
        <f>IFERROR(IF(I71="LeaseUp",H71*D71*(1+GrowthMarketRent)^8*IF(8=0,(12-DowntimeNew)/12,1),IF(F71="",0,IF(F71&gt;=DATE(2027+8,4,30),G71*D71*(1+EscalatorInLease)^8,IF(F71&lt;DATE(2026+8,5,1),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,((F71-DATE(2026+8,5,1))/365.25)*G71*D71*(1+EscalatorInLease)^8+((DATE(2027+8,4,30)-F71)/365.25)*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)))),0)</f>
        <v/>
      </c>
      <c r="W71" s="5">
        <f>IFERROR(IF(I71="LeaseUp",H71*D71*(1+GrowthMarketRent)^9*IF(9=0,(12-DowntimeNew)/12,1),IF(F71="",0,IF(F71&gt;=DATE(2027+9,4,30),G71*D71*(1+EscalatorInLease)^9,IF(F71&lt;DATE(2026+9,5,1),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,((F71-DATE(2026+9,5,1))/365.25)*G71*D71*(1+EscalatorInLease)^9+((DATE(2027+9,4,30)-F71)/365.25)*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)))),0)</f>
        <v/>
      </c>
      <c r="X71" s="5">
        <f>IFERROR(IF(I71="LeaseUp",H71*D71*(1+GrowthMarketRent)^10*IF(10=0,(12-DowntimeNew)/12,1),IF(F71="",0,IF(F71&gt;=DATE(2027+10,4,30),G71*D71*(1+EscalatorInLease)^10,IF(F71&lt;DATE(2026+10,5,1),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,((F71-DATE(2026+10,5,1))/365.25)*G71*D71*(1+EscalatorInLease)^10+((DATE(2027+10,4,30)-F71)/365.25)*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)))),0)</f>
        <v/>
      </c>
      <c r="Y71" s="5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5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5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5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5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5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5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5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5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5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5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9" t="n">
        <v>2600</v>
      </c>
      <c r="G72" s="41" t="n">
        <v>0</v>
      </c>
      <c r="H72" s="10">
        <f>VLOOKUP(A72,MLA!$A$5:$L$11,3,FALSE)</f>
        <v/>
      </c>
      <c r="I72" s="25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7">
        <f>IF(E72="",0,(AnalysisStart-E72)/365.25)</f>
        <v/>
      </c>
      <c r="N72" s="5">
        <f>IFERROR(IF(I72="LeaseUp",H72*D72*(1+GrowthMarketRent)^0*IF(0=0,(12-DowntimeNew)/12,1),IF(F72="",0,IF(F72&gt;=DATE(2027+0,4,30),G72*D72*(1+EscalatorInLease)^0,IF(F72&lt;DATE(2026+0,5,1),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,((F72-DATE(2026+0,5,1))/365.25)*G72*D72*(1+EscalatorInLease)^0+((DATE(2027+0,4,30)-F72)/365.25)*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)))),0)</f>
        <v/>
      </c>
      <c r="O72" s="5">
        <f>IFERROR(IF(I72="LeaseUp",H72*D72*(1+GrowthMarketRent)^1*IF(1=0,(12-DowntimeNew)/12,1),IF(F72="",0,IF(F72&gt;=DATE(2027+1,4,30),G72*D72*(1+EscalatorInLease)^1,IF(F72&lt;DATE(2026+1,5,1),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,((F72-DATE(2026+1,5,1))/365.25)*G72*D72*(1+EscalatorInLease)^1+((DATE(2027+1,4,30)-F72)/365.25)*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)))),0)</f>
        <v/>
      </c>
      <c r="P72" s="5">
        <f>IFERROR(IF(I72="LeaseUp",H72*D72*(1+GrowthMarketRent)^2*IF(2=0,(12-DowntimeNew)/12,1),IF(F72="",0,IF(F72&gt;=DATE(2027+2,4,30),G72*D72*(1+EscalatorInLease)^2,IF(F72&lt;DATE(2026+2,5,1),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,((F72-DATE(2026+2,5,1))/365.25)*G72*D72*(1+EscalatorInLease)^2+((DATE(2027+2,4,30)-F72)/365.25)*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)))),0)</f>
        <v/>
      </c>
      <c r="Q72" s="5">
        <f>IFERROR(IF(I72="LeaseUp",H72*D72*(1+GrowthMarketRent)^3*IF(3=0,(12-DowntimeNew)/12,1),IF(F72="",0,IF(F72&gt;=DATE(2027+3,4,30),G72*D72*(1+EscalatorInLease)^3,IF(F72&lt;DATE(2026+3,5,1),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,((F72-DATE(2026+3,5,1))/365.25)*G72*D72*(1+EscalatorInLease)^3+((DATE(2027+3,4,30)-F72)/365.25)*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)))),0)</f>
        <v/>
      </c>
      <c r="R72" s="5">
        <f>IFERROR(IF(I72="LeaseUp",H72*D72*(1+GrowthMarketRent)^4*IF(4=0,(12-DowntimeNew)/12,1),IF(F72="",0,IF(F72&gt;=DATE(2027+4,4,30),G72*D72*(1+EscalatorInLease)^4,IF(F72&lt;DATE(2026+4,5,1),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,((F72-DATE(2026+4,5,1))/365.25)*G72*D72*(1+EscalatorInLease)^4+((DATE(2027+4,4,30)-F72)/365.25)*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)))),0)</f>
        <v/>
      </c>
      <c r="S72" s="5">
        <f>IFERROR(IF(I72="LeaseUp",H72*D72*(1+GrowthMarketRent)^5*IF(5=0,(12-DowntimeNew)/12,1),IF(F72="",0,IF(F72&gt;=DATE(2027+5,4,30),G72*D72*(1+EscalatorInLease)^5,IF(F72&lt;DATE(2026+5,5,1),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,((F72-DATE(2026+5,5,1))/365.25)*G72*D72*(1+EscalatorInLease)^5+((DATE(2027+5,4,30)-F72)/365.25)*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)))),0)</f>
        <v/>
      </c>
      <c r="T72" s="5">
        <f>IFERROR(IF(I72="LeaseUp",H72*D72*(1+GrowthMarketRent)^6*IF(6=0,(12-DowntimeNew)/12,1),IF(F72="",0,IF(F72&gt;=DATE(2027+6,4,30),G72*D72*(1+EscalatorInLease)^6,IF(F72&lt;DATE(2026+6,5,1),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,((F72-DATE(2026+6,5,1))/365.25)*G72*D72*(1+EscalatorInLease)^6+((DATE(2027+6,4,30)-F72)/365.25)*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)))),0)</f>
        <v/>
      </c>
      <c r="U72" s="5">
        <f>IFERROR(IF(I72="LeaseUp",H72*D72*(1+GrowthMarketRent)^7*IF(7=0,(12-DowntimeNew)/12,1),IF(F72="",0,IF(F72&gt;=DATE(2027+7,4,30),G72*D72*(1+EscalatorInLease)^7,IF(F72&lt;DATE(2026+7,5,1),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,((F72-DATE(2026+7,5,1))/365.25)*G72*D72*(1+EscalatorInLease)^7+((DATE(2027+7,4,30)-F72)/365.25)*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)))),0)</f>
        <v/>
      </c>
      <c r="V72" s="5">
        <f>IFERROR(IF(I72="LeaseUp",H72*D72*(1+GrowthMarketRent)^8*IF(8=0,(12-DowntimeNew)/12,1),IF(F72="",0,IF(F72&gt;=DATE(2027+8,4,30),G72*D72*(1+EscalatorInLease)^8,IF(F72&lt;DATE(2026+8,5,1),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,((F72-DATE(2026+8,5,1))/365.25)*G72*D72*(1+EscalatorInLease)^8+((DATE(2027+8,4,30)-F72)/365.25)*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)))),0)</f>
        <v/>
      </c>
      <c r="W72" s="5">
        <f>IFERROR(IF(I72="LeaseUp",H72*D72*(1+GrowthMarketRent)^9*IF(9=0,(12-DowntimeNew)/12,1),IF(F72="",0,IF(F72&gt;=DATE(2027+9,4,30),G72*D72*(1+EscalatorInLease)^9,IF(F72&lt;DATE(2026+9,5,1),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,((F72-DATE(2026+9,5,1))/365.25)*G72*D72*(1+EscalatorInLease)^9+((DATE(2027+9,4,30)-F72)/365.25)*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)))),0)</f>
        <v/>
      </c>
      <c r="X72" s="5">
        <f>IFERROR(IF(I72="LeaseUp",H72*D72*(1+GrowthMarketRent)^10*IF(10=0,(12-DowntimeNew)/12,1),IF(F72="",0,IF(F72&gt;=DATE(2027+10,4,30),G72*D72*(1+EscalatorInLease)^10,IF(F72&lt;DATE(2026+10,5,1),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,((F72-DATE(2026+10,5,1))/365.25)*G72*D72*(1+EscalatorInLease)^10+((DATE(2027+10,4,30)-F72)/365.25)*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)))),0)</f>
        <v/>
      </c>
      <c r="Y72" s="5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5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5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5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5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5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5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5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5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5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5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9" t="n">
        <v>2600</v>
      </c>
      <c r="G73" s="41" t="n">
        <v>0</v>
      </c>
      <c r="H73" s="10">
        <f>VLOOKUP(A73,MLA!$A$5:$L$11,3,FALSE)</f>
        <v/>
      </c>
      <c r="I73" s="25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7">
        <f>IF(E73="",0,(AnalysisStart-E73)/365.25)</f>
        <v/>
      </c>
      <c r="N73" s="5">
        <f>IFERROR(IF(I73="LeaseUp",H73*D73*(1+GrowthMarketRent)^0*IF(0=0,(12-DowntimeNew)/12,1),IF(F73="",0,IF(F73&gt;=DATE(2027+0,4,30),G73*D73*(1+EscalatorInLease)^0,IF(F73&lt;DATE(2026+0,5,1),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,((F73-DATE(2026+0,5,1))/365.25)*G73*D73*(1+EscalatorInLease)^0+((DATE(2027+0,4,30)-F73)/365.25)*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)))),0)</f>
        <v/>
      </c>
      <c r="O73" s="5">
        <f>IFERROR(IF(I73="LeaseUp",H73*D73*(1+GrowthMarketRent)^1*IF(1=0,(12-DowntimeNew)/12,1),IF(F73="",0,IF(F73&gt;=DATE(2027+1,4,30),G73*D73*(1+EscalatorInLease)^1,IF(F73&lt;DATE(2026+1,5,1),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,((F73-DATE(2026+1,5,1))/365.25)*G73*D73*(1+EscalatorInLease)^1+((DATE(2027+1,4,30)-F73)/365.25)*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)))),0)</f>
        <v/>
      </c>
      <c r="P73" s="5">
        <f>IFERROR(IF(I73="LeaseUp",H73*D73*(1+GrowthMarketRent)^2*IF(2=0,(12-DowntimeNew)/12,1),IF(F73="",0,IF(F73&gt;=DATE(2027+2,4,30),G73*D73*(1+EscalatorInLease)^2,IF(F73&lt;DATE(2026+2,5,1),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,((F73-DATE(2026+2,5,1))/365.25)*G73*D73*(1+EscalatorInLease)^2+((DATE(2027+2,4,30)-F73)/365.25)*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)))),0)</f>
        <v/>
      </c>
      <c r="Q73" s="5">
        <f>IFERROR(IF(I73="LeaseUp",H73*D73*(1+GrowthMarketRent)^3*IF(3=0,(12-DowntimeNew)/12,1),IF(F73="",0,IF(F73&gt;=DATE(2027+3,4,30),G73*D73*(1+EscalatorInLease)^3,IF(F73&lt;DATE(2026+3,5,1),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,((F73-DATE(2026+3,5,1))/365.25)*G73*D73*(1+EscalatorInLease)^3+((DATE(2027+3,4,30)-F73)/365.25)*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)))),0)</f>
        <v/>
      </c>
      <c r="R73" s="5">
        <f>IFERROR(IF(I73="LeaseUp",H73*D73*(1+GrowthMarketRent)^4*IF(4=0,(12-DowntimeNew)/12,1),IF(F73="",0,IF(F73&gt;=DATE(2027+4,4,30),G73*D73*(1+EscalatorInLease)^4,IF(F73&lt;DATE(2026+4,5,1),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,((F73-DATE(2026+4,5,1))/365.25)*G73*D73*(1+EscalatorInLease)^4+((DATE(2027+4,4,30)-F73)/365.25)*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)))),0)</f>
        <v/>
      </c>
      <c r="S73" s="5">
        <f>IFERROR(IF(I73="LeaseUp",H73*D73*(1+GrowthMarketRent)^5*IF(5=0,(12-DowntimeNew)/12,1),IF(F73="",0,IF(F73&gt;=DATE(2027+5,4,30),G73*D73*(1+EscalatorInLease)^5,IF(F73&lt;DATE(2026+5,5,1),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,((F73-DATE(2026+5,5,1))/365.25)*G73*D73*(1+EscalatorInLease)^5+((DATE(2027+5,4,30)-F73)/365.25)*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)))),0)</f>
        <v/>
      </c>
      <c r="T73" s="5">
        <f>IFERROR(IF(I73="LeaseUp",H73*D73*(1+GrowthMarketRent)^6*IF(6=0,(12-DowntimeNew)/12,1),IF(F73="",0,IF(F73&gt;=DATE(2027+6,4,30),G73*D73*(1+EscalatorInLease)^6,IF(F73&lt;DATE(2026+6,5,1),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,((F73-DATE(2026+6,5,1))/365.25)*G73*D73*(1+EscalatorInLease)^6+((DATE(2027+6,4,30)-F73)/365.25)*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)))),0)</f>
        <v/>
      </c>
      <c r="U73" s="5">
        <f>IFERROR(IF(I73="LeaseUp",H73*D73*(1+GrowthMarketRent)^7*IF(7=0,(12-DowntimeNew)/12,1),IF(F73="",0,IF(F73&gt;=DATE(2027+7,4,30),G73*D73*(1+EscalatorInLease)^7,IF(F73&lt;DATE(2026+7,5,1),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,((F73-DATE(2026+7,5,1))/365.25)*G73*D73*(1+EscalatorInLease)^7+((DATE(2027+7,4,30)-F73)/365.25)*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)))),0)</f>
        <v/>
      </c>
      <c r="V73" s="5">
        <f>IFERROR(IF(I73="LeaseUp",H73*D73*(1+GrowthMarketRent)^8*IF(8=0,(12-DowntimeNew)/12,1),IF(F73="",0,IF(F73&gt;=DATE(2027+8,4,30),G73*D73*(1+EscalatorInLease)^8,IF(F73&lt;DATE(2026+8,5,1),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,((F73-DATE(2026+8,5,1))/365.25)*G73*D73*(1+EscalatorInLease)^8+((DATE(2027+8,4,30)-F73)/365.25)*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)))),0)</f>
        <v/>
      </c>
      <c r="W73" s="5">
        <f>IFERROR(IF(I73="LeaseUp",H73*D73*(1+GrowthMarketRent)^9*IF(9=0,(12-DowntimeNew)/12,1),IF(F73="",0,IF(F73&gt;=DATE(2027+9,4,30),G73*D73*(1+EscalatorInLease)^9,IF(F73&lt;DATE(2026+9,5,1),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,((F73-DATE(2026+9,5,1))/365.25)*G73*D73*(1+EscalatorInLease)^9+((DATE(2027+9,4,30)-F73)/365.25)*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)))),0)</f>
        <v/>
      </c>
      <c r="X73" s="5">
        <f>IFERROR(IF(I73="LeaseUp",H73*D73*(1+GrowthMarketRent)^10*IF(10=0,(12-DowntimeNew)/12,1),IF(F73="",0,IF(F73&gt;=DATE(2027+10,4,30),G73*D73*(1+EscalatorInLease)^10,IF(F73&lt;DATE(2026+10,5,1),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,((F73-DATE(2026+10,5,1))/365.25)*G73*D73*(1+EscalatorInLease)^10+((DATE(2027+10,4,30)-F73)/365.25)*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)))),0)</f>
        <v/>
      </c>
      <c r="Y73" s="5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5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5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5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5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5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5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5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5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5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5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9" t="n">
        <v>2600</v>
      </c>
      <c r="E74" s="40" t="n">
        <v>45536</v>
      </c>
      <c r="F74" s="40" t="n">
        <v>46784</v>
      </c>
      <c r="G74" s="41" t="n">
        <v>15.375</v>
      </c>
      <c r="H74" s="10">
        <f>VLOOKUP(A74,MLA!$A$5:$L$11,3,FALSE)</f>
        <v/>
      </c>
      <c r="I74" s="25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7">
        <f>IF(E74="",0,(AnalysisStart-E74)/365.25)</f>
        <v/>
      </c>
      <c r="N74" s="5">
        <f>IFERROR(IF(I74="LeaseUp",H74*D74*(1+GrowthMarketRent)^0*IF(0=0,(12-DowntimeNew)/12,1),IF(F74="",0,IF(F74&gt;=DATE(2027+0,4,30),G74*D74*(1+EscalatorInLease)^0,IF(F74&lt;DATE(2026+0,5,1),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,((F74-DATE(2026+0,5,1))/365.25)*G74*D74*(1+EscalatorInLease)^0+((DATE(2027+0,4,30)-F74)/365.25)*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)))),0)</f>
        <v/>
      </c>
      <c r="O74" s="5">
        <f>IFERROR(IF(I74="LeaseUp",H74*D74*(1+GrowthMarketRent)^1*IF(1=0,(12-DowntimeNew)/12,1),IF(F74="",0,IF(F74&gt;=DATE(2027+1,4,30),G74*D74*(1+EscalatorInLease)^1,IF(F74&lt;DATE(2026+1,5,1),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,((F74-DATE(2026+1,5,1))/365.25)*G74*D74*(1+EscalatorInLease)^1+((DATE(2027+1,4,30)-F74)/365.25)*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)))),0)</f>
        <v/>
      </c>
      <c r="P74" s="5">
        <f>IFERROR(IF(I74="LeaseUp",H74*D74*(1+GrowthMarketRent)^2*IF(2=0,(12-DowntimeNew)/12,1),IF(F74="",0,IF(F74&gt;=DATE(2027+2,4,30),G74*D74*(1+EscalatorInLease)^2,IF(F74&lt;DATE(2026+2,5,1),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,((F74-DATE(2026+2,5,1))/365.25)*G74*D74*(1+EscalatorInLease)^2+((DATE(2027+2,4,30)-F74)/365.25)*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)))),0)</f>
        <v/>
      </c>
      <c r="Q74" s="5">
        <f>IFERROR(IF(I74="LeaseUp",H74*D74*(1+GrowthMarketRent)^3*IF(3=0,(12-DowntimeNew)/12,1),IF(F74="",0,IF(F74&gt;=DATE(2027+3,4,30),G74*D74*(1+EscalatorInLease)^3,IF(F74&lt;DATE(2026+3,5,1),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,((F74-DATE(2026+3,5,1))/365.25)*G74*D74*(1+EscalatorInLease)^3+((DATE(2027+3,4,30)-F74)/365.25)*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)))),0)</f>
        <v/>
      </c>
      <c r="R74" s="5">
        <f>IFERROR(IF(I74="LeaseUp",H74*D74*(1+GrowthMarketRent)^4*IF(4=0,(12-DowntimeNew)/12,1),IF(F74="",0,IF(F74&gt;=DATE(2027+4,4,30),G74*D74*(1+EscalatorInLease)^4,IF(F74&lt;DATE(2026+4,5,1),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,((F74-DATE(2026+4,5,1))/365.25)*G74*D74*(1+EscalatorInLease)^4+((DATE(2027+4,4,30)-F74)/365.25)*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)))),0)</f>
        <v/>
      </c>
      <c r="S74" s="5">
        <f>IFERROR(IF(I74="LeaseUp",H74*D74*(1+GrowthMarketRent)^5*IF(5=0,(12-DowntimeNew)/12,1),IF(F74="",0,IF(F74&gt;=DATE(2027+5,4,30),G74*D74*(1+EscalatorInLease)^5,IF(F74&lt;DATE(2026+5,5,1),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,((F74-DATE(2026+5,5,1))/365.25)*G74*D74*(1+EscalatorInLease)^5+((DATE(2027+5,4,30)-F74)/365.25)*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)))),0)</f>
        <v/>
      </c>
      <c r="T74" s="5">
        <f>IFERROR(IF(I74="LeaseUp",H74*D74*(1+GrowthMarketRent)^6*IF(6=0,(12-DowntimeNew)/12,1),IF(F74="",0,IF(F74&gt;=DATE(2027+6,4,30),G74*D74*(1+EscalatorInLease)^6,IF(F74&lt;DATE(2026+6,5,1),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,((F74-DATE(2026+6,5,1))/365.25)*G74*D74*(1+EscalatorInLease)^6+((DATE(2027+6,4,30)-F74)/365.25)*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)))),0)</f>
        <v/>
      </c>
      <c r="U74" s="5">
        <f>IFERROR(IF(I74="LeaseUp",H74*D74*(1+GrowthMarketRent)^7*IF(7=0,(12-DowntimeNew)/12,1),IF(F74="",0,IF(F74&gt;=DATE(2027+7,4,30),G74*D74*(1+EscalatorInLease)^7,IF(F74&lt;DATE(2026+7,5,1),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,((F74-DATE(2026+7,5,1))/365.25)*G74*D74*(1+EscalatorInLease)^7+((DATE(2027+7,4,30)-F74)/365.25)*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)))),0)</f>
        <v/>
      </c>
      <c r="V74" s="5">
        <f>IFERROR(IF(I74="LeaseUp",H74*D74*(1+GrowthMarketRent)^8*IF(8=0,(12-DowntimeNew)/12,1),IF(F74="",0,IF(F74&gt;=DATE(2027+8,4,30),G74*D74*(1+EscalatorInLease)^8,IF(F74&lt;DATE(2026+8,5,1),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,((F74-DATE(2026+8,5,1))/365.25)*G74*D74*(1+EscalatorInLease)^8+((DATE(2027+8,4,30)-F74)/365.25)*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)))),0)</f>
        <v/>
      </c>
      <c r="W74" s="5">
        <f>IFERROR(IF(I74="LeaseUp",H74*D74*(1+GrowthMarketRent)^9*IF(9=0,(12-DowntimeNew)/12,1),IF(F74="",0,IF(F74&gt;=DATE(2027+9,4,30),G74*D74*(1+EscalatorInLease)^9,IF(F74&lt;DATE(2026+9,5,1),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,((F74-DATE(2026+9,5,1))/365.25)*G74*D74*(1+EscalatorInLease)^9+((DATE(2027+9,4,30)-F74)/365.25)*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)))),0)</f>
        <v/>
      </c>
      <c r="X74" s="5">
        <f>IFERROR(IF(I74="LeaseUp",H74*D74*(1+GrowthMarketRent)^10*IF(10=0,(12-DowntimeNew)/12,1),IF(F74="",0,IF(F74&gt;=DATE(2027+10,4,30),G74*D74*(1+EscalatorInLease)^10,IF(F74&lt;DATE(2026+10,5,1),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,((F74-DATE(2026+10,5,1))/365.25)*G74*D74*(1+EscalatorInLease)^10+((DATE(2027+10,4,30)-F74)/365.25)*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)))),0)</f>
        <v/>
      </c>
      <c r="Y74" s="5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5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5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5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5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5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5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5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5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5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5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9" t="n">
        <v>2600</v>
      </c>
      <c r="E75" s="40" t="n">
        <v>44805</v>
      </c>
      <c r="F75" s="40" t="n">
        <v>46600</v>
      </c>
      <c r="G75" s="41" t="n">
        <v>14.2688461538462</v>
      </c>
      <c r="H75" s="10">
        <f>VLOOKUP(A75,MLA!$A$5:$L$11,3,FALSE)</f>
        <v/>
      </c>
      <c r="I75" s="25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7">
        <f>IF(E75="",0,(AnalysisStart-E75)/365.25)</f>
        <v/>
      </c>
      <c r="N75" s="5">
        <f>IFERROR(IF(I75="LeaseUp",H75*D75*(1+GrowthMarketRent)^0*IF(0=0,(12-DowntimeNew)/12,1),IF(F75="",0,IF(F75&gt;=DATE(2027+0,4,30),G75*D75*(1+EscalatorInLease)^0,IF(F75&lt;DATE(2026+0,5,1),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,((F75-DATE(2026+0,5,1))/365.25)*G75*D75*(1+EscalatorInLease)^0+((DATE(2027+0,4,30)-F75)/365.25)*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)))),0)</f>
        <v/>
      </c>
      <c r="O75" s="5">
        <f>IFERROR(IF(I75="LeaseUp",H75*D75*(1+GrowthMarketRent)^1*IF(1=0,(12-DowntimeNew)/12,1),IF(F75="",0,IF(F75&gt;=DATE(2027+1,4,30),G75*D75*(1+EscalatorInLease)^1,IF(F75&lt;DATE(2026+1,5,1),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,((F75-DATE(2026+1,5,1))/365.25)*G75*D75*(1+EscalatorInLease)^1+((DATE(2027+1,4,30)-F75)/365.25)*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)))),0)</f>
        <v/>
      </c>
      <c r="P75" s="5">
        <f>IFERROR(IF(I75="LeaseUp",H75*D75*(1+GrowthMarketRent)^2*IF(2=0,(12-DowntimeNew)/12,1),IF(F75="",0,IF(F75&gt;=DATE(2027+2,4,30),G75*D75*(1+EscalatorInLease)^2,IF(F75&lt;DATE(2026+2,5,1),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,((F75-DATE(2026+2,5,1))/365.25)*G75*D75*(1+EscalatorInLease)^2+((DATE(2027+2,4,30)-F75)/365.25)*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)))),0)</f>
        <v/>
      </c>
      <c r="Q75" s="5">
        <f>IFERROR(IF(I75="LeaseUp",H75*D75*(1+GrowthMarketRent)^3*IF(3=0,(12-DowntimeNew)/12,1),IF(F75="",0,IF(F75&gt;=DATE(2027+3,4,30),G75*D75*(1+EscalatorInLease)^3,IF(F75&lt;DATE(2026+3,5,1),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,((F75-DATE(2026+3,5,1))/365.25)*G75*D75*(1+EscalatorInLease)^3+((DATE(2027+3,4,30)-F75)/365.25)*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)))),0)</f>
        <v/>
      </c>
      <c r="R75" s="5">
        <f>IFERROR(IF(I75="LeaseUp",H75*D75*(1+GrowthMarketRent)^4*IF(4=0,(12-DowntimeNew)/12,1),IF(F75="",0,IF(F75&gt;=DATE(2027+4,4,30),G75*D75*(1+EscalatorInLease)^4,IF(F75&lt;DATE(2026+4,5,1),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,((F75-DATE(2026+4,5,1))/365.25)*G75*D75*(1+EscalatorInLease)^4+((DATE(2027+4,4,30)-F75)/365.25)*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)))),0)</f>
        <v/>
      </c>
      <c r="S75" s="5">
        <f>IFERROR(IF(I75="LeaseUp",H75*D75*(1+GrowthMarketRent)^5*IF(5=0,(12-DowntimeNew)/12,1),IF(F75="",0,IF(F75&gt;=DATE(2027+5,4,30),G75*D75*(1+EscalatorInLease)^5,IF(F75&lt;DATE(2026+5,5,1),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,((F75-DATE(2026+5,5,1))/365.25)*G75*D75*(1+EscalatorInLease)^5+((DATE(2027+5,4,30)-F75)/365.25)*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)))),0)</f>
        <v/>
      </c>
      <c r="T75" s="5">
        <f>IFERROR(IF(I75="LeaseUp",H75*D75*(1+GrowthMarketRent)^6*IF(6=0,(12-DowntimeNew)/12,1),IF(F75="",0,IF(F75&gt;=DATE(2027+6,4,30),G75*D75*(1+EscalatorInLease)^6,IF(F75&lt;DATE(2026+6,5,1),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,((F75-DATE(2026+6,5,1))/365.25)*G75*D75*(1+EscalatorInLease)^6+((DATE(2027+6,4,30)-F75)/365.25)*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)))),0)</f>
        <v/>
      </c>
      <c r="U75" s="5">
        <f>IFERROR(IF(I75="LeaseUp",H75*D75*(1+GrowthMarketRent)^7*IF(7=0,(12-DowntimeNew)/12,1),IF(F75="",0,IF(F75&gt;=DATE(2027+7,4,30),G75*D75*(1+EscalatorInLease)^7,IF(F75&lt;DATE(2026+7,5,1),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,((F75-DATE(2026+7,5,1))/365.25)*G75*D75*(1+EscalatorInLease)^7+((DATE(2027+7,4,30)-F75)/365.25)*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)))),0)</f>
        <v/>
      </c>
      <c r="V75" s="5">
        <f>IFERROR(IF(I75="LeaseUp",H75*D75*(1+GrowthMarketRent)^8*IF(8=0,(12-DowntimeNew)/12,1),IF(F75="",0,IF(F75&gt;=DATE(2027+8,4,30),G75*D75*(1+EscalatorInLease)^8,IF(F75&lt;DATE(2026+8,5,1),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,((F75-DATE(2026+8,5,1))/365.25)*G75*D75*(1+EscalatorInLease)^8+((DATE(2027+8,4,30)-F75)/365.25)*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)))),0)</f>
        <v/>
      </c>
      <c r="W75" s="5">
        <f>IFERROR(IF(I75="LeaseUp",H75*D75*(1+GrowthMarketRent)^9*IF(9=0,(12-DowntimeNew)/12,1),IF(F75="",0,IF(F75&gt;=DATE(2027+9,4,30),G75*D75*(1+EscalatorInLease)^9,IF(F75&lt;DATE(2026+9,5,1),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,((F75-DATE(2026+9,5,1))/365.25)*G75*D75*(1+EscalatorInLease)^9+((DATE(2027+9,4,30)-F75)/365.25)*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)))),0)</f>
        <v/>
      </c>
      <c r="X75" s="5">
        <f>IFERROR(IF(I75="LeaseUp",H75*D75*(1+GrowthMarketRent)^10*IF(10=0,(12-DowntimeNew)/12,1),IF(F75="",0,IF(F75&gt;=DATE(2027+10,4,30),G75*D75*(1+EscalatorInLease)^10,IF(F75&lt;DATE(2026+10,5,1),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,((F75-DATE(2026+10,5,1))/365.25)*G75*D75*(1+EscalatorInLease)^10+((DATE(2027+10,4,30)-F75)/365.25)*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)))),0)</f>
        <v/>
      </c>
      <c r="Y75" s="5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5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5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5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5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5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5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5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5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5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5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9" t="n">
        <v>2600</v>
      </c>
      <c r="E76" s="40" t="n">
        <v>44805</v>
      </c>
      <c r="F76" s="40" t="n">
        <v>46419</v>
      </c>
      <c r="G76" s="41" t="n">
        <v>14.6253846153846</v>
      </c>
      <c r="H76" s="10">
        <f>VLOOKUP(A76,MLA!$A$5:$L$11,3,FALSE)</f>
        <v/>
      </c>
      <c r="I76" s="25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7">
        <f>IF(E76="",0,(AnalysisStart-E76)/365.25)</f>
        <v/>
      </c>
      <c r="N76" s="5">
        <f>IFERROR(IF(I76="LeaseUp",H76*D76*(1+GrowthMarketRent)^0*IF(0=0,(12-DowntimeNew)/12,1),IF(F76="",0,IF(F76&gt;=DATE(2027+0,4,30),G76*D76*(1+EscalatorInLease)^0,IF(F76&lt;DATE(2026+0,5,1),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,((F76-DATE(2026+0,5,1))/365.25)*G76*D76*(1+EscalatorInLease)^0+((DATE(2027+0,4,30)-F76)/365.25)*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)))),0)</f>
        <v/>
      </c>
      <c r="O76" s="5">
        <f>IFERROR(IF(I76="LeaseUp",H76*D76*(1+GrowthMarketRent)^1*IF(1=0,(12-DowntimeNew)/12,1),IF(F76="",0,IF(F76&gt;=DATE(2027+1,4,30),G76*D76*(1+EscalatorInLease)^1,IF(F76&lt;DATE(2026+1,5,1),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,((F76-DATE(2026+1,5,1))/365.25)*G76*D76*(1+EscalatorInLease)^1+((DATE(2027+1,4,30)-F76)/365.25)*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)))),0)</f>
        <v/>
      </c>
      <c r="P76" s="5">
        <f>IFERROR(IF(I76="LeaseUp",H76*D76*(1+GrowthMarketRent)^2*IF(2=0,(12-DowntimeNew)/12,1),IF(F76="",0,IF(F76&gt;=DATE(2027+2,4,30),G76*D76*(1+EscalatorInLease)^2,IF(F76&lt;DATE(2026+2,5,1),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,((F76-DATE(2026+2,5,1))/365.25)*G76*D76*(1+EscalatorInLease)^2+((DATE(2027+2,4,30)-F76)/365.25)*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)))),0)</f>
        <v/>
      </c>
      <c r="Q76" s="5">
        <f>IFERROR(IF(I76="LeaseUp",H76*D76*(1+GrowthMarketRent)^3*IF(3=0,(12-DowntimeNew)/12,1),IF(F76="",0,IF(F76&gt;=DATE(2027+3,4,30),G76*D76*(1+EscalatorInLease)^3,IF(F76&lt;DATE(2026+3,5,1),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,((F76-DATE(2026+3,5,1))/365.25)*G76*D76*(1+EscalatorInLease)^3+((DATE(2027+3,4,30)-F76)/365.25)*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)))),0)</f>
        <v/>
      </c>
      <c r="R76" s="5">
        <f>IFERROR(IF(I76="LeaseUp",H76*D76*(1+GrowthMarketRent)^4*IF(4=0,(12-DowntimeNew)/12,1),IF(F76="",0,IF(F76&gt;=DATE(2027+4,4,30),G76*D76*(1+EscalatorInLease)^4,IF(F76&lt;DATE(2026+4,5,1),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,((F76-DATE(2026+4,5,1))/365.25)*G76*D76*(1+EscalatorInLease)^4+((DATE(2027+4,4,30)-F76)/365.25)*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)))),0)</f>
        <v/>
      </c>
      <c r="S76" s="5">
        <f>IFERROR(IF(I76="LeaseUp",H76*D76*(1+GrowthMarketRent)^5*IF(5=0,(12-DowntimeNew)/12,1),IF(F76="",0,IF(F76&gt;=DATE(2027+5,4,30),G76*D76*(1+EscalatorInLease)^5,IF(F76&lt;DATE(2026+5,5,1),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,((F76-DATE(2026+5,5,1))/365.25)*G76*D76*(1+EscalatorInLease)^5+((DATE(2027+5,4,30)-F76)/365.25)*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)))),0)</f>
        <v/>
      </c>
      <c r="T76" s="5">
        <f>IFERROR(IF(I76="LeaseUp",H76*D76*(1+GrowthMarketRent)^6*IF(6=0,(12-DowntimeNew)/12,1),IF(F76="",0,IF(F76&gt;=DATE(2027+6,4,30),G76*D76*(1+EscalatorInLease)^6,IF(F76&lt;DATE(2026+6,5,1),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,((F76-DATE(2026+6,5,1))/365.25)*G76*D76*(1+EscalatorInLease)^6+((DATE(2027+6,4,30)-F76)/365.25)*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)))),0)</f>
        <v/>
      </c>
      <c r="U76" s="5">
        <f>IFERROR(IF(I76="LeaseUp",H76*D76*(1+GrowthMarketRent)^7*IF(7=0,(12-DowntimeNew)/12,1),IF(F76="",0,IF(F76&gt;=DATE(2027+7,4,30),G76*D76*(1+EscalatorInLease)^7,IF(F76&lt;DATE(2026+7,5,1),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,((F76-DATE(2026+7,5,1))/365.25)*G76*D76*(1+EscalatorInLease)^7+((DATE(2027+7,4,30)-F76)/365.25)*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)))),0)</f>
        <v/>
      </c>
      <c r="V76" s="5">
        <f>IFERROR(IF(I76="LeaseUp",H76*D76*(1+GrowthMarketRent)^8*IF(8=0,(12-DowntimeNew)/12,1),IF(F76="",0,IF(F76&gt;=DATE(2027+8,4,30),G76*D76*(1+EscalatorInLease)^8,IF(F76&lt;DATE(2026+8,5,1),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,((F76-DATE(2026+8,5,1))/365.25)*G76*D76*(1+EscalatorInLease)^8+((DATE(2027+8,4,30)-F76)/365.25)*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)))),0)</f>
        <v/>
      </c>
      <c r="W76" s="5">
        <f>IFERROR(IF(I76="LeaseUp",H76*D76*(1+GrowthMarketRent)^9*IF(9=0,(12-DowntimeNew)/12,1),IF(F76="",0,IF(F76&gt;=DATE(2027+9,4,30),G76*D76*(1+EscalatorInLease)^9,IF(F76&lt;DATE(2026+9,5,1),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,((F76-DATE(2026+9,5,1))/365.25)*G76*D76*(1+EscalatorInLease)^9+((DATE(2027+9,4,30)-F76)/365.25)*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)))),0)</f>
        <v/>
      </c>
      <c r="X76" s="5">
        <f>IFERROR(IF(I76="LeaseUp",H76*D76*(1+GrowthMarketRent)^10*IF(10=0,(12-DowntimeNew)/12,1),IF(F76="",0,IF(F76&gt;=DATE(2027+10,4,30),G76*D76*(1+EscalatorInLease)^10,IF(F76&lt;DATE(2026+10,5,1),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,((F76-DATE(2026+10,5,1))/365.25)*G76*D76*(1+EscalatorInLease)^10+((DATE(2027+10,4,30)-F76)/365.25)*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)))),0)</f>
        <v/>
      </c>
      <c r="Y76" s="5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5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5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5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5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5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5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5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5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5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5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9" t="n">
        <v>2600</v>
      </c>
      <c r="E77" s="40" t="n">
        <v>44805</v>
      </c>
      <c r="F77" s="40" t="n">
        <v>46419</v>
      </c>
      <c r="G77" s="41" t="n">
        <v>14.6253846153846</v>
      </c>
      <c r="H77" s="10">
        <f>VLOOKUP(A77,MLA!$A$5:$L$11,3,FALSE)</f>
        <v/>
      </c>
      <c r="I77" s="25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7">
        <f>IF(E77="",0,(AnalysisStart-E77)/365.25)</f>
        <v/>
      </c>
      <c r="N77" s="5">
        <f>IFERROR(IF(I77="LeaseUp",H77*D77*(1+GrowthMarketRent)^0*IF(0=0,(12-DowntimeNew)/12,1),IF(F77="",0,IF(F77&gt;=DATE(2027+0,4,30),G77*D77*(1+EscalatorInLease)^0,IF(F77&lt;DATE(2026+0,5,1),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,((F77-DATE(2026+0,5,1))/365.25)*G77*D77*(1+EscalatorInLease)^0+((DATE(2027+0,4,30)-F77)/365.25)*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)))),0)</f>
        <v/>
      </c>
      <c r="O77" s="5">
        <f>IFERROR(IF(I77="LeaseUp",H77*D77*(1+GrowthMarketRent)^1*IF(1=0,(12-DowntimeNew)/12,1),IF(F77="",0,IF(F77&gt;=DATE(2027+1,4,30),G77*D77*(1+EscalatorInLease)^1,IF(F77&lt;DATE(2026+1,5,1),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,((F77-DATE(2026+1,5,1))/365.25)*G77*D77*(1+EscalatorInLease)^1+((DATE(2027+1,4,30)-F77)/365.25)*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)))),0)</f>
        <v/>
      </c>
      <c r="P77" s="5">
        <f>IFERROR(IF(I77="LeaseUp",H77*D77*(1+GrowthMarketRent)^2*IF(2=0,(12-DowntimeNew)/12,1),IF(F77="",0,IF(F77&gt;=DATE(2027+2,4,30),G77*D77*(1+EscalatorInLease)^2,IF(F77&lt;DATE(2026+2,5,1),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,((F77-DATE(2026+2,5,1))/365.25)*G77*D77*(1+EscalatorInLease)^2+((DATE(2027+2,4,30)-F77)/365.25)*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)))),0)</f>
        <v/>
      </c>
      <c r="Q77" s="5">
        <f>IFERROR(IF(I77="LeaseUp",H77*D77*(1+GrowthMarketRent)^3*IF(3=0,(12-DowntimeNew)/12,1),IF(F77="",0,IF(F77&gt;=DATE(2027+3,4,30),G77*D77*(1+EscalatorInLease)^3,IF(F77&lt;DATE(2026+3,5,1),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,((F77-DATE(2026+3,5,1))/365.25)*G77*D77*(1+EscalatorInLease)^3+((DATE(2027+3,4,30)-F77)/365.25)*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)))),0)</f>
        <v/>
      </c>
      <c r="R77" s="5">
        <f>IFERROR(IF(I77="LeaseUp",H77*D77*(1+GrowthMarketRent)^4*IF(4=0,(12-DowntimeNew)/12,1),IF(F77="",0,IF(F77&gt;=DATE(2027+4,4,30),G77*D77*(1+EscalatorInLease)^4,IF(F77&lt;DATE(2026+4,5,1),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,((F77-DATE(2026+4,5,1))/365.25)*G77*D77*(1+EscalatorInLease)^4+((DATE(2027+4,4,30)-F77)/365.25)*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)))),0)</f>
        <v/>
      </c>
      <c r="S77" s="5">
        <f>IFERROR(IF(I77="LeaseUp",H77*D77*(1+GrowthMarketRent)^5*IF(5=0,(12-DowntimeNew)/12,1),IF(F77="",0,IF(F77&gt;=DATE(2027+5,4,30),G77*D77*(1+EscalatorInLease)^5,IF(F77&lt;DATE(2026+5,5,1),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,((F77-DATE(2026+5,5,1))/365.25)*G77*D77*(1+EscalatorInLease)^5+((DATE(2027+5,4,30)-F77)/365.25)*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)))),0)</f>
        <v/>
      </c>
      <c r="T77" s="5">
        <f>IFERROR(IF(I77="LeaseUp",H77*D77*(1+GrowthMarketRent)^6*IF(6=0,(12-DowntimeNew)/12,1),IF(F77="",0,IF(F77&gt;=DATE(2027+6,4,30),G77*D77*(1+EscalatorInLease)^6,IF(F77&lt;DATE(2026+6,5,1),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,((F77-DATE(2026+6,5,1))/365.25)*G77*D77*(1+EscalatorInLease)^6+((DATE(2027+6,4,30)-F77)/365.25)*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)))),0)</f>
        <v/>
      </c>
      <c r="U77" s="5">
        <f>IFERROR(IF(I77="LeaseUp",H77*D77*(1+GrowthMarketRent)^7*IF(7=0,(12-DowntimeNew)/12,1),IF(F77="",0,IF(F77&gt;=DATE(2027+7,4,30),G77*D77*(1+EscalatorInLease)^7,IF(F77&lt;DATE(2026+7,5,1),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,((F77-DATE(2026+7,5,1))/365.25)*G77*D77*(1+EscalatorInLease)^7+((DATE(2027+7,4,30)-F77)/365.25)*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)))),0)</f>
        <v/>
      </c>
      <c r="V77" s="5">
        <f>IFERROR(IF(I77="LeaseUp",H77*D77*(1+GrowthMarketRent)^8*IF(8=0,(12-DowntimeNew)/12,1),IF(F77="",0,IF(F77&gt;=DATE(2027+8,4,30),G77*D77*(1+EscalatorInLease)^8,IF(F77&lt;DATE(2026+8,5,1),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,((F77-DATE(2026+8,5,1))/365.25)*G77*D77*(1+EscalatorInLease)^8+((DATE(2027+8,4,30)-F77)/365.25)*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)))),0)</f>
        <v/>
      </c>
      <c r="W77" s="5">
        <f>IFERROR(IF(I77="LeaseUp",H77*D77*(1+GrowthMarketRent)^9*IF(9=0,(12-DowntimeNew)/12,1),IF(F77="",0,IF(F77&gt;=DATE(2027+9,4,30),G77*D77*(1+EscalatorInLease)^9,IF(F77&lt;DATE(2026+9,5,1),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,((F77-DATE(2026+9,5,1))/365.25)*G77*D77*(1+EscalatorInLease)^9+((DATE(2027+9,4,30)-F77)/365.25)*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)))),0)</f>
        <v/>
      </c>
      <c r="X77" s="5">
        <f>IFERROR(IF(I77="LeaseUp",H77*D77*(1+GrowthMarketRent)^10*IF(10=0,(12-DowntimeNew)/12,1),IF(F77="",0,IF(F77&gt;=DATE(2027+10,4,30),G77*D77*(1+EscalatorInLease)^10,IF(F77&lt;DATE(2026+10,5,1),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,((F77-DATE(2026+10,5,1))/365.25)*G77*D77*(1+EscalatorInLease)^10+((DATE(2027+10,4,30)-F77)/365.25)*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)))),0)</f>
        <v/>
      </c>
      <c r="Y77" s="5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5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5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5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5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5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5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5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5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5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5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9" t="n">
        <v>2600</v>
      </c>
      <c r="E78" s="40" t="n">
        <v>45017</v>
      </c>
      <c r="F78" s="40" t="n">
        <v>46296</v>
      </c>
      <c r="G78" s="41" t="n">
        <v>16.1534615384615</v>
      </c>
      <c r="H78" s="10">
        <f>VLOOKUP(A78,MLA!$A$5:$L$11,3,FALSE)</f>
        <v/>
      </c>
      <c r="I78" s="25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7">
        <f>IF(E78="",0,(AnalysisStart-E78)/365.25)</f>
        <v/>
      </c>
      <c r="N78" s="5">
        <f>IFERROR(IF(I78="LeaseUp",H78*D78*(1+GrowthMarketRent)^0*IF(0=0,(12-DowntimeNew)/12,1),IF(F78="",0,IF(F78&gt;=DATE(2027+0,4,30),G78*D78*(1+EscalatorInLease)^0,IF(F78&lt;DATE(2026+0,5,1),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,((F78-DATE(2026+0,5,1))/365.25)*G78*D78*(1+EscalatorInLease)^0+((DATE(2027+0,4,30)-F78)/365.25)*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)))),0)</f>
        <v/>
      </c>
      <c r="O78" s="5">
        <f>IFERROR(IF(I78="LeaseUp",H78*D78*(1+GrowthMarketRent)^1*IF(1=0,(12-DowntimeNew)/12,1),IF(F78="",0,IF(F78&gt;=DATE(2027+1,4,30),G78*D78*(1+EscalatorInLease)^1,IF(F78&lt;DATE(2026+1,5,1),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,((F78-DATE(2026+1,5,1))/365.25)*G78*D78*(1+EscalatorInLease)^1+((DATE(2027+1,4,30)-F78)/365.25)*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)))),0)</f>
        <v/>
      </c>
      <c r="P78" s="5">
        <f>IFERROR(IF(I78="LeaseUp",H78*D78*(1+GrowthMarketRent)^2*IF(2=0,(12-DowntimeNew)/12,1),IF(F78="",0,IF(F78&gt;=DATE(2027+2,4,30),G78*D78*(1+EscalatorInLease)^2,IF(F78&lt;DATE(2026+2,5,1),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,((F78-DATE(2026+2,5,1))/365.25)*G78*D78*(1+EscalatorInLease)^2+((DATE(2027+2,4,30)-F78)/365.25)*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)))),0)</f>
        <v/>
      </c>
      <c r="Q78" s="5">
        <f>IFERROR(IF(I78="LeaseUp",H78*D78*(1+GrowthMarketRent)^3*IF(3=0,(12-DowntimeNew)/12,1),IF(F78="",0,IF(F78&gt;=DATE(2027+3,4,30),G78*D78*(1+EscalatorInLease)^3,IF(F78&lt;DATE(2026+3,5,1),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,((F78-DATE(2026+3,5,1))/365.25)*G78*D78*(1+EscalatorInLease)^3+((DATE(2027+3,4,30)-F78)/365.25)*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)))),0)</f>
        <v/>
      </c>
      <c r="R78" s="5">
        <f>IFERROR(IF(I78="LeaseUp",H78*D78*(1+GrowthMarketRent)^4*IF(4=0,(12-DowntimeNew)/12,1),IF(F78="",0,IF(F78&gt;=DATE(2027+4,4,30),G78*D78*(1+EscalatorInLease)^4,IF(F78&lt;DATE(2026+4,5,1),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,((F78-DATE(2026+4,5,1))/365.25)*G78*D78*(1+EscalatorInLease)^4+((DATE(2027+4,4,30)-F78)/365.25)*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)))),0)</f>
        <v/>
      </c>
      <c r="S78" s="5">
        <f>IFERROR(IF(I78="LeaseUp",H78*D78*(1+GrowthMarketRent)^5*IF(5=0,(12-DowntimeNew)/12,1),IF(F78="",0,IF(F78&gt;=DATE(2027+5,4,30),G78*D78*(1+EscalatorInLease)^5,IF(F78&lt;DATE(2026+5,5,1),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,((F78-DATE(2026+5,5,1))/365.25)*G78*D78*(1+EscalatorInLease)^5+((DATE(2027+5,4,30)-F78)/365.25)*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)))),0)</f>
        <v/>
      </c>
      <c r="T78" s="5">
        <f>IFERROR(IF(I78="LeaseUp",H78*D78*(1+GrowthMarketRent)^6*IF(6=0,(12-DowntimeNew)/12,1),IF(F78="",0,IF(F78&gt;=DATE(2027+6,4,30),G78*D78*(1+EscalatorInLease)^6,IF(F78&lt;DATE(2026+6,5,1),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,((F78-DATE(2026+6,5,1))/365.25)*G78*D78*(1+EscalatorInLease)^6+((DATE(2027+6,4,30)-F78)/365.25)*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)))),0)</f>
        <v/>
      </c>
      <c r="U78" s="5">
        <f>IFERROR(IF(I78="LeaseUp",H78*D78*(1+GrowthMarketRent)^7*IF(7=0,(12-DowntimeNew)/12,1),IF(F78="",0,IF(F78&gt;=DATE(2027+7,4,30),G78*D78*(1+EscalatorInLease)^7,IF(F78&lt;DATE(2026+7,5,1),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,((F78-DATE(2026+7,5,1))/365.25)*G78*D78*(1+EscalatorInLease)^7+((DATE(2027+7,4,30)-F78)/365.25)*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)))),0)</f>
        <v/>
      </c>
      <c r="V78" s="5">
        <f>IFERROR(IF(I78="LeaseUp",H78*D78*(1+GrowthMarketRent)^8*IF(8=0,(12-DowntimeNew)/12,1),IF(F78="",0,IF(F78&gt;=DATE(2027+8,4,30),G78*D78*(1+EscalatorInLease)^8,IF(F78&lt;DATE(2026+8,5,1),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,((F78-DATE(2026+8,5,1))/365.25)*G78*D78*(1+EscalatorInLease)^8+((DATE(2027+8,4,30)-F78)/365.25)*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)))),0)</f>
        <v/>
      </c>
      <c r="W78" s="5">
        <f>IFERROR(IF(I78="LeaseUp",H78*D78*(1+GrowthMarketRent)^9*IF(9=0,(12-DowntimeNew)/12,1),IF(F78="",0,IF(F78&gt;=DATE(2027+9,4,30),G78*D78*(1+EscalatorInLease)^9,IF(F78&lt;DATE(2026+9,5,1),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,((F78-DATE(2026+9,5,1))/365.25)*G78*D78*(1+EscalatorInLease)^9+((DATE(2027+9,4,30)-F78)/365.25)*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)))),0)</f>
        <v/>
      </c>
      <c r="X78" s="5">
        <f>IFERROR(IF(I78="LeaseUp",H78*D78*(1+GrowthMarketRent)^10*IF(10=0,(12-DowntimeNew)/12,1),IF(F78="",0,IF(F78&gt;=DATE(2027+10,4,30),G78*D78*(1+EscalatorInLease)^10,IF(F78&lt;DATE(2026+10,5,1),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,((F78-DATE(2026+10,5,1))/365.25)*G78*D78*(1+EscalatorInLease)^10+((DATE(2027+10,4,30)-F78)/365.25)*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)))),0)</f>
        <v/>
      </c>
      <c r="Y78" s="5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5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5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5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5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5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5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5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5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5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5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9" t="n">
        <v>2600</v>
      </c>
      <c r="E79" s="40" t="n">
        <v>46023</v>
      </c>
      <c r="F79" s="40" t="n">
        <v>47453</v>
      </c>
      <c r="G79" s="41" t="n">
        <v>15.04</v>
      </c>
      <c r="H79" s="10">
        <f>VLOOKUP(A79,MLA!$A$5:$L$11,3,FALSE)</f>
        <v/>
      </c>
      <c r="I79" s="25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7">
        <f>IF(E79="",0,(AnalysisStart-E79)/365.25)</f>
        <v/>
      </c>
      <c r="N79" s="5">
        <f>IFERROR(IF(I79="LeaseUp",H79*D79*(1+GrowthMarketRent)^0*IF(0=0,(12-DowntimeNew)/12,1),IF(F79="",0,IF(F79&gt;=DATE(2027+0,4,30),G79*D79*(1+EscalatorInLease)^0,IF(F79&lt;DATE(2026+0,5,1),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,((F79-DATE(2026+0,5,1))/365.25)*G79*D79*(1+EscalatorInLease)^0+((DATE(2027+0,4,30)-F79)/365.25)*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)))),0)</f>
        <v/>
      </c>
      <c r="O79" s="5">
        <f>IFERROR(IF(I79="LeaseUp",H79*D79*(1+GrowthMarketRent)^1*IF(1=0,(12-DowntimeNew)/12,1),IF(F79="",0,IF(F79&gt;=DATE(2027+1,4,30),G79*D79*(1+EscalatorInLease)^1,IF(F79&lt;DATE(2026+1,5,1),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,((F79-DATE(2026+1,5,1))/365.25)*G79*D79*(1+EscalatorInLease)^1+((DATE(2027+1,4,30)-F79)/365.25)*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)))),0)</f>
        <v/>
      </c>
      <c r="P79" s="5">
        <f>IFERROR(IF(I79="LeaseUp",H79*D79*(1+GrowthMarketRent)^2*IF(2=0,(12-DowntimeNew)/12,1),IF(F79="",0,IF(F79&gt;=DATE(2027+2,4,30),G79*D79*(1+EscalatorInLease)^2,IF(F79&lt;DATE(2026+2,5,1),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,((F79-DATE(2026+2,5,1))/365.25)*G79*D79*(1+EscalatorInLease)^2+((DATE(2027+2,4,30)-F79)/365.25)*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)))),0)</f>
        <v/>
      </c>
      <c r="Q79" s="5">
        <f>IFERROR(IF(I79="LeaseUp",H79*D79*(1+GrowthMarketRent)^3*IF(3=0,(12-DowntimeNew)/12,1),IF(F79="",0,IF(F79&gt;=DATE(2027+3,4,30),G79*D79*(1+EscalatorInLease)^3,IF(F79&lt;DATE(2026+3,5,1),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,((F79-DATE(2026+3,5,1))/365.25)*G79*D79*(1+EscalatorInLease)^3+((DATE(2027+3,4,30)-F79)/365.25)*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)))),0)</f>
        <v/>
      </c>
      <c r="R79" s="5">
        <f>IFERROR(IF(I79="LeaseUp",H79*D79*(1+GrowthMarketRent)^4*IF(4=0,(12-DowntimeNew)/12,1),IF(F79="",0,IF(F79&gt;=DATE(2027+4,4,30),G79*D79*(1+EscalatorInLease)^4,IF(F79&lt;DATE(2026+4,5,1),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,((F79-DATE(2026+4,5,1))/365.25)*G79*D79*(1+EscalatorInLease)^4+((DATE(2027+4,4,30)-F79)/365.25)*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)))),0)</f>
        <v/>
      </c>
      <c r="S79" s="5">
        <f>IFERROR(IF(I79="LeaseUp",H79*D79*(1+GrowthMarketRent)^5*IF(5=0,(12-DowntimeNew)/12,1),IF(F79="",0,IF(F79&gt;=DATE(2027+5,4,30),G79*D79*(1+EscalatorInLease)^5,IF(F79&lt;DATE(2026+5,5,1),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,((F79-DATE(2026+5,5,1))/365.25)*G79*D79*(1+EscalatorInLease)^5+((DATE(2027+5,4,30)-F79)/365.25)*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)))),0)</f>
        <v/>
      </c>
      <c r="T79" s="5">
        <f>IFERROR(IF(I79="LeaseUp",H79*D79*(1+GrowthMarketRent)^6*IF(6=0,(12-DowntimeNew)/12,1),IF(F79="",0,IF(F79&gt;=DATE(2027+6,4,30),G79*D79*(1+EscalatorInLease)^6,IF(F79&lt;DATE(2026+6,5,1),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,((F79-DATE(2026+6,5,1))/365.25)*G79*D79*(1+EscalatorInLease)^6+((DATE(2027+6,4,30)-F79)/365.25)*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)))),0)</f>
        <v/>
      </c>
      <c r="U79" s="5">
        <f>IFERROR(IF(I79="LeaseUp",H79*D79*(1+GrowthMarketRent)^7*IF(7=0,(12-DowntimeNew)/12,1),IF(F79="",0,IF(F79&gt;=DATE(2027+7,4,30),G79*D79*(1+EscalatorInLease)^7,IF(F79&lt;DATE(2026+7,5,1),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,((F79-DATE(2026+7,5,1))/365.25)*G79*D79*(1+EscalatorInLease)^7+((DATE(2027+7,4,30)-F79)/365.25)*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)))),0)</f>
        <v/>
      </c>
      <c r="V79" s="5">
        <f>IFERROR(IF(I79="LeaseUp",H79*D79*(1+GrowthMarketRent)^8*IF(8=0,(12-DowntimeNew)/12,1),IF(F79="",0,IF(F79&gt;=DATE(2027+8,4,30),G79*D79*(1+EscalatorInLease)^8,IF(F79&lt;DATE(2026+8,5,1),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,((F79-DATE(2026+8,5,1))/365.25)*G79*D79*(1+EscalatorInLease)^8+((DATE(2027+8,4,30)-F79)/365.25)*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)))),0)</f>
        <v/>
      </c>
      <c r="W79" s="5">
        <f>IFERROR(IF(I79="LeaseUp",H79*D79*(1+GrowthMarketRent)^9*IF(9=0,(12-DowntimeNew)/12,1),IF(F79="",0,IF(F79&gt;=DATE(2027+9,4,30),G79*D79*(1+EscalatorInLease)^9,IF(F79&lt;DATE(2026+9,5,1),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,((F79-DATE(2026+9,5,1))/365.25)*G79*D79*(1+EscalatorInLease)^9+((DATE(2027+9,4,30)-F79)/365.25)*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)))),0)</f>
        <v/>
      </c>
      <c r="X79" s="5">
        <f>IFERROR(IF(I79="LeaseUp",H79*D79*(1+GrowthMarketRent)^10*IF(10=0,(12-DowntimeNew)/12,1),IF(F79="",0,IF(F79&gt;=DATE(2027+10,4,30),G79*D79*(1+EscalatorInLease)^10,IF(F79&lt;DATE(2026+10,5,1),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,((F79-DATE(2026+10,5,1))/365.25)*G79*D79*(1+EscalatorInLease)^10+((DATE(2027+10,4,30)-F79)/365.25)*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)))),0)</f>
        <v/>
      </c>
      <c r="Y79" s="5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5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5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5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5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5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5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5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5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5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5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9" t="n">
        <v>2600</v>
      </c>
      <c r="E80" s="40" t="n">
        <v>44805</v>
      </c>
      <c r="F80" s="40" t="n">
        <v>47150</v>
      </c>
      <c r="G80" s="41" t="n">
        <v>14.6253846153846</v>
      </c>
      <c r="H80" s="10">
        <f>VLOOKUP(A80,MLA!$A$5:$L$11,3,FALSE)</f>
        <v/>
      </c>
      <c r="I80" s="25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7">
        <f>IF(E80="",0,(AnalysisStart-E80)/365.25)</f>
        <v/>
      </c>
      <c r="N80" s="5">
        <f>IFERROR(IF(I80="LeaseUp",H80*D80*(1+GrowthMarketRent)^0*IF(0=0,(12-DowntimeNew)/12,1),IF(F80="",0,IF(F80&gt;=DATE(2027+0,4,30),G80*D80*(1+EscalatorInLease)^0,IF(F80&lt;DATE(2026+0,5,1),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,((F80-DATE(2026+0,5,1))/365.25)*G80*D80*(1+EscalatorInLease)^0+((DATE(2027+0,4,30)-F80)/365.25)*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)))),0)</f>
        <v/>
      </c>
      <c r="O80" s="5">
        <f>IFERROR(IF(I80="LeaseUp",H80*D80*(1+GrowthMarketRent)^1*IF(1=0,(12-DowntimeNew)/12,1),IF(F80="",0,IF(F80&gt;=DATE(2027+1,4,30),G80*D80*(1+EscalatorInLease)^1,IF(F80&lt;DATE(2026+1,5,1),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,((F80-DATE(2026+1,5,1))/365.25)*G80*D80*(1+EscalatorInLease)^1+((DATE(2027+1,4,30)-F80)/365.25)*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)))),0)</f>
        <v/>
      </c>
      <c r="P80" s="5">
        <f>IFERROR(IF(I80="LeaseUp",H80*D80*(1+GrowthMarketRent)^2*IF(2=0,(12-DowntimeNew)/12,1),IF(F80="",0,IF(F80&gt;=DATE(2027+2,4,30),G80*D80*(1+EscalatorInLease)^2,IF(F80&lt;DATE(2026+2,5,1),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,((F80-DATE(2026+2,5,1))/365.25)*G80*D80*(1+EscalatorInLease)^2+((DATE(2027+2,4,30)-F80)/365.25)*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)))),0)</f>
        <v/>
      </c>
      <c r="Q80" s="5">
        <f>IFERROR(IF(I80="LeaseUp",H80*D80*(1+GrowthMarketRent)^3*IF(3=0,(12-DowntimeNew)/12,1),IF(F80="",0,IF(F80&gt;=DATE(2027+3,4,30),G80*D80*(1+EscalatorInLease)^3,IF(F80&lt;DATE(2026+3,5,1),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,((F80-DATE(2026+3,5,1))/365.25)*G80*D80*(1+EscalatorInLease)^3+((DATE(2027+3,4,30)-F80)/365.25)*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)))),0)</f>
        <v/>
      </c>
      <c r="R80" s="5">
        <f>IFERROR(IF(I80="LeaseUp",H80*D80*(1+GrowthMarketRent)^4*IF(4=0,(12-DowntimeNew)/12,1),IF(F80="",0,IF(F80&gt;=DATE(2027+4,4,30),G80*D80*(1+EscalatorInLease)^4,IF(F80&lt;DATE(2026+4,5,1),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,((F80-DATE(2026+4,5,1))/365.25)*G80*D80*(1+EscalatorInLease)^4+((DATE(2027+4,4,30)-F80)/365.25)*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)))),0)</f>
        <v/>
      </c>
      <c r="S80" s="5">
        <f>IFERROR(IF(I80="LeaseUp",H80*D80*(1+GrowthMarketRent)^5*IF(5=0,(12-DowntimeNew)/12,1),IF(F80="",0,IF(F80&gt;=DATE(2027+5,4,30),G80*D80*(1+EscalatorInLease)^5,IF(F80&lt;DATE(2026+5,5,1),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,((F80-DATE(2026+5,5,1))/365.25)*G80*D80*(1+EscalatorInLease)^5+((DATE(2027+5,4,30)-F80)/365.25)*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)))),0)</f>
        <v/>
      </c>
      <c r="T80" s="5">
        <f>IFERROR(IF(I80="LeaseUp",H80*D80*(1+GrowthMarketRent)^6*IF(6=0,(12-DowntimeNew)/12,1),IF(F80="",0,IF(F80&gt;=DATE(2027+6,4,30),G80*D80*(1+EscalatorInLease)^6,IF(F80&lt;DATE(2026+6,5,1),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,((F80-DATE(2026+6,5,1))/365.25)*G80*D80*(1+EscalatorInLease)^6+((DATE(2027+6,4,30)-F80)/365.25)*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)))),0)</f>
        <v/>
      </c>
      <c r="U80" s="5">
        <f>IFERROR(IF(I80="LeaseUp",H80*D80*(1+GrowthMarketRent)^7*IF(7=0,(12-DowntimeNew)/12,1),IF(F80="",0,IF(F80&gt;=DATE(2027+7,4,30),G80*D80*(1+EscalatorInLease)^7,IF(F80&lt;DATE(2026+7,5,1),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,((F80-DATE(2026+7,5,1))/365.25)*G80*D80*(1+EscalatorInLease)^7+((DATE(2027+7,4,30)-F80)/365.25)*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)))),0)</f>
        <v/>
      </c>
      <c r="V80" s="5">
        <f>IFERROR(IF(I80="LeaseUp",H80*D80*(1+GrowthMarketRent)^8*IF(8=0,(12-DowntimeNew)/12,1),IF(F80="",0,IF(F80&gt;=DATE(2027+8,4,30),G80*D80*(1+EscalatorInLease)^8,IF(F80&lt;DATE(2026+8,5,1),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,((F80-DATE(2026+8,5,1))/365.25)*G80*D80*(1+EscalatorInLease)^8+((DATE(2027+8,4,30)-F80)/365.25)*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)))),0)</f>
        <v/>
      </c>
      <c r="W80" s="5">
        <f>IFERROR(IF(I80="LeaseUp",H80*D80*(1+GrowthMarketRent)^9*IF(9=0,(12-DowntimeNew)/12,1),IF(F80="",0,IF(F80&gt;=DATE(2027+9,4,30),G80*D80*(1+EscalatorInLease)^9,IF(F80&lt;DATE(2026+9,5,1),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,((F80-DATE(2026+9,5,1))/365.25)*G80*D80*(1+EscalatorInLease)^9+((DATE(2027+9,4,30)-F80)/365.25)*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)))),0)</f>
        <v/>
      </c>
      <c r="X80" s="5">
        <f>IFERROR(IF(I80="LeaseUp",H80*D80*(1+GrowthMarketRent)^10*IF(10=0,(12-DowntimeNew)/12,1),IF(F80="",0,IF(F80&gt;=DATE(2027+10,4,30),G80*D80*(1+EscalatorInLease)^10,IF(F80&lt;DATE(2026+10,5,1),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,((F80-DATE(2026+10,5,1))/365.25)*G80*D80*(1+EscalatorInLease)^10+((DATE(2027+10,4,30)-F80)/365.25)*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)))),0)</f>
        <v/>
      </c>
      <c r="Y80" s="5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5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5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5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5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5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5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5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5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5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5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9" t="n">
        <v>1870</v>
      </c>
      <c r="G81" s="41" t="n">
        <v>0</v>
      </c>
      <c r="H81" s="10">
        <f>VLOOKUP(A81,MLA!$A$5:$L$11,3,FALSE)</f>
        <v/>
      </c>
      <c r="I81" s="25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7">
        <f>IF(E81="",0,(AnalysisStart-E81)/365.25)</f>
        <v/>
      </c>
      <c r="N81" s="5">
        <f>IFERROR(IF(I81="LeaseUp",H81*D81*(1+GrowthMarketRent)^0*IF(0=0,(12-DowntimeNew)/12,1),IF(F81="",0,IF(F81&gt;=DATE(2027+0,4,30),G81*D81*(1+EscalatorInLease)^0,IF(F81&lt;DATE(2026+0,5,1),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,((F81-DATE(2026+0,5,1))/365.25)*G81*D81*(1+EscalatorInLease)^0+((DATE(2027+0,4,30)-F81)/365.25)*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)))),0)</f>
        <v/>
      </c>
      <c r="O81" s="5">
        <f>IFERROR(IF(I81="LeaseUp",H81*D81*(1+GrowthMarketRent)^1*IF(1=0,(12-DowntimeNew)/12,1),IF(F81="",0,IF(F81&gt;=DATE(2027+1,4,30),G81*D81*(1+EscalatorInLease)^1,IF(F81&lt;DATE(2026+1,5,1),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,((F81-DATE(2026+1,5,1))/365.25)*G81*D81*(1+EscalatorInLease)^1+((DATE(2027+1,4,30)-F81)/365.25)*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)))),0)</f>
        <v/>
      </c>
      <c r="P81" s="5">
        <f>IFERROR(IF(I81="LeaseUp",H81*D81*(1+GrowthMarketRent)^2*IF(2=0,(12-DowntimeNew)/12,1),IF(F81="",0,IF(F81&gt;=DATE(2027+2,4,30),G81*D81*(1+EscalatorInLease)^2,IF(F81&lt;DATE(2026+2,5,1),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,((F81-DATE(2026+2,5,1))/365.25)*G81*D81*(1+EscalatorInLease)^2+((DATE(2027+2,4,30)-F81)/365.25)*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)))),0)</f>
        <v/>
      </c>
      <c r="Q81" s="5">
        <f>IFERROR(IF(I81="LeaseUp",H81*D81*(1+GrowthMarketRent)^3*IF(3=0,(12-DowntimeNew)/12,1),IF(F81="",0,IF(F81&gt;=DATE(2027+3,4,30),G81*D81*(1+EscalatorInLease)^3,IF(F81&lt;DATE(2026+3,5,1),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,((F81-DATE(2026+3,5,1))/365.25)*G81*D81*(1+EscalatorInLease)^3+((DATE(2027+3,4,30)-F81)/365.25)*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)))),0)</f>
        <v/>
      </c>
      <c r="R81" s="5">
        <f>IFERROR(IF(I81="LeaseUp",H81*D81*(1+GrowthMarketRent)^4*IF(4=0,(12-DowntimeNew)/12,1),IF(F81="",0,IF(F81&gt;=DATE(2027+4,4,30),G81*D81*(1+EscalatorInLease)^4,IF(F81&lt;DATE(2026+4,5,1),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,((F81-DATE(2026+4,5,1))/365.25)*G81*D81*(1+EscalatorInLease)^4+((DATE(2027+4,4,30)-F81)/365.25)*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)))),0)</f>
        <v/>
      </c>
      <c r="S81" s="5">
        <f>IFERROR(IF(I81="LeaseUp",H81*D81*(1+GrowthMarketRent)^5*IF(5=0,(12-DowntimeNew)/12,1),IF(F81="",0,IF(F81&gt;=DATE(2027+5,4,30),G81*D81*(1+EscalatorInLease)^5,IF(F81&lt;DATE(2026+5,5,1),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,((F81-DATE(2026+5,5,1))/365.25)*G81*D81*(1+EscalatorInLease)^5+((DATE(2027+5,4,30)-F81)/365.25)*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)))),0)</f>
        <v/>
      </c>
      <c r="T81" s="5">
        <f>IFERROR(IF(I81="LeaseUp",H81*D81*(1+GrowthMarketRent)^6*IF(6=0,(12-DowntimeNew)/12,1),IF(F81="",0,IF(F81&gt;=DATE(2027+6,4,30),G81*D81*(1+EscalatorInLease)^6,IF(F81&lt;DATE(2026+6,5,1),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,((F81-DATE(2026+6,5,1))/365.25)*G81*D81*(1+EscalatorInLease)^6+((DATE(2027+6,4,30)-F81)/365.25)*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)))),0)</f>
        <v/>
      </c>
      <c r="U81" s="5">
        <f>IFERROR(IF(I81="LeaseUp",H81*D81*(1+GrowthMarketRent)^7*IF(7=0,(12-DowntimeNew)/12,1),IF(F81="",0,IF(F81&gt;=DATE(2027+7,4,30),G81*D81*(1+EscalatorInLease)^7,IF(F81&lt;DATE(2026+7,5,1),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,((F81-DATE(2026+7,5,1))/365.25)*G81*D81*(1+EscalatorInLease)^7+((DATE(2027+7,4,30)-F81)/365.25)*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)))),0)</f>
        <v/>
      </c>
      <c r="V81" s="5">
        <f>IFERROR(IF(I81="LeaseUp",H81*D81*(1+GrowthMarketRent)^8*IF(8=0,(12-DowntimeNew)/12,1),IF(F81="",0,IF(F81&gt;=DATE(2027+8,4,30),G81*D81*(1+EscalatorInLease)^8,IF(F81&lt;DATE(2026+8,5,1),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,((F81-DATE(2026+8,5,1))/365.25)*G81*D81*(1+EscalatorInLease)^8+((DATE(2027+8,4,30)-F81)/365.25)*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)))),0)</f>
        <v/>
      </c>
      <c r="W81" s="5">
        <f>IFERROR(IF(I81="LeaseUp",H81*D81*(1+GrowthMarketRent)^9*IF(9=0,(12-DowntimeNew)/12,1),IF(F81="",0,IF(F81&gt;=DATE(2027+9,4,30),G81*D81*(1+EscalatorInLease)^9,IF(F81&lt;DATE(2026+9,5,1),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,((F81-DATE(2026+9,5,1))/365.25)*G81*D81*(1+EscalatorInLease)^9+((DATE(2027+9,4,30)-F81)/365.25)*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)))),0)</f>
        <v/>
      </c>
      <c r="X81" s="5">
        <f>IFERROR(IF(I81="LeaseUp",H81*D81*(1+GrowthMarketRent)^10*IF(10=0,(12-DowntimeNew)/12,1),IF(F81="",0,IF(F81&gt;=DATE(2027+10,4,30),G81*D81*(1+EscalatorInLease)^10,IF(F81&lt;DATE(2026+10,5,1),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,((F81-DATE(2026+10,5,1))/365.25)*G81*D81*(1+EscalatorInLease)^10+((DATE(2027+10,4,30)-F81)/365.25)*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)))),0)</f>
        <v/>
      </c>
      <c r="Y81" s="5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5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5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5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5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5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5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5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5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5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5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9" t="n">
        <v>1870</v>
      </c>
      <c r="E82" s="40" t="n">
        <v>46023</v>
      </c>
      <c r="F82" s="40" t="n">
        <v>46143</v>
      </c>
      <c r="G82" s="41" t="n">
        <v>14.9716577540107</v>
      </c>
      <c r="H82" s="10">
        <f>VLOOKUP(A82,MLA!$A$5:$L$11,3,FALSE)</f>
        <v/>
      </c>
      <c r="I82" s="25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7">
        <f>IF(E82="",0,(AnalysisStart-E82)/365.25)</f>
        <v/>
      </c>
      <c r="N82" s="5">
        <f>IFERROR(IF(I82="LeaseUp",H82*D82*(1+GrowthMarketRent)^0*IF(0=0,(12-DowntimeNew)/12,1),IF(F82="",0,IF(F82&gt;=DATE(2027+0,4,30),G82*D82*(1+EscalatorInLease)^0,IF(F82&lt;DATE(2026+0,5,1),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,((F82-DATE(2026+0,5,1))/365.25)*G82*D82*(1+EscalatorInLease)^0+((DATE(2027+0,4,30)-F82)/365.25)*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)))),0)</f>
        <v/>
      </c>
      <c r="O82" s="5">
        <f>IFERROR(IF(I82="LeaseUp",H82*D82*(1+GrowthMarketRent)^1*IF(1=0,(12-DowntimeNew)/12,1),IF(F82="",0,IF(F82&gt;=DATE(2027+1,4,30),G82*D82*(1+EscalatorInLease)^1,IF(F82&lt;DATE(2026+1,5,1),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,((F82-DATE(2026+1,5,1))/365.25)*G82*D82*(1+EscalatorInLease)^1+((DATE(2027+1,4,30)-F82)/365.25)*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)))),0)</f>
        <v/>
      </c>
      <c r="P82" s="5">
        <f>IFERROR(IF(I82="LeaseUp",H82*D82*(1+GrowthMarketRent)^2*IF(2=0,(12-DowntimeNew)/12,1),IF(F82="",0,IF(F82&gt;=DATE(2027+2,4,30),G82*D82*(1+EscalatorInLease)^2,IF(F82&lt;DATE(2026+2,5,1),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,((F82-DATE(2026+2,5,1))/365.25)*G82*D82*(1+EscalatorInLease)^2+((DATE(2027+2,4,30)-F82)/365.25)*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)))),0)</f>
        <v/>
      </c>
      <c r="Q82" s="5">
        <f>IFERROR(IF(I82="LeaseUp",H82*D82*(1+GrowthMarketRent)^3*IF(3=0,(12-DowntimeNew)/12,1),IF(F82="",0,IF(F82&gt;=DATE(2027+3,4,30),G82*D82*(1+EscalatorInLease)^3,IF(F82&lt;DATE(2026+3,5,1),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,((F82-DATE(2026+3,5,1))/365.25)*G82*D82*(1+EscalatorInLease)^3+((DATE(2027+3,4,30)-F82)/365.25)*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)))),0)</f>
        <v/>
      </c>
      <c r="R82" s="5">
        <f>IFERROR(IF(I82="LeaseUp",H82*D82*(1+GrowthMarketRent)^4*IF(4=0,(12-DowntimeNew)/12,1),IF(F82="",0,IF(F82&gt;=DATE(2027+4,4,30),G82*D82*(1+EscalatorInLease)^4,IF(F82&lt;DATE(2026+4,5,1),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,((F82-DATE(2026+4,5,1))/365.25)*G82*D82*(1+EscalatorInLease)^4+((DATE(2027+4,4,30)-F82)/365.25)*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)))),0)</f>
        <v/>
      </c>
      <c r="S82" s="5">
        <f>IFERROR(IF(I82="LeaseUp",H82*D82*(1+GrowthMarketRent)^5*IF(5=0,(12-DowntimeNew)/12,1),IF(F82="",0,IF(F82&gt;=DATE(2027+5,4,30),G82*D82*(1+EscalatorInLease)^5,IF(F82&lt;DATE(2026+5,5,1),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,((F82-DATE(2026+5,5,1))/365.25)*G82*D82*(1+EscalatorInLease)^5+((DATE(2027+5,4,30)-F82)/365.25)*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)))),0)</f>
        <v/>
      </c>
      <c r="T82" s="5">
        <f>IFERROR(IF(I82="LeaseUp",H82*D82*(1+GrowthMarketRent)^6*IF(6=0,(12-DowntimeNew)/12,1),IF(F82="",0,IF(F82&gt;=DATE(2027+6,4,30),G82*D82*(1+EscalatorInLease)^6,IF(F82&lt;DATE(2026+6,5,1),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,((F82-DATE(2026+6,5,1))/365.25)*G82*D82*(1+EscalatorInLease)^6+((DATE(2027+6,4,30)-F82)/365.25)*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)))),0)</f>
        <v/>
      </c>
      <c r="U82" s="5">
        <f>IFERROR(IF(I82="LeaseUp",H82*D82*(1+GrowthMarketRent)^7*IF(7=0,(12-DowntimeNew)/12,1),IF(F82="",0,IF(F82&gt;=DATE(2027+7,4,30),G82*D82*(1+EscalatorInLease)^7,IF(F82&lt;DATE(2026+7,5,1),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,((F82-DATE(2026+7,5,1))/365.25)*G82*D82*(1+EscalatorInLease)^7+((DATE(2027+7,4,30)-F82)/365.25)*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)))),0)</f>
        <v/>
      </c>
      <c r="V82" s="5">
        <f>IFERROR(IF(I82="LeaseUp",H82*D82*(1+GrowthMarketRent)^8*IF(8=0,(12-DowntimeNew)/12,1),IF(F82="",0,IF(F82&gt;=DATE(2027+8,4,30),G82*D82*(1+EscalatorInLease)^8,IF(F82&lt;DATE(2026+8,5,1),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,((F82-DATE(2026+8,5,1))/365.25)*G82*D82*(1+EscalatorInLease)^8+((DATE(2027+8,4,30)-F82)/365.25)*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)))),0)</f>
        <v/>
      </c>
      <c r="W82" s="5">
        <f>IFERROR(IF(I82="LeaseUp",H82*D82*(1+GrowthMarketRent)^9*IF(9=0,(12-DowntimeNew)/12,1),IF(F82="",0,IF(F82&gt;=DATE(2027+9,4,30),G82*D82*(1+EscalatorInLease)^9,IF(F82&lt;DATE(2026+9,5,1),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,((F82-DATE(2026+9,5,1))/365.25)*G82*D82*(1+EscalatorInLease)^9+((DATE(2027+9,4,30)-F82)/365.25)*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)))),0)</f>
        <v/>
      </c>
      <c r="X82" s="5">
        <f>IFERROR(IF(I82="LeaseUp",H82*D82*(1+GrowthMarketRent)^10*IF(10=0,(12-DowntimeNew)/12,1),IF(F82="",0,IF(F82&gt;=DATE(2027+10,4,30),G82*D82*(1+EscalatorInLease)^10,IF(F82&lt;DATE(2026+10,5,1),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,((F82-DATE(2026+10,5,1))/365.25)*G82*D82*(1+EscalatorInLease)^10+((DATE(2027+10,4,30)-F82)/365.25)*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)))),0)</f>
        <v/>
      </c>
      <c r="Y82" s="5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5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5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5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5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5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5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5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5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5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5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9" t="n">
        <v>1870</v>
      </c>
      <c r="E83" s="40" t="n">
        <v>45170</v>
      </c>
      <c r="F83" s="40" t="n">
        <v>46419</v>
      </c>
      <c r="G83" s="41" t="n">
        <v>14.9716577540107</v>
      </c>
      <c r="H83" s="10">
        <f>VLOOKUP(A83,MLA!$A$5:$L$11,3,FALSE)</f>
        <v/>
      </c>
      <c r="I83" s="25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7">
        <f>IF(E83="",0,(AnalysisStart-E83)/365.25)</f>
        <v/>
      </c>
      <c r="N83" s="5">
        <f>IFERROR(IF(I83="LeaseUp",H83*D83*(1+GrowthMarketRent)^0*IF(0=0,(12-DowntimeNew)/12,1),IF(F83="",0,IF(F83&gt;=DATE(2027+0,4,30),G83*D83*(1+EscalatorInLease)^0,IF(F83&lt;DATE(2026+0,5,1),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,((F83-DATE(2026+0,5,1))/365.25)*G83*D83*(1+EscalatorInLease)^0+((DATE(2027+0,4,30)-F83)/365.25)*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)))),0)</f>
        <v/>
      </c>
      <c r="O83" s="5">
        <f>IFERROR(IF(I83="LeaseUp",H83*D83*(1+GrowthMarketRent)^1*IF(1=0,(12-DowntimeNew)/12,1),IF(F83="",0,IF(F83&gt;=DATE(2027+1,4,30),G83*D83*(1+EscalatorInLease)^1,IF(F83&lt;DATE(2026+1,5,1),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,((F83-DATE(2026+1,5,1))/365.25)*G83*D83*(1+EscalatorInLease)^1+((DATE(2027+1,4,30)-F83)/365.25)*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)))),0)</f>
        <v/>
      </c>
      <c r="P83" s="5">
        <f>IFERROR(IF(I83="LeaseUp",H83*D83*(1+GrowthMarketRent)^2*IF(2=0,(12-DowntimeNew)/12,1),IF(F83="",0,IF(F83&gt;=DATE(2027+2,4,30),G83*D83*(1+EscalatorInLease)^2,IF(F83&lt;DATE(2026+2,5,1),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,((F83-DATE(2026+2,5,1))/365.25)*G83*D83*(1+EscalatorInLease)^2+((DATE(2027+2,4,30)-F83)/365.25)*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)))),0)</f>
        <v/>
      </c>
      <c r="Q83" s="5">
        <f>IFERROR(IF(I83="LeaseUp",H83*D83*(1+GrowthMarketRent)^3*IF(3=0,(12-DowntimeNew)/12,1),IF(F83="",0,IF(F83&gt;=DATE(2027+3,4,30),G83*D83*(1+EscalatorInLease)^3,IF(F83&lt;DATE(2026+3,5,1),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,((F83-DATE(2026+3,5,1))/365.25)*G83*D83*(1+EscalatorInLease)^3+((DATE(2027+3,4,30)-F83)/365.25)*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)))),0)</f>
        <v/>
      </c>
      <c r="R83" s="5">
        <f>IFERROR(IF(I83="LeaseUp",H83*D83*(1+GrowthMarketRent)^4*IF(4=0,(12-DowntimeNew)/12,1),IF(F83="",0,IF(F83&gt;=DATE(2027+4,4,30),G83*D83*(1+EscalatorInLease)^4,IF(F83&lt;DATE(2026+4,5,1),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,((F83-DATE(2026+4,5,1))/365.25)*G83*D83*(1+EscalatorInLease)^4+((DATE(2027+4,4,30)-F83)/365.25)*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)))),0)</f>
        <v/>
      </c>
      <c r="S83" s="5">
        <f>IFERROR(IF(I83="LeaseUp",H83*D83*(1+GrowthMarketRent)^5*IF(5=0,(12-DowntimeNew)/12,1),IF(F83="",0,IF(F83&gt;=DATE(2027+5,4,30),G83*D83*(1+EscalatorInLease)^5,IF(F83&lt;DATE(2026+5,5,1),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,((F83-DATE(2026+5,5,1))/365.25)*G83*D83*(1+EscalatorInLease)^5+((DATE(2027+5,4,30)-F83)/365.25)*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)))),0)</f>
        <v/>
      </c>
      <c r="T83" s="5">
        <f>IFERROR(IF(I83="LeaseUp",H83*D83*(1+GrowthMarketRent)^6*IF(6=0,(12-DowntimeNew)/12,1),IF(F83="",0,IF(F83&gt;=DATE(2027+6,4,30),G83*D83*(1+EscalatorInLease)^6,IF(F83&lt;DATE(2026+6,5,1),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,((F83-DATE(2026+6,5,1))/365.25)*G83*D83*(1+EscalatorInLease)^6+((DATE(2027+6,4,30)-F83)/365.25)*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)))),0)</f>
        <v/>
      </c>
      <c r="U83" s="5">
        <f>IFERROR(IF(I83="LeaseUp",H83*D83*(1+GrowthMarketRent)^7*IF(7=0,(12-DowntimeNew)/12,1),IF(F83="",0,IF(F83&gt;=DATE(2027+7,4,30),G83*D83*(1+EscalatorInLease)^7,IF(F83&lt;DATE(2026+7,5,1),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,((F83-DATE(2026+7,5,1))/365.25)*G83*D83*(1+EscalatorInLease)^7+((DATE(2027+7,4,30)-F83)/365.25)*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)))),0)</f>
        <v/>
      </c>
      <c r="V83" s="5">
        <f>IFERROR(IF(I83="LeaseUp",H83*D83*(1+GrowthMarketRent)^8*IF(8=0,(12-DowntimeNew)/12,1),IF(F83="",0,IF(F83&gt;=DATE(2027+8,4,30),G83*D83*(1+EscalatorInLease)^8,IF(F83&lt;DATE(2026+8,5,1),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,((F83-DATE(2026+8,5,1))/365.25)*G83*D83*(1+EscalatorInLease)^8+((DATE(2027+8,4,30)-F83)/365.25)*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)))),0)</f>
        <v/>
      </c>
      <c r="W83" s="5">
        <f>IFERROR(IF(I83="LeaseUp",H83*D83*(1+GrowthMarketRent)^9*IF(9=0,(12-DowntimeNew)/12,1),IF(F83="",0,IF(F83&gt;=DATE(2027+9,4,30),G83*D83*(1+EscalatorInLease)^9,IF(F83&lt;DATE(2026+9,5,1),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,((F83-DATE(2026+9,5,1))/365.25)*G83*D83*(1+EscalatorInLease)^9+((DATE(2027+9,4,30)-F83)/365.25)*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)))),0)</f>
        <v/>
      </c>
      <c r="X83" s="5">
        <f>IFERROR(IF(I83="LeaseUp",H83*D83*(1+GrowthMarketRent)^10*IF(10=0,(12-DowntimeNew)/12,1),IF(F83="",0,IF(F83&gt;=DATE(2027+10,4,30),G83*D83*(1+EscalatorInLease)^10,IF(F83&lt;DATE(2026+10,5,1),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,((F83-DATE(2026+10,5,1))/365.25)*G83*D83*(1+EscalatorInLease)^10+((DATE(2027+10,4,30)-F83)/365.25)*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)))),0)</f>
        <v/>
      </c>
      <c r="Y83" s="5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5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5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5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5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5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5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5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5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5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5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9" t="n">
        <v>1870</v>
      </c>
      <c r="G84" s="41" t="n">
        <v>0</v>
      </c>
      <c r="H84" s="10">
        <f>VLOOKUP(A84,MLA!$A$5:$L$11,3,FALSE)</f>
        <v/>
      </c>
      <c r="I84" s="25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7">
        <f>IF(E84="",0,(AnalysisStart-E84)/365.25)</f>
        <v/>
      </c>
      <c r="N84" s="5">
        <f>IFERROR(IF(I84="LeaseUp",H84*D84*(1+GrowthMarketRent)^0*IF(0=0,(12-DowntimeNew)/12,1),IF(F84="",0,IF(F84&gt;=DATE(2027+0,4,30),G84*D84*(1+EscalatorInLease)^0,IF(F84&lt;DATE(2026+0,5,1),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,((F84-DATE(2026+0,5,1))/365.25)*G84*D84*(1+EscalatorInLease)^0+((DATE(2027+0,4,30)-F84)/365.25)*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)))),0)</f>
        <v/>
      </c>
      <c r="O84" s="5">
        <f>IFERROR(IF(I84="LeaseUp",H84*D84*(1+GrowthMarketRent)^1*IF(1=0,(12-DowntimeNew)/12,1),IF(F84="",0,IF(F84&gt;=DATE(2027+1,4,30),G84*D84*(1+EscalatorInLease)^1,IF(F84&lt;DATE(2026+1,5,1),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,((F84-DATE(2026+1,5,1))/365.25)*G84*D84*(1+EscalatorInLease)^1+((DATE(2027+1,4,30)-F84)/365.25)*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)))),0)</f>
        <v/>
      </c>
      <c r="P84" s="5">
        <f>IFERROR(IF(I84="LeaseUp",H84*D84*(1+GrowthMarketRent)^2*IF(2=0,(12-DowntimeNew)/12,1),IF(F84="",0,IF(F84&gt;=DATE(2027+2,4,30),G84*D84*(1+EscalatorInLease)^2,IF(F84&lt;DATE(2026+2,5,1),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,((F84-DATE(2026+2,5,1))/365.25)*G84*D84*(1+EscalatorInLease)^2+((DATE(2027+2,4,30)-F84)/365.25)*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)))),0)</f>
        <v/>
      </c>
      <c r="Q84" s="5">
        <f>IFERROR(IF(I84="LeaseUp",H84*D84*(1+GrowthMarketRent)^3*IF(3=0,(12-DowntimeNew)/12,1),IF(F84="",0,IF(F84&gt;=DATE(2027+3,4,30),G84*D84*(1+EscalatorInLease)^3,IF(F84&lt;DATE(2026+3,5,1),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,((F84-DATE(2026+3,5,1))/365.25)*G84*D84*(1+EscalatorInLease)^3+((DATE(2027+3,4,30)-F84)/365.25)*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)))),0)</f>
        <v/>
      </c>
      <c r="R84" s="5">
        <f>IFERROR(IF(I84="LeaseUp",H84*D84*(1+GrowthMarketRent)^4*IF(4=0,(12-DowntimeNew)/12,1),IF(F84="",0,IF(F84&gt;=DATE(2027+4,4,30),G84*D84*(1+EscalatorInLease)^4,IF(F84&lt;DATE(2026+4,5,1),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,((F84-DATE(2026+4,5,1))/365.25)*G84*D84*(1+EscalatorInLease)^4+((DATE(2027+4,4,30)-F84)/365.25)*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)))),0)</f>
        <v/>
      </c>
      <c r="S84" s="5">
        <f>IFERROR(IF(I84="LeaseUp",H84*D84*(1+GrowthMarketRent)^5*IF(5=0,(12-DowntimeNew)/12,1),IF(F84="",0,IF(F84&gt;=DATE(2027+5,4,30),G84*D84*(1+EscalatorInLease)^5,IF(F84&lt;DATE(2026+5,5,1),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,((F84-DATE(2026+5,5,1))/365.25)*G84*D84*(1+EscalatorInLease)^5+((DATE(2027+5,4,30)-F84)/365.25)*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)))),0)</f>
        <v/>
      </c>
      <c r="T84" s="5">
        <f>IFERROR(IF(I84="LeaseUp",H84*D84*(1+GrowthMarketRent)^6*IF(6=0,(12-DowntimeNew)/12,1),IF(F84="",0,IF(F84&gt;=DATE(2027+6,4,30),G84*D84*(1+EscalatorInLease)^6,IF(F84&lt;DATE(2026+6,5,1),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,((F84-DATE(2026+6,5,1))/365.25)*G84*D84*(1+EscalatorInLease)^6+((DATE(2027+6,4,30)-F84)/365.25)*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)))),0)</f>
        <v/>
      </c>
      <c r="U84" s="5">
        <f>IFERROR(IF(I84="LeaseUp",H84*D84*(1+GrowthMarketRent)^7*IF(7=0,(12-DowntimeNew)/12,1),IF(F84="",0,IF(F84&gt;=DATE(2027+7,4,30),G84*D84*(1+EscalatorInLease)^7,IF(F84&lt;DATE(2026+7,5,1),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,((F84-DATE(2026+7,5,1))/365.25)*G84*D84*(1+EscalatorInLease)^7+((DATE(2027+7,4,30)-F84)/365.25)*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)))),0)</f>
        <v/>
      </c>
      <c r="V84" s="5">
        <f>IFERROR(IF(I84="LeaseUp",H84*D84*(1+GrowthMarketRent)^8*IF(8=0,(12-DowntimeNew)/12,1),IF(F84="",0,IF(F84&gt;=DATE(2027+8,4,30),G84*D84*(1+EscalatorInLease)^8,IF(F84&lt;DATE(2026+8,5,1),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,((F84-DATE(2026+8,5,1))/365.25)*G84*D84*(1+EscalatorInLease)^8+((DATE(2027+8,4,30)-F84)/365.25)*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)))),0)</f>
        <v/>
      </c>
      <c r="W84" s="5">
        <f>IFERROR(IF(I84="LeaseUp",H84*D84*(1+GrowthMarketRent)^9*IF(9=0,(12-DowntimeNew)/12,1),IF(F84="",0,IF(F84&gt;=DATE(2027+9,4,30),G84*D84*(1+EscalatorInLease)^9,IF(F84&lt;DATE(2026+9,5,1),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,((F84-DATE(2026+9,5,1))/365.25)*G84*D84*(1+EscalatorInLease)^9+((DATE(2027+9,4,30)-F84)/365.25)*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)))),0)</f>
        <v/>
      </c>
      <c r="X84" s="5">
        <f>IFERROR(IF(I84="LeaseUp",H84*D84*(1+GrowthMarketRent)^10*IF(10=0,(12-DowntimeNew)/12,1),IF(F84="",0,IF(F84&gt;=DATE(2027+10,4,30),G84*D84*(1+EscalatorInLease)^10,IF(F84&lt;DATE(2026+10,5,1),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,((F84-DATE(2026+10,5,1))/365.25)*G84*D84*(1+EscalatorInLease)^10+((DATE(2027+10,4,30)-F84)/365.25)*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)))),0)</f>
        <v/>
      </c>
      <c r="Y84" s="5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5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5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5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5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5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5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5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5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5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5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9" t="n">
        <v>1870</v>
      </c>
      <c r="G85" s="41" t="n">
        <v>0</v>
      </c>
      <c r="H85" s="10">
        <f>VLOOKUP(A85,MLA!$A$5:$L$11,3,FALSE)</f>
        <v/>
      </c>
      <c r="I85" s="25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7">
        <f>IF(E85="",0,(AnalysisStart-E85)/365.25)</f>
        <v/>
      </c>
      <c r="N85" s="5">
        <f>IFERROR(IF(I85="LeaseUp",H85*D85*(1+GrowthMarketRent)^0*IF(0=0,(12-DowntimeNew)/12,1),IF(F85="",0,IF(F85&gt;=DATE(2027+0,4,30),G85*D85*(1+EscalatorInLease)^0,IF(F85&lt;DATE(2026+0,5,1),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,((F85-DATE(2026+0,5,1))/365.25)*G85*D85*(1+EscalatorInLease)^0+((DATE(2027+0,4,30)-F85)/365.25)*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)))),0)</f>
        <v/>
      </c>
      <c r="O85" s="5">
        <f>IFERROR(IF(I85="LeaseUp",H85*D85*(1+GrowthMarketRent)^1*IF(1=0,(12-DowntimeNew)/12,1),IF(F85="",0,IF(F85&gt;=DATE(2027+1,4,30),G85*D85*(1+EscalatorInLease)^1,IF(F85&lt;DATE(2026+1,5,1),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,((F85-DATE(2026+1,5,1))/365.25)*G85*D85*(1+EscalatorInLease)^1+((DATE(2027+1,4,30)-F85)/365.25)*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)))),0)</f>
        <v/>
      </c>
      <c r="P85" s="5">
        <f>IFERROR(IF(I85="LeaseUp",H85*D85*(1+GrowthMarketRent)^2*IF(2=0,(12-DowntimeNew)/12,1),IF(F85="",0,IF(F85&gt;=DATE(2027+2,4,30),G85*D85*(1+EscalatorInLease)^2,IF(F85&lt;DATE(2026+2,5,1),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,((F85-DATE(2026+2,5,1))/365.25)*G85*D85*(1+EscalatorInLease)^2+((DATE(2027+2,4,30)-F85)/365.25)*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)))),0)</f>
        <v/>
      </c>
      <c r="Q85" s="5">
        <f>IFERROR(IF(I85="LeaseUp",H85*D85*(1+GrowthMarketRent)^3*IF(3=0,(12-DowntimeNew)/12,1),IF(F85="",0,IF(F85&gt;=DATE(2027+3,4,30),G85*D85*(1+EscalatorInLease)^3,IF(F85&lt;DATE(2026+3,5,1),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,((F85-DATE(2026+3,5,1))/365.25)*G85*D85*(1+EscalatorInLease)^3+((DATE(2027+3,4,30)-F85)/365.25)*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)))),0)</f>
        <v/>
      </c>
      <c r="R85" s="5">
        <f>IFERROR(IF(I85="LeaseUp",H85*D85*(1+GrowthMarketRent)^4*IF(4=0,(12-DowntimeNew)/12,1),IF(F85="",0,IF(F85&gt;=DATE(2027+4,4,30),G85*D85*(1+EscalatorInLease)^4,IF(F85&lt;DATE(2026+4,5,1),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,((F85-DATE(2026+4,5,1))/365.25)*G85*D85*(1+EscalatorInLease)^4+((DATE(2027+4,4,30)-F85)/365.25)*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)))),0)</f>
        <v/>
      </c>
      <c r="S85" s="5">
        <f>IFERROR(IF(I85="LeaseUp",H85*D85*(1+GrowthMarketRent)^5*IF(5=0,(12-DowntimeNew)/12,1),IF(F85="",0,IF(F85&gt;=DATE(2027+5,4,30),G85*D85*(1+EscalatorInLease)^5,IF(F85&lt;DATE(2026+5,5,1),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,((F85-DATE(2026+5,5,1))/365.25)*G85*D85*(1+EscalatorInLease)^5+((DATE(2027+5,4,30)-F85)/365.25)*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)))),0)</f>
        <v/>
      </c>
      <c r="T85" s="5">
        <f>IFERROR(IF(I85="LeaseUp",H85*D85*(1+GrowthMarketRent)^6*IF(6=0,(12-DowntimeNew)/12,1),IF(F85="",0,IF(F85&gt;=DATE(2027+6,4,30),G85*D85*(1+EscalatorInLease)^6,IF(F85&lt;DATE(2026+6,5,1),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,((F85-DATE(2026+6,5,1))/365.25)*G85*D85*(1+EscalatorInLease)^6+((DATE(2027+6,4,30)-F85)/365.25)*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)))),0)</f>
        <v/>
      </c>
      <c r="U85" s="5">
        <f>IFERROR(IF(I85="LeaseUp",H85*D85*(1+GrowthMarketRent)^7*IF(7=0,(12-DowntimeNew)/12,1),IF(F85="",0,IF(F85&gt;=DATE(2027+7,4,30),G85*D85*(1+EscalatorInLease)^7,IF(F85&lt;DATE(2026+7,5,1),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,((F85-DATE(2026+7,5,1))/365.25)*G85*D85*(1+EscalatorInLease)^7+((DATE(2027+7,4,30)-F85)/365.25)*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)))),0)</f>
        <v/>
      </c>
      <c r="V85" s="5">
        <f>IFERROR(IF(I85="LeaseUp",H85*D85*(1+GrowthMarketRent)^8*IF(8=0,(12-DowntimeNew)/12,1),IF(F85="",0,IF(F85&gt;=DATE(2027+8,4,30),G85*D85*(1+EscalatorInLease)^8,IF(F85&lt;DATE(2026+8,5,1),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,((F85-DATE(2026+8,5,1))/365.25)*G85*D85*(1+EscalatorInLease)^8+((DATE(2027+8,4,30)-F85)/365.25)*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)))),0)</f>
        <v/>
      </c>
      <c r="W85" s="5">
        <f>IFERROR(IF(I85="LeaseUp",H85*D85*(1+GrowthMarketRent)^9*IF(9=0,(12-DowntimeNew)/12,1),IF(F85="",0,IF(F85&gt;=DATE(2027+9,4,30),G85*D85*(1+EscalatorInLease)^9,IF(F85&lt;DATE(2026+9,5,1),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,((F85-DATE(2026+9,5,1))/365.25)*G85*D85*(1+EscalatorInLease)^9+((DATE(2027+9,4,30)-F85)/365.25)*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)))),0)</f>
        <v/>
      </c>
      <c r="X85" s="5">
        <f>IFERROR(IF(I85="LeaseUp",H85*D85*(1+GrowthMarketRent)^10*IF(10=0,(12-DowntimeNew)/12,1),IF(F85="",0,IF(F85&gt;=DATE(2027+10,4,30),G85*D85*(1+EscalatorInLease)^10,IF(F85&lt;DATE(2026+10,5,1),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,((F85-DATE(2026+10,5,1))/365.25)*G85*D85*(1+EscalatorInLease)^10+((DATE(2027+10,4,30)-F85)/365.25)*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)))),0)</f>
        <v/>
      </c>
      <c r="Y85" s="5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5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5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5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5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5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5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5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5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5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5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9" t="n">
        <v>1870</v>
      </c>
      <c r="E86" s="40" t="n">
        <v>45717</v>
      </c>
      <c r="F86" s="40" t="n">
        <v>46966</v>
      </c>
      <c r="G86" s="41" t="n">
        <v>15.3748663101604</v>
      </c>
      <c r="H86" s="10">
        <f>VLOOKUP(A86,MLA!$A$5:$L$11,3,FALSE)</f>
        <v/>
      </c>
      <c r="I86" s="25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7">
        <f>IF(E86="",0,(AnalysisStart-E86)/365.25)</f>
        <v/>
      </c>
      <c r="N86" s="5">
        <f>IFERROR(IF(I86="LeaseUp",H86*D86*(1+GrowthMarketRent)^0*IF(0=0,(12-DowntimeNew)/12,1),IF(F86="",0,IF(F86&gt;=DATE(2027+0,4,30),G86*D86*(1+EscalatorInLease)^0,IF(F86&lt;DATE(2026+0,5,1),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,((F86-DATE(2026+0,5,1))/365.25)*G86*D86*(1+EscalatorInLease)^0+((DATE(2027+0,4,30)-F86)/365.25)*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)))),0)</f>
        <v/>
      </c>
      <c r="O86" s="5">
        <f>IFERROR(IF(I86="LeaseUp",H86*D86*(1+GrowthMarketRent)^1*IF(1=0,(12-DowntimeNew)/12,1),IF(F86="",0,IF(F86&gt;=DATE(2027+1,4,30),G86*D86*(1+EscalatorInLease)^1,IF(F86&lt;DATE(2026+1,5,1),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,((F86-DATE(2026+1,5,1))/365.25)*G86*D86*(1+EscalatorInLease)^1+((DATE(2027+1,4,30)-F86)/365.25)*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)))),0)</f>
        <v/>
      </c>
      <c r="P86" s="5">
        <f>IFERROR(IF(I86="LeaseUp",H86*D86*(1+GrowthMarketRent)^2*IF(2=0,(12-DowntimeNew)/12,1),IF(F86="",0,IF(F86&gt;=DATE(2027+2,4,30),G86*D86*(1+EscalatorInLease)^2,IF(F86&lt;DATE(2026+2,5,1),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,((F86-DATE(2026+2,5,1))/365.25)*G86*D86*(1+EscalatorInLease)^2+((DATE(2027+2,4,30)-F86)/365.25)*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)))),0)</f>
        <v/>
      </c>
      <c r="Q86" s="5">
        <f>IFERROR(IF(I86="LeaseUp",H86*D86*(1+GrowthMarketRent)^3*IF(3=0,(12-DowntimeNew)/12,1),IF(F86="",0,IF(F86&gt;=DATE(2027+3,4,30),G86*D86*(1+EscalatorInLease)^3,IF(F86&lt;DATE(2026+3,5,1),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,((F86-DATE(2026+3,5,1))/365.25)*G86*D86*(1+EscalatorInLease)^3+((DATE(2027+3,4,30)-F86)/365.25)*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)))),0)</f>
        <v/>
      </c>
      <c r="R86" s="5">
        <f>IFERROR(IF(I86="LeaseUp",H86*D86*(1+GrowthMarketRent)^4*IF(4=0,(12-DowntimeNew)/12,1),IF(F86="",0,IF(F86&gt;=DATE(2027+4,4,30),G86*D86*(1+EscalatorInLease)^4,IF(F86&lt;DATE(2026+4,5,1),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,((F86-DATE(2026+4,5,1))/365.25)*G86*D86*(1+EscalatorInLease)^4+((DATE(2027+4,4,30)-F86)/365.25)*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)))),0)</f>
        <v/>
      </c>
      <c r="S86" s="5">
        <f>IFERROR(IF(I86="LeaseUp",H86*D86*(1+GrowthMarketRent)^5*IF(5=0,(12-DowntimeNew)/12,1),IF(F86="",0,IF(F86&gt;=DATE(2027+5,4,30),G86*D86*(1+EscalatorInLease)^5,IF(F86&lt;DATE(2026+5,5,1),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,((F86-DATE(2026+5,5,1))/365.25)*G86*D86*(1+EscalatorInLease)^5+((DATE(2027+5,4,30)-F86)/365.25)*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)))),0)</f>
        <v/>
      </c>
      <c r="T86" s="5">
        <f>IFERROR(IF(I86="LeaseUp",H86*D86*(1+GrowthMarketRent)^6*IF(6=0,(12-DowntimeNew)/12,1),IF(F86="",0,IF(F86&gt;=DATE(2027+6,4,30),G86*D86*(1+EscalatorInLease)^6,IF(F86&lt;DATE(2026+6,5,1),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,((F86-DATE(2026+6,5,1))/365.25)*G86*D86*(1+EscalatorInLease)^6+((DATE(2027+6,4,30)-F86)/365.25)*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)))),0)</f>
        <v/>
      </c>
      <c r="U86" s="5">
        <f>IFERROR(IF(I86="LeaseUp",H86*D86*(1+GrowthMarketRent)^7*IF(7=0,(12-DowntimeNew)/12,1),IF(F86="",0,IF(F86&gt;=DATE(2027+7,4,30),G86*D86*(1+EscalatorInLease)^7,IF(F86&lt;DATE(2026+7,5,1),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,((F86-DATE(2026+7,5,1))/365.25)*G86*D86*(1+EscalatorInLease)^7+((DATE(2027+7,4,30)-F86)/365.25)*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)))),0)</f>
        <v/>
      </c>
      <c r="V86" s="5">
        <f>IFERROR(IF(I86="LeaseUp",H86*D86*(1+GrowthMarketRent)^8*IF(8=0,(12-DowntimeNew)/12,1),IF(F86="",0,IF(F86&gt;=DATE(2027+8,4,30),G86*D86*(1+EscalatorInLease)^8,IF(F86&lt;DATE(2026+8,5,1),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,((F86-DATE(2026+8,5,1))/365.25)*G86*D86*(1+EscalatorInLease)^8+((DATE(2027+8,4,30)-F86)/365.25)*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)))),0)</f>
        <v/>
      </c>
      <c r="W86" s="5">
        <f>IFERROR(IF(I86="LeaseUp",H86*D86*(1+GrowthMarketRent)^9*IF(9=0,(12-DowntimeNew)/12,1),IF(F86="",0,IF(F86&gt;=DATE(2027+9,4,30),G86*D86*(1+EscalatorInLease)^9,IF(F86&lt;DATE(2026+9,5,1),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,((F86-DATE(2026+9,5,1))/365.25)*G86*D86*(1+EscalatorInLease)^9+((DATE(2027+9,4,30)-F86)/365.25)*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)))),0)</f>
        <v/>
      </c>
      <c r="X86" s="5">
        <f>IFERROR(IF(I86="LeaseUp",H86*D86*(1+GrowthMarketRent)^10*IF(10=0,(12-DowntimeNew)/12,1),IF(F86="",0,IF(F86&gt;=DATE(2027+10,4,30),G86*D86*(1+EscalatorInLease)^10,IF(F86&lt;DATE(2026+10,5,1),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,((F86-DATE(2026+10,5,1))/365.25)*G86*D86*(1+EscalatorInLease)^10+((DATE(2027+10,4,30)-F86)/365.25)*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)))),0)</f>
        <v/>
      </c>
      <c r="Y86" s="5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5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5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5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5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5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5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5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5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5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5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9" t="n">
        <v>1870</v>
      </c>
      <c r="E87" s="40" t="n">
        <v>45566</v>
      </c>
      <c r="F87" s="40" t="n">
        <v>46813</v>
      </c>
      <c r="G87" s="41" t="n">
        <v>15.3748663101604</v>
      </c>
      <c r="H87" s="10">
        <f>VLOOKUP(A87,MLA!$A$5:$L$11,3,FALSE)</f>
        <v/>
      </c>
      <c r="I87" s="25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7">
        <f>IF(E87="",0,(AnalysisStart-E87)/365.25)</f>
        <v/>
      </c>
      <c r="N87" s="5">
        <f>IFERROR(IF(I87="LeaseUp",H87*D87*(1+GrowthMarketRent)^0*IF(0=0,(12-DowntimeNew)/12,1),IF(F87="",0,IF(F87&gt;=DATE(2027+0,4,30),G87*D87*(1+EscalatorInLease)^0,IF(F87&lt;DATE(2026+0,5,1),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,((F87-DATE(2026+0,5,1))/365.25)*G87*D87*(1+EscalatorInLease)^0+((DATE(2027+0,4,30)-F87)/365.25)*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)))),0)</f>
        <v/>
      </c>
      <c r="O87" s="5">
        <f>IFERROR(IF(I87="LeaseUp",H87*D87*(1+GrowthMarketRent)^1*IF(1=0,(12-DowntimeNew)/12,1),IF(F87="",0,IF(F87&gt;=DATE(2027+1,4,30),G87*D87*(1+EscalatorInLease)^1,IF(F87&lt;DATE(2026+1,5,1),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,((F87-DATE(2026+1,5,1))/365.25)*G87*D87*(1+EscalatorInLease)^1+((DATE(2027+1,4,30)-F87)/365.25)*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)))),0)</f>
        <v/>
      </c>
      <c r="P87" s="5">
        <f>IFERROR(IF(I87="LeaseUp",H87*D87*(1+GrowthMarketRent)^2*IF(2=0,(12-DowntimeNew)/12,1),IF(F87="",0,IF(F87&gt;=DATE(2027+2,4,30),G87*D87*(1+EscalatorInLease)^2,IF(F87&lt;DATE(2026+2,5,1),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,((F87-DATE(2026+2,5,1))/365.25)*G87*D87*(1+EscalatorInLease)^2+((DATE(2027+2,4,30)-F87)/365.25)*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)))),0)</f>
        <v/>
      </c>
      <c r="Q87" s="5">
        <f>IFERROR(IF(I87="LeaseUp",H87*D87*(1+GrowthMarketRent)^3*IF(3=0,(12-DowntimeNew)/12,1),IF(F87="",0,IF(F87&gt;=DATE(2027+3,4,30),G87*D87*(1+EscalatorInLease)^3,IF(F87&lt;DATE(2026+3,5,1),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,((F87-DATE(2026+3,5,1))/365.25)*G87*D87*(1+EscalatorInLease)^3+((DATE(2027+3,4,30)-F87)/365.25)*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)))),0)</f>
        <v/>
      </c>
      <c r="R87" s="5">
        <f>IFERROR(IF(I87="LeaseUp",H87*D87*(1+GrowthMarketRent)^4*IF(4=0,(12-DowntimeNew)/12,1),IF(F87="",0,IF(F87&gt;=DATE(2027+4,4,30),G87*D87*(1+EscalatorInLease)^4,IF(F87&lt;DATE(2026+4,5,1),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,((F87-DATE(2026+4,5,1))/365.25)*G87*D87*(1+EscalatorInLease)^4+((DATE(2027+4,4,30)-F87)/365.25)*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)))),0)</f>
        <v/>
      </c>
      <c r="S87" s="5">
        <f>IFERROR(IF(I87="LeaseUp",H87*D87*(1+GrowthMarketRent)^5*IF(5=0,(12-DowntimeNew)/12,1),IF(F87="",0,IF(F87&gt;=DATE(2027+5,4,30),G87*D87*(1+EscalatorInLease)^5,IF(F87&lt;DATE(2026+5,5,1),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,((F87-DATE(2026+5,5,1))/365.25)*G87*D87*(1+EscalatorInLease)^5+((DATE(2027+5,4,30)-F87)/365.25)*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)))),0)</f>
        <v/>
      </c>
      <c r="T87" s="5">
        <f>IFERROR(IF(I87="LeaseUp",H87*D87*(1+GrowthMarketRent)^6*IF(6=0,(12-DowntimeNew)/12,1),IF(F87="",0,IF(F87&gt;=DATE(2027+6,4,30),G87*D87*(1+EscalatorInLease)^6,IF(F87&lt;DATE(2026+6,5,1),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,((F87-DATE(2026+6,5,1))/365.25)*G87*D87*(1+EscalatorInLease)^6+((DATE(2027+6,4,30)-F87)/365.25)*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)))),0)</f>
        <v/>
      </c>
      <c r="U87" s="5">
        <f>IFERROR(IF(I87="LeaseUp",H87*D87*(1+GrowthMarketRent)^7*IF(7=0,(12-DowntimeNew)/12,1),IF(F87="",0,IF(F87&gt;=DATE(2027+7,4,30),G87*D87*(1+EscalatorInLease)^7,IF(F87&lt;DATE(2026+7,5,1),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,((F87-DATE(2026+7,5,1))/365.25)*G87*D87*(1+EscalatorInLease)^7+((DATE(2027+7,4,30)-F87)/365.25)*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)))),0)</f>
        <v/>
      </c>
      <c r="V87" s="5">
        <f>IFERROR(IF(I87="LeaseUp",H87*D87*(1+GrowthMarketRent)^8*IF(8=0,(12-DowntimeNew)/12,1),IF(F87="",0,IF(F87&gt;=DATE(2027+8,4,30),G87*D87*(1+EscalatorInLease)^8,IF(F87&lt;DATE(2026+8,5,1),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,((F87-DATE(2026+8,5,1))/365.25)*G87*D87*(1+EscalatorInLease)^8+((DATE(2027+8,4,30)-F87)/365.25)*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)))),0)</f>
        <v/>
      </c>
      <c r="W87" s="5">
        <f>IFERROR(IF(I87="LeaseUp",H87*D87*(1+GrowthMarketRent)^9*IF(9=0,(12-DowntimeNew)/12,1),IF(F87="",0,IF(F87&gt;=DATE(2027+9,4,30),G87*D87*(1+EscalatorInLease)^9,IF(F87&lt;DATE(2026+9,5,1),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,((F87-DATE(2026+9,5,1))/365.25)*G87*D87*(1+EscalatorInLease)^9+((DATE(2027+9,4,30)-F87)/365.25)*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)))),0)</f>
        <v/>
      </c>
      <c r="X87" s="5">
        <f>IFERROR(IF(I87="LeaseUp",H87*D87*(1+GrowthMarketRent)^10*IF(10=0,(12-DowntimeNew)/12,1),IF(F87="",0,IF(F87&gt;=DATE(2027+10,4,30),G87*D87*(1+EscalatorInLease)^10,IF(F87&lt;DATE(2026+10,5,1),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,((F87-DATE(2026+10,5,1))/365.25)*G87*D87*(1+EscalatorInLease)^10+((DATE(2027+10,4,30)-F87)/365.25)*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)))),0)</f>
        <v/>
      </c>
      <c r="Y87" s="5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5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5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5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5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5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5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5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5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5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5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9" t="n">
        <v>1870</v>
      </c>
      <c r="E88" s="40" t="n">
        <v>45231</v>
      </c>
      <c r="F88" s="40" t="n">
        <v>46508</v>
      </c>
      <c r="G88" s="41" t="n">
        <v>15.7593582887701</v>
      </c>
      <c r="H88" s="10">
        <f>VLOOKUP(A88,MLA!$A$5:$L$11,3,FALSE)</f>
        <v/>
      </c>
      <c r="I88" s="25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7">
        <f>IF(E88="",0,(AnalysisStart-E88)/365.25)</f>
        <v/>
      </c>
      <c r="N88" s="5">
        <f>IFERROR(IF(I88="LeaseUp",H88*D88*(1+GrowthMarketRent)^0*IF(0=0,(12-DowntimeNew)/12,1),IF(F88="",0,IF(F88&gt;=DATE(2027+0,4,30),G88*D88*(1+EscalatorInLease)^0,IF(F88&lt;DATE(2026+0,5,1),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,((F88-DATE(2026+0,5,1))/365.25)*G88*D88*(1+EscalatorInLease)^0+((DATE(2027+0,4,30)-F88)/365.25)*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)))),0)</f>
        <v/>
      </c>
      <c r="O88" s="5">
        <f>IFERROR(IF(I88="LeaseUp",H88*D88*(1+GrowthMarketRent)^1*IF(1=0,(12-DowntimeNew)/12,1),IF(F88="",0,IF(F88&gt;=DATE(2027+1,4,30),G88*D88*(1+EscalatorInLease)^1,IF(F88&lt;DATE(2026+1,5,1),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,((F88-DATE(2026+1,5,1))/365.25)*G88*D88*(1+EscalatorInLease)^1+((DATE(2027+1,4,30)-F88)/365.25)*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)))),0)</f>
        <v/>
      </c>
      <c r="P88" s="5">
        <f>IFERROR(IF(I88="LeaseUp",H88*D88*(1+GrowthMarketRent)^2*IF(2=0,(12-DowntimeNew)/12,1),IF(F88="",0,IF(F88&gt;=DATE(2027+2,4,30),G88*D88*(1+EscalatorInLease)^2,IF(F88&lt;DATE(2026+2,5,1),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,((F88-DATE(2026+2,5,1))/365.25)*G88*D88*(1+EscalatorInLease)^2+((DATE(2027+2,4,30)-F88)/365.25)*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)))),0)</f>
        <v/>
      </c>
      <c r="Q88" s="5">
        <f>IFERROR(IF(I88="LeaseUp",H88*D88*(1+GrowthMarketRent)^3*IF(3=0,(12-DowntimeNew)/12,1),IF(F88="",0,IF(F88&gt;=DATE(2027+3,4,30),G88*D88*(1+EscalatorInLease)^3,IF(F88&lt;DATE(2026+3,5,1),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,((F88-DATE(2026+3,5,1))/365.25)*G88*D88*(1+EscalatorInLease)^3+((DATE(2027+3,4,30)-F88)/365.25)*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)))),0)</f>
        <v/>
      </c>
      <c r="R88" s="5">
        <f>IFERROR(IF(I88="LeaseUp",H88*D88*(1+GrowthMarketRent)^4*IF(4=0,(12-DowntimeNew)/12,1),IF(F88="",0,IF(F88&gt;=DATE(2027+4,4,30),G88*D88*(1+EscalatorInLease)^4,IF(F88&lt;DATE(2026+4,5,1),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,((F88-DATE(2026+4,5,1))/365.25)*G88*D88*(1+EscalatorInLease)^4+((DATE(2027+4,4,30)-F88)/365.25)*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)))),0)</f>
        <v/>
      </c>
      <c r="S88" s="5">
        <f>IFERROR(IF(I88="LeaseUp",H88*D88*(1+GrowthMarketRent)^5*IF(5=0,(12-DowntimeNew)/12,1),IF(F88="",0,IF(F88&gt;=DATE(2027+5,4,30),G88*D88*(1+EscalatorInLease)^5,IF(F88&lt;DATE(2026+5,5,1),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,((F88-DATE(2026+5,5,1))/365.25)*G88*D88*(1+EscalatorInLease)^5+((DATE(2027+5,4,30)-F88)/365.25)*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)))),0)</f>
        <v/>
      </c>
      <c r="T88" s="5">
        <f>IFERROR(IF(I88="LeaseUp",H88*D88*(1+GrowthMarketRent)^6*IF(6=0,(12-DowntimeNew)/12,1),IF(F88="",0,IF(F88&gt;=DATE(2027+6,4,30),G88*D88*(1+EscalatorInLease)^6,IF(F88&lt;DATE(2026+6,5,1),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,((F88-DATE(2026+6,5,1))/365.25)*G88*D88*(1+EscalatorInLease)^6+((DATE(2027+6,4,30)-F88)/365.25)*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)))),0)</f>
        <v/>
      </c>
      <c r="U88" s="5">
        <f>IFERROR(IF(I88="LeaseUp",H88*D88*(1+GrowthMarketRent)^7*IF(7=0,(12-DowntimeNew)/12,1),IF(F88="",0,IF(F88&gt;=DATE(2027+7,4,30),G88*D88*(1+EscalatorInLease)^7,IF(F88&lt;DATE(2026+7,5,1),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,((F88-DATE(2026+7,5,1))/365.25)*G88*D88*(1+EscalatorInLease)^7+((DATE(2027+7,4,30)-F88)/365.25)*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)))),0)</f>
        <v/>
      </c>
      <c r="V88" s="5">
        <f>IFERROR(IF(I88="LeaseUp",H88*D88*(1+GrowthMarketRent)^8*IF(8=0,(12-DowntimeNew)/12,1),IF(F88="",0,IF(F88&gt;=DATE(2027+8,4,30),G88*D88*(1+EscalatorInLease)^8,IF(F88&lt;DATE(2026+8,5,1),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,((F88-DATE(2026+8,5,1))/365.25)*G88*D88*(1+EscalatorInLease)^8+((DATE(2027+8,4,30)-F88)/365.25)*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)))),0)</f>
        <v/>
      </c>
      <c r="W88" s="5">
        <f>IFERROR(IF(I88="LeaseUp",H88*D88*(1+GrowthMarketRent)^9*IF(9=0,(12-DowntimeNew)/12,1),IF(F88="",0,IF(F88&gt;=DATE(2027+9,4,30),G88*D88*(1+EscalatorInLease)^9,IF(F88&lt;DATE(2026+9,5,1),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,((F88-DATE(2026+9,5,1))/365.25)*G88*D88*(1+EscalatorInLease)^9+((DATE(2027+9,4,30)-F88)/365.25)*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)))),0)</f>
        <v/>
      </c>
      <c r="X88" s="5">
        <f>IFERROR(IF(I88="LeaseUp",H88*D88*(1+GrowthMarketRent)^10*IF(10=0,(12-DowntimeNew)/12,1),IF(F88="",0,IF(F88&gt;=DATE(2027+10,4,30),G88*D88*(1+EscalatorInLease)^10,IF(F88&lt;DATE(2026+10,5,1),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,((F88-DATE(2026+10,5,1))/365.25)*G88*D88*(1+EscalatorInLease)^10+((DATE(2027+10,4,30)-F88)/365.25)*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)))),0)</f>
        <v/>
      </c>
      <c r="Y88" s="5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5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5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5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5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5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5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5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5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5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5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9" t="n">
        <v>1870</v>
      </c>
      <c r="G89" s="41" t="n">
        <v>0</v>
      </c>
      <c r="H89" s="10">
        <f>VLOOKUP(A89,MLA!$A$5:$L$11,3,FALSE)</f>
        <v/>
      </c>
      <c r="I89" s="25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7">
        <f>IF(E89="",0,(AnalysisStart-E89)/365.25)</f>
        <v/>
      </c>
      <c r="N89" s="5">
        <f>IFERROR(IF(I89="LeaseUp",H89*D89*(1+GrowthMarketRent)^0*IF(0=0,(12-DowntimeNew)/12,1),IF(F89="",0,IF(F89&gt;=DATE(2027+0,4,30),G89*D89*(1+EscalatorInLease)^0,IF(F89&lt;DATE(2026+0,5,1),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,((F89-DATE(2026+0,5,1))/365.25)*G89*D89*(1+EscalatorInLease)^0+((DATE(2027+0,4,30)-F89)/365.25)*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)))),0)</f>
        <v/>
      </c>
      <c r="O89" s="5">
        <f>IFERROR(IF(I89="LeaseUp",H89*D89*(1+GrowthMarketRent)^1*IF(1=0,(12-DowntimeNew)/12,1),IF(F89="",0,IF(F89&gt;=DATE(2027+1,4,30),G89*D89*(1+EscalatorInLease)^1,IF(F89&lt;DATE(2026+1,5,1),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,((F89-DATE(2026+1,5,1))/365.25)*G89*D89*(1+EscalatorInLease)^1+((DATE(2027+1,4,30)-F89)/365.25)*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)))),0)</f>
        <v/>
      </c>
      <c r="P89" s="5">
        <f>IFERROR(IF(I89="LeaseUp",H89*D89*(1+GrowthMarketRent)^2*IF(2=0,(12-DowntimeNew)/12,1),IF(F89="",0,IF(F89&gt;=DATE(2027+2,4,30),G89*D89*(1+EscalatorInLease)^2,IF(F89&lt;DATE(2026+2,5,1),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,((F89-DATE(2026+2,5,1))/365.25)*G89*D89*(1+EscalatorInLease)^2+((DATE(2027+2,4,30)-F89)/365.25)*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)))),0)</f>
        <v/>
      </c>
      <c r="Q89" s="5">
        <f>IFERROR(IF(I89="LeaseUp",H89*D89*(1+GrowthMarketRent)^3*IF(3=0,(12-DowntimeNew)/12,1),IF(F89="",0,IF(F89&gt;=DATE(2027+3,4,30),G89*D89*(1+EscalatorInLease)^3,IF(F89&lt;DATE(2026+3,5,1),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,((F89-DATE(2026+3,5,1))/365.25)*G89*D89*(1+EscalatorInLease)^3+((DATE(2027+3,4,30)-F89)/365.25)*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)))),0)</f>
        <v/>
      </c>
      <c r="R89" s="5">
        <f>IFERROR(IF(I89="LeaseUp",H89*D89*(1+GrowthMarketRent)^4*IF(4=0,(12-DowntimeNew)/12,1),IF(F89="",0,IF(F89&gt;=DATE(2027+4,4,30),G89*D89*(1+EscalatorInLease)^4,IF(F89&lt;DATE(2026+4,5,1),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,((F89-DATE(2026+4,5,1))/365.25)*G89*D89*(1+EscalatorInLease)^4+((DATE(2027+4,4,30)-F89)/365.25)*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)))),0)</f>
        <v/>
      </c>
      <c r="S89" s="5">
        <f>IFERROR(IF(I89="LeaseUp",H89*D89*(1+GrowthMarketRent)^5*IF(5=0,(12-DowntimeNew)/12,1),IF(F89="",0,IF(F89&gt;=DATE(2027+5,4,30),G89*D89*(1+EscalatorInLease)^5,IF(F89&lt;DATE(2026+5,5,1),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,((F89-DATE(2026+5,5,1))/365.25)*G89*D89*(1+EscalatorInLease)^5+((DATE(2027+5,4,30)-F89)/365.25)*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)))),0)</f>
        <v/>
      </c>
      <c r="T89" s="5">
        <f>IFERROR(IF(I89="LeaseUp",H89*D89*(1+GrowthMarketRent)^6*IF(6=0,(12-DowntimeNew)/12,1),IF(F89="",0,IF(F89&gt;=DATE(2027+6,4,30),G89*D89*(1+EscalatorInLease)^6,IF(F89&lt;DATE(2026+6,5,1),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,((F89-DATE(2026+6,5,1))/365.25)*G89*D89*(1+EscalatorInLease)^6+((DATE(2027+6,4,30)-F89)/365.25)*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)))),0)</f>
        <v/>
      </c>
      <c r="U89" s="5">
        <f>IFERROR(IF(I89="LeaseUp",H89*D89*(1+GrowthMarketRent)^7*IF(7=0,(12-DowntimeNew)/12,1),IF(F89="",0,IF(F89&gt;=DATE(2027+7,4,30),G89*D89*(1+EscalatorInLease)^7,IF(F89&lt;DATE(2026+7,5,1),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,((F89-DATE(2026+7,5,1))/365.25)*G89*D89*(1+EscalatorInLease)^7+((DATE(2027+7,4,30)-F89)/365.25)*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)))),0)</f>
        <v/>
      </c>
      <c r="V89" s="5">
        <f>IFERROR(IF(I89="LeaseUp",H89*D89*(1+GrowthMarketRent)^8*IF(8=0,(12-DowntimeNew)/12,1),IF(F89="",0,IF(F89&gt;=DATE(2027+8,4,30),G89*D89*(1+EscalatorInLease)^8,IF(F89&lt;DATE(2026+8,5,1),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,((F89-DATE(2026+8,5,1))/365.25)*G89*D89*(1+EscalatorInLease)^8+((DATE(2027+8,4,30)-F89)/365.25)*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)))),0)</f>
        <v/>
      </c>
      <c r="W89" s="5">
        <f>IFERROR(IF(I89="LeaseUp",H89*D89*(1+GrowthMarketRent)^9*IF(9=0,(12-DowntimeNew)/12,1),IF(F89="",0,IF(F89&gt;=DATE(2027+9,4,30),G89*D89*(1+EscalatorInLease)^9,IF(F89&lt;DATE(2026+9,5,1),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,((F89-DATE(2026+9,5,1))/365.25)*G89*D89*(1+EscalatorInLease)^9+((DATE(2027+9,4,30)-F89)/365.25)*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)))),0)</f>
        <v/>
      </c>
      <c r="X89" s="5">
        <f>IFERROR(IF(I89="LeaseUp",H89*D89*(1+GrowthMarketRent)^10*IF(10=0,(12-DowntimeNew)/12,1),IF(F89="",0,IF(F89&gt;=DATE(2027+10,4,30),G89*D89*(1+EscalatorInLease)^10,IF(F89&lt;DATE(2026+10,5,1),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,((F89-DATE(2026+10,5,1))/365.25)*G89*D89*(1+EscalatorInLease)^10+((DATE(2027+10,4,30)-F89)/365.25)*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)))),0)</f>
        <v/>
      </c>
      <c r="Y89" s="5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5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5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5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5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5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5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5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5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5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5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9" t="n">
        <v>1870</v>
      </c>
      <c r="E90" s="40" t="n">
        <v>44986</v>
      </c>
      <c r="F90" s="40" t="n">
        <v>46235</v>
      </c>
      <c r="G90" s="41" t="n">
        <v>15.3459893048128</v>
      </c>
      <c r="H90" s="10">
        <f>VLOOKUP(A90,MLA!$A$5:$L$11,3,FALSE)</f>
        <v/>
      </c>
      <c r="I90" s="25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7">
        <f>IF(E90="",0,(AnalysisStart-E90)/365.25)</f>
        <v/>
      </c>
      <c r="N90" s="5">
        <f>IFERROR(IF(I90="LeaseUp",H90*D90*(1+GrowthMarketRent)^0*IF(0=0,(12-DowntimeNew)/12,1),IF(F90="",0,IF(F90&gt;=DATE(2027+0,4,30),G90*D90*(1+EscalatorInLease)^0,IF(F90&lt;DATE(2026+0,5,1),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,((F90-DATE(2026+0,5,1))/365.25)*G90*D90*(1+EscalatorInLease)^0+((DATE(2027+0,4,30)-F90)/365.25)*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)))),0)</f>
        <v/>
      </c>
      <c r="O90" s="5">
        <f>IFERROR(IF(I90="LeaseUp",H90*D90*(1+GrowthMarketRent)^1*IF(1=0,(12-DowntimeNew)/12,1),IF(F90="",0,IF(F90&gt;=DATE(2027+1,4,30),G90*D90*(1+EscalatorInLease)^1,IF(F90&lt;DATE(2026+1,5,1),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,((F90-DATE(2026+1,5,1))/365.25)*G90*D90*(1+EscalatorInLease)^1+((DATE(2027+1,4,30)-F90)/365.25)*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)))),0)</f>
        <v/>
      </c>
      <c r="P90" s="5">
        <f>IFERROR(IF(I90="LeaseUp",H90*D90*(1+GrowthMarketRent)^2*IF(2=0,(12-DowntimeNew)/12,1),IF(F90="",0,IF(F90&gt;=DATE(2027+2,4,30),G90*D90*(1+EscalatorInLease)^2,IF(F90&lt;DATE(2026+2,5,1),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,((F90-DATE(2026+2,5,1))/365.25)*G90*D90*(1+EscalatorInLease)^2+((DATE(2027+2,4,30)-F90)/365.25)*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)))),0)</f>
        <v/>
      </c>
      <c r="Q90" s="5">
        <f>IFERROR(IF(I90="LeaseUp",H90*D90*(1+GrowthMarketRent)^3*IF(3=0,(12-DowntimeNew)/12,1),IF(F90="",0,IF(F90&gt;=DATE(2027+3,4,30),G90*D90*(1+EscalatorInLease)^3,IF(F90&lt;DATE(2026+3,5,1),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,((F90-DATE(2026+3,5,1))/365.25)*G90*D90*(1+EscalatorInLease)^3+((DATE(2027+3,4,30)-F90)/365.25)*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)))),0)</f>
        <v/>
      </c>
      <c r="R90" s="5">
        <f>IFERROR(IF(I90="LeaseUp",H90*D90*(1+GrowthMarketRent)^4*IF(4=0,(12-DowntimeNew)/12,1),IF(F90="",0,IF(F90&gt;=DATE(2027+4,4,30),G90*D90*(1+EscalatorInLease)^4,IF(F90&lt;DATE(2026+4,5,1),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,((F90-DATE(2026+4,5,1))/365.25)*G90*D90*(1+EscalatorInLease)^4+((DATE(2027+4,4,30)-F90)/365.25)*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)))),0)</f>
        <v/>
      </c>
      <c r="S90" s="5">
        <f>IFERROR(IF(I90="LeaseUp",H90*D90*(1+GrowthMarketRent)^5*IF(5=0,(12-DowntimeNew)/12,1),IF(F90="",0,IF(F90&gt;=DATE(2027+5,4,30),G90*D90*(1+EscalatorInLease)^5,IF(F90&lt;DATE(2026+5,5,1),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,((F90-DATE(2026+5,5,1))/365.25)*G90*D90*(1+EscalatorInLease)^5+((DATE(2027+5,4,30)-F90)/365.25)*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)))),0)</f>
        <v/>
      </c>
      <c r="T90" s="5">
        <f>IFERROR(IF(I90="LeaseUp",H90*D90*(1+GrowthMarketRent)^6*IF(6=0,(12-DowntimeNew)/12,1),IF(F90="",0,IF(F90&gt;=DATE(2027+6,4,30),G90*D90*(1+EscalatorInLease)^6,IF(F90&lt;DATE(2026+6,5,1),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,((F90-DATE(2026+6,5,1))/365.25)*G90*D90*(1+EscalatorInLease)^6+((DATE(2027+6,4,30)-F90)/365.25)*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)))),0)</f>
        <v/>
      </c>
      <c r="U90" s="5">
        <f>IFERROR(IF(I90="LeaseUp",H90*D90*(1+GrowthMarketRent)^7*IF(7=0,(12-DowntimeNew)/12,1),IF(F90="",0,IF(F90&gt;=DATE(2027+7,4,30),G90*D90*(1+EscalatorInLease)^7,IF(F90&lt;DATE(2026+7,5,1),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,((F90-DATE(2026+7,5,1))/365.25)*G90*D90*(1+EscalatorInLease)^7+((DATE(2027+7,4,30)-F90)/365.25)*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)))),0)</f>
        <v/>
      </c>
      <c r="V90" s="5">
        <f>IFERROR(IF(I90="LeaseUp",H90*D90*(1+GrowthMarketRent)^8*IF(8=0,(12-DowntimeNew)/12,1),IF(F90="",0,IF(F90&gt;=DATE(2027+8,4,30),G90*D90*(1+EscalatorInLease)^8,IF(F90&lt;DATE(2026+8,5,1),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,((F90-DATE(2026+8,5,1))/365.25)*G90*D90*(1+EscalatorInLease)^8+((DATE(2027+8,4,30)-F90)/365.25)*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)))),0)</f>
        <v/>
      </c>
      <c r="W90" s="5">
        <f>IFERROR(IF(I90="LeaseUp",H90*D90*(1+GrowthMarketRent)^9*IF(9=0,(12-DowntimeNew)/12,1),IF(F90="",0,IF(F90&gt;=DATE(2027+9,4,30),G90*D90*(1+EscalatorInLease)^9,IF(F90&lt;DATE(2026+9,5,1),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,((F90-DATE(2026+9,5,1))/365.25)*G90*D90*(1+EscalatorInLease)^9+((DATE(2027+9,4,30)-F90)/365.25)*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)))),0)</f>
        <v/>
      </c>
      <c r="X90" s="5">
        <f>IFERROR(IF(I90="LeaseUp",H90*D90*(1+GrowthMarketRent)^10*IF(10=0,(12-DowntimeNew)/12,1),IF(F90="",0,IF(F90&gt;=DATE(2027+10,4,30),G90*D90*(1+EscalatorInLease)^10,IF(F90&lt;DATE(2026+10,5,1),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,((F90-DATE(2026+10,5,1))/365.25)*G90*D90*(1+EscalatorInLease)^10+((DATE(2027+10,4,30)-F90)/365.25)*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)))),0)</f>
        <v/>
      </c>
      <c r="Y90" s="5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5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5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5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5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5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5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5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5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5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5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9" t="n">
        <v>2600</v>
      </c>
      <c r="E91" s="40" t="n">
        <v>45108</v>
      </c>
      <c r="F91" s="40" t="n">
        <v>46357</v>
      </c>
      <c r="G91" s="41" t="n">
        <v>15.4965384615385</v>
      </c>
      <c r="H91" s="10">
        <f>VLOOKUP(A91,MLA!$A$5:$L$11,3,FALSE)</f>
        <v/>
      </c>
      <c r="I91" s="25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7">
        <f>IF(E91="",0,(AnalysisStart-E91)/365.25)</f>
        <v/>
      </c>
      <c r="N91" s="5">
        <f>IFERROR(IF(I91="LeaseUp",H91*D91*(1+GrowthMarketRent)^0*IF(0=0,(12-DowntimeNew)/12,1),IF(F91="",0,IF(F91&gt;=DATE(2027+0,4,30),G91*D91*(1+EscalatorInLease)^0,IF(F91&lt;DATE(2026+0,5,1),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,((F91-DATE(2026+0,5,1))/365.25)*G91*D91*(1+EscalatorInLease)^0+((DATE(2027+0,4,30)-F91)/365.25)*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)))),0)</f>
        <v/>
      </c>
      <c r="O91" s="5">
        <f>IFERROR(IF(I91="LeaseUp",H91*D91*(1+GrowthMarketRent)^1*IF(1=0,(12-DowntimeNew)/12,1),IF(F91="",0,IF(F91&gt;=DATE(2027+1,4,30),G91*D91*(1+EscalatorInLease)^1,IF(F91&lt;DATE(2026+1,5,1),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,((F91-DATE(2026+1,5,1))/365.25)*G91*D91*(1+EscalatorInLease)^1+((DATE(2027+1,4,30)-F91)/365.25)*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)))),0)</f>
        <v/>
      </c>
      <c r="P91" s="5">
        <f>IFERROR(IF(I91="LeaseUp",H91*D91*(1+GrowthMarketRent)^2*IF(2=0,(12-DowntimeNew)/12,1),IF(F91="",0,IF(F91&gt;=DATE(2027+2,4,30),G91*D91*(1+EscalatorInLease)^2,IF(F91&lt;DATE(2026+2,5,1),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,((F91-DATE(2026+2,5,1))/365.25)*G91*D91*(1+EscalatorInLease)^2+((DATE(2027+2,4,30)-F91)/365.25)*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)))),0)</f>
        <v/>
      </c>
      <c r="Q91" s="5">
        <f>IFERROR(IF(I91="LeaseUp",H91*D91*(1+GrowthMarketRent)^3*IF(3=0,(12-DowntimeNew)/12,1),IF(F91="",0,IF(F91&gt;=DATE(2027+3,4,30),G91*D91*(1+EscalatorInLease)^3,IF(F91&lt;DATE(2026+3,5,1),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,((F91-DATE(2026+3,5,1))/365.25)*G91*D91*(1+EscalatorInLease)^3+((DATE(2027+3,4,30)-F91)/365.25)*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)))),0)</f>
        <v/>
      </c>
      <c r="R91" s="5">
        <f>IFERROR(IF(I91="LeaseUp",H91*D91*(1+GrowthMarketRent)^4*IF(4=0,(12-DowntimeNew)/12,1),IF(F91="",0,IF(F91&gt;=DATE(2027+4,4,30),G91*D91*(1+EscalatorInLease)^4,IF(F91&lt;DATE(2026+4,5,1),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,((F91-DATE(2026+4,5,1))/365.25)*G91*D91*(1+EscalatorInLease)^4+((DATE(2027+4,4,30)-F91)/365.25)*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)))),0)</f>
        <v/>
      </c>
      <c r="S91" s="5">
        <f>IFERROR(IF(I91="LeaseUp",H91*D91*(1+GrowthMarketRent)^5*IF(5=0,(12-DowntimeNew)/12,1),IF(F91="",0,IF(F91&gt;=DATE(2027+5,4,30),G91*D91*(1+EscalatorInLease)^5,IF(F91&lt;DATE(2026+5,5,1),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,((F91-DATE(2026+5,5,1))/365.25)*G91*D91*(1+EscalatorInLease)^5+((DATE(2027+5,4,30)-F91)/365.25)*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)))),0)</f>
        <v/>
      </c>
      <c r="T91" s="5">
        <f>IFERROR(IF(I91="LeaseUp",H91*D91*(1+GrowthMarketRent)^6*IF(6=0,(12-DowntimeNew)/12,1),IF(F91="",0,IF(F91&gt;=DATE(2027+6,4,30),G91*D91*(1+EscalatorInLease)^6,IF(F91&lt;DATE(2026+6,5,1),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,((F91-DATE(2026+6,5,1))/365.25)*G91*D91*(1+EscalatorInLease)^6+((DATE(2027+6,4,30)-F91)/365.25)*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)))),0)</f>
        <v/>
      </c>
      <c r="U91" s="5">
        <f>IFERROR(IF(I91="LeaseUp",H91*D91*(1+GrowthMarketRent)^7*IF(7=0,(12-DowntimeNew)/12,1),IF(F91="",0,IF(F91&gt;=DATE(2027+7,4,30),G91*D91*(1+EscalatorInLease)^7,IF(F91&lt;DATE(2026+7,5,1),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,((F91-DATE(2026+7,5,1))/365.25)*G91*D91*(1+EscalatorInLease)^7+((DATE(2027+7,4,30)-F91)/365.25)*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)))),0)</f>
        <v/>
      </c>
      <c r="V91" s="5">
        <f>IFERROR(IF(I91="LeaseUp",H91*D91*(1+GrowthMarketRent)^8*IF(8=0,(12-DowntimeNew)/12,1),IF(F91="",0,IF(F91&gt;=DATE(2027+8,4,30),G91*D91*(1+EscalatorInLease)^8,IF(F91&lt;DATE(2026+8,5,1),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,((F91-DATE(2026+8,5,1))/365.25)*G91*D91*(1+EscalatorInLease)^8+((DATE(2027+8,4,30)-F91)/365.25)*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)))),0)</f>
        <v/>
      </c>
      <c r="W91" s="5">
        <f>IFERROR(IF(I91="LeaseUp",H91*D91*(1+GrowthMarketRent)^9*IF(9=0,(12-DowntimeNew)/12,1),IF(F91="",0,IF(F91&gt;=DATE(2027+9,4,30),G91*D91*(1+EscalatorInLease)^9,IF(F91&lt;DATE(2026+9,5,1),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,((F91-DATE(2026+9,5,1))/365.25)*G91*D91*(1+EscalatorInLease)^9+((DATE(2027+9,4,30)-F91)/365.25)*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)))),0)</f>
        <v/>
      </c>
      <c r="X91" s="5">
        <f>IFERROR(IF(I91="LeaseUp",H91*D91*(1+GrowthMarketRent)^10*IF(10=0,(12-DowntimeNew)/12,1),IF(F91="",0,IF(F91&gt;=DATE(2027+10,4,30),G91*D91*(1+EscalatorInLease)^10,IF(F91&lt;DATE(2026+10,5,1),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,((F91-DATE(2026+10,5,1))/365.25)*G91*D91*(1+EscalatorInLease)^10+((DATE(2027+10,4,30)-F91)/365.25)*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)))),0)</f>
        <v/>
      </c>
      <c r="Y91" s="5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5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5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5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5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5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5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5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5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5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5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9" t="n">
        <v>2600</v>
      </c>
      <c r="E92" s="40" t="n">
        <v>45992</v>
      </c>
      <c r="F92" s="40" t="n">
        <v>47270</v>
      </c>
      <c r="G92" s="41" t="n">
        <v>18</v>
      </c>
      <c r="H92" s="10">
        <f>VLOOKUP(A92,MLA!$A$5:$L$11,3,FALSE)</f>
        <v/>
      </c>
      <c r="I92" s="25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7">
        <f>IF(E92="",0,(AnalysisStart-E92)/365.25)</f>
        <v/>
      </c>
      <c r="N92" s="5">
        <f>IFERROR(IF(I92="LeaseUp",H92*D92*(1+GrowthMarketRent)^0*IF(0=0,(12-DowntimeNew)/12,1),IF(F92="",0,IF(F92&gt;=DATE(2027+0,4,30),G92*D92*(1+EscalatorInLease)^0,IF(F92&lt;DATE(2026+0,5,1),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,((F92-DATE(2026+0,5,1))/365.25)*G92*D92*(1+EscalatorInLease)^0+((DATE(2027+0,4,30)-F92)/365.25)*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)))),0)</f>
        <v/>
      </c>
      <c r="O92" s="5">
        <f>IFERROR(IF(I92="LeaseUp",H92*D92*(1+GrowthMarketRent)^1*IF(1=0,(12-DowntimeNew)/12,1),IF(F92="",0,IF(F92&gt;=DATE(2027+1,4,30),G92*D92*(1+EscalatorInLease)^1,IF(F92&lt;DATE(2026+1,5,1),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,((F92-DATE(2026+1,5,1))/365.25)*G92*D92*(1+EscalatorInLease)^1+((DATE(2027+1,4,30)-F92)/365.25)*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)))),0)</f>
        <v/>
      </c>
      <c r="P92" s="5">
        <f>IFERROR(IF(I92="LeaseUp",H92*D92*(1+GrowthMarketRent)^2*IF(2=0,(12-DowntimeNew)/12,1),IF(F92="",0,IF(F92&gt;=DATE(2027+2,4,30),G92*D92*(1+EscalatorInLease)^2,IF(F92&lt;DATE(2026+2,5,1),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,((F92-DATE(2026+2,5,1))/365.25)*G92*D92*(1+EscalatorInLease)^2+((DATE(2027+2,4,30)-F92)/365.25)*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)))),0)</f>
        <v/>
      </c>
      <c r="Q92" s="5">
        <f>IFERROR(IF(I92="LeaseUp",H92*D92*(1+GrowthMarketRent)^3*IF(3=0,(12-DowntimeNew)/12,1),IF(F92="",0,IF(F92&gt;=DATE(2027+3,4,30),G92*D92*(1+EscalatorInLease)^3,IF(F92&lt;DATE(2026+3,5,1),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,((F92-DATE(2026+3,5,1))/365.25)*G92*D92*(1+EscalatorInLease)^3+((DATE(2027+3,4,30)-F92)/365.25)*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)))),0)</f>
        <v/>
      </c>
      <c r="R92" s="5">
        <f>IFERROR(IF(I92="LeaseUp",H92*D92*(1+GrowthMarketRent)^4*IF(4=0,(12-DowntimeNew)/12,1),IF(F92="",0,IF(F92&gt;=DATE(2027+4,4,30),G92*D92*(1+EscalatorInLease)^4,IF(F92&lt;DATE(2026+4,5,1),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,((F92-DATE(2026+4,5,1))/365.25)*G92*D92*(1+EscalatorInLease)^4+((DATE(2027+4,4,30)-F92)/365.25)*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)))),0)</f>
        <v/>
      </c>
      <c r="S92" s="5">
        <f>IFERROR(IF(I92="LeaseUp",H92*D92*(1+GrowthMarketRent)^5*IF(5=0,(12-DowntimeNew)/12,1),IF(F92="",0,IF(F92&gt;=DATE(2027+5,4,30),G92*D92*(1+EscalatorInLease)^5,IF(F92&lt;DATE(2026+5,5,1),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,((F92-DATE(2026+5,5,1))/365.25)*G92*D92*(1+EscalatorInLease)^5+((DATE(2027+5,4,30)-F92)/365.25)*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)))),0)</f>
        <v/>
      </c>
      <c r="T92" s="5">
        <f>IFERROR(IF(I92="LeaseUp",H92*D92*(1+GrowthMarketRent)^6*IF(6=0,(12-DowntimeNew)/12,1),IF(F92="",0,IF(F92&gt;=DATE(2027+6,4,30),G92*D92*(1+EscalatorInLease)^6,IF(F92&lt;DATE(2026+6,5,1),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,((F92-DATE(2026+6,5,1))/365.25)*G92*D92*(1+EscalatorInLease)^6+((DATE(2027+6,4,30)-F92)/365.25)*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)))),0)</f>
        <v/>
      </c>
      <c r="U92" s="5">
        <f>IFERROR(IF(I92="LeaseUp",H92*D92*(1+GrowthMarketRent)^7*IF(7=0,(12-DowntimeNew)/12,1),IF(F92="",0,IF(F92&gt;=DATE(2027+7,4,30),G92*D92*(1+EscalatorInLease)^7,IF(F92&lt;DATE(2026+7,5,1),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,((F92-DATE(2026+7,5,1))/365.25)*G92*D92*(1+EscalatorInLease)^7+((DATE(2027+7,4,30)-F92)/365.25)*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)))),0)</f>
        <v/>
      </c>
      <c r="V92" s="5">
        <f>IFERROR(IF(I92="LeaseUp",H92*D92*(1+GrowthMarketRent)^8*IF(8=0,(12-DowntimeNew)/12,1),IF(F92="",0,IF(F92&gt;=DATE(2027+8,4,30),G92*D92*(1+EscalatorInLease)^8,IF(F92&lt;DATE(2026+8,5,1),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,((F92-DATE(2026+8,5,1))/365.25)*G92*D92*(1+EscalatorInLease)^8+((DATE(2027+8,4,30)-F92)/365.25)*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)))),0)</f>
        <v/>
      </c>
      <c r="W92" s="5">
        <f>IFERROR(IF(I92="LeaseUp",H92*D92*(1+GrowthMarketRent)^9*IF(9=0,(12-DowntimeNew)/12,1),IF(F92="",0,IF(F92&gt;=DATE(2027+9,4,30),G92*D92*(1+EscalatorInLease)^9,IF(F92&lt;DATE(2026+9,5,1),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,((F92-DATE(2026+9,5,1))/365.25)*G92*D92*(1+EscalatorInLease)^9+((DATE(2027+9,4,30)-F92)/365.25)*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)))),0)</f>
        <v/>
      </c>
      <c r="X92" s="5">
        <f>IFERROR(IF(I92="LeaseUp",H92*D92*(1+GrowthMarketRent)^10*IF(10=0,(12-DowntimeNew)/12,1),IF(F92="",0,IF(F92&gt;=DATE(2027+10,4,30),G92*D92*(1+EscalatorInLease)^10,IF(F92&lt;DATE(2026+10,5,1),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,((F92-DATE(2026+10,5,1))/365.25)*G92*D92*(1+EscalatorInLease)^10+((DATE(2027+10,4,30)-F92)/365.25)*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)))),0)</f>
        <v/>
      </c>
      <c r="Y92" s="5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5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5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5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5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5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5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5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5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5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5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9" t="n">
        <v>2600</v>
      </c>
      <c r="E93" s="40" t="n">
        <v>45078</v>
      </c>
      <c r="F93" s="40" t="n">
        <v>46327</v>
      </c>
      <c r="G93" s="41" t="n">
        <v>14.9715384615385</v>
      </c>
      <c r="H93" s="10">
        <f>VLOOKUP(A93,MLA!$A$5:$L$11,3,FALSE)</f>
        <v/>
      </c>
      <c r="I93" s="25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7">
        <f>IF(E93="",0,(AnalysisStart-E93)/365.25)</f>
        <v/>
      </c>
      <c r="N93" s="5">
        <f>IFERROR(IF(I93="LeaseUp",H93*D93*(1+GrowthMarketRent)^0*IF(0=0,(12-DowntimeNew)/12,1),IF(F93="",0,IF(F93&gt;=DATE(2027+0,4,30),G93*D93*(1+EscalatorInLease)^0,IF(F93&lt;DATE(2026+0,5,1),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,((F93-DATE(2026+0,5,1))/365.25)*G93*D93*(1+EscalatorInLease)^0+((DATE(2027+0,4,30)-F93)/365.25)*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)))),0)</f>
        <v/>
      </c>
      <c r="O93" s="5">
        <f>IFERROR(IF(I93="LeaseUp",H93*D93*(1+GrowthMarketRent)^1*IF(1=0,(12-DowntimeNew)/12,1),IF(F93="",0,IF(F93&gt;=DATE(2027+1,4,30),G93*D93*(1+EscalatorInLease)^1,IF(F93&lt;DATE(2026+1,5,1),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,((F93-DATE(2026+1,5,1))/365.25)*G93*D93*(1+EscalatorInLease)^1+((DATE(2027+1,4,30)-F93)/365.25)*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)))),0)</f>
        <v/>
      </c>
      <c r="P93" s="5">
        <f>IFERROR(IF(I93="LeaseUp",H93*D93*(1+GrowthMarketRent)^2*IF(2=0,(12-DowntimeNew)/12,1),IF(F93="",0,IF(F93&gt;=DATE(2027+2,4,30),G93*D93*(1+EscalatorInLease)^2,IF(F93&lt;DATE(2026+2,5,1),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,((F93-DATE(2026+2,5,1))/365.25)*G93*D93*(1+EscalatorInLease)^2+((DATE(2027+2,4,30)-F93)/365.25)*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)))),0)</f>
        <v/>
      </c>
      <c r="Q93" s="5">
        <f>IFERROR(IF(I93="LeaseUp",H93*D93*(1+GrowthMarketRent)^3*IF(3=0,(12-DowntimeNew)/12,1),IF(F93="",0,IF(F93&gt;=DATE(2027+3,4,30),G93*D93*(1+EscalatorInLease)^3,IF(F93&lt;DATE(2026+3,5,1),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,((F93-DATE(2026+3,5,1))/365.25)*G93*D93*(1+EscalatorInLease)^3+((DATE(2027+3,4,30)-F93)/365.25)*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)))),0)</f>
        <v/>
      </c>
      <c r="R93" s="5">
        <f>IFERROR(IF(I93="LeaseUp",H93*D93*(1+GrowthMarketRent)^4*IF(4=0,(12-DowntimeNew)/12,1),IF(F93="",0,IF(F93&gt;=DATE(2027+4,4,30),G93*D93*(1+EscalatorInLease)^4,IF(F93&lt;DATE(2026+4,5,1),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,((F93-DATE(2026+4,5,1))/365.25)*G93*D93*(1+EscalatorInLease)^4+((DATE(2027+4,4,30)-F93)/365.25)*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)))),0)</f>
        <v/>
      </c>
      <c r="S93" s="5">
        <f>IFERROR(IF(I93="LeaseUp",H93*D93*(1+GrowthMarketRent)^5*IF(5=0,(12-DowntimeNew)/12,1),IF(F93="",0,IF(F93&gt;=DATE(2027+5,4,30),G93*D93*(1+EscalatorInLease)^5,IF(F93&lt;DATE(2026+5,5,1),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,((F93-DATE(2026+5,5,1))/365.25)*G93*D93*(1+EscalatorInLease)^5+((DATE(2027+5,4,30)-F93)/365.25)*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)))),0)</f>
        <v/>
      </c>
      <c r="T93" s="5">
        <f>IFERROR(IF(I93="LeaseUp",H93*D93*(1+GrowthMarketRent)^6*IF(6=0,(12-DowntimeNew)/12,1),IF(F93="",0,IF(F93&gt;=DATE(2027+6,4,30),G93*D93*(1+EscalatorInLease)^6,IF(F93&lt;DATE(2026+6,5,1),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,((F93-DATE(2026+6,5,1))/365.25)*G93*D93*(1+EscalatorInLease)^6+((DATE(2027+6,4,30)-F93)/365.25)*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)))),0)</f>
        <v/>
      </c>
      <c r="U93" s="5">
        <f>IFERROR(IF(I93="LeaseUp",H93*D93*(1+GrowthMarketRent)^7*IF(7=0,(12-DowntimeNew)/12,1),IF(F93="",0,IF(F93&gt;=DATE(2027+7,4,30),G93*D93*(1+EscalatorInLease)^7,IF(F93&lt;DATE(2026+7,5,1),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,((F93-DATE(2026+7,5,1))/365.25)*G93*D93*(1+EscalatorInLease)^7+((DATE(2027+7,4,30)-F93)/365.25)*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)))),0)</f>
        <v/>
      </c>
      <c r="V93" s="5">
        <f>IFERROR(IF(I93="LeaseUp",H93*D93*(1+GrowthMarketRent)^8*IF(8=0,(12-DowntimeNew)/12,1),IF(F93="",0,IF(F93&gt;=DATE(2027+8,4,30),G93*D93*(1+EscalatorInLease)^8,IF(F93&lt;DATE(2026+8,5,1),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,((F93-DATE(2026+8,5,1))/365.25)*G93*D93*(1+EscalatorInLease)^8+((DATE(2027+8,4,30)-F93)/365.25)*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)))),0)</f>
        <v/>
      </c>
      <c r="W93" s="5">
        <f>IFERROR(IF(I93="LeaseUp",H93*D93*(1+GrowthMarketRent)^9*IF(9=0,(12-DowntimeNew)/12,1),IF(F93="",0,IF(F93&gt;=DATE(2027+9,4,30),G93*D93*(1+EscalatorInLease)^9,IF(F93&lt;DATE(2026+9,5,1),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,((F93-DATE(2026+9,5,1))/365.25)*G93*D93*(1+EscalatorInLease)^9+((DATE(2027+9,4,30)-F93)/365.25)*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)))),0)</f>
        <v/>
      </c>
      <c r="X93" s="5">
        <f>IFERROR(IF(I93="LeaseUp",H93*D93*(1+GrowthMarketRent)^10*IF(10=0,(12-DowntimeNew)/12,1),IF(F93="",0,IF(F93&gt;=DATE(2027+10,4,30),G93*D93*(1+EscalatorInLease)^10,IF(F93&lt;DATE(2026+10,5,1),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,((F93-DATE(2026+10,5,1))/365.25)*G93*D93*(1+EscalatorInLease)^10+((DATE(2027+10,4,30)-F93)/365.25)*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)))),0)</f>
        <v/>
      </c>
      <c r="Y93" s="5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5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5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5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5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5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5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5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5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5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5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9" t="n">
        <v>2600</v>
      </c>
      <c r="E94" s="40" t="n">
        <v>45078</v>
      </c>
      <c r="F94" s="40" t="n">
        <v>46327</v>
      </c>
      <c r="G94" s="41" t="n">
        <v>14.9715384615385</v>
      </c>
      <c r="H94" s="10">
        <f>VLOOKUP(A94,MLA!$A$5:$L$11,3,FALSE)</f>
        <v/>
      </c>
      <c r="I94" s="25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7">
        <f>IF(E94="",0,(AnalysisStart-E94)/365.25)</f>
        <v/>
      </c>
      <c r="N94" s="5">
        <f>IFERROR(IF(I94="LeaseUp",H94*D94*(1+GrowthMarketRent)^0*IF(0=0,(12-DowntimeNew)/12,1),IF(F94="",0,IF(F94&gt;=DATE(2027+0,4,30),G94*D94*(1+EscalatorInLease)^0,IF(F94&lt;DATE(2026+0,5,1),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,((F94-DATE(2026+0,5,1))/365.25)*G94*D94*(1+EscalatorInLease)^0+((DATE(2027+0,4,30)-F94)/365.25)*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)))),0)</f>
        <v/>
      </c>
      <c r="O94" s="5">
        <f>IFERROR(IF(I94="LeaseUp",H94*D94*(1+GrowthMarketRent)^1*IF(1=0,(12-DowntimeNew)/12,1),IF(F94="",0,IF(F94&gt;=DATE(2027+1,4,30),G94*D94*(1+EscalatorInLease)^1,IF(F94&lt;DATE(2026+1,5,1),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,((F94-DATE(2026+1,5,1))/365.25)*G94*D94*(1+EscalatorInLease)^1+((DATE(2027+1,4,30)-F94)/365.25)*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)))),0)</f>
        <v/>
      </c>
      <c r="P94" s="5">
        <f>IFERROR(IF(I94="LeaseUp",H94*D94*(1+GrowthMarketRent)^2*IF(2=0,(12-DowntimeNew)/12,1),IF(F94="",0,IF(F94&gt;=DATE(2027+2,4,30),G94*D94*(1+EscalatorInLease)^2,IF(F94&lt;DATE(2026+2,5,1),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,((F94-DATE(2026+2,5,1))/365.25)*G94*D94*(1+EscalatorInLease)^2+((DATE(2027+2,4,30)-F94)/365.25)*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)))),0)</f>
        <v/>
      </c>
      <c r="Q94" s="5">
        <f>IFERROR(IF(I94="LeaseUp",H94*D94*(1+GrowthMarketRent)^3*IF(3=0,(12-DowntimeNew)/12,1),IF(F94="",0,IF(F94&gt;=DATE(2027+3,4,30),G94*D94*(1+EscalatorInLease)^3,IF(F94&lt;DATE(2026+3,5,1),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,((F94-DATE(2026+3,5,1))/365.25)*G94*D94*(1+EscalatorInLease)^3+((DATE(2027+3,4,30)-F94)/365.25)*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)))),0)</f>
        <v/>
      </c>
      <c r="R94" s="5">
        <f>IFERROR(IF(I94="LeaseUp",H94*D94*(1+GrowthMarketRent)^4*IF(4=0,(12-DowntimeNew)/12,1),IF(F94="",0,IF(F94&gt;=DATE(2027+4,4,30),G94*D94*(1+EscalatorInLease)^4,IF(F94&lt;DATE(2026+4,5,1),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,((F94-DATE(2026+4,5,1))/365.25)*G94*D94*(1+EscalatorInLease)^4+((DATE(2027+4,4,30)-F94)/365.25)*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)))),0)</f>
        <v/>
      </c>
      <c r="S94" s="5">
        <f>IFERROR(IF(I94="LeaseUp",H94*D94*(1+GrowthMarketRent)^5*IF(5=0,(12-DowntimeNew)/12,1),IF(F94="",0,IF(F94&gt;=DATE(2027+5,4,30),G94*D94*(1+EscalatorInLease)^5,IF(F94&lt;DATE(2026+5,5,1),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,((F94-DATE(2026+5,5,1))/365.25)*G94*D94*(1+EscalatorInLease)^5+((DATE(2027+5,4,30)-F94)/365.25)*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)))),0)</f>
        <v/>
      </c>
      <c r="T94" s="5">
        <f>IFERROR(IF(I94="LeaseUp",H94*D94*(1+GrowthMarketRent)^6*IF(6=0,(12-DowntimeNew)/12,1),IF(F94="",0,IF(F94&gt;=DATE(2027+6,4,30),G94*D94*(1+EscalatorInLease)^6,IF(F94&lt;DATE(2026+6,5,1),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,((F94-DATE(2026+6,5,1))/365.25)*G94*D94*(1+EscalatorInLease)^6+((DATE(2027+6,4,30)-F94)/365.25)*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)))),0)</f>
        <v/>
      </c>
      <c r="U94" s="5">
        <f>IFERROR(IF(I94="LeaseUp",H94*D94*(1+GrowthMarketRent)^7*IF(7=0,(12-DowntimeNew)/12,1),IF(F94="",0,IF(F94&gt;=DATE(2027+7,4,30),G94*D94*(1+EscalatorInLease)^7,IF(F94&lt;DATE(2026+7,5,1),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,((F94-DATE(2026+7,5,1))/365.25)*G94*D94*(1+EscalatorInLease)^7+((DATE(2027+7,4,30)-F94)/365.25)*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)))),0)</f>
        <v/>
      </c>
      <c r="V94" s="5">
        <f>IFERROR(IF(I94="LeaseUp",H94*D94*(1+GrowthMarketRent)^8*IF(8=0,(12-DowntimeNew)/12,1),IF(F94="",0,IF(F94&gt;=DATE(2027+8,4,30),G94*D94*(1+EscalatorInLease)^8,IF(F94&lt;DATE(2026+8,5,1),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,((F94-DATE(2026+8,5,1))/365.25)*G94*D94*(1+EscalatorInLease)^8+((DATE(2027+8,4,30)-F94)/365.25)*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)))),0)</f>
        <v/>
      </c>
      <c r="W94" s="5">
        <f>IFERROR(IF(I94="LeaseUp",H94*D94*(1+GrowthMarketRent)^9*IF(9=0,(12-DowntimeNew)/12,1),IF(F94="",0,IF(F94&gt;=DATE(2027+9,4,30),G94*D94*(1+EscalatorInLease)^9,IF(F94&lt;DATE(2026+9,5,1),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,((F94-DATE(2026+9,5,1))/365.25)*G94*D94*(1+EscalatorInLease)^9+((DATE(2027+9,4,30)-F94)/365.25)*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)))),0)</f>
        <v/>
      </c>
      <c r="X94" s="5">
        <f>IFERROR(IF(I94="LeaseUp",H94*D94*(1+GrowthMarketRent)^10*IF(10=0,(12-DowntimeNew)/12,1),IF(F94="",0,IF(F94&gt;=DATE(2027+10,4,30),G94*D94*(1+EscalatorInLease)^10,IF(F94&lt;DATE(2026+10,5,1),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,((F94-DATE(2026+10,5,1))/365.25)*G94*D94*(1+EscalatorInLease)^10+((DATE(2027+10,4,30)-F94)/365.25)*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)))),0)</f>
        <v/>
      </c>
      <c r="Y94" s="5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5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5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5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5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5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5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5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5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5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5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9" t="n">
        <v>2600</v>
      </c>
      <c r="E95" s="40" t="n">
        <v>45078</v>
      </c>
      <c r="F95" s="40" t="n">
        <v>46327</v>
      </c>
      <c r="G95" s="41" t="n">
        <v>14.9715384615385</v>
      </c>
      <c r="H95" s="10">
        <f>VLOOKUP(A95,MLA!$A$5:$L$11,3,FALSE)</f>
        <v/>
      </c>
      <c r="I95" s="25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7">
        <f>IF(E95="",0,(AnalysisStart-E95)/365.25)</f>
        <v/>
      </c>
      <c r="N95" s="5">
        <f>IFERROR(IF(I95="LeaseUp",H95*D95*(1+GrowthMarketRent)^0*IF(0=0,(12-DowntimeNew)/12,1),IF(F95="",0,IF(F95&gt;=DATE(2027+0,4,30),G95*D95*(1+EscalatorInLease)^0,IF(F95&lt;DATE(2026+0,5,1),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,((F95-DATE(2026+0,5,1))/365.25)*G95*D95*(1+EscalatorInLease)^0+((DATE(2027+0,4,30)-F95)/365.25)*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)))),0)</f>
        <v/>
      </c>
      <c r="O95" s="5">
        <f>IFERROR(IF(I95="LeaseUp",H95*D95*(1+GrowthMarketRent)^1*IF(1=0,(12-DowntimeNew)/12,1),IF(F95="",0,IF(F95&gt;=DATE(2027+1,4,30),G95*D95*(1+EscalatorInLease)^1,IF(F95&lt;DATE(2026+1,5,1),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,((F95-DATE(2026+1,5,1))/365.25)*G95*D95*(1+EscalatorInLease)^1+((DATE(2027+1,4,30)-F95)/365.25)*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)))),0)</f>
        <v/>
      </c>
      <c r="P95" s="5">
        <f>IFERROR(IF(I95="LeaseUp",H95*D95*(1+GrowthMarketRent)^2*IF(2=0,(12-DowntimeNew)/12,1),IF(F95="",0,IF(F95&gt;=DATE(2027+2,4,30),G95*D95*(1+EscalatorInLease)^2,IF(F95&lt;DATE(2026+2,5,1),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,((F95-DATE(2026+2,5,1))/365.25)*G95*D95*(1+EscalatorInLease)^2+((DATE(2027+2,4,30)-F95)/365.25)*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)))),0)</f>
        <v/>
      </c>
      <c r="Q95" s="5">
        <f>IFERROR(IF(I95="LeaseUp",H95*D95*(1+GrowthMarketRent)^3*IF(3=0,(12-DowntimeNew)/12,1),IF(F95="",0,IF(F95&gt;=DATE(2027+3,4,30),G95*D95*(1+EscalatorInLease)^3,IF(F95&lt;DATE(2026+3,5,1),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,((F95-DATE(2026+3,5,1))/365.25)*G95*D95*(1+EscalatorInLease)^3+((DATE(2027+3,4,30)-F95)/365.25)*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)))),0)</f>
        <v/>
      </c>
      <c r="R95" s="5">
        <f>IFERROR(IF(I95="LeaseUp",H95*D95*(1+GrowthMarketRent)^4*IF(4=0,(12-DowntimeNew)/12,1),IF(F95="",0,IF(F95&gt;=DATE(2027+4,4,30),G95*D95*(1+EscalatorInLease)^4,IF(F95&lt;DATE(2026+4,5,1),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,((F95-DATE(2026+4,5,1))/365.25)*G95*D95*(1+EscalatorInLease)^4+((DATE(2027+4,4,30)-F95)/365.25)*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)))),0)</f>
        <v/>
      </c>
      <c r="S95" s="5">
        <f>IFERROR(IF(I95="LeaseUp",H95*D95*(1+GrowthMarketRent)^5*IF(5=0,(12-DowntimeNew)/12,1),IF(F95="",0,IF(F95&gt;=DATE(2027+5,4,30),G95*D95*(1+EscalatorInLease)^5,IF(F95&lt;DATE(2026+5,5,1),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,((F95-DATE(2026+5,5,1))/365.25)*G95*D95*(1+EscalatorInLease)^5+((DATE(2027+5,4,30)-F95)/365.25)*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)))),0)</f>
        <v/>
      </c>
      <c r="T95" s="5">
        <f>IFERROR(IF(I95="LeaseUp",H95*D95*(1+GrowthMarketRent)^6*IF(6=0,(12-DowntimeNew)/12,1),IF(F95="",0,IF(F95&gt;=DATE(2027+6,4,30),G95*D95*(1+EscalatorInLease)^6,IF(F95&lt;DATE(2026+6,5,1),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,((F95-DATE(2026+6,5,1))/365.25)*G95*D95*(1+EscalatorInLease)^6+((DATE(2027+6,4,30)-F95)/365.25)*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)))),0)</f>
        <v/>
      </c>
      <c r="U95" s="5">
        <f>IFERROR(IF(I95="LeaseUp",H95*D95*(1+GrowthMarketRent)^7*IF(7=0,(12-DowntimeNew)/12,1),IF(F95="",0,IF(F95&gt;=DATE(2027+7,4,30),G95*D95*(1+EscalatorInLease)^7,IF(F95&lt;DATE(2026+7,5,1),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,((F95-DATE(2026+7,5,1))/365.25)*G95*D95*(1+EscalatorInLease)^7+((DATE(2027+7,4,30)-F95)/365.25)*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)))),0)</f>
        <v/>
      </c>
      <c r="V95" s="5">
        <f>IFERROR(IF(I95="LeaseUp",H95*D95*(1+GrowthMarketRent)^8*IF(8=0,(12-DowntimeNew)/12,1),IF(F95="",0,IF(F95&gt;=DATE(2027+8,4,30),G95*D95*(1+EscalatorInLease)^8,IF(F95&lt;DATE(2026+8,5,1),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,((F95-DATE(2026+8,5,1))/365.25)*G95*D95*(1+EscalatorInLease)^8+((DATE(2027+8,4,30)-F95)/365.25)*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)))),0)</f>
        <v/>
      </c>
      <c r="W95" s="5">
        <f>IFERROR(IF(I95="LeaseUp",H95*D95*(1+GrowthMarketRent)^9*IF(9=0,(12-DowntimeNew)/12,1),IF(F95="",0,IF(F95&gt;=DATE(2027+9,4,30),G95*D95*(1+EscalatorInLease)^9,IF(F95&lt;DATE(2026+9,5,1),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,((F95-DATE(2026+9,5,1))/365.25)*G95*D95*(1+EscalatorInLease)^9+((DATE(2027+9,4,30)-F95)/365.25)*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)))),0)</f>
        <v/>
      </c>
      <c r="X95" s="5">
        <f>IFERROR(IF(I95="LeaseUp",H95*D95*(1+GrowthMarketRent)^10*IF(10=0,(12-DowntimeNew)/12,1),IF(F95="",0,IF(F95&gt;=DATE(2027+10,4,30),G95*D95*(1+EscalatorInLease)^10,IF(F95&lt;DATE(2026+10,5,1),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,((F95-DATE(2026+10,5,1))/365.25)*G95*D95*(1+EscalatorInLease)^10+((DATE(2027+10,4,30)-F95)/365.25)*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)))),0)</f>
        <v/>
      </c>
      <c r="Y95" s="5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5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5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5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5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5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5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5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5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5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5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9" t="n">
        <v>2600</v>
      </c>
      <c r="E96" s="40" t="n">
        <v>45352</v>
      </c>
      <c r="F96" s="40" t="n">
        <v>46600</v>
      </c>
      <c r="G96" s="41" t="n">
        <v>15.7592307692308</v>
      </c>
      <c r="H96" s="10">
        <f>VLOOKUP(A96,MLA!$A$5:$L$11,3,FALSE)</f>
        <v/>
      </c>
      <c r="I96" s="25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7">
        <f>IF(E96="",0,(AnalysisStart-E96)/365.25)</f>
        <v/>
      </c>
      <c r="N96" s="5">
        <f>IFERROR(IF(I96="LeaseUp",H96*D96*(1+GrowthMarketRent)^0*IF(0=0,(12-DowntimeNew)/12,1),IF(F96="",0,IF(F96&gt;=DATE(2027+0,4,30),G96*D96*(1+EscalatorInLease)^0,IF(F96&lt;DATE(2026+0,5,1),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,((F96-DATE(2026+0,5,1))/365.25)*G96*D96*(1+EscalatorInLease)^0+((DATE(2027+0,4,30)-F96)/365.25)*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)))),0)</f>
        <v/>
      </c>
      <c r="O96" s="5">
        <f>IFERROR(IF(I96="LeaseUp",H96*D96*(1+GrowthMarketRent)^1*IF(1=0,(12-DowntimeNew)/12,1),IF(F96="",0,IF(F96&gt;=DATE(2027+1,4,30),G96*D96*(1+EscalatorInLease)^1,IF(F96&lt;DATE(2026+1,5,1),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,((F96-DATE(2026+1,5,1))/365.25)*G96*D96*(1+EscalatorInLease)^1+((DATE(2027+1,4,30)-F96)/365.25)*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)))),0)</f>
        <v/>
      </c>
      <c r="P96" s="5">
        <f>IFERROR(IF(I96="LeaseUp",H96*D96*(1+GrowthMarketRent)^2*IF(2=0,(12-DowntimeNew)/12,1),IF(F96="",0,IF(F96&gt;=DATE(2027+2,4,30),G96*D96*(1+EscalatorInLease)^2,IF(F96&lt;DATE(2026+2,5,1),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,((F96-DATE(2026+2,5,1))/365.25)*G96*D96*(1+EscalatorInLease)^2+((DATE(2027+2,4,30)-F96)/365.25)*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)))),0)</f>
        <v/>
      </c>
      <c r="Q96" s="5">
        <f>IFERROR(IF(I96="LeaseUp",H96*D96*(1+GrowthMarketRent)^3*IF(3=0,(12-DowntimeNew)/12,1),IF(F96="",0,IF(F96&gt;=DATE(2027+3,4,30),G96*D96*(1+EscalatorInLease)^3,IF(F96&lt;DATE(2026+3,5,1),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,((F96-DATE(2026+3,5,1))/365.25)*G96*D96*(1+EscalatorInLease)^3+((DATE(2027+3,4,30)-F96)/365.25)*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)))),0)</f>
        <v/>
      </c>
      <c r="R96" s="5">
        <f>IFERROR(IF(I96="LeaseUp",H96*D96*(1+GrowthMarketRent)^4*IF(4=0,(12-DowntimeNew)/12,1),IF(F96="",0,IF(F96&gt;=DATE(2027+4,4,30),G96*D96*(1+EscalatorInLease)^4,IF(F96&lt;DATE(2026+4,5,1),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,((F96-DATE(2026+4,5,1))/365.25)*G96*D96*(1+EscalatorInLease)^4+((DATE(2027+4,4,30)-F96)/365.25)*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)))),0)</f>
        <v/>
      </c>
      <c r="S96" s="5">
        <f>IFERROR(IF(I96="LeaseUp",H96*D96*(1+GrowthMarketRent)^5*IF(5=0,(12-DowntimeNew)/12,1),IF(F96="",0,IF(F96&gt;=DATE(2027+5,4,30),G96*D96*(1+EscalatorInLease)^5,IF(F96&lt;DATE(2026+5,5,1),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,((F96-DATE(2026+5,5,1))/365.25)*G96*D96*(1+EscalatorInLease)^5+((DATE(2027+5,4,30)-F96)/365.25)*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)))),0)</f>
        <v/>
      </c>
      <c r="T96" s="5">
        <f>IFERROR(IF(I96="LeaseUp",H96*D96*(1+GrowthMarketRent)^6*IF(6=0,(12-DowntimeNew)/12,1),IF(F96="",0,IF(F96&gt;=DATE(2027+6,4,30),G96*D96*(1+EscalatorInLease)^6,IF(F96&lt;DATE(2026+6,5,1),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,((F96-DATE(2026+6,5,1))/365.25)*G96*D96*(1+EscalatorInLease)^6+((DATE(2027+6,4,30)-F96)/365.25)*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)))),0)</f>
        <v/>
      </c>
      <c r="U96" s="5">
        <f>IFERROR(IF(I96="LeaseUp",H96*D96*(1+GrowthMarketRent)^7*IF(7=0,(12-DowntimeNew)/12,1),IF(F96="",0,IF(F96&gt;=DATE(2027+7,4,30),G96*D96*(1+EscalatorInLease)^7,IF(F96&lt;DATE(2026+7,5,1),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,((F96-DATE(2026+7,5,1))/365.25)*G96*D96*(1+EscalatorInLease)^7+((DATE(2027+7,4,30)-F96)/365.25)*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)))),0)</f>
        <v/>
      </c>
      <c r="V96" s="5">
        <f>IFERROR(IF(I96="LeaseUp",H96*D96*(1+GrowthMarketRent)^8*IF(8=0,(12-DowntimeNew)/12,1),IF(F96="",0,IF(F96&gt;=DATE(2027+8,4,30),G96*D96*(1+EscalatorInLease)^8,IF(F96&lt;DATE(2026+8,5,1),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,((F96-DATE(2026+8,5,1))/365.25)*G96*D96*(1+EscalatorInLease)^8+((DATE(2027+8,4,30)-F96)/365.25)*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)))),0)</f>
        <v/>
      </c>
      <c r="W96" s="5">
        <f>IFERROR(IF(I96="LeaseUp",H96*D96*(1+GrowthMarketRent)^9*IF(9=0,(12-DowntimeNew)/12,1),IF(F96="",0,IF(F96&gt;=DATE(2027+9,4,30),G96*D96*(1+EscalatorInLease)^9,IF(F96&lt;DATE(2026+9,5,1),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,((F96-DATE(2026+9,5,1))/365.25)*G96*D96*(1+EscalatorInLease)^9+((DATE(2027+9,4,30)-F96)/365.25)*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)))),0)</f>
        <v/>
      </c>
      <c r="X96" s="5">
        <f>IFERROR(IF(I96="LeaseUp",H96*D96*(1+GrowthMarketRent)^10*IF(10=0,(12-DowntimeNew)/12,1),IF(F96="",0,IF(F96&gt;=DATE(2027+10,4,30),G96*D96*(1+EscalatorInLease)^10,IF(F96&lt;DATE(2026+10,5,1),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,((F96-DATE(2026+10,5,1))/365.25)*G96*D96*(1+EscalatorInLease)^10+((DATE(2027+10,4,30)-F96)/365.25)*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)))),0)</f>
        <v/>
      </c>
      <c r="Y96" s="5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5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5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5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5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5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5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5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5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5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5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9" t="n">
        <v>2600</v>
      </c>
      <c r="E97" s="40" t="n">
        <v>45505</v>
      </c>
      <c r="F97" s="40" t="n">
        <v>46784</v>
      </c>
      <c r="G97" s="41" t="n">
        <v>17.3326923076923</v>
      </c>
      <c r="H97" s="10">
        <f>VLOOKUP(A97,MLA!$A$5:$L$11,3,FALSE)</f>
        <v/>
      </c>
      <c r="I97" s="25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7">
        <f>IF(E97="",0,(AnalysisStart-E97)/365.25)</f>
        <v/>
      </c>
      <c r="N97" s="5">
        <f>IFERROR(IF(I97="LeaseUp",H97*D97*(1+GrowthMarketRent)^0*IF(0=0,(12-DowntimeNew)/12,1),IF(F97="",0,IF(F97&gt;=DATE(2027+0,4,30),G97*D97*(1+EscalatorInLease)^0,IF(F97&lt;DATE(2026+0,5,1),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,((F97-DATE(2026+0,5,1))/365.25)*G97*D97*(1+EscalatorInLease)^0+((DATE(2027+0,4,30)-F97)/365.25)*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)))),0)</f>
        <v/>
      </c>
      <c r="O97" s="5">
        <f>IFERROR(IF(I97="LeaseUp",H97*D97*(1+GrowthMarketRent)^1*IF(1=0,(12-DowntimeNew)/12,1),IF(F97="",0,IF(F97&gt;=DATE(2027+1,4,30),G97*D97*(1+EscalatorInLease)^1,IF(F97&lt;DATE(2026+1,5,1),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,((F97-DATE(2026+1,5,1))/365.25)*G97*D97*(1+EscalatorInLease)^1+((DATE(2027+1,4,30)-F97)/365.25)*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)))),0)</f>
        <v/>
      </c>
      <c r="P97" s="5">
        <f>IFERROR(IF(I97="LeaseUp",H97*D97*(1+GrowthMarketRent)^2*IF(2=0,(12-DowntimeNew)/12,1),IF(F97="",0,IF(F97&gt;=DATE(2027+2,4,30),G97*D97*(1+EscalatorInLease)^2,IF(F97&lt;DATE(2026+2,5,1),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,((F97-DATE(2026+2,5,1))/365.25)*G97*D97*(1+EscalatorInLease)^2+((DATE(2027+2,4,30)-F97)/365.25)*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)))),0)</f>
        <v/>
      </c>
      <c r="Q97" s="5">
        <f>IFERROR(IF(I97="LeaseUp",H97*D97*(1+GrowthMarketRent)^3*IF(3=0,(12-DowntimeNew)/12,1),IF(F97="",0,IF(F97&gt;=DATE(2027+3,4,30),G97*D97*(1+EscalatorInLease)^3,IF(F97&lt;DATE(2026+3,5,1),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,((F97-DATE(2026+3,5,1))/365.25)*G97*D97*(1+EscalatorInLease)^3+((DATE(2027+3,4,30)-F97)/365.25)*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)))),0)</f>
        <v/>
      </c>
      <c r="R97" s="5">
        <f>IFERROR(IF(I97="LeaseUp",H97*D97*(1+GrowthMarketRent)^4*IF(4=0,(12-DowntimeNew)/12,1),IF(F97="",0,IF(F97&gt;=DATE(2027+4,4,30),G97*D97*(1+EscalatorInLease)^4,IF(F97&lt;DATE(2026+4,5,1),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,((F97-DATE(2026+4,5,1))/365.25)*G97*D97*(1+EscalatorInLease)^4+((DATE(2027+4,4,30)-F97)/365.25)*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)))),0)</f>
        <v/>
      </c>
      <c r="S97" s="5">
        <f>IFERROR(IF(I97="LeaseUp",H97*D97*(1+GrowthMarketRent)^5*IF(5=0,(12-DowntimeNew)/12,1),IF(F97="",0,IF(F97&gt;=DATE(2027+5,4,30),G97*D97*(1+EscalatorInLease)^5,IF(F97&lt;DATE(2026+5,5,1),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,((F97-DATE(2026+5,5,1))/365.25)*G97*D97*(1+EscalatorInLease)^5+((DATE(2027+5,4,30)-F97)/365.25)*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)))),0)</f>
        <v/>
      </c>
      <c r="T97" s="5">
        <f>IFERROR(IF(I97="LeaseUp",H97*D97*(1+GrowthMarketRent)^6*IF(6=0,(12-DowntimeNew)/12,1),IF(F97="",0,IF(F97&gt;=DATE(2027+6,4,30),G97*D97*(1+EscalatorInLease)^6,IF(F97&lt;DATE(2026+6,5,1),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,((F97-DATE(2026+6,5,1))/365.25)*G97*D97*(1+EscalatorInLease)^6+((DATE(2027+6,4,30)-F97)/365.25)*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)))),0)</f>
        <v/>
      </c>
      <c r="U97" s="5">
        <f>IFERROR(IF(I97="LeaseUp",H97*D97*(1+GrowthMarketRent)^7*IF(7=0,(12-DowntimeNew)/12,1),IF(F97="",0,IF(F97&gt;=DATE(2027+7,4,30),G97*D97*(1+EscalatorInLease)^7,IF(F97&lt;DATE(2026+7,5,1),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,((F97-DATE(2026+7,5,1))/365.25)*G97*D97*(1+EscalatorInLease)^7+((DATE(2027+7,4,30)-F97)/365.25)*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)))),0)</f>
        <v/>
      </c>
      <c r="V97" s="5">
        <f>IFERROR(IF(I97="LeaseUp",H97*D97*(1+GrowthMarketRent)^8*IF(8=0,(12-DowntimeNew)/12,1),IF(F97="",0,IF(F97&gt;=DATE(2027+8,4,30),G97*D97*(1+EscalatorInLease)^8,IF(F97&lt;DATE(2026+8,5,1),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,((F97-DATE(2026+8,5,1))/365.25)*G97*D97*(1+EscalatorInLease)^8+((DATE(2027+8,4,30)-F97)/365.25)*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)))),0)</f>
        <v/>
      </c>
      <c r="W97" s="5">
        <f>IFERROR(IF(I97="LeaseUp",H97*D97*(1+GrowthMarketRent)^9*IF(9=0,(12-DowntimeNew)/12,1),IF(F97="",0,IF(F97&gt;=DATE(2027+9,4,30),G97*D97*(1+EscalatorInLease)^9,IF(F97&lt;DATE(2026+9,5,1),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,((F97-DATE(2026+9,5,1))/365.25)*G97*D97*(1+EscalatorInLease)^9+((DATE(2027+9,4,30)-F97)/365.25)*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)))),0)</f>
        <v/>
      </c>
      <c r="X97" s="5">
        <f>IFERROR(IF(I97="LeaseUp",H97*D97*(1+GrowthMarketRent)^10*IF(10=0,(12-DowntimeNew)/12,1),IF(F97="",0,IF(F97&gt;=DATE(2027+10,4,30),G97*D97*(1+EscalatorInLease)^10,IF(F97&lt;DATE(2026+10,5,1),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,((F97-DATE(2026+10,5,1))/365.25)*G97*D97*(1+EscalatorInLease)^10+((DATE(2027+10,4,30)-F97)/365.25)*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)))),0)</f>
        <v/>
      </c>
      <c r="Y97" s="5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5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5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5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5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5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5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5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5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5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5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9" t="n">
        <v>2600</v>
      </c>
      <c r="E98" s="40" t="n">
        <v>45139</v>
      </c>
      <c r="F98" s="40" t="n">
        <v>46388</v>
      </c>
      <c r="G98" s="41" t="n">
        <v>15.4965384615385</v>
      </c>
      <c r="H98" s="10">
        <f>VLOOKUP(A98,MLA!$A$5:$L$11,3,FALSE)</f>
        <v/>
      </c>
      <c r="I98" s="25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7">
        <f>IF(E98="",0,(AnalysisStart-E98)/365.25)</f>
        <v/>
      </c>
      <c r="N98" s="5">
        <f>IFERROR(IF(I98="LeaseUp",H98*D98*(1+GrowthMarketRent)^0*IF(0=0,(12-DowntimeNew)/12,1),IF(F98="",0,IF(F98&gt;=DATE(2027+0,4,30),G98*D98*(1+EscalatorInLease)^0,IF(F98&lt;DATE(2026+0,5,1),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,((F98-DATE(2026+0,5,1))/365.25)*G98*D98*(1+EscalatorInLease)^0+((DATE(2027+0,4,30)-F98)/365.25)*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)))),0)</f>
        <v/>
      </c>
      <c r="O98" s="5">
        <f>IFERROR(IF(I98="LeaseUp",H98*D98*(1+GrowthMarketRent)^1*IF(1=0,(12-DowntimeNew)/12,1),IF(F98="",0,IF(F98&gt;=DATE(2027+1,4,30),G98*D98*(1+EscalatorInLease)^1,IF(F98&lt;DATE(2026+1,5,1),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,((F98-DATE(2026+1,5,1))/365.25)*G98*D98*(1+EscalatorInLease)^1+((DATE(2027+1,4,30)-F98)/365.25)*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)))),0)</f>
        <v/>
      </c>
      <c r="P98" s="5">
        <f>IFERROR(IF(I98="LeaseUp",H98*D98*(1+GrowthMarketRent)^2*IF(2=0,(12-DowntimeNew)/12,1),IF(F98="",0,IF(F98&gt;=DATE(2027+2,4,30),G98*D98*(1+EscalatorInLease)^2,IF(F98&lt;DATE(2026+2,5,1),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,((F98-DATE(2026+2,5,1))/365.25)*G98*D98*(1+EscalatorInLease)^2+((DATE(2027+2,4,30)-F98)/365.25)*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)))),0)</f>
        <v/>
      </c>
      <c r="Q98" s="5">
        <f>IFERROR(IF(I98="LeaseUp",H98*D98*(1+GrowthMarketRent)^3*IF(3=0,(12-DowntimeNew)/12,1),IF(F98="",0,IF(F98&gt;=DATE(2027+3,4,30),G98*D98*(1+EscalatorInLease)^3,IF(F98&lt;DATE(2026+3,5,1),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,((F98-DATE(2026+3,5,1))/365.25)*G98*D98*(1+EscalatorInLease)^3+((DATE(2027+3,4,30)-F98)/365.25)*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)))),0)</f>
        <v/>
      </c>
      <c r="R98" s="5">
        <f>IFERROR(IF(I98="LeaseUp",H98*D98*(1+GrowthMarketRent)^4*IF(4=0,(12-DowntimeNew)/12,1),IF(F98="",0,IF(F98&gt;=DATE(2027+4,4,30),G98*D98*(1+EscalatorInLease)^4,IF(F98&lt;DATE(2026+4,5,1),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,((F98-DATE(2026+4,5,1))/365.25)*G98*D98*(1+EscalatorInLease)^4+((DATE(2027+4,4,30)-F98)/365.25)*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)))),0)</f>
        <v/>
      </c>
      <c r="S98" s="5">
        <f>IFERROR(IF(I98="LeaseUp",H98*D98*(1+GrowthMarketRent)^5*IF(5=0,(12-DowntimeNew)/12,1),IF(F98="",0,IF(F98&gt;=DATE(2027+5,4,30),G98*D98*(1+EscalatorInLease)^5,IF(F98&lt;DATE(2026+5,5,1),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,((F98-DATE(2026+5,5,1))/365.25)*G98*D98*(1+EscalatorInLease)^5+((DATE(2027+5,4,30)-F98)/365.25)*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)))),0)</f>
        <v/>
      </c>
      <c r="T98" s="5">
        <f>IFERROR(IF(I98="LeaseUp",H98*D98*(1+GrowthMarketRent)^6*IF(6=0,(12-DowntimeNew)/12,1),IF(F98="",0,IF(F98&gt;=DATE(2027+6,4,30),G98*D98*(1+EscalatorInLease)^6,IF(F98&lt;DATE(2026+6,5,1),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,((F98-DATE(2026+6,5,1))/365.25)*G98*D98*(1+EscalatorInLease)^6+((DATE(2027+6,4,30)-F98)/365.25)*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)))),0)</f>
        <v/>
      </c>
      <c r="U98" s="5">
        <f>IFERROR(IF(I98="LeaseUp",H98*D98*(1+GrowthMarketRent)^7*IF(7=0,(12-DowntimeNew)/12,1),IF(F98="",0,IF(F98&gt;=DATE(2027+7,4,30),G98*D98*(1+EscalatorInLease)^7,IF(F98&lt;DATE(2026+7,5,1),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,((F98-DATE(2026+7,5,1))/365.25)*G98*D98*(1+EscalatorInLease)^7+((DATE(2027+7,4,30)-F98)/365.25)*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)))),0)</f>
        <v/>
      </c>
      <c r="V98" s="5">
        <f>IFERROR(IF(I98="LeaseUp",H98*D98*(1+GrowthMarketRent)^8*IF(8=0,(12-DowntimeNew)/12,1),IF(F98="",0,IF(F98&gt;=DATE(2027+8,4,30),G98*D98*(1+EscalatorInLease)^8,IF(F98&lt;DATE(2026+8,5,1),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,((F98-DATE(2026+8,5,1))/365.25)*G98*D98*(1+EscalatorInLease)^8+((DATE(2027+8,4,30)-F98)/365.25)*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)))),0)</f>
        <v/>
      </c>
      <c r="W98" s="5">
        <f>IFERROR(IF(I98="LeaseUp",H98*D98*(1+GrowthMarketRent)^9*IF(9=0,(12-DowntimeNew)/12,1),IF(F98="",0,IF(F98&gt;=DATE(2027+9,4,30),G98*D98*(1+EscalatorInLease)^9,IF(F98&lt;DATE(2026+9,5,1),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,((F98-DATE(2026+9,5,1))/365.25)*G98*D98*(1+EscalatorInLease)^9+((DATE(2027+9,4,30)-F98)/365.25)*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)))),0)</f>
        <v/>
      </c>
      <c r="X98" s="5">
        <f>IFERROR(IF(I98="LeaseUp",H98*D98*(1+GrowthMarketRent)^10*IF(10=0,(12-DowntimeNew)/12,1),IF(F98="",0,IF(F98&gt;=DATE(2027+10,4,30),G98*D98*(1+EscalatorInLease)^10,IF(F98&lt;DATE(2026+10,5,1),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,((F98-DATE(2026+10,5,1))/365.25)*G98*D98*(1+EscalatorInLease)^10+((DATE(2027+10,4,30)-F98)/365.25)*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)))),0)</f>
        <v/>
      </c>
      <c r="Y98" s="5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5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5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5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5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5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5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5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5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5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5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9" t="n">
        <v>2600</v>
      </c>
      <c r="E99" s="40" t="n">
        <v>45352</v>
      </c>
      <c r="F99" s="40" t="n">
        <v>46600</v>
      </c>
      <c r="G99" s="41" t="n">
        <v>16.81</v>
      </c>
      <c r="H99" s="10">
        <f>VLOOKUP(A99,MLA!$A$5:$L$11,3,FALSE)</f>
        <v/>
      </c>
      <c r="I99" s="25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7">
        <f>IF(E99="",0,(AnalysisStart-E99)/365.25)</f>
        <v/>
      </c>
      <c r="N99" s="5">
        <f>IFERROR(IF(I99="LeaseUp",H99*D99*(1+GrowthMarketRent)^0*IF(0=0,(12-DowntimeNew)/12,1),IF(F99="",0,IF(F99&gt;=DATE(2027+0,4,30),G99*D99*(1+EscalatorInLease)^0,IF(F99&lt;DATE(2026+0,5,1),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,((F99-DATE(2026+0,5,1))/365.25)*G99*D99*(1+EscalatorInLease)^0+((DATE(2027+0,4,30)-F99)/365.25)*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)))),0)</f>
        <v/>
      </c>
      <c r="O99" s="5">
        <f>IFERROR(IF(I99="LeaseUp",H99*D99*(1+GrowthMarketRent)^1*IF(1=0,(12-DowntimeNew)/12,1),IF(F99="",0,IF(F99&gt;=DATE(2027+1,4,30),G99*D99*(1+EscalatorInLease)^1,IF(F99&lt;DATE(2026+1,5,1),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,((F99-DATE(2026+1,5,1))/365.25)*G99*D99*(1+EscalatorInLease)^1+((DATE(2027+1,4,30)-F99)/365.25)*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)))),0)</f>
        <v/>
      </c>
      <c r="P99" s="5">
        <f>IFERROR(IF(I99="LeaseUp",H99*D99*(1+GrowthMarketRent)^2*IF(2=0,(12-DowntimeNew)/12,1),IF(F99="",0,IF(F99&gt;=DATE(2027+2,4,30),G99*D99*(1+EscalatorInLease)^2,IF(F99&lt;DATE(2026+2,5,1),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,((F99-DATE(2026+2,5,1))/365.25)*G99*D99*(1+EscalatorInLease)^2+((DATE(2027+2,4,30)-F99)/365.25)*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)))),0)</f>
        <v/>
      </c>
      <c r="Q99" s="5">
        <f>IFERROR(IF(I99="LeaseUp",H99*D99*(1+GrowthMarketRent)^3*IF(3=0,(12-DowntimeNew)/12,1),IF(F99="",0,IF(F99&gt;=DATE(2027+3,4,30),G99*D99*(1+EscalatorInLease)^3,IF(F99&lt;DATE(2026+3,5,1),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,((F99-DATE(2026+3,5,1))/365.25)*G99*D99*(1+EscalatorInLease)^3+((DATE(2027+3,4,30)-F99)/365.25)*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)))),0)</f>
        <v/>
      </c>
      <c r="R99" s="5">
        <f>IFERROR(IF(I99="LeaseUp",H99*D99*(1+GrowthMarketRent)^4*IF(4=0,(12-DowntimeNew)/12,1),IF(F99="",0,IF(F99&gt;=DATE(2027+4,4,30),G99*D99*(1+EscalatorInLease)^4,IF(F99&lt;DATE(2026+4,5,1),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,((F99-DATE(2026+4,5,1))/365.25)*G99*D99*(1+EscalatorInLease)^4+((DATE(2027+4,4,30)-F99)/365.25)*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)))),0)</f>
        <v/>
      </c>
      <c r="S99" s="5">
        <f>IFERROR(IF(I99="LeaseUp",H99*D99*(1+GrowthMarketRent)^5*IF(5=0,(12-DowntimeNew)/12,1),IF(F99="",0,IF(F99&gt;=DATE(2027+5,4,30),G99*D99*(1+EscalatorInLease)^5,IF(F99&lt;DATE(2026+5,5,1),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,((F99-DATE(2026+5,5,1))/365.25)*G99*D99*(1+EscalatorInLease)^5+((DATE(2027+5,4,30)-F99)/365.25)*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)))),0)</f>
        <v/>
      </c>
      <c r="T99" s="5">
        <f>IFERROR(IF(I99="LeaseUp",H99*D99*(1+GrowthMarketRent)^6*IF(6=0,(12-DowntimeNew)/12,1),IF(F99="",0,IF(F99&gt;=DATE(2027+6,4,30),G99*D99*(1+EscalatorInLease)^6,IF(F99&lt;DATE(2026+6,5,1),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,((F99-DATE(2026+6,5,1))/365.25)*G99*D99*(1+EscalatorInLease)^6+((DATE(2027+6,4,30)-F99)/365.25)*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)))),0)</f>
        <v/>
      </c>
      <c r="U99" s="5">
        <f>IFERROR(IF(I99="LeaseUp",H99*D99*(1+GrowthMarketRent)^7*IF(7=0,(12-DowntimeNew)/12,1),IF(F99="",0,IF(F99&gt;=DATE(2027+7,4,30),G99*D99*(1+EscalatorInLease)^7,IF(F99&lt;DATE(2026+7,5,1),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,((F99-DATE(2026+7,5,1))/365.25)*G99*D99*(1+EscalatorInLease)^7+((DATE(2027+7,4,30)-F99)/365.25)*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)))),0)</f>
        <v/>
      </c>
      <c r="V99" s="5">
        <f>IFERROR(IF(I99="LeaseUp",H99*D99*(1+GrowthMarketRent)^8*IF(8=0,(12-DowntimeNew)/12,1),IF(F99="",0,IF(F99&gt;=DATE(2027+8,4,30),G99*D99*(1+EscalatorInLease)^8,IF(F99&lt;DATE(2026+8,5,1),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,((F99-DATE(2026+8,5,1))/365.25)*G99*D99*(1+EscalatorInLease)^8+((DATE(2027+8,4,30)-F99)/365.25)*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)))),0)</f>
        <v/>
      </c>
      <c r="W99" s="5">
        <f>IFERROR(IF(I99="LeaseUp",H99*D99*(1+GrowthMarketRent)^9*IF(9=0,(12-DowntimeNew)/12,1),IF(F99="",0,IF(F99&gt;=DATE(2027+9,4,30),G99*D99*(1+EscalatorInLease)^9,IF(F99&lt;DATE(2026+9,5,1),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,((F99-DATE(2026+9,5,1))/365.25)*G99*D99*(1+EscalatorInLease)^9+((DATE(2027+9,4,30)-F99)/365.25)*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)))),0)</f>
        <v/>
      </c>
      <c r="X99" s="5">
        <f>IFERROR(IF(I99="LeaseUp",H99*D99*(1+GrowthMarketRent)^10*IF(10=0,(12-DowntimeNew)/12,1),IF(F99="",0,IF(F99&gt;=DATE(2027+10,4,30),G99*D99*(1+EscalatorInLease)^10,IF(F99&lt;DATE(2026+10,5,1),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,((F99-DATE(2026+10,5,1))/365.25)*G99*D99*(1+EscalatorInLease)^10+((DATE(2027+10,4,30)-F99)/365.25)*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)))),0)</f>
        <v/>
      </c>
      <c r="Y99" s="5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5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5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5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5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5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5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5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5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5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5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9" t="n">
        <v>2600</v>
      </c>
      <c r="E100" s="40" t="n">
        <v>45170</v>
      </c>
      <c r="F100" s="40" t="n">
        <v>46419</v>
      </c>
      <c r="G100" s="41" t="n">
        <v>15.4965384615385</v>
      </c>
      <c r="H100" s="10">
        <f>VLOOKUP(A100,MLA!$A$5:$L$11,3,FALSE)</f>
        <v/>
      </c>
      <c r="I100" s="25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7">
        <f>IF(E100="",0,(AnalysisStart-E100)/365.25)</f>
        <v/>
      </c>
      <c r="N100" s="5">
        <f>IFERROR(IF(I100="LeaseUp",H100*D100*(1+GrowthMarketRent)^0*IF(0=0,(12-DowntimeNew)/12,1),IF(F100="",0,IF(F100&gt;=DATE(2027+0,4,30),G100*D100*(1+EscalatorInLease)^0,IF(F100&lt;DATE(2026+0,5,1),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,((F100-DATE(2026+0,5,1))/365.25)*G100*D100*(1+EscalatorInLease)^0+((DATE(2027+0,4,30)-F100)/365.25)*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)))),0)</f>
        <v/>
      </c>
      <c r="O100" s="5">
        <f>IFERROR(IF(I100="LeaseUp",H100*D100*(1+GrowthMarketRent)^1*IF(1=0,(12-DowntimeNew)/12,1),IF(F100="",0,IF(F100&gt;=DATE(2027+1,4,30),G100*D100*(1+EscalatorInLease)^1,IF(F100&lt;DATE(2026+1,5,1),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,((F100-DATE(2026+1,5,1))/365.25)*G100*D100*(1+EscalatorInLease)^1+((DATE(2027+1,4,30)-F100)/365.25)*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)))),0)</f>
        <v/>
      </c>
      <c r="P100" s="5">
        <f>IFERROR(IF(I100="LeaseUp",H100*D100*(1+GrowthMarketRent)^2*IF(2=0,(12-DowntimeNew)/12,1),IF(F100="",0,IF(F100&gt;=DATE(2027+2,4,30),G100*D100*(1+EscalatorInLease)^2,IF(F100&lt;DATE(2026+2,5,1),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,((F100-DATE(2026+2,5,1))/365.25)*G100*D100*(1+EscalatorInLease)^2+((DATE(2027+2,4,30)-F100)/365.25)*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)))),0)</f>
        <v/>
      </c>
      <c r="Q100" s="5">
        <f>IFERROR(IF(I100="LeaseUp",H100*D100*(1+GrowthMarketRent)^3*IF(3=0,(12-DowntimeNew)/12,1),IF(F100="",0,IF(F100&gt;=DATE(2027+3,4,30),G100*D100*(1+EscalatorInLease)^3,IF(F100&lt;DATE(2026+3,5,1),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,((F100-DATE(2026+3,5,1))/365.25)*G100*D100*(1+EscalatorInLease)^3+((DATE(2027+3,4,30)-F100)/365.25)*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)))),0)</f>
        <v/>
      </c>
      <c r="R100" s="5">
        <f>IFERROR(IF(I100="LeaseUp",H100*D100*(1+GrowthMarketRent)^4*IF(4=0,(12-DowntimeNew)/12,1),IF(F100="",0,IF(F100&gt;=DATE(2027+4,4,30),G100*D100*(1+EscalatorInLease)^4,IF(F100&lt;DATE(2026+4,5,1),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,((F100-DATE(2026+4,5,1))/365.25)*G100*D100*(1+EscalatorInLease)^4+((DATE(2027+4,4,30)-F100)/365.25)*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)))),0)</f>
        <v/>
      </c>
      <c r="S100" s="5">
        <f>IFERROR(IF(I100="LeaseUp",H100*D100*(1+GrowthMarketRent)^5*IF(5=0,(12-DowntimeNew)/12,1),IF(F100="",0,IF(F100&gt;=DATE(2027+5,4,30),G100*D100*(1+EscalatorInLease)^5,IF(F100&lt;DATE(2026+5,5,1),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,((F100-DATE(2026+5,5,1))/365.25)*G100*D100*(1+EscalatorInLease)^5+((DATE(2027+5,4,30)-F100)/365.25)*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)))),0)</f>
        <v/>
      </c>
      <c r="T100" s="5">
        <f>IFERROR(IF(I100="LeaseUp",H100*D100*(1+GrowthMarketRent)^6*IF(6=0,(12-DowntimeNew)/12,1),IF(F100="",0,IF(F100&gt;=DATE(2027+6,4,30),G100*D100*(1+EscalatorInLease)^6,IF(F100&lt;DATE(2026+6,5,1),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,((F100-DATE(2026+6,5,1))/365.25)*G100*D100*(1+EscalatorInLease)^6+((DATE(2027+6,4,30)-F100)/365.25)*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)))),0)</f>
        <v/>
      </c>
      <c r="U100" s="5">
        <f>IFERROR(IF(I100="LeaseUp",H100*D100*(1+GrowthMarketRent)^7*IF(7=0,(12-DowntimeNew)/12,1),IF(F100="",0,IF(F100&gt;=DATE(2027+7,4,30),G100*D100*(1+EscalatorInLease)^7,IF(F100&lt;DATE(2026+7,5,1),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,((F100-DATE(2026+7,5,1))/365.25)*G100*D100*(1+EscalatorInLease)^7+((DATE(2027+7,4,30)-F100)/365.25)*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)))),0)</f>
        <v/>
      </c>
      <c r="V100" s="5">
        <f>IFERROR(IF(I100="LeaseUp",H100*D100*(1+GrowthMarketRent)^8*IF(8=0,(12-DowntimeNew)/12,1),IF(F100="",0,IF(F100&gt;=DATE(2027+8,4,30),G100*D100*(1+EscalatorInLease)^8,IF(F100&lt;DATE(2026+8,5,1),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,((F100-DATE(2026+8,5,1))/365.25)*G100*D100*(1+EscalatorInLease)^8+((DATE(2027+8,4,30)-F100)/365.25)*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)))),0)</f>
        <v/>
      </c>
      <c r="W100" s="5">
        <f>IFERROR(IF(I100="LeaseUp",H100*D100*(1+GrowthMarketRent)^9*IF(9=0,(12-DowntimeNew)/12,1),IF(F100="",0,IF(F100&gt;=DATE(2027+9,4,30),G100*D100*(1+EscalatorInLease)^9,IF(F100&lt;DATE(2026+9,5,1),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,((F100-DATE(2026+9,5,1))/365.25)*G100*D100*(1+EscalatorInLease)^9+((DATE(2027+9,4,30)-F100)/365.25)*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)))),0)</f>
        <v/>
      </c>
      <c r="X100" s="5">
        <f>IFERROR(IF(I100="LeaseUp",H100*D100*(1+GrowthMarketRent)^10*IF(10=0,(12-DowntimeNew)/12,1),IF(F100="",0,IF(F100&gt;=DATE(2027+10,4,30),G100*D100*(1+EscalatorInLease)^10,IF(F100&lt;DATE(2026+10,5,1),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,((F100-DATE(2026+10,5,1))/365.25)*G100*D100*(1+EscalatorInLease)^10+((DATE(2027+10,4,30)-F100)/365.25)*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)))),0)</f>
        <v/>
      </c>
      <c r="Y100" s="5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5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5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5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5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5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5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5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5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5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5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9" t="n">
        <v>2600</v>
      </c>
      <c r="E101" s="40" t="n">
        <v>45200</v>
      </c>
      <c r="F101" s="40" t="n">
        <v>46447</v>
      </c>
      <c r="G101" s="41" t="n">
        <v>15.4965384615385</v>
      </c>
      <c r="H101" s="10">
        <f>VLOOKUP(A101,MLA!$A$5:$L$11,3,FALSE)</f>
        <v/>
      </c>
      <c r="I101" s="25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7">
        <f>IF(E101="",0,(AnalysisStart-E101)/365.25)</f>
        <v/>
      </c>
      <c r="N101" s="5">
        <f>IFERROR(IF(I101="LeaseUp",H101*D101*(1+GrowthMarketRent)^0*IF(0=0,(12-DowntimeNew)/12,1),IF(F101="",0,IF(F101&gt;=DATE(2027+0,4,30),G101*D101*(1+EscalatorInLease)^0,IF(F101&lt;DATE(2026+0,5,1),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,((F101-DATE(2026+0,5,1))/365.25)*G101*D101*(1+EscalatorInLease)^0+((DATE(2027+0,4,30)-F101)/365.25)*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)))),0)</f>
        <v/>
      </c>
      <c r="O101" s="5">
        <f>IFERROR(IF(I101="LeaseUp",H101*D101*(1+GrowthMarketRent)^1*IF(1=0,(12-DowntimeNew)/12,1),IF(F101="",0,IF(F101&gt;=DATE(2027+1,4,30),G101*D101*(1+EscalatorInLease)^1,IF(F101&lt;DATE(2026+1,5,1),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,((F101-DATE(2026+1,5,1))/365.25)*G101*D101*(1+EscalatorInLease)^1+((DATE(2027+1,4,30)-F101)/365.25)*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)))),0)</f>
        <v/>
      </c>
      <c r="P101" s="5">
        <f>IFERROR(IF(I101="LeaseUp",H101*D101*(1+GrowthMarketRent)^2*IF(2=0,(12-DowntimeNew)/12,1),IF(F101="",0,IF(F101&gt;=DATE(2027+2,4,30),G101*D101*(1+EscalatorInLease)^2,IF(F101&lt;DATE(2026+2,5,1),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,((F101-DATE(2026+2,5,1))/365.25)*G101*D101*(1+EscalatorInLease)^2+((DATE(2027+2,4,30)-F101)/365.25)*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)))),0)</f>
        <v/>
      </c>
      <c r="Q101" s="5">
        <f>IFERROR(IF(I101="LeaseUp",H101*D101*(1+GrowthMarketRent)^3*IF(3=0,(12-DowntimeNew)/12,1),IF(F101="",0,IF(F101&gt;=DATE(2027+3,4,30),G101*D101*(1+EscalatorInLease)^3,IF(F101&lt;DATE(2026+3,5,1),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,((F101-DATE(2026+3,5,1))/365.25)*G101*D101*(1+EscalatorInLease)^3+((DATE(2027+3,4,30)-F101)/365.25)*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)))),0)</f>
        <v/>
      </c>
      <c r="R101" s="5">
        <f>IFERROR(IF(I101="LeaseUp",H101*D101*(1+GrowthMarketRent)^4*IF(4=0,(12-DowntimeNew)/12,1),IF(F101="",0,IF(F101&gt;=DATE(2027+4,4,30),G101*D101*(1+EscalatorInLease)^4,IF(F101&lt;DATE(2026+4,5,1),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,((F101-DATE(2026+4,5,1))/365.25)*G101*D101*(1+EscalatorInLease)^4+((DATE(2027+4,4,30)-F101)/365.25)*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)))),0)</f>
        <v/>
      </c>
      <c r="S101" s="5">
        <f>IFERROR(IF(I101="LeaseUp",H101*D101*(1+GrowthMarketRent)^5*IF(5=0,(12-DowntimeNew)/12,1),IF(F101="",0,IF(F101&gt;=DATE(2027+5,4,30),G101*D101*(1+EscalatorInLease)^5,IF(F101&lt;DATE(2026+5,5,1),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,((F101-DATE(2026+5,5,1))/365.25)*G101*D101*(1+EscalatorInLease)^5+((DATE(2027+5,4,30)-F101)/365.25)*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)))),0)</f>
        <v/>
      </c>
      <c r="T101" s="5">
        <f>IFERROR(IF(I101="LeaseUp",H101*D101*(1+GrowthMarketRent)^6*IF(6=0,(12-DowntimeNew)/12,1),IF(F101="",0,IF(F101&gt;=DATE(2027+6,4,30),G101*D101*(1+EscalatorInLease)^6,IF(F101&lt;DATE(2026+6,5,1),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,((F101-DATE(2026+6,5,1))/365.25)*G101*D101*(1+EscalatorInLease)^6+((DATE(2027+6,4,30)-F101)/365.25)*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)))),0)</f>
        <v/>
      </c>
      <c r="U101" s="5">
        <f>IFERROR(IF(I101="LeaseUp",H101*D101*(1+GrowthMarketRent)^7*IF(7=0,(12-DowntimeNew)/12,1),IF(F101="",0,IF(F101&gt;=DATE(2027+7,4,30),G101*D101*(1+EscalatorInLease)^7,IF(F101&lt;DATE(2026+7,5,1),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,((F101-DATE(2026+7,5,1))/365.25)*G101*D101*(1+EscalatorInLease)^7+((DATE(2027+7,4,30)-F101)/365.25)*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)))),0)</f>
        <v/>
      </c>
      <c r="V101" s="5">
        <f>IFERROR(IF(I101="LeaseUp",H101*D101*(1+GrowthMarketRent)^8*IF(8=0,(12-DowntimeNew)/12,1),IF(F101="",0,IF(F101&gt;=DATE(2027+8,4,30),G101*D101*(1+EscalatorInLease)^8,IF(F101&lt;DATE(2026+8,5,1),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,((F101-DATE(2026+8,5,1))/365.25)*G101*D101*(1+EscalatorInLease)^8+((DATE(2027+8,4,30)-F101)/365.25)*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)))),0)</f>
        <v/>
      </c>
      <c r="W101" s="5">
        <f>IFERROR(IF(I101="LeaseUp",H101*D101*(1+GrowthMarketRent)^9*IF(9=0,(12-DowntimeNew)/12,1),IF(F101="",0,IF(F101&gt;=DATE(2027+9,4,30),G101*D101*(1+EscalatorInLease)^9,IF(F101&lt;DATE(2026+9,5,1),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,((F101-DATE(2026+9,5,1))/365.25)*G101*D101*(1+EscalatorInLease)^9+((DATE(2027+9,4,30)-F101)/365.25)*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)))),0)</f>
        <v/>
      </c>
      <c r="X101" s="5">
        <f>IFERROR(IF(I101="LeaseUp",H101*D101*(1+GrowthMarketRent)^10*IF(10=0,(12-DowntimeNew)/12,1),IF(F101="",0,IF(F101&gt;=DATE(2027+10,4,30),G101*D101*(1+EscalatorInLease)^10,IF(F101&lt;DATE(2026+10,5,1),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,((F101-DATE(2026+10,5,1))/365.25)*G101*D101*(1+EscalatorInLease)^10+((DATE(2027+10,4,30)-F101)/365.25)*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)))),0)</f>
        <v/>
      </c>
      <c r="Y101" s="5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5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5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5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5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5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5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5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5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5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5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9" t="n">
        <v>2600</v>
      </c>
      <c r="E102" s="40" t="n">
        <v>45108</v>
      </c>
      <c r="F102" s="40" t="n">
        <v>46357</v>
      </c>
      <c r="G102" s="41" t="n">
        <v>14.9715384615385</v>
      </c>
      <c r="H102" s="10">
        <f>VLOOKUP(A102,MLA!$A$5:$L$11,3,FALSE)</f>
        <v/>
      </c>
      <c r="I102" s="25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7">
        <f>IF(E102="",0,(AnalysisStart-E102)/365.25)</f>
        <v/>
      </c>
      <c r="N102" s="5">
        <f>IFERROR(IF(I102="LeaseUp",H102*D102*(1+GrowthMarketRent)^0*IF(0=0,(12-DowntimeNew)/12,1),IF(F102="",0,IF(F102&gt;=DATE(2027+0,4,30),G102*D102*(1+EscalatorInLease)^0,IF(F102&lt;DATE(2026+0,5,1),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,((F102-DATE(2026+0,5,1))/365.25)*G102*D102*(1+EscalatorInLease)^0+((DATE(2027+0,4,30)-F102)/365.25)*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)))),0)</f>
        <v/>
      </c>
      <c r="O102" s="5">
        <f>IFERROR(IF(I102="LeaseUp",H102*D102*(1+GrowthMarketRent)^1*IF(1=0,(12-DowntimeNew)/12,1),IF(F102="",0,IF(F102&gt;=DATE(2027+1,4,30),G102*D102*(1+EscalatorInLease)^1,IF(F102&lt;DATE(2026+1,5,1),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,((F102-DATE(2026+1,5,1))/365.25)*G102*D102*(1+EscalatorInLease)^1+((DATE(2027+1,4,30)-F102)/365.25)*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)))),0)</f>
        <v/>
      </c>
      <c r="P102" s="5">
        <f>IFERROR(IF(I102="LeaseUp",H102*D102*(1+GrowthMarketRent)^2*IF(2=0,(12-DowntimeNew)/12,1),IF(F102="",0,IF(F102&gt;=DATE(2027+2,4,30),G102*D102*(1+EscalatorInLease)^2,IF(F102&lt;DATE(2026+2,5,1),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,((F102-DATE(2026+2,5,1))/365.25)*G102*D102*(1+EscalatorInLease)^2+((DATE(2027+2,4,30)-F102)/365.25)*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)))),0)</f>
        <v/>
      </c>
      <c r="Q102" s="5">
        <f>IFERROR(IF(I102="LeaseUp",H102*D102*(1+GrowthMarketRent)^3*IF(3=0,(12-DowntimeNew)/12,1),IF(F102="",0,IF(F102&gt;=DATE(2027+3,4,30),G102*D102*(1+EscalatorInLease)^3,IF(F102&lt;DATE(2026+3,5,1),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,((F102-DATE(2026+3,5,1))/365.25)*G102*D102*(1+EscalatorInLease)^3+((DATE(2027+3,4,30)-F102)/365.25)*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)))),0)</f>
        <v/>
      </c>
      <c r="R102" s="5">
        <f>IFERROR(IF(I102="LeaseUp",H102*D102*(1+GrowthMarketRent)^4*IF(4=0,(12-DowntimeNew)/12,1),IF(F102="",0,IF(F102&gt;=DATE(2027+4,4,30),G102*D102*(1+EscalatorInLease)^4,IF(F102&lt;DATE(2026+4,5,1),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,((F102-DATE(2026+4,5,1))/365.25)*G102*D102*(1+EscalatorInLease)^4+((DATE(2027+4,4,30)-F102)/365.25)*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)))),0)</f>
        <v/>
      </c>
      <c r="S102" s="5">
        <f>IFERROR(IF(I102="LeaseUp",H102*D102*(1+GrowthMarketRent)^5*IF(5=0,(12-DowntimeNew)/12,1),IF(F102="",0,IF(F102&gt;=DATE(2027+5,4,30),G102*D102*(1+EscalatorInLease)^5,IF(F102&lt;DATE(2026+5,5,1),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,((F102-DATE(2026+5,5,1))/365.25)*G102*D102*(1+EscalatorInLease)^5+((DATE(2027+5,4,30)-F102)/365.25)*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)))),0)</f>
        <v/>
      </c>
      <c r="T102" s="5">
        <f>IFERROR(IF(I102="LeaseUp",H102*D102*(1+GrowthMarketRent)^6*IF(6=0,(12-DowntimeNew)/12,1),IF(F102="",0,IF(F102&gt;=DATE(2027+6,4,30),G102*D102*(1+EscalatorInLease)^6,IF(F102&lt;DATE(2026+6,5,1),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,((F102-DATE(2026+6,5,1))/365.25)*G102*D102*(1+EscalatorInLease)^6+((DATE(2027+6,4,30)-F102)/365.25)*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)))),0)</f>
        <v/>
      </c>
      <c r="U102" s="5">
        <f>IFERROR(IF(I102="LeaseUp",H102*D102*(1+GrowthMarketRent)^7*IF(7=0,(12-DowntimeNew)/12,1),IF(F102="",0,IF(F102&gt;=DATE(2027+7,4,30),G102*D102*(1+EscalatorInLease)^7,IF(F102&lt;DATE(2026+7,5,1),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,((F102-DATE(2026+7,5,1))/365.25)*G102*D102*(1+EscalatorInLease)^7+((DATE(2027+7,4,30)-F102)/365.25)*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)))),0)</f>
        <v/>
      </c>
      <c r="V102" s="5">
        <f>IFERROR(IF(I102="LeaseUp",H102*D102*(1+GrowthMarketRent)^8*IF(8=0,(12-DowntimeNew)/12,1),IF(F102="",0,IF(F102&gt;=DATE(2027+8,4,30),G102*D102*(1+EscalatorInLease)^8,IF(F102&lt;DATE(2026+8,5,1),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,((F102-DATE(2026+8,5,1))/365.25)*G102*D102*(1+EscalatorInLease)^8+((DATE(2027+8,4,30)-F102)/365.25)*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)))),0)</f>
        <v/>
      </c>
      <c r="W102" s="5">
        <f>IFERROR(IF(I102="LeaseUp",H102*D102*(1+GrowthMarketRent)^9*IF(9=0,(12-DowntimeNew)/12,1),IF(F102="",0,IF(F102&gt;=DATE(2027+9,4,30),G102*D102*(1+EscalatorInLease)^9,IF(F102&lt;DATE(2026+9,5,1),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,((F102-DATE(2026+9,5,1))/365.25)*G102*D102*(1+EscalatorInLease)^9+((DATE(2027+9,4,30)-F102)/365.25)*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)))),0)</f>
        <v/>
      </c>
      <c r="X102" s="5">
        <f>IFERROR(IF(I102="LeaseUp",H102*D102*(1+GrowthMarketRent)^10*IF(10=0,(12-DowntimeNew)/12,1),IF(F102="",0,IF(F102&gt;=DATE(2027+10,4,30),G102*D102*(1+EscalatorInLease)^10,IF(F102&lt;DATE(2026+10,5,1),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,((F102-DATE(2026+10,5,1))/365.25)*G102*D102*(1+EscalatorInLease)^10+((DATE(2027+10,4,30)-F102)/365.25)*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)))),0)</f>
        <v/>
      </c>
      <c r="Y102" s="5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5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5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5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5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5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5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5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5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5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5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9" t="n">
        <v>2600</v>
      </c>
      <c r="E103" s="40" t="n">
        <v>45108</v>
      </c>
      <c r="F103" s="40" t="n">
        <v>46357</v>
      </c>
      <c r="G103" s="41" t="n">
        <v>14.9715384615385</v>
      </c>
      <c r="H103" s="10">
        <f>VLOOKUP(A103,MLA!$A$5:$L$11,3,FALSE)</f>
        <v/>
      </c>
      <c r="I103" s="25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7">
        <f>IF(E103="",0,(AnalysisStart-E103)/365.25)</f>
        <v/>
      </c>
      <c r="N103" s="5">
        <f>IFERROR(IF(I103="LeaseUp",H103*D103*(1+GrowthMarketRent)^0*IF(0=0,(12-DowntimeNew)/12,1),IF(F103="",0,IF(F103&gt;=DATE(2027+0,4,30),G103*D103*(1+EscalatorInLease)^0,IF(F103&lt;DATE(2026+0,5,1),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,((F103-DATE(2026+0,5,1))/365.25)*G103*D103*(1+EscalatorInLease)^0+((DATE(2027+0,4,30)-F103)/365.25)*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)))),0)</f>
        <v/>
      </c>
      <c r="O103" s="5">
        <f>IFERROR(IF(I103="LeaseUp",H103*D103*(1+GrowthMarketRent)^1*IF(1=0,(12-DowntimeNew)/12,1),IF(F103="",0,IF(F103&gt;=DATE(2027+1,4,30),G103*D103*(1+EscalatorInLease)^1,IF(F103&lt;DATE(2026+1,5,1),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,((F103-DATE(2026+1,5,1))/365.25)*G103*D103*(1+EscalatorInLease)^1+((DATE(2027+1,4,30)-F103)/365.25)*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)))),0)</f>
        <v/>
      </c>
      <c r="P103" s="5">
        <f>IFERROR(IF(I103="LeaseUp",H103*D103*(1+GrowthMarketRent)^2*IF(2=0,(12-DowntimeNew)/12,1),IF(F103="",0,IF(F103&gt;=DATE(2027+2,4,30),G103*D103*(1+EscalatorInLease)^2,IF(F103&lt;DATE(2026+2,5,1),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,((F103-DATE(2026+2,5,1))/365.25)*G103*D103*(1+EscalatorInLease)^2+((DATE(2027+2,4,30)-F103)/365.25)*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)))),0)</f>
        <v/>
      </c>
      <c r="Q103" s="5">
        <f>IFERROR(IF(I103="LeaseUp",H103*D103*(1+GrowthMarketRent)^3*IF(3=0,(12-DowntimeNew)/12,1),IF(F103="",0,IF(F103&gt;=DATE(2027+3,4,30),G103*D103*(1+EscalatorInLease)^3,IF(F103&lt;DATE(2026+3,5,1),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,((F103-DATE(2026+3,5,1))/365.25)*G103*D103*(1+EscalatorInLease)^3+((DATE(2027+3,4,30)-F103)/365.25)*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)))),0)</f>
        <v/>
      </c>
      <c r="R103" s="5">
        <f>IFERROR(IF(I103="LeaseUp",H103*D103*(1+GrowthMarketRent)^4*IF(4=0,(12-DowntimeNew)/12,1),IF(F103="",0,IF(F103&gt;=DATE(2027+4,4,30),G103*D103*(1+EscalatorInLease)^4,IF(F103&lt;DATE(2026+4,5,1),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,((F103-DATE(2026+4,5,1))/365.25)*G103*D103*(1+EscalatorInLease)^4+((DATE(2027+4,4,30)-F103)/365.25)*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)))),0)</f>
        <v/>
      </c>
      <c r="S103" s="5">
        <f>IFERROR(IF(I103="LeaseUp",H103*D103*(1+GrowthMarketRent)^5*IF(5=0,(12-DowntimeNew)/12,1),IF(F103="",0,IF(F103&gt;=DATE(2027+5,4,30),G103*D103*(1+EscalatorInLease)^5,IF(F103&lt;DATE(2026+5,5,1),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,((F103-DATE(2026+5,5,1))/365.25)*G103*D103*(1+EscalatorInLease)^5+((DATE(2027+5,4,30)-F103)/365.25)*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)))),0)</f>
        <v/>
      </c>
      <c r="T103" s="5">
        <f>IFERROR(IF(I103="LeaseUp",H103*D103*(1+GrowthMarketRent)^6*IF(6=0,(12-DowntimeNew)/12,1),IF(F103="",0,IF(F103&gt;=DATE(2027+6,4,30),G103*D103*(1+EscalatorInLease)^6,IF(F103&lt;DATE(2026+6,5,1),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,((F103-DATE(2026+6,5,1))/365.25)*G103*D103*(1+EscalatorInLease)^6+((DATE(2027+6,4,30)-F103)/365.25)*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)))),0)</f>
        <v/>
      </c>
      <c r="U103" s="5">
        <f>IFERROR(IF(I103="LeaseUp",H103*D103*(1+GrowthMarketRent)^7*IF(7=0,(12-DowntimeNew)/12,1),IF(F103="",0,IF(F103&gt;=DATE(2027+7,4,30),G103*D103*(1+EscalatorInLease)^7,IF(F103&lt;DATE(2026+7,5,1),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,((F103-DATE(2026+7,5,1))/365.25)*G103*D103*(1+EscalatorInLease)^7+((DATE(2027+7,4,30)-F103)/365.25)*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)))),0)</f>
        <v/>
      </c>
      <c r="V103" s="5">
        <f>IFERROR(IF(I103="LeaseUp",H103*D103*(1+GrowthMarketRent)^8*IF(8=0,(12-DowntimeNew)/12,1),IF(F103="",0,IF(F103&gt;=DATE(2027+8,4,30),G103*D103*(1+EscalatorInLease)^8,IF(F103&lt;DATE(2026+8,5,1),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,((F103-DATE(2026+8,5,1))/365.25)*G103*D103*(1+EscalatorInLease)^8+((DATE(2027+8,4,30)-F103)/365.25)*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)))),0)</f>
        <v/>
      </c>
      <c r="W103" s="5">
        <f>IFERROR(IF(I103="LeaseUp",H103*D103*(1+GrowthMarketRent)^9*IF(9=0,(12-DowntimeNew)/12,1),IF(F103="",0,IF(F103&gt;=DATE(2027+9,4,30),G103*D103*(1+EscalatorInLease)^9,IF(F103&lt;DATE(2026+9,5,1),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,((F103-DATE(2026+9,5,1))/365.25)*G103*D103*(1+EscalatorInLease)^9+((DATE(2027+9,4,30)-F103)/365.25)*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)))),0)</f>
        <v/>
      </c>
      <c r="X103" s="5">
        <f>IFERROR(IF(I103="LeaseUp",H103*D103*(1+GrowthMarketRent)^10*IF(10=0,(12-DowntimeNew)/12,1),IF(F103="",0,IF(F103&gt;=DATE(2027+10,4,30),G103*D103*(1+EscalatorInLease)^10,IF(F103&lt;DATE(2026+10,5,1),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,((F103-DATE(2026+10,5,1))/365.25)*G103*D103*(1+EscalatorInLease)^10+((DATE(2027+10,4,30)-F103)/365.25)*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)))),0)</f>
        <v/>
      </c>
      <c r="Y103" s="5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5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5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5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5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5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5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5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5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5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5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9" t="n">
        <v>2600</v>
      </c>
      <c r="E104" s="40" t="n">
        <v>45323</v>
      </c>
      <c r="F104" s="40" t="n">
        <v>46753</v>
      </c>
      <c r="G104" s="41" t="n">
        <v>15.4969230769231</v>
      </c>
      <c r="H104" s="10">
        <f>VLOOKUP(A104,MLA!$A$5:$L$11,3,FALSE)</f>
        <v/>
      </c>
      <c r="I104" s="25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7">
        <f>IF(E104="",0,(AnalysisStart-E104)/365.25)</f>
        <v/>
      </c>
      <c r="N104" s="5">
        <f>IFERROR(IF(I104="LeaseUp",H104*D104*(1+GrowthMarketRent)^0*IF(0=0,(12-DowntimeNew)/12,1),IF(F104="",0,IF(F104&gt;=DATE(2027+0,4,30),G104*D104*(1+EscalatorInLease)^0,IF(F104&lt;DATE(2026+0,5,1),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,((F104-DATE(2026+0,5,1))/365.25)*G104*D104*(1+EscalatorInLease)^0+((DATE(2027+0,4,30)-F104)/365.25)*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)))),0)</f>
        <v/>
      </c>
      <c r="O104" s="5">
        <f>IFERROR(IF(I104="LeaseUp",H104*D104*(1+GrowthMarketRent)^1*IF(1=0,(12-DowntimeNew)/12,1),IF(F104="",0,IF(F104&gt;=DATE(2027+1,4,30),G104*D104*(1+EscalatorInLease)^1,IF(F104&lt;DATE(2026+1,5,1),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,((F104-DATE(2026+1,5,1))/365.25)*G104*D104*(1+EscalatorInLease)^1+((DATE(2027+1,4,30)-F104)/365.25)*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)))),0)</f>
        <v/>
      </c>
      <c r="P104" s="5">
        <f>IFERROR(IF(I104="LeaseUp",H104*D104*(1+GrowthMarketRent)^2*IF(2=0,(12-DowntimeNew)/12,1),IF(F104="",0,IF(F104&gt;=DATE(2027+2,4,30),G104*D104*(1+EscalatorInLease)^2,IF(F104&lt;DATE(2026+2,5,1),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,((F104-DATE(2026+2,5,1))/365.25)*G104*D104*(1+EscalatorInLease)^2+((DATE(2027+2,4,30)-F104)/365.25)*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)))),0)</f>
        <v/>
      </c>
      <c r="Q104" s="5">
        <f>IFERROR(IF(I104="LeaseUp",H104*D104*(1+GrowthMarketRent)^3*IF(3=0,(12-DowntimeNew)/12,1),IF(F104="",0,IF(F104&gt;=DATE(2027+3,4,30),G104*D104*(1+EscalatorInLease)^3,IF(F104&lt;DATE(2026+3,5,1),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,((F104-DATE(2026+3,5,1))/365.25)*G104*D104*(1+EscalatorInLease)^3+((DATE(2027+3,4,30)-F104)/365.25)*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)))),0)</f>
        <v/>
      </c>
      <c r="R104" s="5">
        <f>IFERROR(IF(I104="LeaseUp",H104*D104*(1+GrowthMarketRent)^4*IF(4=0,(12-DowntimeNew)/12,1),IF(F104="",0,IF(F104&gt;=DATE(2027+4,4,30),G104*D104*(1+EscalatorInLease)^4,IF(F104&lt;DATE(2026+4,5,1),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,((F104-DATE(2026+4,5,1))/365.25)*G104*D104*(1+EscalatorInLease)^4+((DATE(2027+4,4,30)-F104)/365.25)*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)))),0)</f>
        <v/>
      </c>
      <c r="S104" s="5">
        <f>IFERROR(IF(I104="LeaseUp",H104*D104*(1+GrowthMarketRent)^5*IF(5=0,(12-DowntimeNew)/12,1),IF(F104="",0,IF(F104&gt;=DATE(2027+5,4,30),G104*D104*(1+EscalatorInLease)^5,IF(F104&lt;DATE(2026+5,5,1),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,((F104-DATE(2026+5,5,1))/365.25)*G104*D104*(1+EscalatorInLease)^5+((DATE(2027+5,4,30)-F104)/365.25)*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)))),0)</f>
        <v/>
      </c>
      <c r="T104" s="5">
        <f>IFERROR(IF(I104="LeaseUp",H104*D104*(1+GrowthMarketRent)^6*IF(6=0,(12-DowntimeNew)/12,1),IF(F104="",0,IF(F104&gt;=DATE(2027+6,4,30),G104*D104*(1+EscalatorInLease)^6,IF(F104&lt;DATE(2026+6,5,1),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,((F104-DATE(2026+6,5,1))/365.25)*G104*D104*(1+EscalatorInLease)^6+((DATE(2027+6,4,30)-F104)/365.25)*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)))),0)</f>
        <v/>
      </c>
      <c r="U104" s="5">
        <f>IFERROR(IF(I104="LeaseUp",H104*D104*(1+GrowthMarketRent)^7*IF(7=0,(12-DowntimeNew)/12,1),IF(F104="",0,IF(F104&gt;=DATE(2027+7,4,30),G104*D104*(1+EscalatorInLease)^7,IF(F104&lt;DATE(2026+7,5,1),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,((F104-DATE(2026+7,5,1))/365.25)*G104*D104*(1+EscalatorInLease)^7+((DATE(2027+7,4,30)-F104)/365.25)*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)))),0)</f>
        <v/>
      </c>
      <c r="V104" s="5">
        <f>IFERROR(IF(I104="LeaseUp",H104*D104*(1+GrowthMarketRent)^8*IF(8=0,(12-DowntimeNew)/12,1),IF(F104="",0,IF(F104&gt;=DATE(2027+8,4,30),G104*D104*(1+EscalatorInLease)^8,IF(F104&lt;DATE(2026+8,5,1),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,((F104-DATE(2026+8,5,1))/365.25)*G104*D104*(1+EscalatorInLease)^8+((DATE(2027+8,4,30)-F104)/365.25)*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)))),0)</f>
        <v/>
      </c>
      <c r="W104" s="5">
        <f>IFERROR(IF(I104="LeaseUp",H104*D104*(1+GrowthMarketRent)^9*IF(9=0,(12-DowntimeNew)/12,1),IF(F104="",0,IF(F104&gt;=DATE(2027+9,4,30),G104*D104*(1+EscalatorInLease)^9,IF(F104&lt;DATE(2026+9,5,1),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,((F104-DATE(2026+9,5,1))/365.25)*G104*D104*(1+EscalatorInLease)^9+((DATE(2027+9,4,30)-F104)/365.25)*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)))),0)</f>
        <v/>
      </c>
      <c r="X104" s="5">
        <f>IFERROR(IF(I104="LeaseUp",H104*D104*(1+GrowthMarketRent)^10*IF(10=0,(12-DowntimeNew)/12,1),IF(F104="",0,IF(F104&gt;=DATE(2027+10,4,30),G104*D104*(1+EscalatorInLease)^10,IF(F104&lt;DATE(2026+10,5,1),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,((F104-DATE(2026+10,5,1))/365.25)*G104*D104*(1+EscalatorInLease)^10+((DATE(2027+10,4,30)-F104)/365.25)*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)))),0)</f>
        <v/>
      </c>
      <c r="Y104" s="5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5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5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5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5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5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5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5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5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5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5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9" t="n">
        <v>2600</v>
      </c>
      <c r="E105" s="40" t="n">
        <v>45323</v>
      </c>
      <c r="F105" s="40" t="n">
        <v>46753</v>
      </c>
      <c r="G105" s="41" t="n">
        <v>15.4969230769231</v>
      </c>
      <c r="H105" s="10">
        <f>VLOOKUP(A105,MLA!$A$5:$L$11,3,FALSE)</f>
        <v/>
      </c>
      <c r="I105" s="25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7">
        <f>IF(E105="",0,(AnalysisStart-E105)/365.25)</f>
        <v/>
      </c>
      <c r="N105" s="5">
        <f>IFERROR(IF(I105="LeaseUp",H105*D105*(1+GrowthMarketRent)^0*IF(0=0,(12-DowntimeNew)/12,1),IF(F105="",0,IF(F105&gt;=DATE(2027+0,4,30),G105*D105*(1+EscalatorInLease)^0,IF(F105&lt;DATE(2026+0,5,1),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,((F105-DATE(2026+0,5,1))/365.25)*G105*D105*(1+EscalatorInLease)^0+((DATE(2027+0,4,30)-F105)/365.25)*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)))),0)</f>
        <v/>
      </c>
      <c r="O105" s="5">
        <f>IFERROR(IF(I105="LeaseUp",H105*D105*(1+GrowthMarketRent)^1*IF(1=0,(12-DowntimeNew)/12,1),IF(F105="",0,IF(F105&gt;=DATE(2027+1,4,30),G105*D105*(1+EscalatorInLease)^1,IF(F105&lt;DATE(2026+1,5,1),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,((F105-DATE(2026+1,5,1))/365.25)*G105*D105*(1+EscalatorInLease)^1+((DATE(2027+1,4,30)-F105)/365.25)*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)))),0)</f>
        <v/>
      </c>
      <c r="P105" s="5">
        <f>IFERROR(IF(I105="LeaseUp",H105*D105*(1+GrowthMarketRent)^2*IF(2=0,(12-DowntimeNew)/12,1),IF(F105="",0,IF(F105&gt;=DATE(2027+2,4,30),G105*D105*(1+EscalatorInLease)^2,IF(F105&lt;DATE(2026+2,5,1),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,((F105-DATE(2026+2,5,1))/365.25)*G105*D105*(1+EscalatorInLease)^2+((DATE(2027+2,4,30)-F105)/365.25)*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)))),0)</f>
        <v/>
      </c>
      <c r="Q105" s="5">
        <f>IFERROR(IF(I105="LeaseUp",H105*D105*(1+GrowthMarketRent)^3*IF(3=0,(12-DowntimeNew)/12,1),IF(F105="",0,IF(F105&gt;=DATE(2027+3,4,30),G105*D105*(1+EscalatorInLease)^3,IF(F105&lt;DATE(2026+3,5,1),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,((F105-DATE(2026+3,5,1))/365.25)*G105*D105*(1+EscalatorInLease)^3+((DATE(2027+3,4,30)-F105)/365.25)*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)))),0)</f>
        <v/>
      </c>
      <c r="R105" s="5">
        <f>IFERROR(IF(I105="LeaseUp",H105*D105*(1+GrowthMarketRent)^4*IF(4=0,(12-DowntimeNew)/12,1),IF(F105="",0,IF(F105&gt;=DATE(2027+4,4,30),G105*D105*(1+EscalatorInLease)^4,IF(F105&lt;DATE(2026+4,5,1),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,((F105-DATE(2026+4,5,1))/365.25)*G105*D105*(1+EscalatorInLease)^4+((DATE(2027+4,4,30)-F105)/365.25)*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)))),0)</f>
        <v/>
      </c>
      <c r="S105" s="5">
        <f>IFERROR(IF(I105="LeaseUp",H105*D105*(1+GrowthMarketRent)^5*IF(5=0,(12-DowntimeNew)/12,1),IF(F105="",0,IF(F105&gt;=DATE(2027+5,4,30),G105*D105*(1+EscalatorInLease)^5,IF(F105&lt;DATE(2026+5,5,1),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,((F105-DATE(2026+5,5,1))/365.25)*G105*D105*(1+EscalatorInLease)^5+((DATE(2027+5,4,30)-F105)/365.25)*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)))),0)</f>
        <v/>
      </c>
      <c r="T105" s="5">
        <f>IFERROR(IF(I105="LeaseUp",H105*D105*(1+GrowthMarketRent)^6*IF(6=0,(12-DowntimeNew)/12,1),IF(F105="",0,IF(F105&gt;=DATE(2027+6,4,30),G105*D105*(1+EscalatorInLease)^6,IF(F105&lt;DATE(2026+6,5,1),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,((F105-DATE(2026+6,5,1))/365.25)*G105*D105*(1+EscalatorInLease)^6+((DATE(2027+6,4,30)-F105)/365.25)*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)))),0)</f>
        <v/>
      </c>
      <c r="U105" s="5">
        <f>IFERROR(IF(I105="LeaseUp",H105*D105*(1+GrowthMarketRent)^7*IF(7=0,(12-DowntimeNew)/12,1),IF(F105="",0,IF(F105&gt;=DATE(2027+7,4,30),G105*D105*(1+EscalatorInLease)^7,IF(F105&lt;DATE(2026+7,5,1),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,((F105-DATE(2026+7,5,1))/365.25)*G105*D105*(1+EscalatorInLease)^7+((DATE(2027+7,4,30)-F105)/365.25)*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)))),0)</f>
        <v/>
      </c>
      <c r="V105" s="5">
        <f>IFERROR(IF(I105="LeaseUp",H105*D105*(1+GrowthMarketRent)^8*IF(8=0,(12-DowntimeNew)/12,1),IF(F105="",0,IF(F105&gt;=DATE(2027+8,4,30),G105*D105*(1+EscalatorInLease)^8,IF(F105&lt;DATE(2026+8,5,1),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,((F105-DATE(2026+8,5,1))/365.25)*G105*D105*(1+EscalatorInLease)^8+((DATE(2027+8,4,30)-F105)/365.25)*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)))),0)</f>
        <v/>
      </c>
      <c r="W105" s="5">
        <f>IFERROR(IF(I105="LeaseUp",H105*D105*(1+GrowthMarketRent)^9*IF(9=0,(12-DowntimeNew)/12,1),IF(F105="",0,IF(F105&gt;=DATE(2027+9,4,30),G105*D105*(1+EscalatorInLease)^9,IF(F105&lt;DATE(2026+9,5,1),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,((F105-DATE(2026+9,5,1))/365.25)*G105*D105*(1+EscalatorInLease)^9+((DATE(2027+9,4,30)-F105)/365.25)*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)))),0)</f>
        <v/>
      </c>
      <c r="X105" s="5">
        <f>IFERROR(IF(I105="LeaseUp",H105*D105*(1+GrowthMarketRent)^10*IF(10=0,(12-DowntimeNew)/12,1),IF(F105="",0,IF(F105&gt;=DATE(2027+10,4,30),G105*D105*(1+EscalatorInLease)^10,IF(F105&lt;DATE(2026+10,5,1),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,((F105-DATE(2026+10,5,1))/365.25)*G105*D105*(1+EscalatorInLease)^10+((DATE(2027+10,4,30)-F105)/365.25)*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)))),0)</f>
        <v/>
      </c>
      <c r="Y105" s="5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5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5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5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5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5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5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5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5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5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5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9" t="n">
        <v>2600</v>
      </c>
      <c r="E106" s="40" t="n">
        <v>45717</v>
      </c>
      <c r="F106" s="40" t="n">
        <v>46966</v>
      </c>
      <c r="G106" s="41" t="n">
        <v>17.425</v>
      </c>
      <c r="H106" s="10">
        <f>VLOOKUP(A106,MLA!$A$5:$L$11,3,FALSE)</f>
        <v/>
      </c>
      <c r="I106" s="25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7">
        <f>IF(E106="",0,(AnalysisStart-E106)/365.25)</f>
        <v/>
      </c>
      <c r="N106" s="5">
        <f>IFERROR(IF(I106="LeaseUp",H106*D106*(1+GrowthMarketRent)^0*IF(0=0,(12-DowntimeNew)/12,1),IF(F106="",0,IF(F106&gt;=DATE(2027+0,4,30),G106*D106*(1+EscalatorInLease)^0,IF(F106&lt;DATE(2026+0,5,1),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,((F106-DATE(2026+0,5,1))/365.25)*G106*D106*(1+EscalatorInLease)^0+((DATE(2027+0,4,30)-F106)/365.25)*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)))),0)</f>
        <v/>
      </c>
      <c r="O106" s="5">
        <f>IFERROR(IF(I106="LeaseUp",H106*D106*(1+GrowthMarketRent)^1*IF(1=0,(12-DowntimeNew)/12,1),IF(F106="",0,IF(F106&gt;=DATE(2027+1,4,30),G106*D106*(1+EscalatorInLease)^1,IF(F106&lt;DATE(2026+1,5,1),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,((F106-DATE(2026+1,5,1))/365.25)*G106*D106*(1+EscalatorInLease)^1+((DATE(2027+1,4,30)-F106)/365.25)*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)))),0)</f>
        <v/>
      </c>
      <c r="P106" s="5">
        <f>IFERROR(IF(I106="LeaseUp",H106*D106*(1+GrowthMarketRent)^2*IF(2=0,(12-DowntimeNew)/12,1),IF(F106="",0,IF(F106&gt;=DATE(2027+2,4,30),G106*D106*(1+EscalatorInLease)^2,IF(F106&lt;DATE(2026+2,5,1),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,((F106-DATE(2026+2,5,1))/365.25)*G106*D106*(1+EscalatorInLease)^2+((DATE(2027+2,4,30)-F106)/365.25)*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)))),0)</f>
        <v/>
      </c>
      <c r="Q106" s="5">
        <f>IFERROR(IF(I106="LeaseUp",H106*D106*(1+GrowthMarketRent)^3*IF(3=0,(12-DowntimeNew)/12,1),IF(F106="",0,IF(F106&gt;=DATE(2027+3,4,30),G106*D106*(1+EscalatorInLease)^3,IF(F106&lt;DATE(2026+3,5,1),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,((F106-DATE(2026+3,5,1))/365.25)*G106*D106*(1+EscalatorInLease)^3+((DATE(2027+3,4,30)-F106)/365.25)*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)))),0)</f>
        <v/>
      </c>
      <c r="R106" s="5">
        <f>IFERROR(IF(I106="LeaseUp",H106*D106*(1+GrowthMarketRent)^4*IF(4=0,(12-DowntimeNew)/12,1),IF(F106="",0,IF(F106&gt;=DATE(2027+4,4,30),G106*D106*(1+EscalatorInLease)^4,IF(F106&lt;DATE(2026+4,5,1),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,((F106-DATE(2026+4,5,1))/365.25)*G106*D106*(1+EscalatorInLease)^4+((DATE(2027+4,4,30)-F106)/365.25)*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)))),0)</f>
        <v/>
      </c>
      <c r="S106" s="5">
        <f>IFERROR(IF(I106="LeaseUp",H106*D106*(1+GrowthMarketRent)^5*IF(5=0,(12-DowntimeNew)/12,1),IF(F106="",0,IF(F106&gt;=DATE(2027+5,4,30),G106*D106*(1+EscalatorInLease)^5,IF(F106&lt;DATE(2026+5,5,1),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,((F106-DATE(2026+5,5,1))/365.25)*G106*D106*(1+EscalatorInLease)^5+((DATE(2027+5,4,30)-F106)/365.25)*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)))),0)</f>
        <v/>
      </c>
      <c r="T106" s="5">
        <f>IFERROR(IF(I106="LeaseUp",H106*D106*(1+GrowthMarketRent)^6*IF(6=0,(12-DowntimeNew)/12,1),IF(F106="",0,IF(F106&gt;=DATE(2027+6,4,30),G106*D106*(1+EscalatorInLease)^6,IF(F106&lt;DATE(2026+6,5,1),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,((F106-DATE(2026+6,5,1))/365.25)*G106*D106*(1+EscalatorInLease)^6+((DATE(2027+6,4,30)-F106)/365.25)*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)))),0)</f>
        <v/>
      </c>
      <c r="U106" s="5">
        <f>IFERROR(IF(I106="LeaseUp",H106*D106*(1+GrowthMarketRent)^7*IF(7=0,(12-DowntimeNew)/12,1),IF(F106="",0,IF(F106&gt;=DATE(2027+7,4,30),G106*D106*(1+EscalatorInLease)^7,IF(F106&lt;DATE(2026+7,5,1),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,((F106-DATE(2026+7,5,1))/365.25)*G106*D106*(1+EscalatorInLease)^7+((DATE(2027+7,4,30)-F106)/365.25)*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)))),0)</f>
        <v/>
      </c>
      <c r="V106" s="5">
        <f>IFERROR(IF(I106="LeaseUp",H106*D106*(1+GrowthMarketRent)^8*IF(8=0,(12-DowntimeNew)/12,1),IF(F106="",0,IF(F106&gt;=DATE(2027+8,4,30),G106*D106*(1+EscalatorInLease)^8,IF(F106&lt;DATE(2026+8,5,1),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,((F106-DATE(2026+8,5,1))/365.25)*G106*D106*(1+EscalatorInLease)^8+((DATE(2027+8,4,30)-F106)/365.25)*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)))),0)</f>
        <v/>
      </c>
      <c r="W106" s="5">
        <f>IFERROR(IF(I106="LeaseUp",H106*D106*(1+GrowthMarketRent)^9*IF(9=0,(12-DowntimeNew)/12,1),IF(F106="",0,IF(F106&gt;=DATE(2027+9,4,30),G106*D106*(1+EscalatorInLease)^9,IF(F106&lt;DATE(2026+9,5,1),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,((F106-DATE(2026+9,5,1))/365.25)*G106*D106*(1+EscalatorInLease)^9+((DATE(2027+9,4,30)-F106)/365.25)*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)))),0)</f>
        <v/>
      </c>
      <c r="X106" s="5">
        <f>IFERROR(IF(I106="LeaseUp",H106*D106*(1+GrowthMarketRent)^10*IF(10=0,(12-DowntimeNew)/12,1),IF(F106="",0,IF(F106&gt;=DATE(2027+10,4,30),G106*D106*(1+EscalatorInLease)^10,IF(F106&lt;DATE(2026+10,5,1),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,((F106-DATE(2026+10,5,1))/365.25)*G106*D106*(1+EscalatorInLease)^10+((DATE(2027+10,4,30)-F106)/365.25)*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)))),0)</f>
        <v/>
      </c>
      <c r="Y106" s="5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5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5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5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5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5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5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5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5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5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5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9" t="n">
        <v>2600</v>
      </c>
      <c r="E107" s="40" t="n">
        <v>45870</v>
      </c>
      <c r="F107" s="40" t="n">
        <v>46235</v>
      </c>
      <c r="G107" s="41" t="n">
        <v>18</v>
      </c>
      <c r="H107" s="10">
        <f>VLOOKUP(A107,MLA!$A$5:$L$11,3,FALSE)</f>
        <v/>
      </c>
      <c r="I107" s="25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7">
        <f>IF(E107="",0,(AnalysisStart-E107)/365.25)</f>
        <v/>
      </c>
      <c r="N107" s="5">
        <f>IFERROR(IF(I107="LeaseUp",H107*D107*(1+GrowthMarketRent)^0*IF(0=0,(12-DowntimeNew)/12,1),IF(F107="",0,IF(F107&gt;=DATE(2027+0,4,30),G107*D107*(1+EscalatorInLease)^0,IF(F107&lt;DATE(2026+0,5,1),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,((F107-DATE(2026+0,5,1))/365.25)*G107*D107*(1+EscalatorInLease)^0+((DATE(2027+0,4,30)-F107)/365.25)*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)))),0)</f>
        <v/>
      </c>
      <c r="O107" s="5">
        <f>IFERROR(IF(I107="LeaseUp",H107*D107*(1+GrowthMarketRent)^1*IF(1=0,(12-DowntimeNew)/12,1),IF(F107="",0,IF(F107&gt;=DATE(2027+1,4,30),G107*D107*(1+EscalatorInLease)^1,IF(F107&lt;DATE(2026+1,5,1),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,((F107-DATE(2026+1,5,1))/365.25)*G107*D107*(1+EscalatorInLease)^1+((DATE(2027+1,4,30)-F107)/365.25)*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)))),0)</f>
        <v/>
      </c>
      <c r="P107" s="5">
        <f>IFERROR(IF(I107="LeaseUp",H107*D107*(1+GrowthMarketRent)^2*IF(2=0,(12-DowntimeNew)/12,1),IF(F107="",0,IF(F107&gt;=DATE(2027+2,4,30),G107*D107*(1+EscalatorInLease)^2,IF(F107&lt;DATE(2026+2,5,1),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,((F107-DATE(2026+2,5,1))/365.25)*G107*D107*(1+EscalatorInLease)^2+((DATE(2027+2,4,30)-F107)/365.25)*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)))),0)</f>
        <v/>
      </c>
      <c r="Q107" s="5">
        <f>IFERROR(IF(I107="LeaseUp",H107*D107*(1+GrowthMarketRent)^3*IF(3=0,(12-DowntimeNew)/12,1),IF(F107="",0,IF(F107&gt;=DATE(2027+3,4,30),G107*D107*(1+EscalatorInLease)^3,IF(F107&lt;DATE(2026+3,5,1),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,((F107-DATE(2026+3,5,1))/365.25)*G107*D107*(1+EscalatorInLease)^3+((DATE(2027+3,4,30)-F107)/365.25)*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)))),0)</f>
        <v/>
      </c>
      <c r="R107" s="5">
        <f>IFERROR(IF(I107="LeaseUp",H107*D107*(1+GrowthMarketRent)^4*IF(4=0,(12-DowntimeNew)/12,1),IF(F107="",0,IF(F107&gt;=DATE(2027+4,4,30),G107*D107*(1+EscalatorInLease)^4,IF(F107&lt;DATE(2026+4,5,1),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,((F107-DATE(2026+4,5,1))/365.25)*G107*D107*(1+EscalatorInLease)^4+((DATE(2027+4,4,30)-F107)/365.25)*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)))),0)</f>
        <v/>
      </c>
      <c r="S107" s="5">
        <f>IFERROR(IF(I107="LeaseUp",H107*D107*(1+GrowthMarketRent)^5*IF(5=0,(12-DowntimeNew)/12,1),IF(F107="",0,IF(F107&gt;=DATE(2027+5,4,30),G107*D107*(1+EscalatorInLease)^5,IF(F107&lt;DATE(2026+5,5,1),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,((F107-DATE(2026+5,5,1))/365.25)*G107*D107*(1+EscalatorInLease)^5+((DATE(2027+5,4,30)-F107)/365.25)*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)))),0)</f>
        <v/>
      </c>
      <c r="T107" s="5">
        <f>IFERROR(IF(I107="LeaseUp",H107*D107*(1+GrowthMarketRent)^6*IF(6=0,(12-DowntimeNew)/12,1),IF(F107="",0,IF(F107&gt;=DATE(2027+6,4,30),G107*D107*(1+EscalatorInLease)^6,IF(F107&lt;DATE(2026+6,5,1),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,((F107-DATE(2026+6,5,1))/365.25)*G107*D107*(1+EscalatorInLease)^6+((DATE(2027+6,4,30)-F107)/365.25)*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)))),0)</f>
        <v/>
      </c>
      <c r="U107" s="5">
        <f>IFERROR(IF(I107="LeaseUp",H107*D107*(1+GrowthMarketRent)^7*IF(7=0,(12-DowntimeNew)/12,1),IF(F107="",0,IF(F107&gt;=DATE(2027+7,4,30),G107*D107*(1+EscalatorInLease)^7,IF(F107&lt;DATE(2026+7,5,1),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,((F107-DATE(2026+7,5,1))/365.25)*G107*D107*(1+EscalatorInLease)^7+((DATE(2027+7,4,30)-F107)/365.25)*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)))),0)</f>
        <v/>
      </c>
      <c r="V107" s="5">
        <f>IFERROR(IF(I107="LeaseUp",H107*D107*(1+GrowthMarketRent)^8*IF(8=0,(12-DowntimeNew)/12,1),IF(F107="",0,IF(F107&gt;=DATE(2027+8,4,30),G107*D107*(1+EscalatorInLease)^8,IF(F107&lt;DATE(2026+8,5,1),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,((F107-DATE(2026+8,5,1))/365.25)*G107*D107*(1+EscalatorInLease)^8+((DATE(2027+8,4,30)-F107)/365.25)*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)))),0)</f>
        <v/>
      </c>
      <c r="W107" s="5">
        <f>IFERROR(IF(I107="LeaseUp",H107*D107*(1+GrowthMarketRent)^9*IF(9=0,(12-DowntimeNew)/12,1),IF(F107="",0,IF(F107&gt;=DATE(2027+9,4,30),G107*D107*(1+EscalatorInLease)^9,IF(F107&lt;DATE(2026+9,5,1),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,((F107-DATE(2026+9,5,1))/365.25)*G107*D107*(1+EscalatorInLease)^9+((DATE(2027+9,4,30)-F107)/365.25)*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)))),0)</f>
        <v/>
      </c>
      <c r="X107" s="5">
        <f>IFERROR(IF(I107="LeaseUp",H107*D107*(1+GrowthMarketRent)^10*IF(10=0,(12-DowntimeNew)/12,1),IF(F107="",0,IF(F107&gt;=DATE(2027+10,4,30),G107*D107*(1+EscalatorInLease)^10,IF(F107&lt;DATE(2026+10,5,1),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,((F107-DATE(2026+10,5,1))/365.25)*G107*D107*(1+EscalatorInLease)^10+((DATE(2027+10,4,30)-F107)/365.25)*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)))),0)</f>
        <v/>
      </c>
      <c r="Y107" s="5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5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5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5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5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5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5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5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5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5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5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9" t="n">
        <v>2600</v>
      </c>
      <c r="E108" s="40" t="n">
        <v>45078</v>
      </c>
      <c r="F108" s="40" t="n">
        <v>46508</v>
      </c>
      <c r="G108" s="41" t="n">
        <v>14.1834615384615</v>
      </c>
      <c r="H108" s="10">
        <f>VLOOKUP(A108,MLA!$A$5:$L$11,3,FALSE)</f>
        <v/>
      </c>
      <c r="I108" s="25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7">
        <f>IF(E108="",0,(AnalysisStart-E108)/365.25)</f>
        <v/>
      </c>
      <c r="N108" s="5">
        <f>IFERROR(IF(I108="LeaseUp",H108*D108*(1+GrowthMarketRent)^0*IF(0=0,(12-DowntimeNew)/12,1),IF(F108="",0,IF(F108&gt;=DATE(2027+0,4,30),G108*D108*(1+EscalatorInLease)^0,IF(F108&lt;DATE(2026+0,5,1),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,((F108-DATE(2026+0,5,1))/365.25)*G108*D108*(1+EscalatorInLease)^0+((DATE(2027+0,4,30)-F108)/365.25)*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)))),0)</f>
        <v/>
      </c>
      <c r="O108" s="5">
        <f>IFERROR(IF(I108="LeaseUp",H108*D108*(1+GrowthMarketRent)^1*IF(1=0,(12-DowntimeNew)/12,1),IF(F108="",0,IF(F108&gt;=DATE(2027+1,4,30),G108*D108*(1+EscalatorInLease)^1,IF(F108&lt;DATE(2026+1,5,1),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,((F108-DATE(2026+1,5,1))/365.25)*G108*D108*(1+EscalatorInLease)^1+((DATE(2027+1,4,30)-F108)/365.25)*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)))),0)</f>
        <v/>
      </c>
      <c r="P108" s="5">
        <f>IFERROR(IF(I108="LeaseUp",H108*D108*(1+GrowthMarketRent)^2*IF(2=0,(12-DowntimeNew)/12,1),IF(F108="",0,IF(F108&gt;=DATE(2027+2,4,30),G108*D108*(1+EscalatorInLease)^2,IF(F108&lt;DATE(2026+2,5,1),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,((F108-DATE(2026+2,5,1))/365.25)*G108*D108*(1+EscalatorInLease)^2+((DATE(2027+2,4,30)-F108)/365.25)*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)))),0)</f>
        <v/>
      </c>
      <c r="Q108" s="5">
        <f>IFERROR(IF(I108="LeaseUp",H108*D108*(1+GrowthMarketRent)^3*IF(3=0,(12-DowntimeNew)/12,1),IF(F108="",0,IF(F108&gt;=DATE(2027+3,4,30),G108*D108*(1+EscalatorInLease)^3,IF(F108&lt;DATE(2026+3,5,1),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,((F108-DATE(2026+3,5,1))/365.25)*G108*D108*(1+EscalatorInLease)^3+((DATE(2027+3,4,30)-F108)/365.25)*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)))),0)</f>
        <v/>
      </c>
      <c r="R108" s="5">
        <f>IFERROR(IF(I108="LeaseUp",H108*D108*(1+GrowthMarketRent)^4*IF(4=0,(12-DowntimeNew)/12,1),IF(F108="",0,IF(F108&gt;=DATE(2027+4,4,30),G108*D108*(1+EscalatorInLease)^4,IF(F108&lt;DATE(2026+4,5,1),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,((F108-DATE(2026+4,5,1))/365.25)*G108*D108*(1+EscalatorInLease)^4+((DATE(2027+4,4,30)-F108)/365.25)*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)))),0)</f>
        <v/>
      </c>
      <c r="S108" s="5">
        <f>IFERROR(IF(I108="LeaseUp",H108*D108*(1+GrowthMarketRent)^5*IF(5=0,(12-DowntimeNew)/12,1),IF(F108="",0,IF(F108&gt;=DATE(2027+5,4,30),G108*D108*(1+EscalatorInLease)^5,IF(F108&lt;DATE(2026+5,5,1),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,((F108-DATE(2026+5,5,1))/365.25)*G108*D108*(1+EscalatorInLease)^5+((DATE(2027+5,4,30)-F108)/365.25)*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)))),0)</f>
        <v/>
      </c>
      <c r="T108" s="5">
        <f>IFERROR(IF(I108="LeaseUp",H108*D108*(1+GrowthMarketRent)^6*IF(6=0,(12-DowntimeNew)/12,1),IF(F108="",0,IF(F108&gt;=DATE(2027+6,4,30),G108*D108*(1+EscalatorInLease)^6,IF(F108&lt;DATE(2026+6,5,1),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,((F108-DATE(2026+6,5,1))/365.25)*G108*D108*(1+EscalatorInLease)^6+((DATE(2027+6,4,30)-F108)/365.25)*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)))),0)</f>
        <v/>
      </c>
      <c r="U108" s="5">
        <f>IFERROR(IF(I108="LeaseUp",H108*D108*(1+GrowthMarketRent)^7*IF(7=0,(12-DowntimeNew)/12,1),IF(F108="",0,IF(F108&gt;=DATE(2027+7,4,30),G108*D108*(1+EscalatorInLease)^7,IF(F108&lt;DATE(2026+7,5,1),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,((F108-DATE(2026+7,5,1))/365.25)*G108*D108*(1+EscalatorInLease)^7+((DATE(2027+7,4,30)-F108)/365.25)*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)))),0)</f>
        <v/>
      </c>
      <c r="V108" s="5">
        <f>IFERROR(IF(I108="LeaseUp",H108*D108*(1+GrowthMarketRent)^8*IF(8=0,(12-DowntimeNew)/12,1),IF(F108="",0,IF(F108&gt;=DATE(2027+8,4,30),G108*D108*(1+EscalatorInLease)^8,IF(F108&lt;DATE(2026+8,5,1),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,((F108-DATE(2026+8,5,1))/365.25)*G108*D108*(1+EscalatorInLease)^8+((DATE(2027+8,4,30)-F108)/365.25)*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)))),0)</f>
        <v/>
      </c>
      <c r="W108" s="5">
        <f>IFERROR(IF(I108="LeaseUp",H108*D108*(1+GrowthMarketRent)^9*IF(9=0,(12-DowntimeNew)/12,1),IF(F108="",0,IF(F108&gt;=DATE(2027+9,4,30),G108*D108*(1+EscalatorInLease)^9,IF(F108&lt;DATE(2026+9,5,1),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,((F108-DATE(2026+9,5,1))/365.25)*G108*D108*(1+EscalatorInLease)^9+((DATE(2027+9,4,30)-F108)/365.25)*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)))),0)</f>
        <v/>
      </c>
      <c r="X108" s="5">
        <f>IFERROR(IF(I108="LeaseUp",H108*D108*(1+GrowthMarketRent)^10*IF(10=0,(12-DowntimeNew)/12,1),IF(F108="",0,IF(F108&gt;=DATE(2027+10,4,30),G108*D108*(1+EscalatorInLease)^10,IF(F108&lt;DATE(2026+10,5,1),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,((F108-DATE(2026+10,5,1))/365.25)*G108*D108*(1+EscalatorInLease)^10+((DATE(2027+10,4,30)-F108)/365.25)*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)))),0)</f>
        <v/>
      </c>
      <c r="Y108" s="5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5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5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5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5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5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5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5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5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5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5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9" t="n">
        <v>2600</v>
      </c>
      <c r="E109" s="40" t="n">
        <v>45078</v>
      </c>
      <c r="F109" s="40" t="n">
        <v>46508</v>
      </c>
      <c r="G109" s="41" t="n">
        <v>14.1834615384615</v>
      </c>
      <c r="H109" s="10">
        <f>VLOOKUP(A109,MLA!$A$5:$L$11,3,FALSE)</f>
        <v/>
      </c>
      <c r="I109" s="25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7">
        <f>IF(E109="",0,(AnalysisStart-E109)/365.25)</f>
        <v/>
      </c>
      <c r="N109" s="5">
        <f>IFERROR(IF(I109="LeaseUp",H109*D109*(1+GrowthMarketRent)^0*IF(0=0,(12-DowntimeNew)/12,1),IF(F109="",0,IF(F109&gt;=DATE(2027+0,4,30),G109*D109*(1+EscalatorInLease)^0,IF(F109&lt;DATE(2026+0,5,1),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,((F109-DATE(2026+0,5,1))/365.25)*G109*D109*(1+EscalatorInLease)^0+((DATE(2027+0,4,30)-F109)/365.25)*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)))),0)</f>
        <v/>
      </c>
      <c r="O109" s="5">
        <f>IFERROR(IF(I109="LeaseUp",H109*D109*(1+GrowthMarketRent)^1*IF(1=0,(12-DowntimeNew)/12,1),IF(F109="",0,IF(F109&gt;=DATE(2027+1,4,30),G109*D109*(1+EscalatorInLease)^1,IF(F109&lt;DATE(2026+1,5,1),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,((F109-DATE(2026+1,5,1))/365.25)*G109*D109*(1+EscalatorInLease)^1+((DATE(2027+1,4,30)-F109)/365.25)*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)))),0)</f>
        <v/>
      </c>
      <c r="P109" s="5">
        <f>IFERROR(IF(I109="LeaseUp",H109*D109*(1+GrowthMarketRent)^2*IF(2=0,(12-DowntimeNew)/12,1),IF(F109="",0,IF(F109&gt;=DATE(2027+2,4,30),G109*D109*(1+EscalatorInLease)^2,IF(F109&lt;DATE(2026+2,5,1),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,((F109-DATE(2026+2,5,1))/365.25)*G109*D109*(1+EscalatorInLease)^2+((DATE(2027+2,4,30)-F109)/365.25)*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)))),0)</f>
        <v/>
      </c>
      <c r="Q109" s="5">
        <f>IFERROR(IF(I109="LeaseUp",H109*D109*(1+GrowthMarketRent)^3*IF(3=0,(12-DowntimeNew)/12,1),IF(F109="",0,IF(F109&gt;=DATE(2027+3,4,30),G109*D109*(1+EscalatorInLease)^3,IF(F109&lt;DATE(2026+3,5,1),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,((F109-DATE(2026+3,5,1))/365.25)*G109*D109*(1+EscalatorInLease)^3+((DATE(2027+3,4,30)-F109)/365.25)*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)))),0)</f>
        <v/>
      </c>
      <c r="R109" s="5">
        <f>IFERROR(IF(I109="LeaseUp",H109*D109*(1+GrowthMarketRent)^4*IF(4=0,(12-DowntimeNew)/12,1),IF(F109="",0,IF(F109&gt;=DATE(2027+4,4,30),G109*D109*(1+EscalatorInLease)^4,IF(F109&lt;DATE(2026+4,5,1),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,((F109-DATE(2026+4,5,1))/365.25)*G109*D109*(1+EscalatorInLease)^4+((DATE(2027+4,4,30)-F109)/365.25)*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)))),0)</f>
        <v/>
      </c>
      <c r="S109" s="5">
        <f>IFERROR(IF(I109="LeaseUp",H109*D109*(1+GrowthMarketRent)^5*IF(5=0,(12-DowntimeNew)/12,1),IF(F109="",0,IF(F109&gt;=DATE(2027+5,4,30),G109*D109*(1+EscalatorInLease)^5,IF(F109&lt;DATE(2026+5,5,1),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,((F109-DATE(2026+5,5,1))/365.25)*G109*D109*(1+EscalatorInLease)^5+((DATE(2027+5,4,30)-F109)/365.25)*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)))),0)</f>
        <v/>
      </c>
      <c r="T109" s="5">
        <f>IFERROR(IF(I109="LeaseUp",H109*D109*(1+GrowthMarketRent)^6*IF(6=0,(12-DowntimeNew)/12,1),IF(F109="",0,IF(F109&gt;=DATE(2027+6,4,30),G109*D109*(1+EscalatorInLease)^6,IF(F109&lt;DATE(2026+6,5,1),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,((F109-DATE(2026+6,5,1))/365.25)*G109*D109*(1+EscalatorInLease)^6+((DATE(2027+6,4,30)-F109)/365.25)*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)))),0)</f>
        <v/>
      </c>
      <c r="U109" s="5">
        <f>IFERROR(IF(I109="LeaseUp",H109*D109*(1+GrowthMarketRent)^7*IF(7=0,(12-DowntimeNew)/12,1),IF(F109="",0,IF(F109&gt;=DATE(2027+7,4,30),G109*D109*(1+EscalatorInLease)^7,IF(F109&lt;DATE(2026+7,5,1),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,((F109-DATE(2026+7,5,1))/365.25)*G109*D109*(1+EscalatorInLease)^7+((DATE(2027+7,4,30)-F109)/365.25)*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)))),0)</f>
        <v/>
      </c>
      <c r="V109" s="5">
        <f>IFERROR(IF(I109="LeaseUp",H109*D109*(1+GrowthMarketRent)^8*IF(8=0,(12-DowntimeNew)/12,1),IF(F109="",0,IF(F109&gt;=DATE(2027+8,4,30),G109*D109*(1+EscalatorInLease)^8,IF(F109&lt;DATE(2026+8,5,1),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,((F109-DATE(2026+8,5,1))/365.25)*G109*D109*(1+EscalatorInLease)^8+((DATE(2027+8,4,30)-F109)/365.25)*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)))),0)</f>
        <v/>
      </c>
      <c r="W109" s="5">
        <f>IFERROR(IF(I109="LeaseUp",H109*D109*(1+GrowthMarketRent)^9*IF(9=0,(12-DowntimeNew)/12,1),IF(F109="",0,IF(F109&gt;=DATE(2027+9,4,30),G109*D109*(1+EscalatorInLease)^9,IF(F109&lt;DATE(2026+9,5,1),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,((F109-DATE(2026+9,5,1))/365.25)*G109*D109*(1+EscalatorInLease)^9+((DATE(2027+9,4,30)-F109)/365.25)*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)))),0)</f>
        <v/>
      </c>
      <c r="X109" s="5">
        <f>IFERROR(IF(I109="LeaseUp",H109*D109*(1+GrowthMarketRent)^10*IF(10=0,(12-DowntimeNew)/12,1),IF(F109="",0,IF(F109&gt;=DATE(2027+10,4,30),G109*D109*(1+EscalatorInLease)^10,IF(F109&lt;DATE(2026+10,5,1),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,((F109-DATE(2026+10,5,1))/365.25)*G109*D109*(1+EscalatorInLease)^10+((DATE(2027+10,4,30)-F109)/365.25)*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)))),0)</f>
        <v/>
      </c>
      <c r="Y109" s="5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5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5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5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5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5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5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5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5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5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5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9" t="n">
        <v>2600</v>
      </c>
      <c r="E110" s="40" t="n">
        <v>45078</v>
      </c>
      <c r="F110" s="40" t="n">
        <v>46508</v>
      </c>
      <c r="G110" s="41" t="n">
        <v>14.1834615384615</v>
      </c>
      <c r="H110" s="10">
        <f>VLOOKUP(A110,MLA!$A$5:$L$11,3,FALSE)</f>
        <v/>
      </c>
      <c r="I110" s="25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7">
        <f>IF(E110="",0,(AnalysisStart-E110)/365.25)</f>
        <v/>
      </c>
      <c r="N110" s="5">
        <f>IFERROR(IF(I110="LeaseUp",H110*D110*(1+GrowthMarketRent)^0*IF(0=0,(12-DowntimeNew)/12,1),IF(F110="",0,IF(F110&gt;=DATE(2027+0,4,30),G110*D110*(1+EscalatorInLease)^0,IF(F110&lt;DATE(2026+0,5,1),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,((F110-DATE(2026+0,5,1))/365.25)*G110*D110*(1+EscalatorInLease)^0+((DATE(2027+0,4,30)-F110)/365.25)*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)))),0)</f>
        <v/>
      </c>
      <c r="O110" s="5">
        <f>IFERROR(IF(I110="LeaseUp",H110*D110*(1+GrowthMarketRent)^1*IF(1=0,(12-DowntimeNew)/12,1),IF(F110="",0,IF(F110&gt;=DATE(2027+1,4,30),G110*D110*(1+EscalatorInLease)^1,IF(F110&lt;DATE(2026+1,5,1),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,((F110-DATE(2026+1,5,1))/365.25)*G110*D110*(1+EscalatorInLease)^1+((DATE(2027+1,4,30)-F110)/365.25)*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)))),0)</f>
        <v/>
      </c>
      <c r="P110" s="5">
        <f>IFERROR(IF(I110="LeaseUp",H110*D110*(1+GrowthMarketRent)^2*IF(2=0,(12-DowntimeNew)/12,1),IF(F110="",0,IF(F110&gt;=DATE(2027+2,4,30),G110*D110*(1+EscalatorInLease)^2,IF(F110&lt;DATE(2026+2,5,1),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,((F110-DATE(2026+2,5,1))/365.25)*G110*D110*(1+EscalatorInLease)^2+((DATE(2027+2,4,30)-F110)/365.25)*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)))),0)</f>
        <v/>
      </c>
      <c r="Q110" s="5">
        <f>IFERROR(IF(I110="LeaseUp",H110*D110*(1+GrowthMarketRent)^3*IF(3=0,(12-DowntimeNew)/12,1),IF(F110="",0,IF(F110&gt;=DATE(2027+3,4,30),G110*D110*(1+EscalatorInLease)^3,IF(F110&lt;DATE(2026+3,5,1),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,((F110-DATE(2026+3,5,1))/365.25)*G110*D110*(1+EscalatorInLease)^3+((DATE(2027+3,4,30)-F110)/365.25)*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)))),0)</f>
        <v/>
      </c>
      <c r="R110" s="5">
        <f>IFERROR(IF(I110="LeaseUp",H110*D110*(1+GrowthMarketRent)^4*IF(4=0,(12-DowntimeNew)/12,1),IF(F110="",0,IF(F110&gt;=DATE(2027+4,4,30),G110*D110*(1+EscalatorInLease)^4,IF(F110&lt;DATE(2026+4,5,1),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,((F110-DATE(2026+4,5,1))/365.25)*G110*D110*(1+EscalatorInLease)^4+((DATE(2027+4,4,30)-F110)/365.25)*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)))),0)</f>
        <v/>
      </c>
      <c r="S110" s="5">
        <f>IFERROR(IF(I110="LeaseUp",H110*D110*(1+GrowthMarketRent)^5*IF(5=0,(12-DowntimeNew)/12,1),IF(F110="",0,IF(F110&gt;=DATE(2027+5,4,30),G110*D110*(1+EscalatorInLease)^5,IF(F110&lt;DATE(2026+5,5,1),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,((F110-DATE(2026+5,5,1))/365.25)*G110*D110*(1+EscalatorInLease)^5+((DATE(2027+5,4,30)-F110)/365.25)*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)))),0)</f>
        <v/>
      </c>
      <c r="T110" s="5">
        <f>IFERROR(IF(I110="LeaseUp",H110*D110*(1+GrowthMarketRent)^6*IF(6=0,(12-DowntimeNew)/12,1),IF(F110="",0,IF(F110&gt;=DATE(2027+6,4,30),G110*D110*(1+EscalatorInLease)^6,IF(F110&lt;DATE(2026+6,5,1),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,((F110-DATE(2026+6,5,1))/365.25)*G110*D110*(1+EscalatorInLease)^6+((DATE(2027+6,4,30)-F110)/365.25)*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)))),0)</f>
        <v/>
      </c>
      <c r="U110" s="5">
        <f>IFERROR(IF(I110="LeaseUp",H110*D110*(1+GrowthMarketRent)^7*IF(7=0,(12-DowntimeNew)/12,1),IF(F110="",0,IF(F110&gt;=DATE(2027+7,4,30),G110*D110*(1+EscalatorInLease)^7,IF(F110&lt;DATE(2026+7,5,1),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,((F110-DATE(2026+7,5,1))/365.25)*G110*D110*(1+EscalatorInLease)^7+((DATE(2027+7,4,30)-F110)/365.25)*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)))),0)</f>
        <v/>
      </c>
      <c r="V110" s="5">
        <f>IFERROR(IF(I110="LeaseUp",H110*D110*(1+GrowthMarketRent)^8*IF(8=0,(12-DowntimeNew)/12,1),IF(F110="",0,IF(F110&gt;=DATE(2027+8,4,30),G110*D110*(1+EscalatorInLease)^8,IF(F110&lt;DATE(2026+8,5,1),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,((F110-DATE(2026+8,5,1))/365.25)*G110*D110*(1+EscalatorInLease)^8+((DATE(2027+8,4,30)-F110)/365.25)*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)))),0)</f>
        <v/>
      </c>
      <c r="W110" s="5">
        <f>IFERROR(IF(I110="LeaseUp",H110*D110*(1+GrowthMarketRent)^9*IF(9=0,(12-DowntimeNew)/12,1),IF(F110="",0,IF(F110&gt;=DATE(2027+9,4,30),G110*D110*(1+EscalatorInLease)^9,IF(F110&lt;DATE(2026+9,5,1),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,((F110-DATE(2026+9,5,1))/365.25)*G110*D110*(1+EscalatorInLease)^9+((DATE(2027+9,4,30)-F110)/365.25)*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)))),0)</f>
        <v/>
      </c>
      <c r="X110" s="5">
        <f>IFERROR(IF(I110="LeaseUp",H110*D110*(1+GrowthMarketRent)^10*IF(10=0,(12-DowntimeNew)/12,1),IF(F110="",0,IF(F110&gt;=DATE(2027+10,4,30),G110*D110*(1+EscalatorInLease)^10,IF(F110&lt;DATE(2026+10,5,1),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,((F110-DATE(2026+10,5,1))/365.25)*G110*D110*(1+EscalatorInLease)^10+((DATE(2027+10,4,30)-F110)/365.25)*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)))),0)</f>
        <v/>
      </c>
      <c r="Y110" s="5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5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5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5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5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5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5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5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5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5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5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9" t="n">
        <v>2900</v>
      </c>
      <c r="E111" s="40" t="n">
        <v>45078</v>
      </c>
      <c r="F111" s="40" t="n">
        <v>46508</v>
      </c>
      <c r="G111" s="41" t="n">
        <v>14.1834482758621</v>
      </c>
      <c r="H111" s="10">
        <f>VLOOKUP(A111,MLA!$A$5:$L$11,3,FALSE)</f>
        <v/>
      </c>
      <c r="I111" s="25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7">
        <f>IF(E111="",0,(AnalysisStart-E111)/365.25)</f>
        <v/>
      </c>
      <c r="N111" s="5">
        <f>IFERROR(IF(I111="LeaseUp",H111*D111*(1+GrowthMarketRent)^0*IF(0=0,(12-DowntimeNew)/12,1),IF(F111="",0,IF(F111&gt;=DATE(2027+0,4,30),G111*D111*(1+EscalatorInLease)^0,IF(F111&lt;DATE(2026+0,5,1),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,((F111-DATE(2026+0,5,1))/365.25)*G111*D111*(1+EscalatorInLease)^0+((DATE(2027+0,4,30)-F111)/365.25)*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)))),0)</f>
        <v/>
      </c>
      <c r="O111" s="5">
        <f>IFERROR(IF(I111="LeaseUp",H111*D111*(1+GrowthMarketRent)^1*IF(1=0,(12-DowntimeNew)/12,1),IF(F111="",0,IF(F111&gt;=DATE(2027+1,4,30),G111*D111*(1+EscalatorInLease)^1,IF(F111&lt;DATE(2026+1,5,1),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,((F111-DATE(2026+1,5,1))/365.25)*G111*D111*(1+EscalatorInLease)^1+((DATE(2027+1,4,30)-F111)/365.25)*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)))),0)</f>
        <v/>
      </c>
      <c r="P111" s="5">
        <f>IFERROR(IF(I111="LeaseUp",H111*D111*(1+GrowthMarketRent)^2*IF(2=0,(12-DowntimeNew)/12,1),IF(F111="",0,IF(F111&gt;=DATE(2027+2,4,30),G111*D111*(1+EscalatorInLease)^2,IF(F111&lt;DATE(2026+2,5,1),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,((F111-DATE(2026+2,5,1))/365.25)*G111*D111*(1+EscalatorInLease)^2+((DATE(2027+2,4,30)-F111)/365.25)*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)))),0)</f>
        <v/>
      </c>
      <c r="Q111" s="5">
        <f>IFERROR(IF(I111="LeaseUp",H111*D111*(1+GrowthMarketRent)^3*IF(3=0,(12-DowntimeNew)/12,1),IF(F111="",0,IF(F111&gt;=DATE(2027+3,4,30),G111*D111*(1+EscalatorInLease)^3,IF(F111&lt;DATE(2026+3,5,1),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,((F111-DATE(2026+3,5,1))/365.25)*G111*D111*(1+EscalatorInLease)^3+((DATE(2027+3,4,30)-F111)/365.25)*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)))),0)</f>
        <v/>
      </c>
      <c r="R111" s="5">
        <f>IFERROR(IF(I111="LeaseUp",H111*D111*(1+GrowthMarketRent)^4*IF(4=0,(12-DowntimeNew)/12,1),IF(F111="",0,IF(F111&gt;=DATE(2027+4,4,30),G111*D111*(1+EscalatorInLease)^4,IF(F111&lt;DATE(2026+4,5,1),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,((F111-DATE(2026+4,5,1))/365.25)*G111*D111*(1+EscalatorInLease)^4+((DATE(2027+4,4,30)-F111)/365.25)*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)))),0)</f>
        <v/>
      </c>
      <c r="S111" s="5">
        <f>IFERROR(IF(I111="LeaseUp",H111*D111*(1+GrowthMarketRent)^5*IF(5=0,(12-DowntimeNew)/12,1),IF(F111="",0,IF(F111&gt;=DATE(2027+5,4,30),G111*D111*(1+EscalatorInLease)^5,IF(F111&lt;DATE(2026+5,5,1),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,((F111-DATE(2026+5,5,1))/365.25)*G111*D111*(1+EscalatorInLease)^5+((DATE(2027+5,4,30)-F111)/365.25)*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)))),0)</f>
        <v/>
      </c>
      <c r="T111" s="5">
        <f>IFERROR(IF(I111="LeaseUp",H111*D111*(1+GrowthMarketRent)^6*IF(6=0,(12-DowntimeNew)/12,1),IF(F111="",0,IF(F111&gt;=DATE(2027+6,4,30),G111*D111*(1+EscalatorInLease)^6,IF(F111&lt;DATE(2026+6,5,1),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,((F111-DATE(2026+6,5,1))/365.25)*G111*D111*(1+EscalatorInLease)^6+((DATE(2027+6,4,30)-F111)/365.25)*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)))),0)</f>
        <v/>
      </c>
      <c r="U111" s="5">
        <f>IFERROR(IF(I111="LeaseUp",H111*D111*(1+GrowthMarketRent)^7*IF(7=0,(12-DowntimeNew)/12,1),IF(F111="",0,IF(F111&gt;=DATE(2027+7,4,30),G111*D111*(1+EscalatorInLease)^7,IF(F111&lt;DATE(2026+7,5,1),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,((F111-DATE(2026+7,5,1))/365.25)*G111*D111*(1+EscalatorInLease)^7+((DATE(2027+7,4,30)-F111)/365.25)*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)))),0)</f>
        <v/>
      </c>
      <c r="V111" s="5">
        <f>IFERROR(IF(I111="LeaseUp",H111*D111*(1+GrowthMarketRent)^8*IF(8=0,(12-DowntimeNew)/12,1),IF(F111="",0,IF(F111&gt;=DATE(2027+8,4,30),G111*D111*(1+EscalatorInLease)^8,IF(F111&lt;DATE(2026+8,5,1),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,((F111-DATE(2026+8,5,1))/365.25)*G111*D111*(1+EscalatorInLease)^8+((DATE(2027+8,4,30)-F111)/365.25)*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)))),0)</f>
        <v/>
      </c>
      <c r="W111" s="5">
        <f>IFERROR(IF(I111="LeaseUp",H111*D111*(1+GrowthMarketRent)^9*IF(9=0,(12-DowntimeNew)/12,1),IF(F111="",0,IF(F111&gt;=DATE(2027+9,4,30),G111*D111*(1+EscalatorInLease)^9,IF(F111&lt;DATE(2026+9,5,1),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,((F111-DATE(2026+9,5,1))/365.25)*G111*D111*(1+EscalatorInLease)^9+((DATE(2027+9,4,30)-F111)/365.25)*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)))),0)</f>
        <v/>
      </c>
      <c r="X111" s="5">
        <f>IFERROR(IF(I111="LeaseUp",H111*D111*(1+GrowthMarketRent)^10*IF(10=0,(12-DowntimeNew)/12,1),IF(F111="",0,IF(F111&gt;=DATE(2027+10,4,30),G111*D111*(1+EscalatorInLease)^10,IF(F111&lt;DATE(2026+10,5,1),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,((F111-DATE(2026+10,5,1))/365.25)*G111*D111*(1+EscalatorInLease)^10+((DATE(2027+10,4,30)-F111)/365.25)*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)))),0)</f>
        <v/>
      </c>
      <c r="Y111" s="5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5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5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5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5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5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5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5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5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5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5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9" t="n">
        <v>2900</v>
      </c>
      <c r="E112" s="40" t="n">
        <v>45108</v>
      </c>
      <c r="F112" s="40" t="n">
        <v>46357</v>
      </c>
      <c r="G112" s="41" t="n">
        <v>15.4965517241379</v>
      </c>
      <c r="H112" s="10">
        <f>VLOOKUP(A112,MLA!$A$5:$L$11,3,FALSE)</f>
        <v/>
      </c>
      <c r="I112" s="25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7">
        <f>IF(E112="",0,(AnalysisStart-E112)/365.25)</f>
        <v/>
      </c>
      <c r="N112" s="5">
        <f>IFERROR(IF(I112="LeaseUp",H112*D112*(1+GrowthMarketRent)^0*IF(0=0,(12-DowntimeNew)/12,1),IF(F112="",0,IF(F112&gt;=DATE(2027+0,4,30),G112*D112*(1+EscalatorInLease)^0,IF(F112&lt;DATE(2026+0,5,1),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,((F112-DATE(2026+0,5,1))/365.25)*G112*D112*(1+EscalatorInLease)^0+((DATE(2027+0,4,30)-F112)/365.25)*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)))),0)</f>
        <v/>
      </c>
      <c r="O112" s="5">
        <f>IFERROR(IF(I112="LeaseUp",H112*D112*(1+GrowthMarketRent)^1*IF(1=0,(12-DowntimeNew)/12,1),IF(F112="",0,IF(F112&gt;=DATE(2027+1,4,30),G112*D112*(1+EscalatorInLease)^1,IF(F112&lt;DATE(2026+1,5,1),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,((F112-DATE(2026+1,5,1))/365.25)*G112*D112*(1+EscalatorInLease)^1+((DATE(2027+1,4,30)-F112)/365.25)*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)))),0)</f>
        <v/>
      </c>
      <c r="P112" s="5">
        <f>IFERROR(IF(I112="LeaseUp",H112*D112*(1+GrowthMarketRent)^2*IF(2=0,(12-DowntimeNew)/12,1),IF(F112="",0,IF(F112&gt;=DATE(2027+2,4,30),G112*D112*(1+EscalatorInLease)^2,IF(F112&lt;DATE(2026+2,5,1),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,((F112-DATE(2026+2,5,1))/365.25)*G112*D112*(1+EscalatorInLease)^2+((DATE(2027+2,4,30)-F112)/365.25)*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)))),0)</f>
        <v/>
      </c>
      <c r="Q112" s="5">
        <f>IFERROR(IF(I112="LeaseUp",H112*D112*(1+GrowthMarketRent)^3*IF(3=0,(12-DowntimeNew)/12,1),IF(F112="",0,IF(F112&gt;=DATE(2027+3,4,30),G112*D112*(1+EscalatorInLease)^3,IF(F112&lt;DATE(2026+3,5,1),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,((F112-DATE(2026+3,5,1))/365.25)*G112*D112*(1+EscalatorInLease)^3+((DATE(2027+3,4,30)-F112)/365.25)*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)))),0)</f>
        <v/>
      </c>
      <c r="R112" s="5">
        <f>IFERROR(IF(I112="LeaseUp",H112*D112*(1+GrowthMarketRent)^4*IF(4=0,(12-DowntimeNew)/12,1),IF(F112="",0,IF(F112&gt;=DATE(2027+4,4,30),G112*D112*(1+EscalatorInLease)^4,IF(F112&lt;DATE(2026+4,5,1),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,((F112-DATE(2026+4,5,1))/365.25)*G112*D112*(1+EscalatorInLease)^4+((DATE(2027+4,4,30)-F112)/365.25)*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)))),0)</f>
        <v/>
      </c>
      <c r="S112" s="5">
        <f>IFERROR(IF(I112="LeaseUp",H112*D112*(1+GrowthMarketRent)^5*IF(5=0,(12-DowntimeNew)/12,1),IF(F112="",0,IF(F112&gt;=DATE(2027+5,4,30),G112*D112*(1+EscalatorInLease)^5,IF(F112&lt;DATE(2026+5,5,1),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,((F112-DATE(2026+5,5,1))/365.25)*G112*D112*(1+EscalatorInLease)^5+((DATE(2027+5,4,30)-F112)/365.25)*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)))),0)</f>
        <v/>
      </c>
      <c r="T112" s="5">
        <f>IFERROR(IF(I112="LeaseUp",H112*D112*(1+GrowthMarketRent)^6*IF(6=0,(12-DowntimeNew)/12,1),IF(F112="",0,IF(F112&gt;=DATE(2027+6,4,30),G112*D112*(1+EscalatorInLease)^6,IF(F112&lt;DATE(2026+6,5,1),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,((F112-DATE(2026+6,5,1))/365.25)*G112*D112*(1+EscalatorInLease)^6+((DATE(2027+6,4,30)-F112)/365.25)*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)))),0)</f>
        <v/>
      </c>
      <c r="U112" s="5">
        <f>IFERROR(IF(I112="LeaseUp",H112*D112*(1+GrowthMarketRent)^7*IF(7=0,(12-DowntimeNew)/12,1),IF(F112="",0,IF(F112&gt;=DATE(2027+7,4,30),G112*D112*(1+EscalatorInLease)^7,IF(F112&lt;DATE(2026+7,5,1),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,((F112-DATE(2026+7,5,1))/365.25)*G112*D112*(1+EscalatorInLease)^7+((DATE(2027+7,4,30)-F112)/365.25)*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)))),0)</f>
        <v/>
      </c>
      <c r="V112" s="5">
        <f>IFERROR(IF(I112="LeaseUp",H112*D112*(1+GrowthMarketRent)^8*IF(8=0,(12-DowntimeNew)/12,1),IF(F112="",0,IF(F112&gt;=DATE(2027+8,4,30),G112*D112*(1+EscalatorInLease)^8,IF(F112&lt;DATE(2026+8,5,1),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,((F112-DATE(2026+8,5,1))/365.25)*G112*D112*(1+EscalatorInLease)^8+((DATE(2027+8,4,30)-F112)/365.25)*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)))),0)</f>
        <v/>
      </c>
      <c r="W112" s="5">
        <f>IFERROR(IF(I112="LeaseUp",H112*D112*(1+GrowthMarketRent)^9*IF(9=0,(12-DowntimeNew)/12,1),IF(F112="",0,IF(F112&gt;=DATE(2027+9,4,30),G112*D112*(1+EscalatorInLease)^9,IF(F112&lt;DATE(2026+9,5,1),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,((F112-DATE(2026+9,5,1))/365.25)*G112*D112*(1+EscalatorInLease)^9+((DATE(2027+9,4,30)-F112)/365.25)*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)))),0)</f>
        <v/>
      </c>
      <c r="X112" s="5">
        <f>IFERROR(IF(I112="LeaseUp",H112*D112*(1+GrowthMarketRent)^10*IF(10=0,(12-DowntimeNew)/12,1),IF(F112="",0,IF(F112&gt;=DATE(2027+10,4,30),G112*D112*(1+EscalatorInLease)^10,IF(F112&lt;DATE(2026+10,5,1),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,((F112-DATE(2026+10,5,1))/365.25)*G112*D112*(1+EscalatorInLease)^10+((DATE(2027+10,4,30)-F112)/365.25)*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)))),0)</f>
        <v/>
      </c>
      <c r="Y112" s="5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5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5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5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5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5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5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5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5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5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5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9" t="n">
        <v>2350</v>
      </c>
      <c r="E113" s="40" t="n">
        <v>45292</v>
      </c>
      <c r="F113" s="40" t="n">
        <v>46539</v>
      </c>
      <c r="G113" s="41" t="n">
        <v>15.4965957446809</v>
      </c>
      <c r="H113" s="10">
        <f>VLOOKUP(A113,MLA!$A$5:$L$11,3,FALSE)</f>
        <v/>
      </c>
      <c r="I113" s="25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7">
        <f>IF(E113="",0,(AnalysisStart-E113)/365.25)</f>
        <v/>
      </c>
      <c r="N113" s="5">
        <f>IFERROR(IF(I113="LeaseUp",H113*D113*(1+GrowthMarketRent)^0*IF(0=0,(12-DowntimeNew)/12,1),IF(F113="",0,IF(F113&gt;=DATE(2027+0,4,30),G113*D113*(1+EscalatorInLease)^0,IF(F113&lt;DATE(2026+0,5,1),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,((F113-DATE(2026+0,5,1))/365.25)*G113*D113*(1+EscalatorInLease)^0+((DATE(2027+0,4,30)-F113)/365.25)*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)))),0)</f>
        <v/>
      </c>
      <c r="O113" s="5">
        <f>IFERROR(IF(I113="LeaseUp",H113*D113*(1+GrowthMarketRent)^1*IF(1=0,(12-DowntimeNew)/12,1),IF(F113="",0,IF(F113&gt;=DATE(2027+1,4,30),G113*D113*(1+EscalatorInLease)^1,IF(F113&lt;DATE(2026+1,5,1),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,((F113-DATE(2026+1,5,1))/365.25)*G113*D113*(1+EscalatorInLease)^1+((DATE(2027+1,4,30)-F113)/365.25)*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)))),0)</f>
        <v/>
      </c>
      <c r="P113" s="5">
        <f>IFERROR(IF(I113="LeaseUp",H113*D113*(1+GrowthMarketRent)^2*IF(2=0,(12-DowntimeNew)/12,1),IF(F113="",0,IF(F113&gt;=DATE(2027+2,4,30),G113*D113*(1+EscalatorInLease)^2,IF(F113&lt;DATE(2026+2,5,1),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,((F113-DATE(2026+2,5,1))/365.25)*G113*D113*(1+EscalatorInLease)^2+((DATE(2027+2,4,30)-F113)/365.25)*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)))),0)</f>
        <v/>
      </c>
      <c r="Q113" s="5">
        <f>IFERROR(IF(I113="LeaseUp",H113*D113*(1+GrowthMarketRent)^3*IF(3=0,(12-DowntimeNew)/12,1),IF(F113="",0,IF(F113&gt;=DATE(2027+3,4,30),G113*D113*(1+EscalatorInLease)^3,IF(F113&lt;DATE(2026+3,5,1),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,((F113-DATE(2026+3,5,1))/365.25)*G113*D113*(1+EscalatorInLease)^3+((DATE(2027+3,4,30)-F113)/365.25)*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)))),0)</f>
        <v/>
      </c>
      <c r="R113" s="5">
        <f>IFERROR(IF(I113="LeaseUp",H113*D113*(1+GrowthMarketRent)^4*IF(4=0,(12-DowntimeNew)/12,1),IF(F113="",0,IF(F113&gt;=DATE(2027+4,4,30),G113*D113*(1+EscalatorInLease)^4,IF(F113&lt;DATE(2026+4,5,1),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,((F113-DATE(2026+4,5,1))/365.25)*G113*D113*(1+EscalatorInLease)^4+((DATE(2027+4,4,30)-F113)/365.25)*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)))),0)</f>
        <v/>
      </c>
      <c r="S113" s="5">
        <f>IFERROR(IF(I113="LeaseUp",H113*D113*(1+GrowthMarketRent)^5*IF(5=0,(12-DowntimeNew)/12,1),IF(F113="",0,IF(F113&gt;=DATE(2027+5,4,30),G113*D113*(1+EscalatorInLease)^5,IF(F113&lt;DATE(2026+5,5,1),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,((F113-DATE(2026+5,5,1))/365.25)*G113*D113*(1+EscalatorInLease)^5+((DATE(2027+5,4,30)-F113)/365.25)*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)))),0)</f>
        <v/>
      </c>
      <c r="T113" s="5">
        <f>IFERROR(IF(I113="LeaseUp",H113*D113*(1+GrowthMarketRent)^6*IF(6=0,(12-DowntimeNew)/12,1),IF(F113="",0,IF(F113&gt;=DATE(2027+6,4,30),G113*D113*(1+EscalatorInLease)^6,IF(F113&lt;DATE(2026+6,5,1),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,((F113-DATE(2026+6,5,1))/365.25)*G113*D113*(1+EscalatorInLease)^6+((DATE(2027+6,4,30)-F113)/365.25)*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)))),0)</f>
        <v/>
      </c>
      <c r="U113" s="5">
        <f>IFERROR(IF(I113="LeaseUp",H113*D113*(1+GrowthMarketRent)^7*IF(7=0,(12-DowntimeNew)/12,1),IF(F113="",0,IF(F113&gt;=DATE(2027+7,4,30),G113*D113*(1+EscalatorInLease)^7,IF(F113&lt;DATE(2026+7,5,1),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,((F113-DATE(2026+7,5,1))/365.25)*G113*D113*(1+EscalatorInLease)^7+((DATE(2027+7,4,30)-F113)/365.25)*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)))),0)</f>
        <v/>
      </c>
      <c r="V113" s="5">
        <f>IFERROR(IF(I113="LeaseUp",H113*D113*(1+GrowthMarketRent)^8*IF(8=0,(12-DowntimeNew)/12,1),IF(F113="",0,IF(F113&gt;=DATE(2027+8,4,30),G113*D113*(1+EscalatorInLease)^8,IF(F113&lt;DATE(2026+8,5,1),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,((F113-DATE(2026+8,5,1))/365.25)*G113*D113*(1+EscalatorInLease)^8+((DATE(2027+8,4,30)-F113)/365.25)*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)))),0)</f>
        <v/>
      </c>
      <c r="W113" s="5">
        <f>IFERROR(IF(I113="LeaseUp",H113*D113*(1+GrowthMarketRent)^9*IF(9=0,(12-DowntimeNew)/12,1),IF(F113="",0,IF(F113&gt;=DATE(2027+9,4,30),G113*D113*(1+EscalatorInLease)^9,IF(F113&lt;DATE(2026+9,5,1),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,((F113-DATE(2026+9,5,1))/365.25)*G113*D113*(1+EscalatorInLease)^9+((DATE(2027+9,4,30)-F113)/365.25)*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)))),0)</f>
        <v/>
      </c>
      <c r="X113" s="5">
        <f>IFERROR(IF(I113="LeaseUp",H113*D113*(1+GrowthMarketRent)^10*IF(10=0,(12-DowntimeNew)/12,1),IF(F113="",0,IF(F113&gt;=DATE(2027+10,4,30),G113*D113*(1+EscalatorInLease)^10,IF(F113&lt;DATE(2026+10,5,1),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,((F113-DATE(2026+10,5,1))/365.25)*G113*D113*(1+EscalatorInLease)^10+((DATE(2027+10,4,30)-F113)/365.25)*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)))),0)</f>
        <v/>
      </c>
      <c r="Y113" s="5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5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5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5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5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5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5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5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5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5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5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9" t="n">
        <v>1870</v>
      </c>
      <c r="E114" s="40" t="n">
        <v>45413</v>
      </c>
      <c r="F114" s="40" t="n">
        <v>46661</v>
      </c>
      <c r="G114" s="41" t="n">
        <v>16.8101604278075</v>
      </c>
      <c r="H114" s="10">
        <f>VLOOKUP(A114,MLA!$A$5:$L$11,3,FALSE)</f>
        <v/>
      </c>
      <c r="I114" s="25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7">
        <f>IF(E114="",0,(AnalysisStart-E114)/365.25)</f>
        <v/>
      </c>
      <c r="N114" s="5">
        <f>IFERROR(IF(I114="LeaseUp",H114*D114*(1+GrowthMarketRent)^0*IF(0=0,(12-DowntimeNew)/12,1),IF(F114="",0,IF(F114&gt;=DATE(2027+0,4,30),G114*D114*(1+EscalatorInLease)^0,IF(F114&lt;DATE(2026+0,5,1),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,((F114-DATE(2026+0,5,1))/365.25)*G114*D114*(1+EscalatorInLease)^0+((DATE(2027+0,4,30)-F114)/365.25)*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)))),0)</f>
        <v/>
      </c>
      <c r="O114" s="5">
        <f>IFERROR(IF(I114="LeaseUp",H114*D114*(1+GrowthMarketRent)^1*IF(1=0,(12-DowntimeNew)/12,1),IF(F114="",0,IF(F114&gt;=DATE(2027+1,4,30),G114*D114*(1+EscalatorInLease)^1,IF(F114&lt;DATE(2026+1,5,1),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,((F114-DATE(2026+1,5,1))/365.25)*G114*D114*(1+EscalatorInLease)^1+((DATE(2027+1,4,30)-F114)/365.25)*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)))),0)</f>
        <v/>
      </c>
      <c r="P114" s="5">
        <f>IFERROR(IF(I114="LeaseUp",H114*D114*(1+GrowthMarketRent)^2*IF(2=0,(12-DowntimeNew)/12,1),IF(F114="",0,IF(F114&gt;=DATE(2027+2,4,30),G114*D114*(1+EscalatorInLease)^2,IF(F114&lt;DATE(2026+2,5,1),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,((F114-DATE(2026+2,5,1))/365.25)*G114*D114*(1+EscalatorInLease)^2+((DATE(2027+2,4,30)-F114)/365.25)*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)))),0)</f>
        <v/>
      </c>
      <c r="Q114" s="5">
        <f>IFERROR(IF(I114="LeaseUp",H114*D114*(1+GrowthMarketRent)^3*IF(3=0,(12-DowntimeNew)/12,1),IF(F114="",0,IF(F114&gt;=DATE(2027+3,4,30),G114*D114*(1+EscalatorInLease)^3,IF(F114&lt;DATE(2026+3,5,1),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,((F114-DATE(2026+3,5,1))/365.25)*G114*D114*(1+EscalatorInLease)^3+((DATE(2027+3,4,30)-F114)/365.25)*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)))),0)</f>
        <v/>
      </c>
      <c r="R114" s="5">
        <f>IFERROR(IF(I114="LeaseUp",H114*D114*(1+GrowthMarketRent)^4*IF(4=0,(12-DowntimeNew)/12,1),IF(F114="",0,IF(F114&gt;=DATE(2027+4,4,30),G114*D114*(1+EscalatorInLease)^4,IF(F114&lt;DATE(2026+4,5,1),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,((F114-DATE(2026+4,5,1))/365.25)*G114*D114*(1+EscalatorInLease)^4+((DATE(2027+4,4,30)-F114)/365.25)*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)))),0)</f>
        <v/>
      </c>
      <c r="S114" s="5">
        <f>IFERROR(IF(I114="LeaseUp",H114*D114*(1+GrowthMarketRent)^5*IF(5=0,(12-DowntimeNew)/12,1),IF(F114="",0,IF(F114&gt;=DATE(2027+5,4,30),G114*D114*(1+EscalatorInLease)^5,IF(F114&lt;DATE(2026+5,5,1),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,((F114-DATE(2026+5,5,1))/365.25)*G114*D114*(1+EscalatorInLease)^5+((DATE(2027+5,4,30)-F114)/365.25)*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)))),0)</f>
        <v/>
      </c>
      <c r="T114" s="5">
        <f>IFERROR(IF(I114="LeaseUp",H114*D114*(1+GrowthMarketRent)^6*IF(6=0,(12-DowntimeNew)/12,1),IF(F114="",0,IF(F114&gt;=DATE(2027+6,4,30),G114*D114*(1+EscalatorInLease)^6,IF(F114&lt;DATE(2026+6,5,1),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,((F114-DATE(2026+6,5,1))/365.25)*G114*D114*(1+EscalatorInLease)^6+((DATE(2027+6,4,30)-F114)/365.25)*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)))),0)</f>
        <v/>
      </c>
      <c r="U114" s="5">
        <f>IFERROR(IF(I114="LeaseUp",H114*D114*(1+GrowthMarketRent)^7*IF(7=0,(12-DowntimeNew)/12,1),IF(F114="",0,IF(F114&gt;=DATE(2027+7,4,30),G114*D114*(1+EscalatorInLease)^7,IF(F114&lt;DATE(2026+7,5,1),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,((F114-DATE(2026+7,5,1))/365.25)*G114*D114*(1+EscalatorInLease)^7+((DATE(2027+7,4,30)-F114)/365.25)*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)))),0)</f>
        <v/>
      </c>
      <c r="V114" s="5">
        <f>IFERROR(IF(I114="LeaseUp",H114*D114*(1+GrowthMarketRent)^8*IF(8=0,(12-DowntimeNew)/12,1),IF(F114="",0,IF(F114&gt;=DATE(2027+8,4,30),G114*D114*(1+EscalatorInLease)^8,IF(F114&lt;DATE(2026+8,5,1),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,((F114-DATE(2026+8,5,1))/365.25)*G114*D114*(1+EscalatorInLease)^8+((DATE(2027+8,4,30)-F114)/365.25)*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)))),0)</f>
        <v/>
      </c>
      <c r="W114" s="5">
        <f>IFERROR(IF(I114="LeaseUp",H114*D114*(1+GrowthMarketRent)^9*IF(9=0,(12-DowntimeNew)/12,1),IF(F114="",0,IF(F114&gt;=DATE(2027+9,4,30),G114*D114*(1+EscalatorInLease)^9,IF(F114&lt;DATE(2026+9,5,1),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,((F114-DATE(2026+9,5,1))/365.25)*G114*D114*(1+EscalatorInLease)^9+((DATE(2027+9,4,30)-F114)/365.25)*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)))),0)</f>
        <v/>
      </c>
      <c r="X114" s="5">
        <f>IFERROR(IF(I114="LeaseUp",H114*D114*(1+GrowthMarketRent)^10*IF(10=0,(12-DowntimeNew)/12,1),IF(F114="",0,IF(F114&gt;=DATE(2027+10,4,30),G114*D114*(1+EscalatorInLease)^10,IF(F114&lt;DATE(2026+10,5,1),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,((F114-DATE(2026+10,5,1))/365.25)*G114*D114*(1+EscalatorInLease)^10+((DATE(2027+10,4,30)-F114)/365.25)*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)))),0)</f>
        <v/>
      </c>
      <c r="Y114" s="5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5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5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5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5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5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5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5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5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5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5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9" t="n">
        <v>1870</v>
      </c>
      <c r="E115" s="40" t="n">
        <v>45078</v>
      </c>
      <c r="F115" s="40" t="n">
        <v>46327</v>
      </c>
      <c r="G115" s="41" t="n">
        <v>15.2342245989305</v>
      </c>
      <c r="H115" s="10">
        <f>VLOOKUP(A115,MLA!$A$5:$L$11,3,FALSE)</f>
        <v/>
      </c>
      <c r="I115" s="25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7">
        <f>IF(E115="",0,(AnalysisStart-E115)/365.25)</f>
        <v/>
      </c>
      <c r="N115" s="5">
        <f>IFERROR(IF(I115="LeaseUp",H115*D115*(1+GrowthMarketRent)^0*IF(0=0,(12-DowntimeNew)/12,1),IF(F115="",0,IF(F115&gt;=DATE(2027+0,4,30),G115*D115*(1+EscalatorInLease)^0,IF(F115&lt;DATE(2026+0,5,1),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,((F115-DATE(2026+0,5,1))/365.25)*G115*D115*(1+EscalatorInLease)^0+((DATE(2027+0,4,30)-F115)/365.25)*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)))),0)</f>
        <v/>
      </c>
      <c r="O115" s="5">
        <f>IFERROR(IF(I115="LeaseUp",H115*D115*(1+GrowthMarketRent)^1*IF(1=0,(12-DowntimeNew)/12,1),IF(F115="",0,IF(F115&gt;=DATE(2027+1,4,30),G115*D115*(1+EscalatorInLease)^1,IF(F115&lt;DATE(2026+1,5,1),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,((F115-DATE(2026+1,5,1))/365.25)*G115*D115*(1+EscalatorInLease)^1+((DATE(2027+1,4,30)-F115)/365.25)*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)))),0)</f>
        <v/>
      </c>
      <c r="P115" s="5">
        <f>IFERROR(IF(I115="LeaseUp",H115*D115*(1+GrowthMarketRent)^2*IF(2=0,(12-DowntimeNew)/12,1),IF(F115="",0,IF(F115&gt;=DATE(2027+2,4,30),G115*D115*(1+EscalatorInLease)^2,IF(F115&lt;DATE(2026+2,5,1),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,((F115-DATE(2026+2,5,1))/365.25)*G115*D115*(1+EscalatorInLease)^2+((DATE(2027+2,4,30)-F115)/365.25)*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)))),0)</f>
        <v/>
      </c>
      <c r="Q115" s="5">
        <f>IFERROR(IF(I115="LeaseUp",H115*D115*(1+GrowthMarketRent)^3*IF(3=0,(12-DowntimeNew)/12,1),IF(F115="",0,IF(F115&gt;=DATE(2027+3,4,30),G115*D115*(1+EscalatorInLease)^3,IF(F115&lt;DATE(2026+3,5,1),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,((F115-DATE(2026+3,5,1))/365.25)*G115*D115*(1+EscalatorInLease)^3+((DATE(2027+3,4,30)-F115)/365.25)*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)))),0)</f>
        <v/>
      </c>
      <c r="R115" s="5">
        <f>IFERROR(IF(I115="LeaseUp",H115*D115*(1+GrowthMarketRent)^4*IF(4=0,(12-DowntimeNew)/12,1),IF(F115="",0,IF(F115&gt;=DATE(2027+4,4,30),G115*D115*(1+EscalatorInLease)^4,IF(F115&lt;DATE(2026+4,5,1),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,((F115-DATE(2026+4,5,1))/365.25)*G115*D115*(1+EscalatorInLease)^4+((DATE(2027+4,4,30)-F115)/365.25)*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)))),0)</f>
        <v/>
      </c>
      <c r="S115" s="5">
        <f>IFERROR(IF(I115="LeaseUp",H115*D115*(1+GrowthMarketRent)^5*IF(5=0,(12-DowntimeNew)/12,1),IF(F115="",0,IF(F115&gt;=DATE(2027+5,4,30),G115*D115*(1+EscalatorInLease)^5,IF(F115&lt;DATE(2026+5,5,1),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,((F115-DATE(2026+5,5,1))/365.25)*G115*D115*(1+EscalatorInLease)^5+((DATE(2027+5,4,30)-F115)/365.25)*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)))),0)</f>
        <v/>
      </c>
      <c r="T115" s="5">
        <f>IFERROR(IF(I115="LeaseUp",H115*D115*(1+GrowthMarketRent)^6*IF(6=0,(12-DowntimeNew)/12,1),IF(F115="",0,IF(F115&gt;=DATE(2027+6,4,30),G115*D115*(1+EscalatorInLease)^6,IF(F115&lt;DATE(2026+6,5,1),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,((F115-DATE(2026+6,5,1))/365.25)*G115*D115*(1+EscalatorInLease)^6+((DATE(2027+6,4,30)-F115)/365.25)*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)))),0)</f>
        <v/>
      </c>
      <c r="U115" s="5">
        <f>IFERROR(IF(I115="LeaseUp",H115*D115*(1+GrowthMarketRent)^7*IF(7=0,(12-DowntimeNew)/12,1),IF(F115="",0,IF(F115&gt;=DATE(2027+7,4,30),G115*D115*(1+EscalatorInLease)^7,IF(F115&lt;DATE(2026+7,5,1),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,((F115-DATE(2026+7,5,1))/365.25)*G115*D115*(1+EscalatorInLease)^7+((DATE(2027+7,4,30)-F115)/365.25)*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)))),0)</f>
        <v/>
      </c>
      <c r="V115" s="5">
        <f>IFERROR(IF(I115="LeaseUp",H115*D115*(1+GrowthMarketRent)^8*IF(8=0,(12-DowntimeNew)/12,1),IF(F115="",0,IF(F115&gt;=DATE(2027+8,4,30),G115*D115*(1+EscalatorInLease)^8,IF(F115&lt;DATE(2026+8,5,1),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,((F115-DATE(2026+8,5,1))/365.25)*G115*D115*(1+EscalatorInLease)^8+((DATE(2027+8,4,30)-F115)/365.25)*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)))),0)</f>
        <v/>
      </c>
      <c r="W115" s="5">
        <f>IFERROR(IF(I115="LeaseUp",H115*D115*(1+GrowthMarketRent)^9*IF(9=0,(12-DowntimeNew)/12,1),IF(F115="",0,IF(F115&gt;=DATE(2027+9,4,30),G115*D115*(1+EscalatorInLease)^9,IF(F115&lt;DATE(2026+9,5,1),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,((F115-DATE(2026+9,5,1))/365.25)*G115*D115*(1+EscalatorInLease)^9+((DATE(2027+9,4,30)-F115)/365.25)*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)))),0)</f>
        <v/>
      </c>
      <c r="X115" s="5">
        <f>IFERROR(IF(I115="LeaseUp",H115*D115*(1+GrowthMarketRent)^10*IF(10=0,(12-DowntimeNew)/12,1),IF(F115="",0,IF(F115&gt;=DATE(2027+10,4,30),G115*D115*(1+EscalatorInLease)^10,IF(F115&lt;DATE(2026+10,5,1),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,((F115-DATE(2026+10,5,1))/365.25)*G115*D115*(1+EscalatorInLease)^10+((DATE(2027+10,4,30)-F115)/365.25)*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)))),0)</f>
        <v/>
      </c>
      <c r="Y115" s="5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5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5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5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5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5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5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5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5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5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5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9" t="n">
        <v>1870</v>
      </c>
      <c r="E116" s="40" t="n">
        <v>45078</v>
      </c>
      <c r="F116" s="40" t="n">
        <v>46327</v>
      </c>
      <c r="G116" s="41" t="n">
        <v>15.2342245989305</v>
      </c>
      <c r="H116" s="10">
        <f>VLOOKUP(A116,MLA!$A$5:$L$11,3,FALSE)</f>
        <v/>
      </c>
      <c r="I116" s="25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7">
        <f>IF(E116="",0,(AnalysisStart-E116)/365.25)</f>
        <v/>
      </c>
      <c r="N116" s="5">
        <f>IFERROR(IF(I116="LeaseUp",H116*D116*(1+GrowthMarketRent)^0*IF(0=0,(12-DowntimeNew)/12,1),IF(F116="",0,IF(F116&gt;=DATE(2027+0,4,30),G116*D116*(1+EscalatorInLease)^0,IF(F116&lt;DATE(2026+0,5,1),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,((F116-DATE(2026+0,5,1))/365.25)*G116*D116*(1+EscalatorInLease)^0+((DATE(2027+0,4,30)-F116)/365.25)*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)))),0)</f>
        <v/>
      </c>
      <c r="O116" s="5">
        <f>IFERROR(IF(I116="LeaseUp",H116*D116*(1+GrowthMarketRent)^1*IF(1=0,(12-DowntimeNew)/12,1),IF(F116="",0,IF(F116&gt;=DATE(2027+1,4,30),G116*D116*(1+EscalatorInLease)^1,IF(F116&lt;DATE(2026+1,5,1),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,((F116-DATE(2026+1,5,1))/365.25)*G116*D116*(1+EscalatorInLease)^1+((DATE(2027+1,4,30)-F116)/365.25)*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)))),0)</f>
        <v/>
      </c>
      <c r="P116" s="5">
        <f>IFERROR(IF(I116="LeaseUp",H116*D116*(1+GrowthMarketRent)^2*IF(2=0,(12-DowntimeNew)/12,1),IF(F116="",0,IF(F116&gt;=DATE(2027+2,4,30),G116*D116*(1+EscalatorInLease)^2,IF(F116&lt;DATE(2026+2,5,1),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,((F116-DATE(2026+2,5,1))/365.25)*G116*D116*(1+EscalatorInLease)^2+((DATE(2027+2,4,30)-F116)/365.25)*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)))),0)</f>
        <v/>
      </c>
      <c r="Q116" s="5">
        <f>IFERROR(IF(I116="LeaseUp",H116*D116*(1+GrowthMarketRent)^3*IF(3=0,(12-DowntimeNew)/12,1),IF(F116="",0,IF(F116&gt;=DATE(2027+3,4,30),G116*D116*(1+EscalatorInLease)^3,IF(F116&lt;DATE(2026+3,5,1),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,((F116-DATE(2026+3,5,1))/365.25)*G116*D116*(1+EscalatorInLease)^3+((DATE(2027+3,4,30)-F116)/365.25)*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)))),0)</f>
        <v/>
      </c>
      <c r="R116" s="5">
        <f>IFERROR(IF(I116="LeaseUp",H116*D116*(1+GrowthMarketRent)^4*IF(4=0,(12-DowntimeNew)/12,1),IF(F116="",0,IF(F116&gt;=DATE(2027+4,4,30),G116*D116*(1+EscalatorInLease)^4,IF(F116&lt;DATE(2026+4,5,1),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,((F116-DATE(2026+4,5,1))/365.25)*G116*D116*(1+EscalatorInLease)^4+((DATE(2027+4,4,30)-F116)/365.25)*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)))),0)</f>
        <v/>
      </c>
      <c r="S116" s="5">
        <f>IFERROR(IF(I116="LeaseUp",H116*D116*(1+GrowthMarketRent)^5*IF(5=0,(12-DowntimeNew)/12,1),IF(F116="",0,IF(F116&gt;=DATE(2027+5,4,30),G116*D116*(1+EscalatorInLease)^5,IF(F116&lt;DATE(2026+5,5,1),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,((F116-DATE(2026+5,5,1))/365.25)*G116*D116*(1+EscalatorInLease)^5+((DATE(2027+5,4,30)-F116)/365.25)*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)))),0)</f>
        <v/>
      </c>
      <c r="T116" s="5">
        <f>IFERROR(IF(I116="LeaseUp",H116*D116*(1+GrowthMarketRent)^6*IF(6=0,(12-DowntimeNew)/12,1),IF(F116="",0,IF(F116&gt;=DATE(2027+6,4,30),G116*D116*(1+EscalatorInLease)^6,IF(F116&lt;DATE(2026+6,5,1),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,((F116-DATE(2026+6,5,1))/365.25)*G116*D116*(1+EscalatorInLease)^6+((DATE(2027+6,4,30)-F116)/365.25)*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)))),0)</f>
        <v/>
      </c>
      <c r="U116" s="5">
        <f>IFERROR(IF(I116="LeaseUp",H116*D116*(1+GrowthMarketRent)^7*IF(7=0,(12-DowntimeNew)/12,1),IF(F116="",0,IF(F116&gt;=DATE(2027+7,4,30),G116*D116*(1+EscalatorInLease)^7,IF(F116&lt;DATE(2026+7,5,1),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,((F116-DATE(2026+7,5,1))/365.25)*G116*D116*(1+EscalatorInLease)^7+((DATE(2027+7,4,30)-F116)/365.25)*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)))),0)</f>
        <v/>
      </c>
      <c r="V116" s="5">
        <f>IFERROR(IF(I116="LeaseUp",H116*D116*(1+GrowthMarketRent)^8*IF(8=0,(12-DowntimeNew)/12,1),IF(F116="",0,IF(F116&gt;=DATE(2027+8,4,30),G116*D116*(1+EscalatorInLease)^8,IF(F116&lt;DATE(2026+8,5,1),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,((F116-DATE(2026+8,5,1))/365.25)*G116*D116*(1+EscalatorInLease)^8+((DATE(2027+8,4,30)-F116)/365.25)*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)))),0)</f>
        <v/>
      </c>
      <c r="W116" s="5">
        <f>IFERROR(IF(I116="LeaseUp",H116*D116*(1+GrowthMarketRent)^9*IF(9=0,(12-DowntimeNew)/12,1),IF(F116="",0,IF(F116&gt;=DATE(2027+9,4,30),G116*D116*(1+EscalatorInLease)^9,IF(F116&lt;DATE(2026+9,5,1),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,((F116-DATE(2026+9,5,1))/365.25)*G116*D116*(1+EscalatorInLease)^9+((DATE(2027+9,4,30)-F116)/365.25)*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)))),0)</f>
        <v/>
      </c>
      <c r="X116" s="5">
        <f>IFERROR(IF(I116="LeaseUp",H116*D116*(1+GrowthMarketRent)^10*IF(10=0,(12-DowntimeNew)/12,1),IF(F116="",0,IF(F116&gt;=DATE(2027+10,4,30),G116*D116*(1+EscalatorInLease)^10,IF(F116&lt;DATE(2026+10,5,1),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,((F116-DATE(2026+10,5,1))/365.25)*G116*D116*(1+EscalatorInLease)^10+((DATE(2027+10,4,30)-F116)/365.25)*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)))),0)</f>
        <v/>
      </c>
      <c r="Y116" s="5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5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5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5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5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5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5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5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5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5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5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9" t="n">
        <v>1870</v>
      </c>
      <c r="E117" s="40" t="n">
        <v>45261</v>
      </c>
      <c r="F117" s="40" t="n">
        <v>46508</v>
      </c>
      <c r="G117" s="41" t="n">
        <v>15.4967914438503</v>
      </c>
      <c r="H117" s="10">
        <f>VLOOKUP(A117,MLA!$A$5:$L$11,3,FALSE)</f>
        <v/>
      </c>
      <c r="I117" s="25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7">
        <f>IF(E117="",0,(AnalysisStart-E117)/365.25)</f>
        <v/>
      </c>
      <c r="N117" s="5">
        <f>IFERROR(IF(I117="LeaseUp",H117*D117*(1+GrowthMarketRent)^0*IF(0=0,(12-DowntimeNew)/12,1),IF(F117="",0,IF(F117&gt;=DATE(2027+0,4,30),G117*D117*(1+EscalatorInLease)^0,IF(F117&lt;DATE(2026+0,5,1),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,((F117-DATE(2026+0,5,1))/365.25)*G117*D117*(1+EscalatorInLease)^0+((DATE(2027+0,4,30)-F117)/365.25)*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)))),0)</f>
        <v/>
      </c>
      <c r="O117" s="5">
        <f>IFERROR(IF(I117="LeaseUp",H117*D117*(1+GrowthMarketRent)^1*IF(1=0,(12-DowntimeNew)/12,1),IF(F117="",0,IF(F117&gt;=DATE(2027+1,4,30),G117*D117*(1+EscalatorInLease)^1,IF(F117&lt;DATE(2026+1,5,1),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,((F117-DATE(2026+1,5,1))/365.25)*G117*D117*(1+EscalatorInLease)^1+((DATE(2027+1,4,30)-F117)/365.25)*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)))),0)</f>
        <v/>
      </c>
      <c r="P117" s="5">
        <f>IFERROR(IF(I117="LeaseUp",H117*D117*(1+GrowthMarketRent)^2*IF(2=0,(12-DowntimeNew)/12,1),IF(F117="",0,IF(F117&gt;=DATE(2027+2,4,30),G117*D117*(1+EscalatorInLease)^2,IF(F117&lt;DATE(2026+2,5,1),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,((F117-DATE(2026+2,5,1))/365.25)*G117*D117*(1+EscalatorInLease)^2+((DATE(2027+2,4,30)-F117)/365.25)*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)))),0)</f>
        <v/>
      </c>
      <c r="Q117" s="5">
        <f>IFERROR(IF(I117="LeaseUp",H117*D117*(1+GrowthMarketRent)^3*IF(3=0,(12-DowntimeNew)/12,1),IF(F117="",0,IF(F117&gt;=DATE(2027+3,4,30),G117*D117*(1+EscalatorInLease)^3,IF(F117&lt;DATE(2026+3,5,1),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,((F117-DATE(2026+3,5,1))/365.25)*G117*D117*(1+EscalatorInLease)^3+((DATE(2027+3,4,30)-F117)/365.25)*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)))),0)</f>
        <v/>
      </c>
      <c r="R117" s="5">
        <f>IFERROR(IF(I117="LeaseUp",H117*D117*(1+GrowthMarketRent)^4*IF(4=0,(12-DowntimeNew)/12,1),IF(F117="",0,IF(F117&gt;=DATE(2027+4,4,30),G117*D117*(1+EscalatorInLease)^4,IF(F117&lt;DATE(2026+4,5,1),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,((F117-DATE(2026+4,5,1))/365.25)*G117*D117*(1+EscalatorInLease)^4+((DATE(2027+4,4,30)-F117)/365.25)*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)))),0)</f>
        <v/>
      </c>
      <c r="S117" s="5">
        <f>IFERROR(IF(I117="LeaseUp",H117*D117*(1+GrowthMarketRent)^5*IF(5=0,(12-DowntimeNew)/12,1),IF(F117="",0,IF(F117&gt;=DATE(2027+5,4,30),G117*D117*(1+EscalatorInLease)^5,IF(F117&lt;DATE(2026+5,5,1),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,((F117-DATE(2026+5,5,1))/365.25)*G117*D117*(1+EscalatorInLease)^5+((DATE(2027+5,4,30)-F117)/365.25)*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)))),0)</f>
        <v/>
      </c>
      <c r="T117" s="5">
        <f>IFERROR(IF(I117="LeaseUp",H117*D117*(1+GrowthMarketRent)^6*IF(6=0,(12-DowntimeNew)/12,1),IF(F117="",0,IF(F117&gt;=DATE(2027+6,4,30),G117*D117*(1+EscalatorInLease)^6,IF(F117&lt;DATE(2026+6,5,1),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,((F117-DATE(2026+6,5,1))/365.25)*G117*D117*(1+EscalatorInLease)^6+((DATE(2027+6,4,30)-F117)/365.25)*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)))),0)</f>
        <v/>
      </c>
      <c r="U117" s="5">
        <f>IFERROR(IF(I117="LeaseUp",H117*D117*(1+GrowthMarketRent)^7*IF(7=0,(12-DowntimeNew)/12,1),IF(F117="",0,IF(F117&gt;=DATE(2027+7,4,30),G117*D117*(1+EscalatorInLease)^7,IF(F117&lt;DATE(2026+7,5,1),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,((F117-DATE(2026+7,5,1))/365.25)*G117*D117*(1+EscalatorInLease)^7+((DATE(2027+7,4,30)-F117)/365.25)*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)))),0)</f>
        <v/>
      </c>
      <c r="V117" s="5">
        <f>IFERROR(IF(I117="LeaseUp",H117*D117*(1+GrowthMarketRent)^8*IF(8=0,(12-DowntimeNew)/12,1),IF(F117="",0,IF(F117&gt;=DATE(2027+8,4,30),G117*D117*(1+EscalatorInLease)^8,IF(F117&lt;DATE(2026+8,5,1),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,((F117-DATE(2026+8,5,1))/365.25)*G117*D117*(1+EscalatorInLease)^8+((DATE(2027+8,4,30)-F117)/365.25)*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)))),0)</f>
        <v/>
      </c>
      <c r="W117" s="5">
        <f>IFERROR(IF(I117="LeaseUp",H117*D117*(1+GrowthMarketRent)^9*IF(9=0,(12-DowntimeNew)/12,1),IF(F117="",0,IF(F117&gt;=DATE(2027+9,4,30),G117*D117*(1+EscalatorInLease)^9,IF(F117&lt;DATE(2026+9,5,1),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,((F117-DATE(2026+9,5,1))/365.25)*G117*D117*(1+EscalatorInLease)^9+((DATE(2027+9,4,30)-F117)/365.25)*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)))),0)</f>
        <v/>
      </c>
      <c r="X117" s="5">
        <f>IFERROR(IF(I117="LeaseUp",H117*D117*(1+GrowthMarketRent)^10*IF(10=0,(12-DowntimeNew)/12,1),IF(F117="",0,IF(F117&gt;=DATE(2027+10,4,30),G117*D117*(1+EscalatorInLease)^10,IF(F117&lt;DATE(2026+10,5,1),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,((F117-DATE(2026+10,5,1))/365.25)*G117*D117*(1+EscalatorInLease)^10+((DATE(2027+10,4,30)-F117)/365.25)*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)))),0)</f>
        <v/>
      </c>
      <c r="Y117" s="5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5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5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5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5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5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5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5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5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5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5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9" t="n">
        <v>1870</v>
      </c>
      <c r="E118" s="40" t="n">
        <v>45078</v>
      </c>
      <c r="F118" s="40" t="n">
        <v>46874</v>
      </c>
      <c r="G118" s="41" t="n">
        <v>15.2342245989305</v>
      </c>
      <c r="H118" s="10">
        <f>VLOOKUP(A118,MLA!$A$5:$L$11,3,FALSE)</f>
        <v/>
      </c>
      <c r="I118" s="25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7">
        <f>IF(E118="",0,(AnalysisStart-E118)/365.25)</f>
        <v/>
      </c>
      <c r="N118" s="5">
        <f>IFERROR(IF(I118="LeaseUp",H118*D118*(1+GrowthMarketRent)^0*IF(0=0,(12-DowntimeNew)/12,1),IF(F118="",0,IF(F118&gt;=DATE(2027+0,4,30),G118*D118*(1+EscalatorInLease)^0,IF(F118&lt;DATE(2026+0,5,1),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,((F118-DATE(2026+0,5,1))/365.25)*G118*D118*(1+EscalatorInLease)^0+((DATE(2027+0,4,30)-F118)/365.25)*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)))),0)</f>
        <v/>
      </c>
      <c r="O118" s="5">
        <f>IFERROR(IF(I118="LeaseUp",H118*D118*(1+GrowthMarketRent)^1*IF(1=0,(12-DowntimeNew)/12,1),IF(F118="",0,IF(F118&gt;=DATE(2027+1,4,30),G118*D118*(1+EscalatorInLease)^1,IF(F118&lt;DATE(2026+1,5,1),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,((F118-DATE(2026+1,5,1))/365.25)*G118*D118*(1+EscalatorInLease)^1+((DATE(2027+1,4,30)-F118)/365.25)*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)))),0)</f>
        <v/>
      </c>
      <c r="P118" s="5">
        <f>IFERROR(IF(I118="LeaseUp",H118*D118*(1+GrowthMarketRent)^2*IF(2=0,(12-DowntimeNew)/12,1),IF(F118="",0,IF(F118&gt;=DATE(2027+2,4,30),G118*D118*(1+EscalatorInLease)^2,IF(F118&lt;DATE(2026+2,5,1),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,((F118-DATE(2026+2,5,1))/365.25)*G118*D118*(1+EscalatorInLease)^2+((DATE(2027+2,4,30)-F118)/365.25)*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)))),0)</f>
        <v/>
      </c>
      <c r="Q118" s="5">
        <f>IFERROR(IF(I118="LeaseUp",H118*D118*(1+GrowthMarketRent)^3*IF(3=0,(12-DowntimeNew)/12,1),IF(F118="",0,IF(F118&gt;=DATE(2027+3,4,30),G118*D118*(1+EscalatorInLease)^3,IF(F118&lt;DATE(2026+3,5,1),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,((F118-DATE(2026+3,5,1))/365.25)*G118*D118*(1+EscalatorInLease)^3+((DATE(2027+3,4,30)-F118)/365.25)*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)))),0)</f>
        <v/>
      </c>
      <c r="R118" s="5">
        <f>IFERROR(IF(I118="LeaseUp",H118*D118*(1+GrowthMarketRent)^4*IF(4=0,(12-DowntimeNew)/12,1),IF(F118="",0,IF(F118&gt;=DATE(2027+4,4,30),G118*D118*(1+EscalatorInLease)^4,IF(F118&lt;DATE(2026+4,5,1),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,((F118-DATE(2026+4,5,1))/365.25)*G118*D118*(1+EscalatorInLease)^4+((DATE(2027+4,4,30)-F118)/365.25)*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)))),0)</f>
        <v/>
      </c>
      <c r="S118" s="5">
        <f>IFERROR(IF(I118="LeaseUp",H118*D118*(1+GrowthMarketRent)^5*IF(5=0,(12-DowntimeNew)/12,1),IF(F118="",0,IF(F118&gt;=DATE(2027+5,4,30),G118*D118*(1+EscalatorInLease)^5,IF(F118&lt;DATE(2026+5,5,1),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,((F118-DATE(2026+5,5,1))/365.25)*G118*D118*(1+EscalatorInLease)^5+((DATE(2027+5,4,30)-F118)/365.25)*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)))),0)</f>
        <v/>
      </c>
      <c r="T118" s="5">
        <f>IFERROR(IF(I118="LeaseUp",H118*D118*(1+GrowthMarketRent)^6*IF(6=0,(12-DowntimeNew)/12,1),IF(F118="",0,IF(F118&gt;=DATE(2027+6,4,30),G118*D118*(1+EscalatorInLease)^6,IF(F118&lt;DATE(2026+6,5,1),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,((F118-DATE(2026+6,5,1))/365.25)*G118*D118*(1+EscalatorInLease)^6+((DATE(2027+6,4,30)-F118)/365.25)*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)))),0)</f>
        <v/>
      </c>
      <c r="U118" s="5">
        <f>IFERROR(IF(I118="LeaseUp",H118*D118*(1+GrowthMarketRent)^7*IF(7=0,(12-DowntimeNew)/12,1),IF(F118="",0,IF(F118&gt;=DATE(2027+7,4,30),G118*D118*(1+EscalatorInLease)^7,IF(F118&lt;DATE(2026+7,5,1),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,((F118-DATE(2026+7,5,1))/365.25)*G118*D118*(1+EscalatorInLease)^7+((DATE(2027+7,4,30)-F118)/365.25)*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)))),0)</f>
        <v/>
      </c>
      <c r="V118" s="5">
        <f>IFERROR(IF(I118="LeaseUp",H118*D118*(1+GrowthMarketRent)^8*IF(8=0,(12-DowntimeNew)/12,1),IF(F118="",0,IF(F118&gt;=DATE(2027+8,4,30),G118*D118*(1+EscalatorInLease)^8,IF(F118&lt;DATE(2026+8,5,1),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,((F118-DATE(2026+8,5,1))/365.25)*G118*D118*(1+EscalatorInLease)^8+((DATE(2027+8,4,30)-F118)/365.25)*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)))),0)</f>
        <v/>
      </c>
      <c r="W118" s="5">
        <f>IFERROR(IF(I118="LeaseUp",H118*D118*(1+GrowthMarketRent)^9*IF(9=0,(12-DowntimeNew)/12,1),IF(F118="",0,IF(F118&gt;=DATE(2027+9,4,30),G118*D118*(1+EscalatorInLease)^9,IF(F118&lt;DATE(2026+9,5,1),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,((F118-DATE(2026+9,5,1))/365.25)*G118*D118*(1+EscalatorInLease)^9+((DATE(2027+9,4,30)-F118)/365.25)*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)))),0)</f>
        <v/>
      </c>
      <c r="X118" s="5">
        <f>IFERROR(IF(I118="LeaseUp",H118*D118*(1+GrowthMarketRent)^10*IF(10=0,(12-DowntimeNew)/12,1),IF(F118="",0,IF(F118&gt;=DATE(2027+10,4,30),G118*D118*(1+EscalatorInLease)^10,IF(F118&lt;DATE(2026+10,5,1),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,((F118-DATE(2026+10,5,1))/365.25)*G118*D118*(1+EscalatorInLease)^10+((DATE(2027+10,4,30)-F118)/365.25)*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)))),0)</f>
        <v/>
      </c>
      <c r="Y118" s="5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5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5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5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5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5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5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5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5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5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5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9" t="n">
        <v>3450</v>
      </c>
      <c r="E119" s="40" t="n">
        <v>45809</v>
      </c>
      <c r="F119" s="40" t="n">
        <v>47058</v>
      </c>
      <c r="G119" s="41" t="n">
        <v>16</v>
      </c>
      <c r="H119" s="10">
        <f>VLOOKUP(A119,MLA!$A$5:$L$11,3,FALSE)</f>
        <v/>
      </c>
      <c r="I119" s="25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7">
        <f>IF(E119="",0,(AnalysisStart-E119)/365.25)</f>
        <v/>
      </c>
      <c r="N119" s="5">
        <f>IFERROR(IF(I119="LeaseUp",H119*D119*(1+GrowthMarketRent)^0*IF(0=0,(12-DowntimeNew)/12,1),IF(F119="",0,IF(F119&gt;=DATE(2027+0,4,30),G119*D119*(1+EscalatorInLease)^0,IF(F119&lt;DATE(2026+0,5,1),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,((F119-DATE(2026+0,5,1))/365.25)*G119*D119*(1+EscalatorInLease)^0+((DATE(2027+0,4,30)-F119)/365.25)*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)))),0)</f>
        <v/>
      </c>
      <c r="O119" s="5">
        <f>IFERROR(IF(I119="LeaseUp",H119*D119*(1+GrowthMarketRent)^1*IF(1=0,(12-DowntimeNew)/12,1),IF(F119="",0,IF(F119&gt;=DATE(2027+1,4,30),G119*D119*(1+EscalatorInLease)^1,IF(F119&lt;DATE(2026+1,5,1),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,((F119-DATE(2026+1,5,1))/365.25)*G119*D119*(1+EscalatorInLease)^1+((DATE(2027+1,4,30)-F119)/365.25)*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)))),0)</f>
        <v/>
      </c>
      <c r="P119" s="5">
        <f>IFERROR(IF(I119="LeaseUp",H119*D119*(1+GrowthMarketRent)^2*IF(2=0,(12-DowntimeNew)/12,1),IF(F119="",0,IF(F119&gt;=DATE(2027+2,4,30),G119*D119*(1+EscalatorInLease)^2,IF(F119&lt;DATE(2026+2,5,1),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,((F119-DATE(2026+2,5,1))/365.25)*G119*D119*(1+EscalatorInLease)^2+((DATE(2027+2,4,30)-F119)/365.25)*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)))),0)</f>
        <v/>
      </c>
      <c r="Q119" s="5">
        <f>IFERROR(IF(I119="LeaseUp",H119*D119*(1+GrowthMarketRent)^3*IF(3=0,(12-DowntimeNew)/12,1),IF(F119="",0,IF(F119&gt;=DATE(2027+3,4,30),G119*D119*(1+EscalatorInLease)^3,IF(F119&lt;DATE(2026+3,5,1),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,((F119-DATE(2026+3,5,1))/365.25)*G119*D119*(1+EscalatorInLease)^3+((DATE(2027+3,4,30)-F119)/365.25)*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)))),0)</f>
        <v/>
      </c>
      <c r="R119" s="5">
        <f>IFERROR(IF(I119="LeaseUp",H119*D119*(1+GrowthMarketRent)^4*IF(4=0,(12-DowntimeNew)/12,1),IF(F119="",0,IF(F119&gt;=DATE(2027+4,4,30),G119*D119*(1+EscalatorInLease)^4,IF(F119&lt;DATE(2026+4,5,1),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,((F119-DATE(2026+4,5,1))/365.25)*G119*D119*(1+EscalatorInLease)^4+((DATE(2027+4,4,30)-F119)/365.25)*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)))),0)</f>
        <v/>
      </c>
      <c r="S119" s="5">
        <f>IFERROR(IF(I119="LeaseUp",H119*D119*(1+GrowthMarketRent)^5*IF(5=0,(12-DowntimeNew)/12,1),IF(F119="",0,IF(F119&gt;=DATE(2027+5,4,30),G119*D119*(1+EscalatorInLease)^5,IF(F119&lt;DATE(2026+5,5,1),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,((F119-DATE(2026+5,5,1))/365.25)*G119*D119*(1+EscalatorInLease)^5+((DATE(2027+5,4,30)-F119)/365.25)*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)))),0)</f>
        <v/>
      </c>
      <c r="T119" s="5">
        <f>IFERROR(IF(I119="LeaseUp",H119*D119*(1+GrowthMarketRent)^6*IF(6=0,(12-DowntimeNew)/12,1),IF(F119="",0,IF(F119&gt;=DATE(2027+6,4,30),G119*D119*(1+EscalatorInLease)^6,IF(F119&lt;DATE(2026+6,5,1),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,((F119-DATE(2026+6,5,1))/365.25)*G119*D119*(1+EscalatorInLease)^6+((DATE(2027+6,4,30)-F119)/365.25)*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)))),0)</f>
        <v/>
      </c>
      <c r="U119" s="5">
        <f>IFERROR(IF(I119="LeaseUp",H119*D119*(1+GrowthMarketRent)^7*IF(7=0,(12-DowntimeNew)/12,1),IF(F119="",0,IF(F119&gt;=DATE(2027+7,4,30),G119*D119*(1+EscalatorInLease)^7,IF(F119&lt;DATE(2026+7,5,1),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,((F119-DATE(2026+7,5,1))/365.25)*G119*D119*(1+EscalatorInLease)^7+((DATE(2027+7,4,30)-F119)/365.25)*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)))),0)</f>
        <v/>
      </c>
      <c r="V119" s="5">
        <f>IFERROR(IF(I119="LeaseUp",H119*D119*(1+GrowthMarketRent)^8*IF(8=0,(12-DowntimeNew)/12,1),IF(F119="",0,IF(F119&gt;=DATE(2027+8,4,30),G119*D119*(1+EscalatorInLease)^8,IF(F119&lt;DATE(2026+8,5,1),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,((F119-DATE(2026+8,5,1))/365.25)*G119*D119*(1+EscalatorInLease)^8+((DATE(2027+8,4,30)-F119)/365.25)*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)))),0)</f>
        <v/>
      </c>
      <c r="W119" s="5">
        <f>IFERROR(IF(I119="LeaseUp",H119*D119*(1+GrowthMarketRent)^9*IF(9=0,(12-DowntimeNew)/12,1),IF(F119="",0,IF(F119&gt;=DATE(2027+9,4,30),G119*D119*(1+EscalatorInLease)^9,IF(F119&lt;DATE(2026+9,5,1),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,((F119-DATE(2026+9,5,1))/365.25)*G119*D119*(1+EscalatorInLease)^9+((DATE(2027+9,4,30)-F119)/365.25)*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)))),0)</f>
        <v/>
      </c>
      <c r="X119" s="5">
        <f>IFERROR(IF(I119="LeaseUp",H119*D119*(1+GrowthMarketRent)^10*IF(10=0,(12-DowntimeNew)/12,1),IF(F119="",0,IF(F119&gt;=DATE(2027+10,4,30),G119*D119*(1+EscalatorInLease)^10,IF(F119&lt;DATE(2026+10,5,1),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,((F119-DATE(2026+10,5,1))/365.25)*G119*D119*(1+EscalatorInLease)^10+((DATE(2027+10,4,30)-F119)/365.25)*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)))),0)</f>
        <v/>
      </c>
      <c r="Y119" s="5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5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5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5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5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5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5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5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5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5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5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9" t="n">
        <v>3050</v>
      </c>
      <c r="E120" s="40" t="n">
        <v>44958</v>
      </c>
      <c r="F120" s="40" t="n">
        <v>46235</v>
      </c>
      <c r="G120" s="41" t="n">
        <v>0</v>
      </c>
      <c r="H120" s="10">
        <f>VLOOKUP(A120,MLA!$A$5:$L$11,3,FALSE)</f>
        <v/>
      </c>
      <c r="I120" s="25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7">
        <f>IF(E120="",0,(AnalysisStart-E120)/365.25)</f>
        <v/>
      </c>
      <c r="N120" s="5">
        <f>IFERROR(IF(I120="LeaseUp",H120*D120*(1+GrowthMarketRent)^0*IF(0=0,(12-DowntimeNew)/12,1),IF(F120="",0,IF(F120&gt;=DATE(2027+0,4,30),G120*D120*(1+EscalatorInLease)^0,IF(F120&lt;DATE(2026+0,5,1),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,((F120-DATE(2026+0,5,1))/365.25)*G120*D120*(1+EscalatorInLease)^0+((DATE(2027+0,4,30)-F120)/365.25)*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)))),0)</f>
        <v/>
      </c>
      <c r="O120" s="5">
        <f>IFERROR(IF(I120="LeaseUp",H120*D120*(1+GrowthMarketRent)^1*IF(1=0,(12-DowntimeNew)/12,1),IF(F120="",0,IF(F120&gt;=DATE(2027+1,4,30),G120*D120*(1+EscalatorInLease)^1,IF(F120&lt;DATE(2026+1,5,1),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,((F120-DATE(2026+1,5,1))/365.25)*G120*D120*(1+EscalatorInLease)^1+((DATE(2027+1,4,30)-F120)/365.25)*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)))),0)</f>
        <v/>
      </c>
      <c r="P120" s="5">
        <f>IFERROR(IF(I120="LeaseUp",H120*D120*(1+GrowthMarketRent)^2*IF(2=0,(12-DowntimeNew)/12,1),IF(F120="",0,IF(F120&gt;=DATE(2027+2,4,30),G120*D120*(1+EscalatorInLease)^2,IF(F120&lt;DATE(2026+2,5,1),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,((F120-DATE(2026+2,5,1))/365.25)*G120*D120*(1+EscalatorInLease)^2+((DATE(2027+2,4,30)-F120)/365.25)*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)))),0)</f>
        <v/>
      </c>
      <c r="Q120" s="5">
        <f>IFERROR(IF(I120="LeaseUp",H120*D120*(1+GrowthMarketRent)^3*IF(3=0,(12-DowntimeNew)/12,1),IF(F120="",0,IF(F120&gt;=DATE(2027+3,4,30),G120*D120*(1+EscalatorInLease)^3,IF(F120&lt;DATE(2026+3,5,1),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,((F120-DATE(2026+3,5,1))/365.25)*G120*D120*(1+EscalatorInLease)^3+((DATE(2027+3,4,30)-F120)/365.25)*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)))),0)</f>
        <v/>
      </c>
      <c r="R120" s="5">
        <f>IFERROR(IF(I120="LeaseUp",H120*D120*(1+GrowthMarketRent)^4*IF(4=0,(12-DowntimeNew)/12,1),IF(F120="",0,IF(F120&gt;=DATE(2027+4,4,30),G120*D120*(1+EscalatorInLease)^4,IF(F120&lt;DATE(2026+4,5,1),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,((F120-DATE(2026+4,5,1))/365.25)*G120*D120*(1+EscalatorInLease)^4+((DATE(2027+4,4,30)-F120)/365.25)*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)))),0)</f>
        <v/>
      </c>
      <c r="S120" s="5">
        <f>IFERROR(IF(I120="LeaseUp",H120*D120*(1+GrowthMarketRent)^5*IF(5=0,(12-DowntimeNew)/12,1),IF(F120="",0,IF(F120&gt;=DATE(2027+5,4,30),G120*D120*(1+EscalatorInLease)^5,IF(F120&lt;DATE(2026+5,5,1),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,((F120-DATE(2026+5,5,1))/365.25)*G120*D120*(1+EscalatorInLease)^5+((DATE(2027+5,4,30)-F120)/365.25)*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)))),0)</f>
        <v/>
      </c>
      <c r="T120" s="5">
        <f>IFERROR(IF(I120="LeaseUp",H120*D120*(1+GrowthMarketRent)^6*IF(6=0,(12-DowntimeNew)/12,1),IF(F120="",0,IF(F120&gt;=DATE(2027+6,4,30),G120*D120*(1+EscalatorInLease)^6,IF(F120&lt;DATE(2026+6,5,1),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,((F120-DATE(2026+6,5,1))/365.25)*G120*D120*(1+EscalatorInLease)^6+((DATE(2027+6,4,30)-F120)/365.25)*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)))),0)</f>
        <v/>
      </c>
      <c r="U120" s="5">
        <f>IFERROR(IF(I120="LeaseUp",H120*D120*(1+GrowthMarketRent)^7*IF(7=0,(12-DowntimeNew)/12,1),IF(F120="",0,IF(F120&gt;=DATE(2027+7,4,30),G120*D120*(1+EscalatorInLease)^7,IF(F120&lt;DATE(2026+7,5,1),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,((F120-DATE(2026+7,5,1))/365.25)*G120*D120*(1+EscalatorInLease)^7+((DATE(2027+7,4,30)-F120)/365.25)*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)))),0)</f>
        <v/>
      </c>
      <c r="V120" s="5">
        <f>IFERROR(IF(I120="LeaseUp",H120*D120*(1+GrowthMarketRent)^8*IF(8=0,(12-DowntimeNew)/12,1),IF(F120="",0,IF(F120&gt;=DATE(2027+8,4,30),G120*D120*(1+EscalatorInLease)^8,IF(F120&lt;DATE(2026+8,5,1),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,((F120-DATE(2026+8,5,1))/365.25)*G120*D120*(1+EscalatorInLease)^8+((DATE(2027+8,4,30)-F120)/365.25)*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)))),0)</f>
        <v/>
      </c>
      <c r="W120" s="5">
        <f>IFERROR(IF(I120="LeaseUp",H120*D120*(1+GrowthMarketRent)^9*IF(9=0,(12-DowntimeNew)/12,1),IF(F120="",0,IF(F120&gt;=DATE(2027+9,4,30),G120*D120*(1+EscalatorInLease)^9,IF(F120&lt;DATE(2026+9,5,1),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,((F120-DATE(2026+9,5,1))/365.25)*G120*D120*(1+EscalatorInLease)^9+((DATE(2027+9,4,30)-F120)/365.25)*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)))),0)</f>
        <v/>
      </c>
      <c r="X120" s="5">
        <f>IFERROR(IF(I120="LeaseUp",H120*D120*(1+GrowthMarketRent)^10*IF(10=0,(12-DowntimeNew)/12,1),IF(F120="",0,IF(F120&gt;=DATE(2027+10,4,30),G120*D120*(1+EscalatorInLease)^10,IF(F120&lt;DATE(2026+10,5,1),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,((F120-DATE(2026+10,5,1))/365.25)*G120*D120*(1+EscalatorInLease)^10+((DATE(2027+10,4,30)-F120)/365.25)*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)))),0)</f>
        <v/>
      </c>
      <c r="Y120" s="5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5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5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5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5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5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5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5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5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5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5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9" t="n">
        <v>2600</v>
      </c>
      <c r="E121" s="40" t="n">
        <v>45809</v>
      </c>
      <c r="F121" s="40" t="n">
        <v>47058</v>
      </c>
      <c r="G121" s="41" t="n">
        <v>16</v>
      </c>
      <c r="H121" s="10">
        <f>VLOOKUP(A121,MLA!$A$5:$L$11,3,FALSE)</f>
        <v/>
      </c>
      <c r="I121" s="25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7">
        <f>IF(E121="",0,(AnalysisStart-E121)/365.25)</f>
        <v/>
      </c>
      <c r="N121" s="5">
        <f>IFERROR(IF(I121="LeaseUp",H121*D121*(1+GrowthMarketRent)^0*IF(0=0,(12-DowntimeNew)/12,1),IF(F121="",0,IF(F121&gt;=DATE(2027+0,4,30),G121*D121*(1+EscalatorInLease)^0,IF(F121&lt;DATE(2026+0,5,1),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,((F121-DATE(2026+0,5,1))/365.25)*G121*D121*(1+EscalatorInLease)^0+((DATE(2027+0,4,30)-F121)/365.25)*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)))),0)</f>
        <v/>
      </c>
      <c r="O121" s="5">
        <f>IFERROR(IF(I121="LeaseUp",H121*D121*(1+GrowthMarketRent)^1*IF(1=0,(12-DowntimeNew)/12,1),IF(F121="",0,IF(F121&gt;=DATE(2027+1,4,30),G121*D121*(1+EscalatorInLease)^1,IF(F121&lt;DATE(2026+1,5,1),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,((F121-DATE(2026+1,5,1))/365.25)*G121*D121*(1+EscalatorInLease)^1+((DATE(2027+1,4,30)-F121)/365.25)*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)))),0)</f>
        <v/>
      </c>
      <c r="P121" s="5">
        <f>IFERROR(IF(I121="LeaseUp",H121*D121*(1+GrowthMarketRent)^2*IF(2=0,(12-DowntimeNew)/12,1),IF(F121="",0,IF(F121&gt;=DATE(2027+2,4,30),G121*D121*(1+EscalatorInLease)^2,IF(F121&lt;DATE(2026+2,5,1),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,((F121-DATE(2026+2,5,1))/365.25)*G121*D121*(1+EscalatorInLease)^2+((DATE(2027+2,4,30)-F121)/365.25)*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)))),0)</f>
        <v/>
      </c>
      <c r="Q121" s="5">
        <f>IFERROR(IF(I121="LeaseUp",H121*D121*(1+GrowthMarketRent)^3*IF(3=0,(12-DowntimeNew)/12,1),IF(F121="",0,IF(F121&gt;=DATE(2027+3,4,30),G121*D121*(1+EscalatorInLease)^3,IF(F121&lt;DATE(2026+3,5,1),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,((F121-DATE(2026+3,5,1))/365.25)*G121*D121*(1+EscalatorInLease)^3+((DATE(2027+3,4,30)-F121)/365.25)*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)))),0)</f>
        <v/>
      </c>
      <c r="R121" s="5">
        <f>IFERROR(IF(I121="LeaseUp",H121*D121*(1+GrowthMarketRent)^4*IF(4=0,(12-DowntimeNew)/12,1),IF(F121="",0,IF(F121&gt;=DATE(2027+4,4,30),G121*D121*(1+EscalatorInLease)^4,IF(F121&lt;DATE(2026+4,5,1),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,((F121-DATE(2026+4,5,1))/365.25)*G121*D121*(1+EscalatorInLease)^4+((DATE(2027+4,4,30)-F121)/365.25)*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)))),0)</f>
        <v/>
      </c>
      <c r="S121" s="5">
        <f>IFERROR(IF(I121="LeaseUp",H121*D121*(1+GrowthMarketRent)^5*IF(5=0,(12-DowntimeNew)/12,1),IF(F121="",0,IF(F121&gt;=DATE(2027+5,4,30),G121*D121*(1+EscalatorInLease)^5,IF(F121&lt;DATE(2026+5,5,1),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,((F121-DATE(2026+5,5,1))/365.25)*G121*D121*(1+EscalatorInLease)^5+((DATE(2027+5,4,30)-F121)/365.25)*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)))),0)</f>
        <v/>
      </c>
      <c r="T121" s="5">
        <f>IFERROR(IF(I121="LeaseUp",H121*D121*(1+GrowthMarketRent)^6*IF(6=0,(12-DowntimeNew)/12,1),IF(F121="",0,IF(F121&gt;=DATE(2027+6,4,30),G121*D121*(1+EscalatorInLease)^6,IF(F121&lt;DATE(2026+6,5,1),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,((F121-DATE(2026+6,5,1))/365.25)*G121*D121*(1+EscalatorInLease)^6+((DATE(2027+6,4,30)-F121)/365.25)*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)))),0)</f>
        <v/>
      </c>
      <c r="U121" s="5">
        <f>IFERROR(IF(I121="LeaseUp",H121*D121*(1+GrowthMarketRent)^7*IF(7=0,(12-DowntimeNew)/12,1),IF(F121="",0,IF(F121&gt;=DATE(2027+7,4,30),G121*D121*(1+EscalatorInLease)^7,IF(F121&lt;DATE(2026+7,5,1),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,((F121-DATE(2026+7,5,1))/365.25)*G121*D121*(1+EscalatorInLease)^7+((DATE(2027+7,4,30)-F121)/365.25)*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)))),0)</f>
        <v/>
      </c>
      <c r="V121" s="5">
        <f>IFERROR(IF(I121="LeaseUp",H121*D121*(1+GrowthMarketRent)^8*IF(8=0,(12-DowntimeNew)/12,1),IF(F121="",0,IF(F121&gt;=DATE(2027+8,4,30),G121*D121*(1+EscalatorInLease)^8,IF(F121&lt;DATE(2026+8,5,1),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,((F121-DATE(2026+8,5,1))/365.25)*G121*D121*(1+EscalatorInLease)^8+((DATE(2027+8,4,30)-F121)/365.25)*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)))),0)</f>
        <v/>
      </c>
      <c r="W121" s="5">
        <f>IFERROR(IF(I121="LeaseUp",H121*D121*(1+GrowthMarketRent)^9*IF(9=0,(12-DowntimeNew)/12,1),IF(F121="",0,IF(F121&gt;=DATE(2027+9,4,30),G121*D121*(1+EscalatorInLease)^9,IF(F121&lt;DATE(2026+9,5,1),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,((F121-DATE(2026+9,5,1))/365.25)*G121*D121*(1+EscalatorInLease)^9+((DATE(2027+9,4,30)-F121)/365.25)*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)))),0)</f>
        <v/>
      </c>
      <c r="X121" s="5">
        <f>IFERROR(IF(I121="LeaseUp",H121*D121*(1+GrowthMarketRent)^10*IF(10=0,(12-DowntimeNew)/12,1),IF(F121="",0,IF(F121&gt;=DATE(2027+10,4,30),G121*D121*(1+EscalatorInLease)^10,IF(F121&lt;DATE(2026+10,5,1),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,((F121-DATE(2026+10,5,1))/365.25)*G121*D121*(1+EscalatorInLease)^10+((DATE(2027+10,4,30)-F121)/365.25)*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)))),0)</f>
        <v/>
      </c>
      <c r="Y121" s="5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5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5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5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5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5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5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5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5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5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5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9" t="n">
        <v>3050</v>
      </c>
      <c r="E122" s="40" t="n">
        <v>45809</v>
      </c>
      <c r="F122" s="40" t="n">
        <v>47058</v>
      </c>
      <c r="G122" s="41" t="n">
        <v>0</v>
      </c>
      <c r="H122" s="10">
        <f>VLOOKUP(A122,MLA!$A$5:$L$11,3,FALSE)</f>
        <v/>
      </c>
      <c r="I122" s="25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7">
        <f>IF(E122="",0,(AnalysisStart-E122)/365.25)</f>
        <v/>
      </c>
      <c r="N122" s="5">
        <f>IFERROR(IF(I122="LeaseUp",H122*D122*(1+GrowthMarketRent)^0*IF(0=0,(12-DowntimeNew)/12,1),IF(F122="",0,IF(F122&gt;=DATE(2027+0,4,30),G122*D122*(1+EscalatorInLease)^0,IF(F122&lt;DATE(2026+0,5,1),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,((F122-DATE(2026+0,5,1))/365.25)*G122*D122*(1+EscalatorInLease)^0+((DATE(2027+0,4,30)-F122)/365.25)*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)))),0)</f>
        <v/>
      </c>
      <c r="O122" s="5">
        <f>IFERROR(IF(I122="LeaseUp",H122*D122*(1+GrowthMarketRent)^1*IF(1=0,(12-DowntimeNew)/12,1),IF(F122="",0,IF(F122&gt;=DATE(2027+1,4,30),G122*D122*(1+EscalatorInLease)^1,IF(F122&lt;DATE(2026+1,5,1),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,((F122-DATE(2026+1,5,1))/365.25)*G122*D122*(1+EscalatorInLease)^1+((DATE(2027+1,4,30)-F122)/365.25)*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)))),0)</f>
        <v/>
      </c>
      <c r="P122" s="5">
        <f>IFERROR(IF(I122="LeaseUp",H122*D122*(1+GrowthMarketRent)^2*IF(2=0,(12-DowntimeNew)/12,1),IF(F122="",0,IF(F122&gt;=DATE(2027+2,4,30),G122*D122*(1+EscalatorInLease)^2,IF(F122&lt;DATE(2026+2,5,1),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,((F122-DATE(2026+2,5,1))/365.25)*G122*D122*(1+EscalatorInLease)^2+((DATE(2027+2,4,30)-F122)/365.25)*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)))),0)</f>
        <v/>
      </c>
      <c r="Q122" s="5">
        <f>IFERROR(IF(I122="LeaseUp",H122*D122*(1+GrowthMarketRent)^3*IF(3=0,(12-DowntimeNew)/12,1),IF(F122="",0,IF(F122&gt;=DATE(2027+3,4,30),G122*D122*(1+EscalatorInLease)^3,IF(F122&lt;DATE(2026+3,5,1),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,((F122-DATE(2026+3,5,1))/365.25)*G122*D122*(1+EscalatorInLease)^3+((DATE(2027+3,4,30)-F122)/365.25)*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)))),0)</f>
        <v/>
      </c>
      <c r="R122" s="5">
        <f>IFERROR(IF(I122="LeaseUp",H122*D122*(1+GrowthMarketRent)^4*IF(4=0,(12-DowntimeNew)/12,1),IF(F122="",0,IF(F122&gt;=DATE(2027+4,4,30),G122*D122*(1+EscalatorInLease)^4,IF(F122&lt;DATE(2026+4,5,1),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,((F122-DATE(2026+4,5,1))/365.25)*G122*D122*(1+EscalatorInLease)^4+((DATE(2027+4,4,30)-F122)/365.25)*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)))),0)</f>
        <v/>
      </c>
      <c r="S122" s="5">
        <f>IFERROR(IF(I122="LeaseUp",H122*D122*(1+GrowthMarketRent)^5*IF(5=0,(12-DowntimeNew)/12,1),IF(F122="",0,IF(F122&gt;=DATE(2027+5,4,30),G122*D122*(1+EscalatorInLease)^5,IF(F122&lt;DATE(2026+5,5,1),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,((F122-DATE(2026+5,5,1))/365.25)*G122*D122*(1+EscalatorInLease)^5+((DATE(2027+5,4,30)-F122)/365.25)*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)))),0)</f>
        <v/>
      </c>
      <c r="T122" s="5">
        <f>IFERROR(IF(I122="LeaseUp",H122*D122*(1+GrowthMarketRent)^6*IF(6=0,(12-DowntimeNew)/12,1),IF(F122="",0,IF(F122&gt;=DATE(2027+6,4,30),G122*D122*(1+EscalatorInLease)^6,IF(F122&lt;DATE(2026+6,5,1),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,((F122-DATE(2026+6,5,1))/365.25)*G122*D122*(1+EscalatorInLease)^6+((DATE(2027+6,4,30)-F122)/365.25)*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)))),0)</f>
        <v/>
      </c>
      <c r="U122" s="5">
        <f>IFERROR(IF(I122="LeaseUp",H122*D122*(1+GrowthMarketRent)^7*IF(7=0,(12-DowntimeNew)/12,1),IF(F122="",0,IF(F122&gt;=DATE(2027+7,4,30),G122*D122*(1+EscalatorInLease)^7,IF(F122&lt;DATE(2026+7,5,1),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,((F122-DATE(2026+7,5,1))/365.25)*G122*D122*(1+EscalatorInLease)^7+((DATE(2027+7,4,30)-F122)/365.25)*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)))),0)</f>
        <v/>
      </c>
      <c r="V122" s="5">
        <f>IFERROR(IF(I122="LeaseUp",H122*D122*(1+GrowthMarketRent)^8*IF(8=0,(12-DowntimeNew)/12,1),IF(F122="",0,IF(F122&gt;=DATE(2027+8,4,30),G122*D122*(1+EscalatorInLease)^8,IF(F122&lt;DATE(2026+8,5,1),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,((F122-DATE(2026+8,5,1))/365.25)*G122*D122*(1+EscalatorInLease)^8+((DATE(2027+8,4,30)-F122)/365.25)*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)))),0)</f>
        <v/>
      </c>
      <c r="W122" s="5">
        <f>IFERROR(IF(I122="LeaseUp",H122*D122*(1+GrowthMarketRent)^9*IF(9=0,(12-DowntimeNew)/12,1),IF(F122="",0,IF(F122&gt;=DATE(2027+9,4,30),G122*D122*(1+EscalatorInLease)^9,IF(F122&lt;DATE(2026+9,5,1),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,((F122-DATE(2026+9,5,1))/365.25)*G122*D122*(1+EscalatorInLease)^9+((DATE(2027+9,4,30)-F122)/365.25)*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)))),0)</f>
        <v/>
      </c>
      <c r="X122" s="5">
        <f>IFERROR(IF(I122="LeaseUp",H122*D122*(1+GrowthMarketRent)^10*IF(10=0,(12-DowntimeNew)/12,1),IF(F122="",0,IF(F122&gt;=DATE(2027+10,4,30),G122*D122*(1+EscalatorInLease)^10,IF(F122&lt;DATE(2026+10,5,1),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,((F122-DATE(2026+10,5,1))/365.25)*G122*D122*(1+EscalatorInLease)^10+((DATE(2027+10,4,30)-F122)/365.25)*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)))),0)</f>
        <v/>
      </c>
      <c r="Y122" s="5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5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5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5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5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5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5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5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5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5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5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9" t="n">
        <v>2600</v>
      </c>
      <c r="E123" s="40" t="n">
        <v>45809</v>
      </c>
      <c r="F123" s="40" t="n">
        <v>47058</v>
      </c>
      <c r="G123" s="41" t="n">
        <v>16</v>
      </c>
      <c r="H123" s="10">
        <f>VLOOKUP(A123,MLA!$A$5:$L$11,3,FALSE)</f>
        <v/>
      </c>
      <c r="I123" s="25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7">
        <f>IF(E123="",0,(AnalysisStart-E123)/365.25)</f>
        <v/>
      </c>
      <c r="N123" s="5">
        <f>IFERROR(IF(I123="LeaseUp",H123*D123*(1+GrowthMarketRent)^0*IF(0=0,(12-DowntimeNew)/12,1),IF(F123="",0,IF(F123&gt;=DATE(2027+0,4,30),G123*D123*(1+EscalatorInLease)^0,IF(F123&lt;DATE(2026+0,5,1),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,((F123-DATE(2026+0,5,1))/365.25)*G123*D123*(1+EscalatorInLease)^0+((DATE(2027+0,4,30)-F123)/365.25)*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)))),0)</f>
        <v/>
      </c>
      <c r="O123" s="5">
        <f>IFERROR(IF(I123="LeaseUp",H123*D123*(1+GrowthMarketRent)^1*IF(1=0,(12-DowntimeNew)/12,1),IF(F123="",0,IF(F123&gt;=DATE(2027+1,4,30),G123*D123*(1+EscalatorInLease)^1,IF(F123&lt;DATE(2026+1,5,1),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,((F123-DATE(2026+1,5,1))/365.25)*G123*D123*(1+EscalatorInLease)^1+((DATE(2027+1,4,30)-F123)/365.25)*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)))),0)</f>
        <v/>
      </c>
      <c r="P123" s="5">
        <f>IFERROR(IF(I123="LeaseUp",H123*D123*(1+GrowthMarketRent)^2*IF(2=0,(12-DowntimeNew)/12,1),IF(F123="",0,IF(F123&gt;=DATE(2027+2,4,30),G123*D123*(1+EscalatorInLease)^2,IF(F123&lt;DATE(2026+2,5,1),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,((F123-DATE(2026+2,5,1))/365.25)*G123*D123*(1+EscalatorInLease)^2+((DATE(2027+2,4,30)-F123)/365.25)*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)))),0)</f>
        <v/>
      </c>
      <c r="Q123" s="5">
        <f>IFERROR(IF(I123="LeaseUp",H123*D123*(1+GrowthMarketRent)^3*IF(3=0,(12-DowntimeNew)/12,1),IF(F123="",0,IF(F123&gt;=DATE(2027+3,4,30),G123*D123*(1+EscalatorInLease)^3,IF(F123&lt;DATE(2026+3,5,1),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,((F123-DATE(2026+3,5,1))/365.25)*G123*D123*(1+EscalatorInLease)^3+((DATE(2027+3,4,30)-F123)/365.25)*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)))),0)</f>
        <v/>
      </c>
      <c r="R123" s="5">
        <f>IFERROR(IF(I123="LeaseUp",H123*D123*(1+GrowthMarketRent)^4*IF(4=0,(12-DowntimeNew)/12,1),IF(F123="",0,IF(F123&gt;=DATE(2027+4,4,30),G123*D123*(1+EscalatorInLease)^4,IF(F123&lt;DATE(2026+4,5,1),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,((F123-DATE(2026+4,5,1))/365.25)*G123*D123*(1+EscalatorInLease)^4+((DATE(2027+4,4,30)-F123)/365.25)*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)))),0)</f>
        <v/>
      </c>
      <c r="S123" s="5">
        <f>IFERROR(IF(I123="LeaseUp",H123*D123*(1+GrowthMarketRent)^5*IF(5=0,(12-DowntimeNew)/12,1),IF(F123="",0,IF(F123&gt;=DATE(2027+5,4,30),G123*D123*(1+EscalatorInLease)^5,IF(F123&lt;DATE(2026+5,5,1),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,((F123-DATE(2026+5,5,1))/365.25)*G123*D123*(1+EscalatorInLease)^5+((DATE(2027+5,4,30)-F123)/365.25)*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)))),0)</f>
        <v/>
      </c>
      <c r="T123" s="5">
        <f>IFERROR(IF(I123="LeaseUp",H123*D123*(1+GrowthMarketRent)^6*IF(6=0,(12-DowntimeNew)/12,1),IF(F123="",0,IF(F123&gt;=DATE(2027+6,4,30),G123*D123*(1+EscalatorInLease)^6,IF(F123&lt;DATE(2026+6,5,1),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,((F123-DATE(2026+6,5,1))/365.25)*G123*D123*(1+EscalatorInLease)^6+((DATE(2027+6,4,30)-F123)/365.25)*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)))),0)</f>
        <v/>
      </c>
      <c r="U123" s="5">
        <f>IFERROR(IF(I123="LeaseUp",H123*D123*(1+GrowthMarketRent)^7*IF(7=0,(12-DowntimeNew)/12,1),IF(F123="",0,IF(F123&gt;=DATE(2027+7,4,30),G123*D123*(1+EscalatorInLease)^7,IF(F123&lt;DATE(2026+7,5,1),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,((F123-DATE(2026+7,5,1))/365.25)*G123*D123*(1+EscalatorInLease)^7+((DATE(2027+7,4,30)-F123)/365.25)*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)))),0)</f>
        <v/>
      </c>
      <c r="V123" s="5">
        <f>IFERROR(IF(I123="LeaseUp",H123*D123*(1+GrowthMarketRent)^8*IF(8=0,(12-DowntimeNew)/12,1),IF(F123="",0,IF(F123&gt;=DATE(2027+8,4,30),G123*D123*(1+EscalatorInLease)^8,IF(F123&lt;DATE(2026+8,5,1),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,((F123-DATE(2026+8,5,1))/365.25)*G123*D123*(1+EscalatorInLease)^8+((DATE(2027+8,4,30)-F123)/365.25)*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)))),0)</f>
        <v/>
      </c>
      <c r="W123" s="5">
        <f>IFERROR(IF(I123="LeaseUp",H123*D123*(1+GrowthMarketRent)^9*IF(9=0,(12-DowntimeNew)/12,1),IF(F123="",0,IF(F123&gt;=DATE(2027+9,4,30),G123*D123*(1+EscalatorInLease)^9,IF(F123&lt;DATE(2026+9,5,1),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,((F123-DATE(2026+9,5,1))/365.25)*G123*D123*(1+EscalatorInLease)^9+((DATE(2027+9,4,30)-F123)/365.25)*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)))),0)</f>
        <v/>
      </c>
      <c r="X123" s="5">
        <f>IFERROR(IF(I123="LeaseUp",H123*D123*(1+GrowthMarketRent)^10*IF(10=0,(12-DowntimeNew)/12,1),IF(F123="",0,IF(F123&gt;=DATE(2027+10,4,30),G123*D123*(1+EscalatorInLease)^10,IF(F123&lt;DATE(2026+10,5,1),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,((F123-DATE(2026+10,5,1))/365.25)*G123*D123*(1+EscalatorInLease)^10+((DATE(2027+10,4,30)-F123)/365.25)*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)))),0)</f>
        <v/>
      </c>
      <c r="Y123" s="5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5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5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5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5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5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5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5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5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5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5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9" t="n">
        <v>3050</v>
      </c>
      <c r="E124" s="40" t="n">
        <v>44958</v>
      </c>
      <c r="F124" s="40" t="n">
        <v>46204</v>
      </c>
      <c r="G124" s="41" t="n">
        <v>0</v>
      </c>
      <c r="H124" s="10">
        <f>VLOOKUP(A124,MLA!$A$5:$L$11,3,FALSE)</f>
        <v/>
      </c>
      <c r="I124" s="25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7">
        <f>IF(E124="",0,(AnalysisStart-E124)/365.25)</f>
        <v/>
      </c>
      <c r="N124" s="5">
        <f>IFERROR(IF(I124="LeaseUp",H124*D124*(1+GrowthMarketRent)^0*IF(0=0,(12-DowntimeNew)/12,1),IF(F124="",0,IF(F124&gt;=DATE(2027+0,4,30),G124*D124*(1+EscalatorInLease)^0,IF(F124&lt;DATE(2026+0,5,1),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,((F124-DATE(2026+0,5,1))/365.25)*G124*D124*(1+EscalatorInLease)^0+((DATE(2027+0,4,30)-F124)/365.25)*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)))),0)</f>
        <v/>
      </c>
      <c r="O124" s="5">
        <f>IFERROR(IF(I124="LeaseUp",H124*D124*(1+GrowthMarketRent)^1*IF(1=0,(12-DowntimeNew)/12,1),IF(F124="",0,IF(F124&gt;=DATE(2027+1,4,30),G124*D124*(1+EscalatorInLease)^1,IF(F124&lt;DATE(2026+1,5,1),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,((F124-DATE(2026+1,5,1))/365.25)*G124*D124*(1+EscalatorInLease)^1+((DATE(2027+1,4,30)-F124)/365.25)*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)))),0)</f>
        <v/>
      </c>
      <c r="P124" s="5">
        <f>IFERROR(IF(I124="LeaseUp",H124*D124*(1+GrowthMarketRent)^2*IF(2=0,(12-DowntimeNew)/12,1),IF(F124="",0,IF(F124&gt;=DATE(2027+2,4,30),G124*D124*(1+EscalatorInLease)^2,IF(F124&lt;DATE(2026+2,5,1),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,((F124-DATE(2026+2,5,1))/365.25)*G124*D124*(1+EscalatorInLease)^2+((DATE(2027+2,4,30)-F124)/365.25)*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)))),0)</f>
        <v/>
      </c>
      <c r="Q124" s="5">
        <f>IFERROR(IF(I124="LeaseUp",H124*D124*(1+GrowthMarketRent)^3*IF(3=0,(12-DowntimeNew)/12,1),IF(F124="",0,IF(F124&gt;=DATE(2027+3,4,30),G124*D124*(1+EscalatorInLease)^3,IF(F124&lt;DATE(2026+3,5,1),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,((F124-DATE(2026+3,5,1))/365.25)*G124*D124*(1+EscalatorInLease)^3+((DATE(2027+3,4,30)-F124)/365.25)*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)))),0)</f>
        <v/>
      </c>
      <c r="R124" s="5">
        <f>IFERROR(IF(I124="LeaseUp",H124*D124*(1+GrowthMarketRent)^4*IF(4=0,(12-DowntimeNew)/12,1),IF(F124="",0,IF(F124&gt;=DATE(2027+4,4,30),G124*D124*(1+EscalatorInLease)^4,IF(F124&lt;DATE(2026+4,5,1),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,((F124-DATE(2026+4,5,1))/365.25)*G124*D124*(1+EscalatorInLease)^4+((DATE(2027+4,4,30)-F124)/365.25)*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)))),0)</f>
        <v/>
      </c>
      <c r="S124" s="5">
        <f>IFERROR(IF(I124="LeaseUp",H124*D124*(1+GrowthMarketRent)^5*IF(5=0,(12-DowntimeNew)/12,1),IF(F124="",0,IF(F124&gt;=DATE(2027+5,4,30),G124*D124*(1+EscalatorInLease)^5,IF(F124&lt;DATE(2026+5,5,1),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,((F124-DATE(2026+5,5,1))/365.25)*G124*D124*(1+EscalatorInLease)^5+((DATE(2027+5,4,30)-F124)/365.25)*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)))),0)</f>
        <v/>
      </c>
      <c r="T124" s="5">
        <f>IFERROR(IF(I124="LeaseUp",H124*D124*(1+GrowthMarketRent)^6*IF(6=0,(12-DowntimeNew)/12,1),IF(F124="",0,IF(F124&gt;=DATE(2027+6,4,30),G124*D124*(1+EscalatorInLease)^6,IF(F124&lt;DATE(2026+6,5,1),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,((F124-DATE(2026+6,5,1))/365.25)*G124*D124*(1+EscalatorInLease)^6+((DATE(2027+6,4,30)-F124)/365.25)*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)))),0)</f>
        <v/>
      </c>
      <c r="U124" s="5">
        <f>IFERROR(IF(I124="LeaseUp",H124*D124*(1+GrowthMarketRent)^7*IF(7=0,(12-DowntimeNew)/12,1),IF(F124="",0,IF(F124&gt;=DATE(2027+7,4,30),G124*D124*(1+EscalatorInLease)^7,IF(F124&lt;DATE(2026+7,5,1),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,((F124-DATE(2026+7,5,1))/365.25)*G124*D124*(1+EscalatorInLease)^7+((DATE(2027+7,4,30)-F124)/365.25)*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)))),0)</f>
        <v/>
      </c>
      <c r="V124" s="5">
        <f>IFERROR(IF(I124="LeaseUp",H124*D124*(1+GrowthMarketRent)^8*IF(8=0,(12-DowntimeNew)/12,1),IF(F124="",0,IF(F124&gt;=DATE(2027+8,4,30),G124*D124*(1+EscalatorInLease)^8,IF(F124&lt;DATE(2026+8,5,1),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,((F124-DATE(2026+8,5,1))/365.25)*G124*D124*(1+EscalatorInLease)^8+((DATE(2027+8,4,30)-F124)/365.25)*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)))),0)</f>
        <v/>
      </c>
      <c r="W124" s="5">
        <f>IFERROR(IF(I124="LeaseUp",H124*D124*(1+GrowthMarketRent)^9*IF(9=0,(12-DowntimeNew)/12,1),IF(F124="",0,IF(F124&gt;=DATE(2027+9,4,30),G124*D124*(1+EscalatorInLease)^9,IF(F124&lt;DATE(2026+9,5,1),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,((F124-DATE(2026+9,5,1))/365.25)*G124*D124*(1+EscalatorInLease)^9+((DATE(2027+9,4,30)-F124)/365.25)*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)))),0)</f>
        <v/>
      </c>
      <c r="X124" s="5">
        <f>IFERROR(IF(I124="LeaseUp",H124*D124*(1+GrowthMarketRent)^10*IF(10=0,(12-DowntimeNew)/12,1),IF(F124="",0,IF(F124&gt;=DATE(2027+10,4,30),G124*D124*(1+EscalatorInLease)^10,IF(F124&lt;DATE(2026+10,5,1),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,((F124-DATE(2026+10,5,1))/365.25)*G124*D124*(1+EscalatorInLease)^10+((DATE(2027+10,4,30)-F124)/365.25)*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)))),0)</f>
        <v/>
      </c>
      <c r="Y124" s="5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5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5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5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5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5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5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5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5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5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5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9" t="n">
        <v>2600</v>
      </c>
      <c r="E125" s="40" t="n">
        <v>45809</v>
      </c>
      <c r="F125" s="40" t="n">
        <v>47058</v>
      </c>
      <c r="G125" s="41" t="n">
        <v>18</v>
      </c>
      <c r="H125" s="10">
        <f>VLOOKUP(A125,MLA!$A$5:$L$11,3,FALSE)</f>
        <v/>
      </c>
      <c r="I125" s="25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7">
        <f>IF(E125="",0,(AnalysisStart-E125)/365.25)</f>
        <v/>
      </c>
      <c r="N125" s="5">
        <f>IFERROR(IF(I125="LeaseUp",H125*D125*(1+GrowthMarketRent)^0*IF(0=0,(12-DowntimeNew)/12,1),IF(F125="",0,IF(F125&gt;=DATE(2027+0,4,30),G125*D125*(1+EscalatorInLease)^0,IF(F125&lt;DATE(2026+0,5,1),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,((F125-DATE(2026+0,5,1))/365.25)*G125*D125*(1+EscalatorInLease)^0+((DATE(2027+0,4,30)-F125)/365.25)*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)))),0)</f>
        <v/>
      </c>
      <c r="O125" s="5">
        <f>IFERROR(IF(I125="LeaseUp",H125*D125*(1+GrowthMarketRent)^1*IF(1=0,(12-DowntimeNew)/12,1),IF(F125="",0,IF(F125&gt;=DATE(2027+1,4,30),G125*D125*(1+EscalatorInLease)^1,IF(F125&lt;DATE(2026+1,5,1),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,((F125-DATE(2026+1,5,1))/365.25)*G125*D125*(1+EscalatorInLease)^1+((DATE(2027+1,4,30)-F125)/365.25)*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)))),0)</f>
        <v/>
      </c>
      <c r="P125" s="5">
        <f>IFERROR(IF(I125="LeaseUp",H125*D125*(1+GrowthMarketRent)^2*IF(2=0,(12-DowntimeNew)/12,1),IF(F125="",0,IF(F125&gt;=DATE(2027+2,4,30),G125*D125*(1+EscalatorInLease)^2,IF(F125&lt;DATE(2026+2,5,1),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,((F125-DATE(2026+2,5,1))/365.25)*G125*D125*(1+EscalatorInLease)^2+((DATE(2027+2,4,30)-F125)/365.25)*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)))),0)</f>
        <v/>
      </c>
      <c r="Q125" s="5">
        <f>IFERROR(IF(I125="LeaseUp",H125*D125*(1+GrowthMarketRent)^3*IF(3=0,(12-DowntimeNew)/12,1),IF(F125="",0,IF(F125&gt;=DATE(2027+3,4,30),G125*D125*(1+EscalatorInLease)^3,IF(F125&lt;DATE(2026+3,5,1),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,((F125-DATE(2026+3,5,1))/365.25)*G125*D125*(1+EscalatorInLease)^3+((DATE(2027+3,4,30)-F125)/365.25)*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)))),0)</f>
        <v/>
      </c>
      <c r="R125" s="5">
        <f>IFERROR(IF(I125="LeaseUp",H125*D125*(1+GrowthMarketRent)^4*IF(4=0,(12-DowntimeNew)/12,1),IF(F125="",0,IF(F125&gt;=DATE(2027+4,4,30),G125*D125*(1+EscalatorInLease)^4,IF(F125&lt;DATE(2026+4,5,1),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,((F125-DATE(2026+4,5,1))/365.25)*G125*D125*(1+EscalatorInLease)^4+((DATE(2027+4,4,30)-F125)/365.25)*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)))),0)</f>
        <v/>
      </c>
      <c r="S125" s="5">
        <f>IFERROR(IF(I125="LeaseUp",H125*D125*(1+GrowthMarketRent)^5*IF(5=0,(12-DowntimeNew)/12,1),IF(F125="",0,IF(F125&gt;=DATE(2027+5,4,30),G125*D125*(1+EscalatorInLease)^5,IF(F125&lt;DATE(2026+5,5,1),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,((F125-DATE(2026+5,5,1))/365.25)*G125*D125*(1+EscalatorInLease)^5+((DATE(2027+5,4,30)-F125)/365.25)*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)))),0)</f>
        <v/>
      </c>
      <c r="T125" s="5">
        <f>IFERROR(IF(I125="LeaseUp",H125*D125*(1+GrowthMarketRent)^6*IF(6=0,(12-DowntimeNew)/12,1),IF(F125="",0,IF(F125&gt;=DATE(2027+6,4,30),G125*D125*(1+EscalatorInLease)^6,IF(F125&lt;DATE(2026+6,5,1),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,((F125-DATE(2026+6,5,1))/365.25)*G125*D125*(1+EscalatorInLease)^6+((DATE(2027+6,4,30)-F125)/365.25)*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)))),0)</f>
        <v/>
      </c>
      <c r="U125" s="5">
        <f>IFERROR(IF(I125="LeaseUp",H125*D125*(1+GrowthMarketRent)^7*IF(7=0,(12-DowntimeNew)/12,1),IF(F125="",0,IF(F125&gt;=DATE(2027+7,4,30),G125*D125*(1+EscalatorInLease)^7,IF(F125&lt;DATE(2026+7,5,1),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,((F125-DATE(2026+7,5,1))/365.25)*G125*D125*(1+EscalatorInLease)^7+((DATE(2027+7,4,30)-F125)/365.25)*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)))),0)</f>
        <v/>
      </c>
      <c r="V125" s="5">
        <f>IFERROR(IF(I125="LeaseUp",H125*D125*(1+GrowthMarketRent)^8*IF(8=0,(12-DowntimeNew)/12,1),IF(F125="",0,IF(F125&gt;=DATE(2027+8,4,30),G125*D125*(1+EscalatorInLease)^8,IF(F125&lt;DATE(2026+8,5,1),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,((F125-DATE(2026+8,5,1))/365.25)*G125*D125*(1+EscalatorInLease)^8+((DATE(2027+8,4,30)-F125)/365.25)*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)))),0)</f>
        <v/>
      </c>
      <c r="W125" s="5">
        <f>IFERROR(IF(I125="LeaseUp",H125*D125*(1+GrowthMarketRent)^9*IF(9=0,(12-DowntimeNew)/12,1),IF(F125="",0,IF(F125&gt;=DATE(2027+9,4,30),G125*D125*(1+EscalatorInLease)^9,IF(F125&lt;DATE(2026+9,5,1),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,((F125-DATE(2026+9,5,1))/365.25)*G125*D125*(1+EscalatorInLease)^9+((DATE(2027+9,4,30)-F125)/365.25)*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)))),0)</f>
        <v/>
      </c>
      <c r="X125" s="5">
        <f>IFERROR(IF(I125="LeaseUp",H125*D125*(1+GrowthMarketRent)^10*IF(10=0,(12-DowntimeNew)/12,1),IF(F125="",0,IF(F125&gt;=DATE(2027+10,4,30),G125*D125*(1+EscalatorInLease)^10,IF(F125&lt;DATE(2026+10,5,1),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,((F125-DATE(2026+10,5,1))/365.25)*G125*D125*(1+EscalatorInLease)^10+((DATE(2027+10,4,30)-F125)/365.25)*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)))),0)</f>
        <v/>
      </c>
      <c r="Y125" s="5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5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5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5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5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5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5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5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5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5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5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9" t="n">
        <v>3050</v>
      </c>
      <c r="E126" s="40" t="n">
        <v>44958</v>
      </c>
      <c r="F126" s="40" t="n">
        <v>46204</v>
      </c>
      <c r="G126" s="41" t="n">
        <v>0</v>
      </c>
      <c r="H126" s="10">
        <f>VLOOKUP(A126,MLA!$A$5:$L$11,3,FALSE)</f>
        <v/>
      </c>
      <c r="I126" s="25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7">
        <f>IF(E126="",0,(AnalysisStart-E126)/365.25)</f>
        <v/>
      </c>
      <c r="N126" s="5">
        <f>IFERROR(IF(I126="LeaseUp",H126*D126*(1+GrowthMarketRent)^0*IF(0=0,(12-DowntimeNew)/12,1),IF(F126="",0,IF(F126&gt;=DATE(2027+0,4,30),G126*D126*(1+EscalatorInLease)^0,IF(F126&lt;DATE(2026+0,5,1),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,((F126-DATE(2026+0,5,1))/365.25)*G126*D126*(1+EscalatorInLease)^0+((DATE(2027+0,4,30)-F126)/365.25)*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)))),0)</f>
        <v/>
      </c>
      <c r="O126" s="5">
        <f>IFERROR(IF(I126="LeaseUp",H126*D126*(1+GrowthMarketRent)^1*IF(1=0,(12-DowntimeNew)/12,1),IF(F126="",0,IF(F126&gt;=DATE(2027+1,4,30),G126*D126*(1+EscalatorInLease)^1,IF(F126&lt;DATE(2026+1,5,1),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,((F126-DATE(2026+1,5,1))/365.25)*G126*D126*(1+EscalatorInLease)^1+((DATE(2027+1,4,30)-F126)/365.25)*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)))),0)</f>
        <v/>
      </c>
      <c r="P126" s="5">
        <f>IFERROR(IF(I126="LeaseUp",H126*D126*(1+GrowthMarketRent)^2*IF(2=0,(12-DowntimeNew)/12,1),IF(F126="",0,IF(F126&gt;=DATE(2027+2,4,30),G126*D126*(1+EscalatorInLease)^2,IF(F126&lt;DATE(2026+2,5,1),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,((F126-DATE(2026+2,5,1))/365.25)*G126*D126*(1+EscalatorInLease)^2+((DATE(2027+2,4,30)-F126)/365.25)*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)))),0)</f>
        <v/>
      </c>
      <c r="Q126" s="5">
        <f>IFERROR(IF(I126="LeaseUp",H126*D126*(1+GrowthMarketRent)^3*IF(3=0,(12-DowntimeNew)/12,1),IF(F126="",0,IF(F126&gt;=DATE(2027+3,4,30),G126*D126*(1+EscalatorInLease)^3,IF(F126&lt;DATE(2026+3,5,1),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,((F126-DATE(2026+3,5,1))/365.25)*G126*D126*(1+EscalatorInLease)^3+((DATE(2027+3,4,30)-F126)/365.25)*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)))),0)</f>
        <v/>
      </c>
      <c r="R126" s="5">
        <f>IFERROR(IF(I126="LeaseUp",H126*D126*(1+GrowthMarketRent)^4*IF(4=0,(12-DowntimeNew)/12,1),IF(F126="",0,IF(F126&gt;=DATE(2027+4,4,30),G126*D126*(1+EscalatorInLease)^4,IF(F126&lt;DATE(2026+4,5,1),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,((F126-DATE(2026+4,5,1))/365.25)*G126*D126*(1+EscalatorInLease)^4+((DATE(2027+4,4,30)-F126)/365.25)*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)))),0)</f>
        <v/>
      </c>
      <c r="S126" s="5">
        <f>IFERROR(IF(I126="LeaseUp",H126*D126*(1+GrowthMarketRent)^5*IF(5=0,(12-DowntimeNew)/12,1),IF(F126="",0,IF(F126&gt;=DATE(2027+5,4,30),G126*D126*(1+EscalatorInLease)^5,IF(F126&lt;DATE(2026+5,5,1),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,((F126-DATE(2026+5,5,1))/365.25)*G126*D126*(1+EscalatorInLease)^5+((DATE(2027+5,4,30)-F126)/365.25)*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)))),0)</f>
        <v/>
      </c>
      <c r="T126" s="5">
        <f>IFERROR(IF(I126="LeaseUp",H126*D126*(1+GrowthMarketRent)^6*IF(6=0,(12-DowntimeNew)/12,1),IF(F126="",0,IF(F126&gt;=DATE(2027+6,4,30),G126*D126*(1+EscalatorInLease)^6,IF(F126&lt;DATE(2026+6,5,1),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,((F126-DATE(2026+6,5,1))/365.25)*G126*D126*(1+EscalatorInLease)^6+((DATE(2027+6,4,30)-F126)/365.25)*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)))),0)</f>
        <v/>
      </c>
      <c r="U126" s="5">
        <f>IFERROR(IF(I126="LeaseUp",H126*D126*(1+GrowthMarketRent)^7*IF(7=0,(12-DowntimeNew)/12,1),IF(F126="",0,IF(F126&gt;=DATE(2027+7,4,30),G126*D126*(1+EscalatorInLease)^7,IF(F126&lt;DATE(2026+7,5,1),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,((F126-DATE(2026+7,5,1))/365.25)*G126*D126*(1+EscalatorInLease)^7+((DATE(2027+7,4,30)-F126)/365.25)*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)))),0)</f>
        <v/>
      </c>
      <c r="V126" s="5">
        <f>IFERROR(IF(I126="LeaseUp",H126*D126*(1+GrowthMarketRent)^8*IF(8=0,(12-DowntimeNew)/12,1),IF(F126="",0,IF(F126&gt;=DATE(2027+8,4,30),G126*D126*(1+EscalatorInLease)^8,IF(F126&lt;DATE(2026+8,5,1),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,((F126-DATE(2026+8,5,1))/365.25)*G126*D126*(1+EscalatorInLease)^8+((DATE(2027+8,4,30)-F126)/365.25)*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)))),0)</f>
        <v/>
      </c>
      <c r="W126" s="5">
        <f>IFERROR(IF(I126="LeaseUp",H126*D126*(1+GrowthMarketRent)^9*IF(9=0,(12-DowntimeNew)/12,1),IF(F126="",0,IF(F126&gt;=DATE(2027+9,4,30),G126*D126*(1+EscalatorInLease)^9,IF(F126&lt;DATE(2026+9,5,1),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,((F126-DATE(2026+9,5,1))/365.25)*G126*D126*(1+EscalatorInLease)^9+((DATE(2027+9,4,30)-F126)/365.25)*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)))),0)</f>
        <v/>
      </c>
      <c r="X126" s="5">
        <f>IFERROR(IF(I126="LeaseUp",H126*D126*(1+GrowthMarketRent)^10*IF(10=0,(12-DowntimeNew)/12,1),IF(F126="",0,IF(F126&gt;=DATE(2027+10,4,30),G126*D126*(1+EscalatorInLease)^10,IF(F126&lt;DATE(2026+10,5,1),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,((F126-DATE(2026+10,5,1))/365.25)*G126*D126*(1+EscalatorInLease)^10+((DATE(2027+10,4,30)-F126)/365.25)*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)))),0)</f>
        <v/>
      </c>
      <c r="Y126" s="5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5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5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5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5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5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5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5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5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5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5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9" t="n">
        <v>2600</v>
      </c>
      <c r="E127" s="40" t="n">
        <v>45931</v>
      </c>
      <c r="F127" s="40" t="n">
        <v>47178</v>
      </c>
      <c r="G127" s="41" t="n">
        <v>18</v>
      </c>
      <c r="H127" s="10">
        <f>VLOOKUP(A127,MLA!$A$5:$L$11,3,FALSE)</f>
        <v/>
      </c>
      <c r="I127" s="25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7">
        <f>IF(E127="",0,(AnalysisStart-E127)/365.25)</f>
        <v/>
      </c>
      <c r="N127" s="5">
        <f>IFERROR(IF(I127="LeaseUp",H127*D127*(1+GrowthMarketRent)^0*IF(0=0,(12-DowntimeNew)/12,1),IF(F127="",0,IF(F127&gt;=DATE(2027+0,4,30),G127*D127*(1+EscalatorInLease)^0,IF(F127&lt;DATE(2026+0,5,1),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,((F127-DATE(2026+0,5,1))/365.25)*G127*D127*(1+EscalatorInLease)^0+((DATE(2027+0,4,30)-F127)/365.25)*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)))),0)</f>
        <v/>
      </c>
      <c r="O127" s="5">
        <f>IFERROR(IF(I127="LeaseUp",H127*D127*(1+GrowthMarketRent)^1*IF(1=0,(12-DowntimeNew)/12,1),IF(F127="",0,IF(F127&gt;=DATE(2027+1,4,30),G127*D127*(1+EscalatorInLease)^1,IF(F127&lt;DATE(2026+1,5,1),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,((F127-DATE(2026+1,5,1))/365.25)*G127*D127*(1+EscalatorInLease)^1+((DATE(2027+1,4,30)-F127)/365.25)*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)))),0)</f>
        <v/>
      </c>
      <c r="P127" s="5">
        <f>IFERROR(IF(I127="LeaseUp",H127*D127*(1+GrowthMarketRent)^2*IF(2=0,(12-DowntimeNew)/12,1),IF(F127="",0,IF(F127&gt;=DATE(2027+2,4,30),G127*D127*(1+EscalatorInLease)^2,IF(F127&lt;DATE(2026+2,5,1),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,((F127-DATE(2026+2,5,1))/365.25)*G127*D127*(1+EscalatorInLease)^2+((DATE(2027+2,4,30)-F127)/365.25)*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)))),0)</f>
        <v/>
      </c>
      <c r="Q127" s="5">
        <f>IFERROR(IF(I127="LeaseUp",H127*D127*(1+GrowthMarketRent)^3*IF(3=0,(12-DowntimeNew)/12,1),IF(F127="",0,IF(F127&gt;=DATE(2027+3,4,30),G127*D127*(1+EscalatorInLease)^3,IF(F127&lt;DATE(2026+3,5,1),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,((F127-DATE(2026+3,5,1))/365.25)*G127*D127*(1+EscalatorInLease)^3+((DATE(2027+3,4,30)-F127)/365.25)*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)))),0)</f>
        <v/>
      </c>
      <c r="R127" s="5">
        <f>IFERROR(IF(I127="LeaseUp",H127*D127*(1+GrowthMarketRent)^4*IF(4=0,(12-DowntimeNew)/12,1),IF(F127="",0,IF(F127&gt;=DATE(2027+4,4,30),G127*D127*(1+EscalatorInLease)^4,IF(F127&lt;DATE(2026+4,5,1),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,((F127-DATE(2026+4,5,1))/365.25)*G127*D127*(1+EscalatorInLease)^4+((DATE(2027+4,4,30)-F127)/365.25)*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)))),0)</f>
        <v/>
      </c>
      <c r="S127" s="5">
        <f>IFERROR(IF(I127="LeaseUp",H127*D127*(1+GrowthMarketRent)^5*IF(5=0,(12-DowntimeNew)/12,1),IF(F127="",0,IF(F127&gt;=DATE(2027+5,4,30),G127*D127*(1+EscalatorInLease)^5,IF(F127&lt;DATE(2026+5,5,1),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,((F127-DATE(2026+5,5,1))/365.25)*G127*D127*(1+EscalatorInLease)^5+((DATE(2027+5,4,30)-F127)/365.25)*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)))),0)</f>
        <v/>
      </c>
      <c r="T127" s="5">
        <f>IFERROR(IF(I127="LeaseUp",H127*D127*(1+GrowthMarketRent)^6*IF(6=0,(12-DowntimeNew)/12,1),IF(F127="",0,IF(F127&gt;=DATE(2027+6,4,30),G127*D127*(1+EscalatorInLease)^6,IF(F127&lt;DATE(2026+6,5,1),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,((F127-DATE(2026+6,5,1))/365.25)*G127*D127*(1+EscalatorInLease)^6+((DATE(2027+6,4,30)-F127)/365.25)*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)))),0)</f>
        <v/>
      </c>
      <c r="U127" s="5">
        <f>IFERROR(IF(I127="LeaseUp",H127*D127*(1+GrowthMarketRent)^7*IF(7=0,(12-DowntimeNew)/12,1),IF(F127="",0,IF(F127&gt;=DATE(2027+7,4,30),G127*D127*(1+EscalatorInLease)^7,IF(F127&lt;DATE(2026+7,5,1),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,((F127-DATE(2026+7,5,1))/365.25)*G127*D127*(1+EscalatorInLease)^7+((DATE(2027+7,4,30)-F127)/365.25)*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)))),0)</f>
        <v/>
      </c>
      <c r="V127" s="5">
        <f>IFERROR(IF(I127="LeaseUp",H127*D127*(1+GrowthMarketRent)^8*IF(8=0,(12-DowntimeNew)/12,1),IF(F127="",0,IF(F127&gt;=DATE(2027+8,4,30),G127*D127*(1+EscalatorInLease)^8,IF(F127&lt;DATE(2026+8,5,1),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,((F127-DATE(2026+8,5,1))/365.25)*G127*D127*(1+EscalatorInLease)^8+((DATE(2027+8,4,30)-F127)/365.25)*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)))),0)</f>
        <v/>
      </c>
      <c r="W127" s="5">
        <f>IFERROR(IF(I127="LeaseUp",H127*D127*(1+GrowthMarketRent)^9*IF(9=0,(12-DowntimeNew)/12,1),IF(F127="",0,IF(F127&gt;=DATE(2027+9,4,30),G127*D127*(1+EscalatorInLease)^9,IF(F127&lt;DATE(2026+9,5,1),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,((F127-DATE(2026+9,5,1))/365.25)*G127*D127*(1+EscalatorInLease)^9+((DATE(2027+9,4,30)-F127)/365.25)*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)))),0)</f>
        <v/>
      </c>
      <c r="X127" s="5">
        <f>IFERROR(IF(I127="LeaseUp",H127*D127*(1+GrowthMarketRent)^10*IF(10=0,(12-DowntimeNew)/12,1),IF(F127="",0,IF(F127&gt;=DATE(2027+10,4,30),G127*D127*(1+EscalatorInLease)^10,IF(F127&lt;DATE(2026+10,5,1),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,((F127-DATE(2026+10,5,1))/365.25)*G127*D127*(1+EscalatorInLease)^10+((DATE(2027+10,4,30)-F127)/365.25)*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)))),0)</f>
        <v/>
      </c>
      <c r="Y127" s="5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5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5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5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5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5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5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5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5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5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5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9" t="n">
        <v>3050</v>
      </c>
      <c r="E128" s="40" t="n">
        <v>45078</v>
      </c>
      <c r="F128" s="40" t="n">
        <v>46327</v>
      </c>
      <c r="G128" s="41" t="n">
        <v>0</v>
      </c>
      <c r="H128" s="10">
        <f>VLOOKUP(A128,MLA!$A$5:$L$11,3,FALSE)</f>
        <v/>
      </c>
      <c r="I128" s="25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7">
        <f>IF(E128="",0,(AnalysisStart-E128)/365.25)</f>
        <v/>
      </c>
      <c r="N128" s="5">
        <f>IFERROR(IF(I128="LeaseUp",H128*D128*(1+GrowthMarketRent)^0*IF(0=0,(12-DowntimeNew)/12,1),IF(F128="",0,IF(F128&gt;=DATE(2027+0,4,30),G128*D128*(1+EscalatorInLease)^0,IF(F128&lt;DATE(2026+0,5,1),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,((F128-DATE(2026+0,5,1))/365.25)*G128*D128*(1+EscalatorInLease)^0+((DATE(2027+0,4,30)-F128)/365.25)*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)))),0)</f>
        <v/>
      </c>
      <c r="O128" s="5">
        <f>IFERROR(IF(I128="LeaseUp",H128*D128*(1+GrowthMarketRent)^1*IF(1=0,(12-DowntimeNew)/12,1),IF(F128="",0,IF(F128&gt;=DATE(2027+1,4,30),G128*D128*(1+EscalatorInLease)^1,IF(F128&lt;DATE(2026+1,5,1),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,((F128-DATE(2026+1,5,1))/365.25)*G128*D128*(1+EscalatorInLease)^1+((DATE(2027+1,4,30)-F128)/365.25)*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)))),0)</f>
        <v/>
      </c>
      <c r="P128" s="5">
        <f>IFERROR(IF(I128="LeaseUp",H128*D128*(1+GrowthMarketRent)^2*IF(2=0,(12-DowntimeNew)/12,1),IF(F128="",0,IF(F128&gt;=DATE(2027+2,4,30),G128*D128*(1+EscalatorInLease)^2,IF(F128&lt;DATE(2026+2,5,1),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,((F128-DATE(2026+2,5,1))/365.25)*G128*D128*(1+EscalatorInLease)^2+((DATE(2027+2,4,30)-F128)/365.25)*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)))),0)</f>
        <v/>
      </c>
      <c r="Q128" s="5">
        <f>IFERROR(IF(I128="LeaseUp",H128*D128*(1+GrowthMarketRent)^3*IF(3=0,(12-DowntimeNew)/12,1),IF(F128="",0,IF(F128&gt;=DATE(2027+3,4,30),G128*D128*(1+EscalatorInLease)^3,IF(F128&lt;DATE(2026+3,5,1),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,((F128-DATE(2026+3,5,1))/365.25)*G128*D128*(1+EscalatorInLease)^3+((DATE(2027+3,4,30)-F128)/365.25)*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)))),0)</f>
        <v/>
      </c>
      <c r="R128" s="5">
        <f>IFERROR(IF(I128="LeaseUp",H128*D128*(1+GrowthMarketRent)^4*IF(4=0,(12-DowntimeNew)/12,1),IF(F128="",0,IF(F128&gt;=DATE(2027+4,4,30),G128*D128*(1+EscalatorInLease)^4,IF(F128&lt;DATE(2026+4,5,1),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,((F128-DATE(2026+4,5,1))/365.25)*G128*D128*(1+EscalatorInLease)^4+((DATE(2027+4,4,30)-F128)/365.25)*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)))),0)</f>
        <v/>
      </c>
      <c r="S128" s="5">
        <f>IFERROR(IF(I128="LeaseUp",H128*D128*(1+GrowthMarketRent)^5*IF(5=0,(12-DowntimeNew)/12,1),IF(F128="",0,IF(F128&gt;=DATE(2027+5,4,30),G128*D128*(1+EscalatorInLease)^5,IF(F128&lt;DATE(2026+5,5,1),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,((F128-DATE(2026+5,5,1))/365.25)*G128*D128*(1+EscalatorInLease)^5+((DATE(2027+5,4,30)-F128)/365.25)*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)))),0)</f>
        <v/>
      </c>
      <c r="T128" s="5">
        <f>IFERROR(IF(I128="LeaseUp",H128*D128*(1+GrowthMarketRent)^6*IF(6=0,(12-DowntimeNew)/12,1),IF(F128="",0,IF(F128&gt;=DATE(2027+6,4,30),G128*D128*(1+EscalatorInLease)^6,IF(F128&lt;DATE(2026+6,5,1),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,((F128-DATE(2026+6,5,1))/365.25)*G128*D128*(1+EscalatorInLease)^6+((DATE(2027+6,4,30)-F128)/365.25)*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)))),0)</f>
        <v/>
      </c>
      <c r="U128" s="5">
        <f>IFERROR(IF(I128="LeaseUp",H128*D128*(1+GrowthMarketRent)^7*IF(7=0,(12-DowntimeNew)/12,1),IF(F128="",0,IF(F128&gt;=DATE(2027+7,4,30),G128*D128*(1+EscalatorInLease)^7,IF(F128&lt;DATE(2026+7,5,1),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,((F128-DATE(2026+7,5,1))/365.25)*G128*D128*(1+EscalatorInLease)^7+((DATE(2027+7,4,30)-F128)/365.25)*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)))),0)</f>
        <v/>
      </c>
      <c r="V128" s="5">
        <f>IFERROR(IF(I128="LeaseUp",H128*D128*(1+GrowthMarketRent)^8*IF(8=0,(12-DowntimeNew)/12,1),IF(F128="",0,IF(F128&gt;=DATE(2027+8,4,30),G128*D128*(1+EscalatorInLease)^8,IF(F128&lt;DATE(2026+8,5,1),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,((F128-DATE(2026+8,5,1))/365.25)*G128*D128*(1+EscalatorInLease)^8+((DATE(2027+8,4,30)-F128)/365.25)*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)))),0)</f>
        <v/>
      </c>
      <c r="W128" s="5">
        <f>IFERROR(IF(I128="LeaseUp",H128*D128*(1+GrowthMarketRent)^9*IF(9=0,(12-DowntimeNew)/12,1),IF(F128="",0,IF(F128&gt;=DATE(2027+9,4,30),G128*D128*(1+EscalatorInLease)^9,IF(F128&lt;DATE(2026+9,5,1),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,((F128-DATE(2026+9,5,1))/365.25)*G128*D128*(1+EscalatorInLease)^9+((DATE(2027+9,4,30)-F128)/365.25)*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)))),0)</f>
        <v/>
      </c>
      <c r="X128" s="5">
        <f>IFERROR(IF(I128="LeaseUp",H128*D128*(1+GrowthMarketRent)^10*IF(10=0,(12-DowntimeNew)/12,1),IF(F128="",0,IF(F128&gt;=DATE(2027+10,4,30),G128*D128*(1+EscalatorInLease)^10,IF(F128&lt;DATE(2026+10,5,1),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,((F128-DATE(2026+10,5,1))/365.25)*G128*D128*(1+EscalatorInLease)^10+((DATE(2027+10,4,30)-F128)/365.25)*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)))),0)</f>
        <v/>
      </c>
      <c r="Y128" s="5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5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5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5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5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5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5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5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5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5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5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9" t="n">
        <v>2600</v>
      </c>
      <c r="E129" s="40" t="n">
        <v>45870</v>
      </c>
      <c r="F129" s="40" t="n">
        <v>47150</v>
      </c>
      <c r="G129" s="41" t="n">
        <v>18</v>
      </c>
      <c r="H129" s="10">
        <f>VLOOKUP(A129,MLA!$A$5:$L$11,3,FALSE)</f>
        <v/>
      </c>
      <c r="I129" s="25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7">
        <f>IF(E129="",0,(AnalysisStart-E129)/365.25)</f>
        <v/>
      </c>
      <c r="N129" s="5">
        <f>IFERROR(IF(I129="LeaseUp",H129*D129*(1+GrowthMarketRent)^0*IF(0=0,(12-DowntimeNew)/12,1),IF(F129="",0,IF(F129&gt;=DATE(2027+0,4,30),G129*D129*(1+EscalatorInLease)^0,IF(F129&lt;DATE(2026+0,5,1),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,((F129-DATE(2026+0,5,1))/365.25)*G129*D129*(1+EscalatorInLease)^0+((DATE(2027+0,4,30)-F129)/365.25)*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)))),0)</f>
        <v/>
      </c>
      <c r="O129" s="5">
        <f>IFERROR(IF(I129="LeaseUp",H129*D129*(1+GrowthMarketRent)^1*IF(1=0,(12-DowntimeNew)/12,1),IF(F129="",0,IF(F129&gt;=DATE(2027+1,4,30),G129*D129*(1+EscalatorInLease)^1,IF(F129&lt;DATE(2026+1,5,1),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,((F129-DATE(2026+1,5,1))/365.25)*G129*D129*(1+EscalatorInLease)^1+((DATE(2027+1,4,30)-F129)/365.25)*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)))),0)</f>
        <v/>
      </c>
      <c r="P129" s="5">
        <f>IFERROR(IF(I129="LeaseUp",H129*D129*(1+GrowthMarketRent)^2*IF(2=0,(12-DowntimeNew)/12,1),IF(F129="",0,IF(F129&gt;=DATE(2027+2,4,30),G129*D129*(1+EscalatorInLease)^2,IF(F129&lt;DATE(2026+2,5,1),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,((F129-DATE(2026+2,5,1))/365.25)*G129*D129*(1+EscalatorInLease)^2+((DATE(2027+2,4,30)-F129)/365.25)*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)))),0)</f>
        <v/>
      </c>
      <c r="Q129" s="5">
        <f>IFERROR(IF(I129="LeaseUp",H129*D129*(1+GrowthMarketRent)^3*IF(3=0,(12-DowntimeNew)/12,1),IF(F129="",0,IF(F129&gt;=DATE(2027+3,4,30),G129*D129*(1+EscalatorInLease)^3,IF(F129&lt;DATE(2026+3,5,1),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,((F129-DATE(2026+3,5,1))/365.25)*G129*D129*(1+EscalatorInLease)^3+((DATE(2027+3,4,30)-F129)/365.25)*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)))),0)</f>
        <v/>
      </c>
      <c r="R129" s="5">
        <f>IFERROR(IF(I129="LeaseUp",H129*D129*(1+GrowthMarketRent)^4*IF(4=0,(12-DowntimeNew)/12,1),IF(F129="",0,IF(F129&gt;=DATE(2027+4,4,30),G129*D129*(1+EscalatorInLease)^4,IF(F129&lt;DATE(2026+4,5,1),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,((F129-DATE(2026+4,5,1))/365.25)*G129*D129*(1+EscalatorInLease)^4+((DATE(2027+4,4,30)-F129)/365.25)*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)))),0)</f>
        <v/>
      </c>
      <c r="S129" s="5">
        <f>IFERROR(IF(I129="LeaseUp",H129*D129*(1+GrowthMarketRent)^5*IF(5=0,(12-DowntimeNew)/12,1),IF(F129="",0,IF(F129&gt;=DATE(2027+5,4,30),G129*D129*(1+EscalatorInLease)^5,IF(F129&lt;DATE(2026+5,5,1),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,((F129-DATE(2026+5,5,1))/365.25)*G129*D129*(1+EscalatorInLease)^5+((DATE(2027+5,4,30)-F129)/365.25)*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)))),0)</f>
        <v/>
      </c>
      <c r="T129" s="5">
        <f>IFERROR(IF(I129="LeaseUp",H129*D129*(1+GrowthMarketRent)^6*IF(6=0,(12-DowntimeNew)/12,1),IF(F129="",0,IF(F129&gt;=DATE(2027+6,4,30),G129*D129*(1+EscalatorInLease)^6,IF(F129&lt;DATE(2026+6,5,1),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,((F129-DATE(2026+6,5,1))/365.25)*G129*D129*(1+EscalatorInLease)^6+((DATE(2027+6,4,30)-F129)/365.25)*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)))),0)</f>
        <v/>
      </c>
      <c r="U129" s="5">
        <f>IFERROR(IF(I129="LeaseUp",H129*D129*(1+GrowthMarketRent)^7*IF(7=0,(12-DowntimeNew)/12,1),IF(F129="",0,IF(F129&gt;=DATE(2027+7,4,30),G129*D129*(1+EscalatorInLease)^7,IF(F129&lt;DATE(2026+7,5,1),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,((F129-DATE(2026+7,5,1))/365.25)*G129*D129*(1+EscalatorInLease)^7+((DATE(2027+7,4,30)-F129)/365.25)*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)))),0)</f>
        <v/>
      </c>
      <c r="V129" s="5">
        <f>IFERROR(IF(I129="LeaseUp",H129*D129*(1+GrowthMarketRent)^8*IF(8=0,(12-DowntimeNew)/12,1),IF(F129="",0,IF(F129&gt;=DATE(2027+8,4,30),G129*D129*(1+EscalatorInLease)^8,IF(F129&lt;DATE(2026+8,5,1),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,((F129-DATE(2026+8,5,1))/365.25)*G129*D129*(1+EscalatorInLease)^8+((DATE(2027+8,4,30)-F129)/365.25)*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)))),0)</f>
        <v/>
      </c>
      <c r="W129" s="5">
        <f>IFERROR(IF(I129="LeaseUp",H129*D129*(1+GrowthMarketRent)^9*IF(9=0,(12-DowntimeNew)/12,1),IF(F129="",0,IF(F129&gt;=DATE(2027+9,4,30),G129*D129*(1+EscalatorInLease)^9,IF(F129&lt;DATE(2026+9,5,1),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,((F129-DATE(2026+9,5,1))/365.25)*G129*D129*(1+EscalatorInLease)^9+((DATE(2027+9,4,30)-F129)/365.25)*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)))),0)</f>
        <v/>
      </c>
      <c r="X129" s="5">
        <f>IFERROR(IF(I129="LeaseUp",H129*D129*(1+GrowthMarketRent)^10*IF(10=0,(12-DowntimeNew)/12,1),IF(F129="",0,IF(F129&gt;=DATE(2027+10,4,30),G129*D129*(1+EscalatorInLease)^10,IF(F129&lt;DATE(2026+10,5,1),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,((F129-DATE(2026+10,5,1))/365.25)*G129*D129*(1+EscalatorInLease)^10+((DATE(2027+10,4,30)-F129)/365.25)*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)))),0)</f>
        <v/>
      </c>
      <c r="Y129" s="5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5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5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5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5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5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5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5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5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5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5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9" t="n">
        <v>3050</v>
      </c>
      <c r="E130" s="40" t="n">
        <v>45292</v>
      </c>
      <c r="F130" s="40" t="n">
        <v>46539</v>
      </c>
      <c r="G130" s="41" t="n">
        <v>0</v>
      </c>
      <c r="H130" s="10">
        <f>VLOOKUP(A130,MLA!$A$5:$L$11,3,FALSE)</f>
        <v/>
      </c>
      <c r="I130" s="25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7">
        <f>IF(E130="",0,(AnalysisStart-E130)/365.25)</f>
        <v/>
      </c>
      <c r="N130" s="5">
        <f>IFERROR(IF(I130="LeaseUp",H130*D130*(1+GrowthMarketRent)^0*IF(0=0,(12-DowntimeNew)/12,1),IF(F130="",0,IF(F130&gt;=DATE(2027+0,4,30),G130*D130*(1+EscalatorInLease)^0,IF(F130&lt;DATE(2026+0,5,1),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,((F130-DATE(2026+0,5,1))/365.25)*G130*D130*(1+EscalatorInLease)^0+((DATE(2027+0,4,30)-F130)/365.25)*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)))),0)</f>
        <v/>
      </c>
      <c r="O130" s="5">
        <f>IFERROR(IF(I130="LeaseUp",H130*D130*(1+GrowthMarketRent)^1*IF(1=0,(12-DowntimeNew)/12,1),IF(F130="",0,IF(F130&gt;=DATE(2027+1,4,30),G130*D130*(1+EscalatorInLease)^1,IF(F130&lt;DATE(2026+1,5,1),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,((F130-DATE(2026+1,5,1))/365.25)*G130*D130*(1+EscalatorInLease)^1+((DATE(2027+1,4,30)-F130)/365.25)*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)))),0)</f>
        <v/>
      </c>
      <c r="P130" s="5">
        <f>IFERROR(IF(I130="LeaseUp",H130*D130*(1+GrowthMarketRent)^2*IF(2=0,(12-DowntimeNew)/12,1),IF(F130="",0,IF(F130&gt;=DATE(2027+2,4,30),G130*D130*(1+EscalatorInLease)^2,IF(F130&lt;DATE(2026+2,5,1),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,((F130-DATE(2026+2,5,1))/365.25)*G130*D130*(1+EscalatorInLease)^2+((DATE(2027+2,4,30)-F130)/365.25)*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)))),0)</f>
        <v/>
      </c>
      <c r="Q130" s="5">
        <f>IFERROR(IF(I130="LeaseUp",H130*D130*(1+GrowthMarketRent)^3*IF(3=0,(12-DowntimeNew)/12,1),IF(F130="",0,IF(F130&gt;=DATE(2027+3,4,30),G130*D130*(1+EscalatorInLease)^3,IF(F130&lt;DATE(2026+3,5,1),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,((F130-DATE(2026+3,5,1))/365.25)*G130*D130*(1+EscalatorInLease)^3+((DATE(2027+3,4,30)-F130)/365.25)*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)))),0)</f>
        <v/>
      </c>
      <c r="R130" s="5">
        <f>IFERROR(IF(I130="LeaseUp",H130*D130*(1+GrowthMarketRent)^4*IF(4=0,(12-DowntimeNew)/12,1),IF(F130="",0,IF(F130&gt;=DATE(2027+4,4,30),G130*D130*(1+EscalatorInLease)^4,IF(F130&lt;DATE(2026+4,5,1),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,((F130-DATE(2026+4,5,1))/365.25)*G130*D130*(1+EscalatorInLease)^4+((DATE(2027+4,4,30)-F130)/365.25)*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)))),0)</f>
        <v/>
      </c>
      <c r="S130" s="5">
        <f>IFERROR(IF(I130="LeaseUp",H130*D130*(1+GrowthMarketRent)^5*IF(5=0,(12-DowntimeNew)/12,1),IF(F130="",0,IF(F130&gt;=DATE(2027+5,4,30),G130*D130*(1+EscalatorInLease)^5,IF(F130&lt;DATE(2026+5,5,1),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,((F130-DATE(2026+5,5,1))/365.25)*G130*D130*(1+EscalatorInLease)^5+((DATE(2027+5,4,30)-F130)/365.25)*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)))),0)</f>
        <v/>
      </c>
      <c r="T130" s="5">
        <f>IFERROR(IF(I130="LeaseUp",H130*D130*(1+GrowthMarketRent)^6*IF(6=0,(12-DowntimeNew)/12,1),IF(F130="",0,IF(F130&gt;=DATE(2027+6,4,30),G130*D130*(1+EscalatorInLease)^6,IF(F130&lt;DATE(2026+6,5,1),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,((F130-DATE(2026+6,5,1))/365.25)*G130*D130*(1+EscalatorInLease)^6+((DATE(2027+6,4,30)-F130)/365.25)*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)))),0)</f>
        <v/>
      </c>
      <c r="U130" s="5">
        <f>IFERROR(IF(I130="LeaseUp",H130*D130*(1+GrowthMarketRent)^7*IF(7=0,(12-DowntimeNew)/12,1),IF(F130="",0,IF(F130&gt;=DATE(2027+7,4,30),G130*D130*(1+EscalatorInLease)^7,IF(F130&lt;DATE(2026+7,5,1),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,((F130-DATE(2026+7,5,1))/365.25)*G130*D130*(1+EscalatorInLease)^7+((DATE(2027+7,4,30)-F130)/365.25)*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)))),0)</f>
        <v/>
      </c>
      <c r="V130" s="5">
        <f>IFERROR(IF(I130="LeaseUp",H130*D130*(1+GrowthMarketRent)^8*IF(8=0,(12-DowntimeNew)/12,1),IF(F130="",0,IF(F130&gt;=DATE(2027+8,4,30),G130*D130*(1+EscalatorInLease)^8,IF(F130&lt;DATE(2026+8,5,1),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,((F130-DATE(2026+8,5,1))/365.25)*G130*D130*(1+EscalatorInLease)^8+((DATE(2027+8,4,30)-F130)/365.25)*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)))),0)</f>
        <v/>
      </c>
      <c r="W130" s="5">
        <f>IFERROR(IF(I130="LeaseUp",H130*D130*(1+GrowthMarketRent)^9*IF(9=0,(12-DowntimeNew)/12,1),IF(F130="",0,IF(F130&gt;=DATE(2027+9,4,30),G130*D130*(1+EscalatorInLease)^9,IF(F130&lt;DATE(2026+9,5,1),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,((F130-DATE(2026+9,5,1))/365.25)*G130*D130*(1+EscalatorInLease)^9+((DATE(2027+9,4,30)-F130)/365.25)*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)))),0)</f>
        <v/>
      </c>
      <c r="X130" s="5">
        <f>IFERROR(IF(I130="LeaseUp",H130*D130*(1+GrowthMarketRent)^10*IF(10=0,(12-DowntimeNew)/12,1),IF(F130="",0,IF(F130&gt;=DATE(2027+10,4,30),G130*D130*(1+EscalatorInLease)^10,IF(F130&lt;DATE(2026+10,5,1),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,((F130-DATE(2026+10,5,1))/365.25)*G130*D130*(1+EscalatorInLease)^10+((DATE(2027+10,4,30)-F130)/365.25)*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)))),0)</f>
        <v/>
      </c>
      <c r="Y130" s="5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5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5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5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5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5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5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5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5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5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5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9" t="n">
        <v>2600</v>
      </c>
      <c r="E131" s="40" t="n">
        <v>45809</v>
      </c>
      <c r="F131" s="40" t="n">
        <v>47058</v>
      </c>
      <c r="G131" s="41" t="n">
        <v>15.9076923076923</v>
      </c>
      <c r="H131" s="10">
        <f>VLOOKUP(A131,MLA!$A$5:$L$11,3,FALSE)</f>
        <v/>
      </c>
      <c r="I131" s="25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7">
        <f>IF(E131="",0,(AnalysisStart-E131)/365.25)</f>
        <v/>
      </c>
      <c r="N131" s="5">
        <f>IFERROR(IF(I131="LeaseUp",H131*D131*(1+GrowthMarketRent)^0*IF(0=0,(12-DowntimeNew)/12,1),IF(F131="",0,IF(F131&gt;=DATE(2027+0,4,30),G131*D131*(1+EscalatorInLease)^0,IF(F131&lt;DATE(2026+0,5,1),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,((F131-DATE(2026+0,5,1))/365.25)*G131*D131*(1+EscalatorInLease)^0+((DATE(2027+0,4,30)-F131)/365.25)*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)))),0)</f>
        <v/>
      </c>
      <c r="O131" s="5">
        <f>IFERROR(IF(I131="LeaseUp",H131*D131*(1+GrowthMarketRent)^1*IF(1=0,(12-DowntimeNew)/12,1),IF(F131="",0,IF(F131&gt;=DATE(2027+1,4,30),G131*D131*(1+EscalatorInLease)^1,IF(F131&lt;DATE(2026+1,5,1),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,((F131-DATE(2026+1,5,1))/365.25)*G131*D131*(1+EscalatorInLease)^1+((DATE(2027+1,4,30)-F131)/365.25)*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)))),0)</f>
        <v/>
      </c>
      <c r="P131" s="5">
        <f>IFERROR(IF(I131="LeaseUp",H131*D131*(1+GrowthMarketRent)^2*IF(2=0,(12-DowntimeNew)/12,1),IF(F131="",0,IF(F131&gt;=DATE(2027+2,4,30),G131*D131*(1+EscalatorInLease)^2,IF(F131&lt;DATE(2026+2,5,1),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,((F131-DATE(2026+2,5,1))/365.25)*G131*D131*(1+EscalatorInLease)^2+((DATE(2027+2,4,30)-F131)/365.25)*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)))),0)</f>
        <v/>
      </c>
      <c r="Q131" s="5">
        <f>IFERROR(IF(I131="LeaseUp",H131*D131*(1+GrowthMarketRent)^3*IF(3=0,(12-DowntimeNew)/12,1),IF(F131="",0,IF(F131&gt;=DATE(2027+3,4,30),G131*D131*(1+EscalatorInLease)^3,IF(F131&lt;DATE(2026+3,5,1),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,((F131-DATE(2026+3,5,1))/365.25)*G131*D131*(1+EscalatorInLease)^3+((DATE(2027+3,4,30)-F131)/365.25)*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)))),0)</f>
        <v/>
      </c>
      <c r="R131" s="5">
        <f>IFERROR(IF(I131="LeaseUp",H131*D131*(1+GrowthMarketRent)^4*IF(4=0,(12-DowntimeNew)/12,1),IF(F131="",0,IF(F131&gt;=DATE(2027+4,4,30),G131*D131*(1+EscalatorInLease)^4,IF(F131&lt;DATE(2026+4,5,1),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,((F131-DATE(2026+4,5,1))/365.25)*G131*D131*(1+EscalatorInLease)^4+((DATE(2027+4,4,30)-F131)/365.25)*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)))),0)</f>
        <v/>
      </c>
      <c r="S131" s="5">
        <f>IFERROR(IF(I131="LeaseUp",H131*D131*(1+GrowthMarketRent)^5*IF(5=0,(12-DowntimeNew)/12,1),IF(F131="",0,IF(F131&gt;=DATE(2027+5,4,30),G131*D131*(1+EscalatorInLease)^5,IF(F131&lt;DATE(2026+5,5,1),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,((F131-DATE(2026+5,5,1))/365.25)*G131*D131*(1+EscalatorInLease)^5+((DATE(2027+5,4,30)-F131)/365.25)*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)))),0)</f>
        <v/>
      </c>
      <c r="T131" s="5">
        <f>IFERROR(IF(I131="LeaseUp",H131*D131*(1+GrowthMarketRent)^6*IF(6=0,(12-DowntimeNew)/12,1),IF(F131="",0,IF(F131&gt;=DATE(2027+6,4,30),G131*D131*(1+EscalatorInLease)^6,IF(F131&lt;DATE(2026+6,5,1),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,((F131-DATE(2026+6,5,1))/365.25)*G131*D131*(1+EscalatorInLease)^6+((DATE(2027+6,4,30)-F131)/365.25)*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)))),0)</f>
        <v/>
      </c>
      <c r="U131" s="5">
        <f>IFERROR(IF(I131="LeaseUp",H131*D131*(1+GrowthMarketRent)^7*IF(7=0,(12-DowntimeNew)/12,1),IF(F131="",0,IF(F131&gt;=DATE(2027+7,4,30),G131*D131*(1+EscalatorInLease)^7,IF(F131&lt;DATE(2026+7,5,1),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,((F131-DATE(2026+7,5,1))/365.25)*G131*D131*(1+EscalatorInLease)^7+((DATE(2027+7,4,30)-F131)/365.25)*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)))),0)</f>
        <v/>
      </c>
      <c r="V131" s="5">
        <f>IFERROR(IF(I131="LeaseUp",H131*D131*(1+GrowthMarketRent)^8*IF(8=0,(12-DowntimeNew)/12,1),IF(F131="",0,IF(F131&gt;=DATE(2027+8,4,30),G131*D131*(1+EscalatorInLease)^8,IF(F131&lt;DATE(2026+8,5,1),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,((F131-DATE(2026+8,5,1))/365.25)*G131*D131*(1+EscalatorInLease)^8+((DATE(2027+8,4,30)-F131)/365.25)*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)))),0)</f>
        <v/>
      </c>
      <c r="W131" s="5">
        <f>IFERROR(IF(I131="LeaseUp",H131*D131*(1+GrowthMarketRent)^9*IF(9=0,(12-DowntimeNew)/12,1),IF(F131="",0,IF(F131&gt;=DATE(2027+9,4,30),G131*D131*(1+EscalatorInLease)^9,IF(F131&lt;DATE(2026+9,5,1),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,((F131-DATE(2026+9,5,1))/365.25)*G131*D131*(1+EscalatorInLease)^9+((DATE(2027+9,4,30)-F131)/365.25)*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)))),0)</f>
        <v/>
      </c>
      <c r="X131" s="5">
        <f>IFERROR(IF(I131="LeaseUp",H131*D131*(1+GrowthMarketRent)^10*IF(10=0,(12-DowntimeNew)/12,1),IF(F131="",0,IF(F131&gt;=DATE(2027+10,4,30),G131*D131*(1+EscalatorInLease)^10,IF(F131&lt;DATE(2026+10,5,1),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,((F131-DATE(2026+10,5,1))/365.25)*G131*D131*(1+EscalatorInLease)^10+((DATE(2027+10,4,30)-F131)/365.25)*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)))),0)</f>
        <v/>
      </c>
      <c r="Y131" s="5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5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5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5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5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5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5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5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5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5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5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9" t="n">
        <v>3050</v>
      </c>
      <c r="E132" s="40" t="n">
        <v>44958</v>
      </c>
      <c r="F132" s="40" t="n">
        <v>46204</v>
      </c>
      <c r="G132" s="41" t="n">
        <v>0</v>
      </c>
      <c r="H132" s="10">
        <f>VLOOKUP(A132,MLA!$A$5:$L$11,3,FALSE)</f>
        <v/>
      </c>
      <c r="I132" s="25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7">
        <f>IF(E132="",0,(AnalysisStart-E132)/365.25)</f>
        <v/>
      </c>
      <c r="N132" s="5">
        <f>IFERROR(IF(I132="LeaseUp",H132*D132*(1+GrowthMarketRent)^0*IF(0=0,(12-DowntimeNew)/12,1),IF(F132="",0,IF(F132&gt;=DATE(2027+0,4,30),G132*D132*(1+EscalatorInLease)^0,IF(F132&lt;DATE(2026+0,5,1),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,((F132-DATE(2026+0,5,1))/365.25)*G132*D132*(1+EscalatorInLease)^0+((DATE(2027+0,4,30)-F132)/365.25)*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)))),0)</f>
        <v/>
      </c>
      <c r="O132" s="5">
        <f>IFERROR(IF(I132="LeaseUp",H132*D132*(1+GrowthMarketRent)^1*IF(1=0,(12-DowntimeNew)/12,1),IF(F132="",0,IF(F132&gt;=DATE(2027+1,4,30),G132*D132*(1+EscalatorInLease)^1,IF(F132&lt;DATE(2026+1,5,1),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,((F132-DATE(2026+1,5,1))/365.25)*G132*D132*(1+EscalatorInLease)^1+((DATE(2027+1,4,30)-F132)/365.25)*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)))),0)</f>
        <v/>
      </c>
      <c r="P132" s="5">
        <f>IFERROR(IF(I132="LeaseUp",H132*D132*(1+GrowthMarketRent)^2*IF(2=0,(12-DowntimeNew)/12,1),IF(F132="",0,IF(F132&gt;=DATE(2027+2,4,30),G132*D132*(1+EscalatorInLease)^2,IF(F132&lt;DATE(2026+2,5,1),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,((F132-DATE(2026+2,5,1))/365.25)*G132*D132*(1+EscalatorInLease)^2+((DATE(2027+2,4,30)-F132)/365.25)*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)))),0)</f>
        <v/>
      </c>
      <c r="Q132" s="5">
        <f>IFERROR(IF(I132="LeaseUp",H132*D132*(1+GrowthMarketRent)^3*IF(3=0,(12-DowntimeNew)/12,1),IF(F132="",0,IF(F132&gt;=DATE(2027+3,4,30),G132*D132*(1+EscalatorInLease)^3,IF(F132&lt;DATE(2026+3,5,1),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,((F132-DATE(2026+3,5,1))/365.25)*G132*D132*(1+EscalatorInLease)^3+((DATE(2027+3,4,30)-F132)/365.25)*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)))),0)</f>
        <v/>
      </c>
      <c r="R132" s="5">
        <f>IFERROR(IF(I132="LeaseUp",H132*D132*(1+GrowthMarketRent)^4*IF(4=0,(12-DowntimeNew)/12,1),IF(F132="",0,IF(F132&gt;=DATE(2027+4,4,30),G132*D132*(1+EscalatorInLease)^4,IF(F132&lt;DATE(2026+4,5,1),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,((F132-DATE(2026+4,5,1))/365.25)*G132*D132*(1+EscalatorInLease)^4+((DATE(2027+4,4,30)-F132)/365.25)*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)))),0)</f>
        <v/>
      </c>
      <c r="S132" s="5">
        <f>IFERROR(IF(I132="LeaseUp",H132*D132*(1+GrowthMarketRent)^5*IF(5=0,(12-DowntimeNew)/12,1),IF(F132="",0,IF(F132&gt;=DATE(2027+5,4,30),G132*D132*(1+EscalatorInLease)^5,IF(F132&lt;DATE(2026+5,5,1),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,((F132-DATE(2026+5,5,1))/365.25)*G132*D132*(1+EscalatorInLease)^5+((DATE(2027+5,4,30)-F132)/365.25)*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)))),0)</f>
        <v/>
      </c>
      <c r="T132" s="5">
        <f>IFERROR(IF(I132="LeaseUp",H132*D132*(1+GrowthMarketRent)^6*IF(6=0,(12-DowntimeNew)/12,1),IF(F132="",0,IF(F132&gt;=DATE(2027+6,4,30),G132*D132*(1+EscalatorInLease)^6,IF(F132&lt;DATE(2026+6,5,1),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,((F132-DATE(2026+6,5,1))/365.25)*G132*D132*(1+EscalatorInLease)^6+((DATE(2027+6,4,30)-F132)/365.25)*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)))),0)</f>
        <v/>
      </c>
      <c r="U132" s="5">
        <f>IFERROR(IF(I132="LeaseUp",H132*D132*(1+GrowthMarketRent)^7*IF(7=0,(12-DowntimeNew)/12,1),IF(F132="",0,IF(F132&gt;=DATE(2027+7,4,30),G132*D132*(1+EscalatorInLease)^7,IF(F132&lt;DATE(2026+7,5,1),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,((F132-DATE(2026+7,5,1))/365.25)*G132*D132*(1+EscalatorInLease)^7+((DATE(2027+7,4,30)-F132)/365.25)*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)))),0)</f>
        <v/>
      </c>
      <c r="V132" s="5">
        <f>IFERROR(IF(I132="LeaseUp",H132*D132*(1+GrowthMarketRent)^8*IF(8=0,(12-DowntimeNew)/12,1),IF(F132="",0,IF(F132&gt;=DATE(2027+8,4,30),G132*D132*(1+EscalatorInLease)^8,IF(F132&lt;DATE(2026+8,5,1),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,((F132-DATE(2026+8,5,1))/365.25)*G132*D132*(1+EscalatorInLease)^8+((DATE(2027+8,4,30)-F132)/365.25)*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)))),0)</f>
        <v/>
      </c>
      <c r="W132" s="5">
        <f>IFERROR(IF(I132="LeaseUp",H132*D132*(1+GrowthMarketRent)^9*IF(9=0,(12-DowntimeNew)/12,1),IF(F132="",0,IF(F132&gt;=DATE(2027+9,4,30),G132*D132*(1+EscalatorInLease)^9,IF(F132&lt;DATE(2026+9,5,1),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,((F132-DATE(2026+9,5,1))/365.25)*G132*D132*(1+EscalatorInLease)^9+((DATE(2027+9,4,30)-F132)/365.25)*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)))),0)</f>
        <v/>
      </c>
      <c r="X132" s="5">
        <f>IFERROR(IF(I132="LeaseUp",H132*D132*(1+GrowthMarketRent)^10*IF(10=0,(12-DowntimeNew)/12,1),IF(F132="",0,IF(F132&gt;=DATE(2027+10,4,30),G132*D132*(1+EscalatorInLease)^10,IF(F132&lt;DATE(2026+10,5,1),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,((F132-DATE(2026+10,5,1))/365.25)*G132*D132*(1+EscalatorInLease)^10+((DATE(2027+10,4,30)-F132)/365.25)*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)))),0)</f>
        <v/>
      </c>
      <c r="Y132" s="5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5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5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5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5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5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5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5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5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5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5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9" t="n">
        <v>2600</v>
      </c>
      <c r="E133" s="40" t="n">
        <v>45809</v>
      </c>
      <c r="F133" s="40" t="n">
        <v>47058</v>
      </c>
      <c r="G133" s="41" t="n">
        <v>16</v>
      </c>
      <c r="H133" s="10">
        <f>VLOOKUP(A133,MLA!$A$5:$L$11,3,FALSE)</f>
        <v/>
      </c>
      <c r="I133" s="25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7">
        <f>IF(E133="",0,(AnalysisStart-E133)/365.25)</f>
        <v/>
      </c>
      <c r="N133" s="5">
        <f>IFERROR(IF(I133="LeaseUp",H133*D133*(1+GrowthMarketRent)^0*IF(0=0,(12-DowntimeNew)/12,1),IF(F133="",0,IF(F133&gt;=DATE(2027+0,4,30),G133*D133*(1+EscalatorInLease)^0,IF(F133&lt;DATE(2026+0,5,1),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,((F133-DATE(2026+0,5,1))/365.25)*G133*D133*(1+EscalatorInLease)^0+((DATE(2027+0,4,30)-F133)/365.25)*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)))),0)</f>
        <v/>
      </c>
      <c r="O133" s="5">
        <f>IFERROR(IF(I133="LeaseUp",H133*D133*(1+GrowthMarketRent)^1*IF(1=0,(12-DowntimeNew)/12,1),IF(F133="",0,IF(F133&gt;=DATE(2027+1,4,30),G133*D133*(1+EscalatorInLease)^1,IF(F133&lt;DATE(2026+1,5,1),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,((F133-DATE(2026+1,5,1))/365.25)*G133*D133*(1+EscalatorInLease)^1+((DATE(2027+1,4,30)-F133)/365.25)*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)))),0)</f>
        <v/>
      </c>
      <c r="P133" s="5">
        <f>IFERROR(IF(I133="LeaseUp",H133*D133*(1+GrowthMarketRent)^2*IF(2=0,(12-DowntimeNew)/12,1),IF(F133="",0,IF(F133&gt;=DATE(2027+2,4,30),G133*D133*(1+EscalatorInLease)^2,IF(F133&lt;DATE(2026+2,5,1),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,((F133-DATE(2026+2,5,1))/365.25)*G133*D133*(1+EscalatorInLease)^2+((DATE(2027+2,4,30)-F133)/365.25)*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)))),0)</f>
        <v/>
      </c>
      <c r="Q133" s="5">
        <f>IFERROR(IF(I133="LeaseUp",H133*D133*(1+GrowthMarketRent)^3*IF(3=0,(12-DowntimeNew)/12,1),IF(F133="",0,IF(F133&gt;=DATE(2027+3,4,30),G133*D133*(1+EscalatorInLease)^3,IF(F133&lt;DATE(2026+3,5,1),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,((F133-DATE(2026+3,5,1))/365.25)*G133*D133*(1+EscalatorInLease)^3+((DATE(2027+3,4,30)-F133)/365.25)*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)))),0)</f>
        <v/>
      </c>
      <c r="R133" s="5">
        <f>IFERROR(IF(I133="LeaseUp",H133*D133*(1+GrowthMarketRent)^4*IF(4=0,(12-DowntimeNew)/12,1),IF(F133="",0,IF(F133&gt;=DATE(2027+4,4,30),G133*D133*(1+EscalatorInLease)^4,IF(F133&lt;DATE(2026+4,5,1),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,((F133-DATE(2026+4,5,1))/365.25)*G133*D133*(1+EscalatorInLease)^4+((DATE(2027+4,4,30)-F133)/365.25)*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)))),0)</f>
        <v/>
      </c>
      <c r="S133" s="5">
        <f>IFERROR(IF(I133="LeaseUp",H133*D133*(1+GrowthMarketRent)^5*IF(5=0,(12-DowntimeNew)/12,1),IF(F133="",0,IF(F133&gt;=DATE(2027+5,4,30),G133*D133*(1+EscalatorInLease)^5,IF(F133&lt;DATE(2026+5,5,1),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,((F133-DATE(2026+5,5,1))/365.25)*G133*D133*(1+EscalatorInLease)^5+((DATE(2027+5,4,30)-F133)/365.25)*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)))),0)</f>
        <v/>
      </c>
      <c r="T133" s="5">
        <f>IFERROR(IF(I133="LeaseUp",H133*D133*(1+GrowthMarketRent)^6*IF(6=0,(12-DowntimeNew)/12,1),IF(F133="",0,IF(F133&gt;=DATE(2027+6,4,30),G133*D133*(1+EscalatorInLease)^6,IF(F133&lt;DATE(2026+6,5,1),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,((F133-DATE(2026+6,5,1))/365.25)*G133*D133*(1+EscalatorInLease)^6+((DATE(2027+6,4,30)-F133)/365.25)*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)))),0)</f>
        <v/>
      </c>
      <c r="U133" s="5">
        <f>IFERROR(IF(I133="LeaseUp",H133*D133*(1+GrowthMarketRent)^7*IF(7=0,(12-DowntimeNew)/12,1),IF(F133="",0,IF(F133&gt;=DATE(2027+7,4,30),G133*D133*(1+EscalatorInLease)^7,IF(F133&lt;DATE(2026+7,5,1),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,((F133-DATE(2026+7,5,1))/365.25)*G133*D133*(1+EscalatorInLease)^7+((DATE(2027+7,4,30)-F133)/365.25)*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)))),0)</f>
        <v/>
      </c>
      <c r="V133" s="5">
        <f>IFERROR(IF(I133="LeaseUp",H133*D133*(1+GrowthMarketRent)^8*IF(8=0,(12-DowntimeNew)/12,1),IF(F133="",0,IF(F133&gt;=DATE(2027+8,4,30),G133*D133*(1+EscalatorInLease)^8,IF(F133&lt;DATE(2026+8,5,1),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,((F133-DATE(2026+8,5,1))/365.25)*G133*D133*(1+EscalatorInLease)^8+((DATE(2027+8,4,30)-F133)/365.25)*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)))),0)</f>
        <v/>
      </c>
      <c r="W133" s="5">
        <f>IFERROR(IF(I133="LeaseUp",H133*D133*(1+GrowthMarketRent)^9*IF(9=0,(12-DowntimeNew)/12,1),IF(F133="",0,IF(F133&gt;=DATE(2027+9,4,30),G133*D133*(1+EscalatorInLease)^9,IF(F133&lt;DATE(2026+9,5,1),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,((F133-DATE(2026+9,5,1))/365.25)*G133*D133*(1+EscalatorInLease)^9+((DATE(2027+9,4,30)-F133)/365.25)*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)))),0)</f>
        <v/>
      </c>
      <c r="X133" s="5">
        <f>IFERROR(IF(I133="LeaseUp",H133*D133*(1+GrowthMarketRent)^10*IF(10=0,(12-DowntimeNew)/12,1),IF(F133="",0,IF(F133&gt;=DATE(2027+10,4,30),G133*D133*(1+EscalatorInLease)^10,IF(F133&lt;DATE(2026+10,5,1),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,((F133-DATE(2026+10,5,1))/365.25)*G133*D133*(1+EscalatorInLease)^10+((DATE(2027+10,4,30)-F133)/365.25)*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)))),0)</f>
        <v/>
      </c>
      <c r="Y133" s="5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5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5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5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5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5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5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5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5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5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5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9" t="n">
        <v>3050</v>
      </c>
      <c r="E134" s="40" t="n">
        <v>45931</v>
      </c>
      <c r="F134" s="40" t="n">
        <v>46266</v>
      </c>
      <c r="G134" s="41" t="n">
        <v>18</v>
      </c>
      <c r="H134" s="10">
        <f>VLOOKUP(A134,MLA!$A$5:$L$11,3,FALSE)</f>
        <v/>
      </c>
      <c r="I134" s="25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7">
        <f>IF(E134="",0,(AnalysisStart-E134)/365.25)</f>
        <v/>
      </c>
      <c r="N134" s="5">
        <f>IFERROR(IF(I134="LeaseUp",H134*D134*(1+GrowthMarketRent)^0*IF(0=0,(12-DowntimeNew)/12,1),IF(F134="",0,IF(F134&gt;=DATE(2027+0,4,30),G134*D134*(1+EscalatorInLease)^0,IF(F134&lt;DATE(2026+0,5,1),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,((F134-DATE(2026+0,5,1))/365.25)*G134*D134*(1+EscalatorInLease)^0+((DATE(2027+0,4,30)-F134)/365.25)*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)))),0)</f>
        <v/>
      </c>
      <c r="O134" s="5">
        <f>IFERROR(IF(I134="LeaseUp",H134*D134*(1+GrowthMarketRent)^1*IF(1=0,(12-DowntimeNew)/12,1),IF(F134="",0,IF(F134&gt;=DATE(2027+1,4,30),G134*D134*(1+EscalatorInLease)^1,IF(F134&lt;DATE(2026+1,5,1),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,((F134-DATE(2026+1,5,1))/365.25)*G134*D134*(1+EscalatorInLease)^1+((DATE(2027+1,4,30)-F134)/365.25)*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)))),0)</f>
        <v/>
      </c>
      <c r="P134" s="5">
        <f>IFERROR(IF(I134="LeaseUp",H134*D134*(1+GrowthMarketRent)^2*IF(2=0,(12-DowntimeNew)/12,1),IF(F134="",0,IF(F134&gt;=DATE(2027+2,4,30),G134*D134*(1+EscalatorInLease)^2,IF(F134&lt;DATE(2026+2,5,1),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,((F134-DATE(2026+2,5,1))/365.25)*G134*D134*(1+EscalatorInLease)^2+((DATE(2027+2,4,30)-F134)/365.25)*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)))),0)</f>
        <v/>
      </c>
      <c r="Q134" s="5">
        <f>IFERROR(IF(I134="LeaseUp",H134*D134*(1+GrowthMarketRent)^3*IF(3=0,(12-DowntimeNew)/12,1),IF(F134="",0,IF(F134&gt;=DATE(2027+3,4,30),G134*D134*(1+EscalatorInLease)^3,IF(F134&lt;DATE(2026+3,5,1),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,((F134-DATE(2026+3,5,1))/365.25)*G134*D134*(1+EscalatorInLease)^3+((DATE(2027+3,4,30)-F134)/365.25)*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)))),0)</f>
        <v/>
      </c>
      <c r="R134" s="5">
        <f>IFERROR(IF(I134="LeaseUp",H134*D134*(1+GrowthMarketRent)^4*IF(4=0,(12-DowntimeNew)/12,1),IF(F134="",0,IF(F134&gt;=DATE(2027+4,4,30),G134*D134*(1+EscalatorInLease)^4,IF(F134&lt;DATE(2026+4,5,1),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,((F134-DATE(2026+4,5,1))/365.25)*G134*D134*(1+EscalatorInLease)^4+((DATE(2027+4,4,30)-F134)/365.25)*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)))),0)</f>
        <v/>
      </c>
      <c r="S134" s="5">
        <f>IFERROR(IF(I134="LeaseUp",H134*D134*(1+GrowthMarketRent)^5*IF(5=0,(12-DowntimeNew)/12,1),IF(F134="",0,IF(F134&gt;=DATE(2027+5,4,30),G134*D134*(1+EscalatorInLease)^5,IF(F134&lt;DATE(2026+5,5,1),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,((F134-DATE(2026+5,5,1))/365.25)*G134*D134*(1+EscalatorInLease)^5+((DATE(2027+5,4,30)-F134)/365.25)*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)))),0)</f>
        <v/>
      </c>
      <c r="T134" s="5">
        <f>IFERROR(IF(I134="LeaseUp",H134*D134*(1+GrowthMarketRent)^6*IF(6=0,(12-DowntimeNew)/12,1),IF(F134="",0,IF(F134&gt;=DATE(2027+6,4,30),G134*D134*(1+EscalatorInLease)^6,IF(F134&lt;DATE(2026+6,5,1),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,((F134-DATE(2026+6,5,1))/365.25)*G134*D134*(1+EscalatorInLease)^6+((DATE(2027+6,4,30)-F134)/365.25)*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)))),0)</f>
        <v/>
      </c>
      <c r="U134" s="5">
        <f>IFERROR(IF(I134="LeaseUp",H134*D134*(1+GrowthMarketRent)^7*IF(7=0,(12-DowntimeNew)/12,1),IF(F134="",0,IF(F134&gt;=DATE(2027+7,4,30),G134*D134*(1+EscalatorInLease)^7,IF(F134&lt;DATE(2026+7,5,1),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,((F134-DATE(2026+7,5,1))/365.25)*G134*D134*(1+EscalatorInLease)^7+((DATE(2027+7,4,30)-F134)/365.25)*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)))),0)</f>
        <v/>
      </c>
      <c r="V134" s="5">
        <f>IFERROR(IF(I134="LeaseUp",H134*D134*(1+GrowthMarketRent)^8*IF(8=0,(12-DowntimeNew)/12,1),IF(F134="",0,IF(F134&gt;=DATE(2027+8,4,30),G134*D134*(1+EscalatorInLease)^8,IF(F134&lt;DATE(2026+8,5,1),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,((F134-DATE(2026+8,5,1))/365.25)*G134*D134*(1+EscalatorInLease)^8+((DATE(2027+8,4,30)-F134)/365.25)*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)))),0)</f>
        <v/>
      </c>
      <c r="W134" s="5">
        <f>IFERROR(IF(I134="LeaseUp",H134*D134*(1+GrowthMarketRent)^9*IF(9=0,(12-DowntimeNew)/12,1),IF(F134="",0,IF(F134&gt;=DATE(2027+9,4,30),G134*D134*(1+EscalatorInLease)^9,IF(F134&lt;DATE(2026+9,5,1),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,((F134-DATE(2026+9,5,1))/365.25)*G134*D134*(1+EscalatorInLease)^9+((DATE(2027+9,4,30)-F134)/365.25)*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)))),0)</f>
        <v/>
      </c>
      <c r="X134" s="5">
        <f>IFERROR(IF(I134="LeaseUp",H134*D134*(1+GrowthMarketRent)^10*IF(10=0,(12-DowntimeNew)/12,1),IF(F134="",0,IF(F134&gt;=DATE(2027+10,4,30),G134*D134*(1+EscalatorInLease)^10,IF(F134&lt;DATE(2026+10,5,1),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,((F134-DATE(2026+10,5,1))/365.25)*G134*D134*(1+EscalatorInLease)^10+((DATE(2027+10,4,30)-F134)/365.25)*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)))),0)</f>
        <v/>
      </c>
      <c r="Y134" s="5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5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5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5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5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5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5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5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5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5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5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9" t="n">
        <v>3675</v>
      </c>
      <c r="E135" s="40" t="n">
        <v>45870</v>
      </c>
      <c r="F135" s="40" t="n">
        <v>47150</v>
      </c>
      <c r="G135" s="41" t="n">
        <v>18</v>
      </c>
      <c r="H135" s="10">
        <f>VLOOKUP(A135,MLA!$A$5:$L$11,3,FALSE)</f>
        <v/>
      </c>
      <c r="I135" s="25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7">
        <f>IF(E135="",0,(AnalysisStart-E135)/365.25)</f>
        <v/>
      </c>
      <c r="N135" s="5">
        <f>IFERROR(IF(I135="LeaseUp",H135*D135*(1+GrowthMarketRent)^0*IF(0=0,(12-DowntimeNew)/12,1),IF(F135="",0,IF(F135&gt;=DATE(2027+0,4,30),G135*D135*(1+EscalatorInLease)^0,IF(F135&lt;DATE(2026+0,5,1),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,((F135-DATE(2026+0,5,1))/365.25)*G135*D135*(1+EscalatorInLease)^0+((DATE(2027+0,4,30)-F135)/365.25)*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)))),0)</f>
        <v/>
      </c>
      <c r="O135" s="5">
        <f>IFERROR(IF(I135="LeaseUp",H135*D135*(1+GrowthMarketRent)^1*IF(1=0,(12-DowntimeNew)/12,1),IF(F135="",0,IF(F135&gt;=DATE(2027+1,4,30),G135*D135*(1+EscalatorInLease)^1,IF(F135&lt;DATE(2026+1,5,1),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,((F135-DATE(2026+1,5,1))/365.25)*G135*D135*(1+EscalatorInLease)^1+((DATE(2027+1,4,30)-F135)/365.25)*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)))),0)</f>
        <v/>
      </c>
      <c r="P135" s="5">
        <f>IFERROR(IF(I135="LeaseUp",H135*D135*(1+GrowthMarketRent)^2*IF(2=0,(12-DowntimeNew)/12,1),IF(F135="",0,IF(F135&gt;=DATE(2027+2,4,30),G135*D135*(1+EscalatorInLease)^2,IF(F135&lt;DATE(2026+2,5,1),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,((F135-DATE(2026+2,5,1))/365.25)*G135*D135*(1+EscalatorInLease)^2+((DATE(2027+2,4,30)-F135)/365.25)*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)))),0)</f>
        <v/>
      </c>
      <c r="Q135" s="5">
        <f>IFERROR(IF(I135="LeaseUp",H135*D135*(1+GrowthMarketRent)^3*IF(3=0,(12-DowntimeNew)/12,1),IF(F135="",0,IF(F135&gt;=DATE(2027+3,4,30),G135*D135*(1+EscalatorInLease)^3,IF(F135&lt;DATE(2026+3,5,1),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,((F135-DATE(2026+3,5,1))/365.25)*G135*D135*(1+EscalatorInLease)^3+((DATE(2027+3,4,30)-F135)/365.25)*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)))),0)</f>
        <v/>
      </c>
      <c r="R135" s="5">
        <f>IFERROR(IF(I135="LeaseUp",H135*D135*(1+GrowthMarketRent)^4*IF(4=0,(12-DowntimeNew)/12,1),IF(F135="",0,IF(F135&gt;=DATE(2027+4,4,30),G135*D135*(1+EscalatorInLease)^4,IF(F135&lt;DATE(2026+4,5,1),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,((F135-DATE(2026+4,5,1))/365.25)*G135*D135*(1+EscalatorInLease)^4+((DATE(2027+4,4,30)-F135)/365.25)*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)))),0)</f>
        <v/>
      </c>
      <c r="S135" s="5">
        <f>IFERROR(IF(I135="LeaseUp",H135*D135*(1+GrowthMarketRent)^5*IF(5=0,(12-DowntimeNew)/12,1),IF(F135="",0,IF(F135&gt;=DATE(2027+5,4,30),G135*D135*(1+EscalatorInLease)^5,IF(F135&lt;DATE(2026+5,5,1),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,((F135-DATE(2026+5,5,1))/365.25)*G135*D135*(1+EscalatorInLease)^5+((DATE(2027+5,4,30)-F135)/365.25)*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)))),0)</f>
        <v/>
      </c>
      <c r="T135" s="5">
        <f>IFERROR(IF(I135="LeaseUp",H135*D135*(1+GrowthMarketRent)^6*IF(6=0,(12-DowntimeNew)/12,1),IF(F135="",0,IF(F135&gt;=DATE(2027+6,4,30),G135*D135*(1+EscalatorInLease)^6,IF(F135&lt;DATE(2026+6,5,1),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,((F135-DATE(2026+6,5,1))/365.25)*G135*D135*(1+EscalatorInLease)^6+((DATE(2027+6,4,30)-F135)/365.25)*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)))),0)</f>
        <v/>
      </c>
      <c r="U135" s="5">
        <f>IFERROR(IF(I135="LeaseUp",H135*D135*(1+GrowthMarketRent)^7*IF(7=0,(12-DowntimeNew)/12,1),IF(F135="",0,IF(F135&gt;=DATE(2027+7,4,30),G135*D135*(1+EscalatorInLease)^7,IF(F135&lt;DATE(2026+7,5,1),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,((F135-DATE(2026+7,5,1))/365.25)*G135*D135*(1+EscalatorInLease)^7+((DATE(2027+7,4,30)-F135)/365.25)*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)))),0)</f>
        <v/>
      </c>
      <c r="V135" s="5">
        <f>IFERROR(IF(I135="LeaseUp",H135*D135*(1+GrowthMarketRent)^8*IF(8=0,(12-DowntimeNew)/12,1),IF(F135="",0,IF(F135&gt;=DATE(2027+8,4,30),G135*D135*(1+EscalatorInLease)^8,IF(F135&lt;DATE(2026+8,5,1),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,((F135-DATE(2026+8,5,1))/365.25)*G135*D135*(1+EscalatorInLease)^8+((DATE(2027+8,4,30)-F135)/365.25)*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)))),0)</f>
        <v/>
      </c>
      <c r="W135" s="5">
        <f>IFERROR(IF(I135="LeaseUp",H135*D135*(1+GrowthMarketRent)^9*IF(9=0,(12-DowntimeNew)/12,1),IF(F135="",0,IF(F135&gt;=DATE(2027+9,4,30),G135*D135*(1+EscalatorInLease)^9,IF(F135&lt;DATE(2026+9,5,1),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,((F135-DATE(2026+9,5,1))/365.25)*G135*D135*(1+EscalatorInLease)^9+((DATE(2027+9,4,30)-F135)/365.25)*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)))),0)</f>
        <v/>
      </c>
      <c r="X135" s="5">
        <f>IFERROR(IF(I135="LeaseUp",H135*D135*(1+GrowthMarketRent)^10*IF(10=0,(12-DowntimeNew)/12,1),IF(F135="",0,IF(F135&gt;=DATE(2027+10,4,30),G135*D135*(1+EscalatorInLease)^10,IF(F135&lt;DATE(2026+10,5,1),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,((F135-DATE(2026+10,5,1))/365.25)*G135*D135*(1+EscalatorInLease)^10+((DATE(2027+10,4,30)-F135)/365.25)*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)))),0)</f>
        <v/>
      </c>
      <c r="Y135" s="5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5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5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5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5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5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5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5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5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5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5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9" t="n">
        <v>1870</v>
      </c>
      <c r="E136" s="40" t="n">
        <v>45901</v>
      </c>
      <c r="F136" s="40" t="n">
        <v>47150</v>
      </c>
      <c r="G136" s="41" t="n">
        <v>16</v>
      </c>
      <c r="H136" s="10">
        <f>VLOOKUP(A136,MLA!$A$5:$L$11,3,FALSE)</f>
        <v/>
      </c>
      <c r="I136" s="25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7">
        <f>IF(E136="",0,(AnalysisStart-E136)/365.25)</f>
        <v/>
      </c>
      <c r="N136" s="5">
        <f>IFERROR(IF(I136="LeaseUp",H136*D136*(1+GrowthMarketRent)^0*IF(0=0,(12-DowntimeNew)/12,1),IF(F136="",0,IF(F136&gt;=DATE(2027+0,4,30),G136*D136*(1+EscalatorInLease)^0,IF(F136&lt;DATE(2026+0,5,1),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,((F136-DATE(2026+0,5,1))/365.25)*G136*D136*(1+EscalatorInLease)^0+((DATE(2027+0,4,30)-F136)/365.25)*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)))),0)</f>
        <v/>
      </c>
      <c r="O136" s="5">
        <f>IFERROR(IF(I136="LeaseUp",H136*D136*(1+GrowthMarketRent)^1*IF(1=0,(12-DowntimeNew)/12,1),IF(F136="",0,IF(F136&gt;=DATE(2027+1,4,30),G136*D136*(1+EscalatorInLease)^1,IF(F136&lt;DATE(2026+1,5,1),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,((F136-DATE(2026+1,5,1))/365.25)*G136*D136*(1+EscalatorInLease)^1+((DATE(2027+1,4,30)-F136)/365.25)*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)))),0)</f>
        <v/>
      </c>
      <c r="P136" s="5">
        <f>IFERROR(IF(I136="LeaseUp",H136*D136*(1+GrowthMarketRent)^2*IF(2=0,(12-DowntimeNew)/12,1),IF(F136="",0,IF(F136&gt;=DATE(2027+2,4,30),G136*D136*(1+EscalatorInLease)^2,IF(F136&lt;DATE(2026+2,5,1),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,((F136-DATE(2026+2,5,1))/365.25)*G136*D136*(1+EscalatorInLease)^2+((DATE(2027+2,4,30)-F136)/365.25)*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)))),0)</f>
        <v/>
      </c>
      <c r="Q136" s="5">
        <f>IFERROR(IF(I136="LeaseUp",H136*D136*(1+GrowthMarketRent)^3*IF(3=0,(12-DowntimeNew)/12,1),IF(F136="",0,IF(F136&gt;=DATE(2027+3,4,30),G136*D136*(1+EscalatorInLease)^3,IF(F136&lt;DATE(2026+3,5,1),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,((F136-DATE(2026+3,5,1))/365.25)*G136*D136*(1+EscalatorInLease)^3+((DATE(2027+3,4,30)-F136)/365.25)*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)))),0)</f>
        <v/>
      </c>
      <c r="R136" s="5">
        <f>IFERROR(IF(I136="LeaseUp",H136*D136*(1+GrowthMarketRent)^4*IF(4=0,(12-DowntimeNew)/12,1),IF(F136="",0,IF(F136&gt;=DATE(2027+4,4,30),G136*D136*(1+EscalatorInLease)^4,IF(F136&lt;DATE(2026+4,5,1),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,((F136-DATE(2026+4,5,1))/365.25)*G136*D136*(1+EscalatorInLease)^4+((DATE(2027+4,4,30)-F136)/365.25)*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)))),0)</f>
        <v/>
      </c>
      <c r="S136" s="5">
        <f>IFERROR(IF(I136="LeaseUp",H136*D136*(1+GrowthMarketRent)^5*IF(5=0,(12-DowntimeNew)/12,1),IF(F136="",0,IF(F136&gt;=DATE(2027+5,4,30),G136*D136*(1+EscalatorInLease)^5,IF(F136&lt;DATE(2026+5,5,1),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,((F136-DATE(2026+5,5,1))/365.25)*G136*D136*(1+EscalatorInLease)^5+((DATE(2027+5,4,30)-F136)/365.25)*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)))),0)</f>
        <v/>
      </c>
      <c r="T136" s="5">
        <f>IFERROR(IF(I136="LeaseUp",H136*D136*(1+GrowthMarketRent)^6*IF(6=0,(12-DowntimeNew)/12,1),IF(F136="",0,IF(F136&gt;=DATE(2027+6,4,30),G136*D136*(1+EscalatorInLease)^6,IF(F136&lt;DATE(2026+6,5,1),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,((F136-DATE(2026+6,5,1))/365.25)*G136*D136*(1+EscalatorInLease)^6+((DATE(2027+6,4,30)-F136)/365.25)*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)))),0)</f>
        <v/>
      </c>
      <c r="U136" s="5">
        <f>IFERROR(IF(I136="LeaseUp",H136*D136*(1+GrowthMarketRent)^7*IF(7=0,(12-DowntimeNew)/12,1),IF(F136="",0,IF(F136&gt;=DATE(2027+7,4,30),G136*D136*(1+EscalatorInLease)^7,IF(F136&lt;DATE(2026+7,5,1),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,((F136-DATE(2026+7,5,1))/365.25)*G136*D136*(1+EscalatorInLease)^7+((DATE(2027+7,4,30)-F136)/365.25)*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)))),0)</f>
        <v/>
      </c>
      <c r="V136" s="5">
        <f>IFERROR(IF(I136="LeaseUp",H136*D136*(1+GrowthMarketRent)^8*IF(8=0,(12-DowntimeNew)/12,1),IF(F136="",0,IF(F136&gt;=DATE(2027+8,4,30),G136*D136*(1+EscalatorInLease)^8,IF(F136&lt;DATE(2026+8,5,1),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,((F136-DATE(2026+8,5,1))/365.25)*G136*D136*(1+EscalatorInLease)^8+((DATE(2027+8,4,30)-F136)/365.25)*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)))),0)</f>
        <v/>
      </c>
      <c r="W136" s="5">
        <f>IFERROR(IF(I136="LeaseUp",H136*D136*(1+GrowthMarketRent)^9*IF(9=0,(12-DowntimeNew)/12,1),IF(F136="",0,IF(F136&gt;=DATE(2027+9,4,30),G136*D136*(1+EscalatorInLease)^9,IF(F136&lt;DATE(2026+9,5,1),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,((F136-DATE(2026+9,5,1))/365.25)*G136*D136*(1+EscalatorInLease)^9+((DATE(2027+9,4,30)-F136)/365.25)*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)))),0)</f>
        <v/>
      </c>
      <c r="X136" s="5">
        <f>IFERROR(IF(I136="LeaseUp",H136*D136*(1+GrowthMarketRent)^10*IF(10=0,(12-DowntimeNew)/12,1),IF(F136="",0,IF(F136&gt;=DATE(2027+10,4,30),G136*D136*(1+EscalatorInLease)^10,IF(F136&lt;DATE(2026+10,5,1),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,((F136-DATE(2026+10,5,1))/365.25)*G136*D136*(1+EscalatorInLease)^10+((DATE(2027+10,4,30)-F136)/365.25)*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)))),0)</f>
        <v/>
      </c>
      <c r="Y136" s="5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5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5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5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5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5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5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5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5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5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5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9" t="n">
        <v>3450</v>
      </c>
      <c r="E137" s="40" t="n">
        <v>44958</v>
      </c>
      <c r="F137" s="40" t="n">
        <v>46235</v>
      </c>
      <c r="G137" s="41" t="n">
        <v>16.1533333333333</v>
      </c>
      <c r="H137" s="10">
        <f>VLOOKUP(A137,MLA!$A$5:$L$11,3,FALSE)</f>
        <v/>
      </c>
      <c r="I137" s="25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7">
        <f>IF(E137="",0,(AnalysisStart-E137)/365.25)</f>
        <v/>
      </c>
      <c r="N137" s="5">
        <f>IFERROR(IF(I137="LeaseUp",H137*D137*(1+GrowthMarketRent)^0*IF(0=0,(12-DowntimeNew)/12,1),IF(F137="",0,IF(F137&gt;=DATE(2027+0,4,30),G137*D137*(1+EscalatorInLease)^0,IF(F137&lt;DATE(2026+0,5,1),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,((F137-DATE(2026+0,5,1))/365.25)*G137*D137*(1+EscalatorInLease)^0+((DATE(2027+0,4,30)-F137)/365.25)*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)))),0)</f>
        <v/>
      </c>
      <c r="O137" s="5">
        <f>IFERROR(IF(I137="LeaseUp",H137*D137*(1+GrowthMarketRent)^1*IF(1=0,(12-DowntimeNew)/12,1),IF(F137="",0,IF(F137&gt;=DATE(2027+1,4,30),G137*D137*(1+EscalatorInLease)^1,IF(F137&lt;DATE(2026+1,5,1),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,((F137-DATE(2026+1,5,1))/365.25)*G137*D137*(1+EscalatorInLease)^1+((DATE(2027+1,4,30)-F137)/365.25)*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)))),0)</f>
        <v/>
      </c>
      <c r="P137" s="5">
        <f>IFERROR(IF(I137="LeaseUp",H137*D137*(1+GrowthMarketRent)^2*IF(2=0,(12-DowntimeNew)/12,1),IF(F137="",0,IF(F137&gt;=DATE(2027+2,4,30),G137*D137*(1+EscalatorInLease)^2,IF(F137&lt;DATE(2026+2,5,1),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,((F137-DATE(2026+2,5,1))/365.25)*G137*D137*(1+EscalatorInLease)^2+((DATE(2027+2,4,30)-F137)/365.25)*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)))),0)</f>
        <v/>
      </c>
      <c r="Q137" s="5">
        <f>IFERROR(IF(I137="LeaseUp",H137*D137*(1+GrowthMarketRent)^3*IF(3=0,(12-DowntimeNew)/12,1),IF(F137="",0,IF(F137&gt;=DATE(2027+3,4,30),G137*D137*(1+EscalatorInLease)^3,IF(F137&lt;DATE(2026+3,5,1),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,((F137-DATE(2026+3,5,1))/365.25)*G137*D137*(1+EscalatorInLease)^3+((DATE(2027+3,4,30)-F137)/365.25)*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)))),0)</f>
        <v/>
      </c>
      <c r="R137" s="5">
        <f>IFERROR(IF(I137="LeaseUp",H137*D137*(1+GrowthMarketRent)^4*IF(4=0,(12-DowntimeNew)/12,1),IF(F137="",0,IF(F137&gt;=DATE(2027+4,4,30),G137*D137*(1+EscalatorInLease)^4,IF(F137&lt;DATE(2026+4,5,1),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,((F137-DATE(2026+4,5,1))/365.25)*G137*D137*(1+EscalatorInLease)^4+((DATE(2027+4,4,30)-F137)/365.25)*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)))),0)</f>
        <v/>
      </c>
      <c r="S137" s="5">
        <f>IFERROR(IF(I137="LeaseUp",H137*D137*(1+GrowthMarketRent)^5*IF(5=0,(12-DowntimeNew)/12,1),IF(F137="",0,IF(F137&gt;=DATE(2027+5,4,30),G137*D137*(1+EscalatorInLease)^5,IF(F137&lt;DATE(2026+5,5,1),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,((F137-DATE(2026+5,5,1))/365.25)*G137*D137*(1+EscalatorInLease)^5+((DATE(2027+5,4,30)-F137)/365.25)*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)))),0)</f>
        <v/>
      </c>
      <c r="T137" s="5">
        <f>IFERROR(IF(I137="LeaseUp",H137*D137*(1+GrowthMarketRent)^6*IF(6=0,(12-DowntimeNew)/12,1),IF(F137="",0,IF(F137&gt;=DATE(2027+6,4,30),G137*D137*(1+EscalatorInLease)^6,IF(F137&lt;DATE(2026+6,5,1),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,((F137-DATE(2026+6,5,1))/365.25)*G137*D137*(1+EscalatorInLease)^6+((DATE(2027+6,4,30)-F137)/365.25)*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)))),0)</f>
        <v/>
      </c>
      <c r="U137" s="5">
        <f>IFERROR(IF(I137="LeaseUp",H137*D137*(1+GrowthMarketRent)^7*IF(7=0,(12-DowntimeNew)/12,1),IF(F137="",0,IF(F137&gt;=DATE(2027+7,4,30),G137*D137*(1+EscalatorInLease)^7,IF(F137&lt;DATE(2026+7,5,1),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,((F137-DATE(2026+7,5,1))/365.25)*G137*D137*(1+EscalatorInLease)^7+((DATE(2027+7,4,30)-F137)/365.25)*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)))),0)</f>
        <v/>
      </c>
      <c r="V137" s="5">
        <f>IFERROR(IF(I137="LeaseUp",H137*D137*(1+GrowthMarketRent)^8*IF(8=0,(12-DowntimeNew)/12,1),IF(F137="",0,IF(F137&gt;=DATE(2027+8,4,30),G137*D137*(1+EscalatorInLease)^8,IF(F137&lt;DATE(2026+8,5,1),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,((F137-DATE(2026+8,5,1))/365.25)*G137*D137*(1+EscalatorInLease)^8+((DATE(2027+8,4,30)-F137)/365.25)*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)))),0)</f>
        <v/>
      </c>
      <c r="W137" s="5">
        <f>IFERROR(IF(I137="LeaseUp",H137*D137*(1+GrowthMarketRent)^9*IF(9=0,(12-DowntimeNew)/12,1),IF(F137="",0,IF(F137&gt;=DATE(2027+9,4,30),G137*D137*(1+EscalatorInLease)^9,IF(F137&lt;DATE(2026+9,5,1),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,((F137-DATE(2026+9,5,1))/365.25)*G137*D137*(1+EscalatorInLease)^9+((DATE(2027+9,4,30)-F137)/365.25)*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)))),0)</f>
        <v/>
      </c>
      <c r="X137" s="5">
        <f>IFERROR(IF(I137="LeaseUp",H137*D137*(1+GrowthMarketRent)^10*IF(10=0,(12-DowntimeNew)/12,1),IF(F137="",0,IF(F137&gt;=DATE(2027+10,4,30),G137*D137*(1+EscalatorInLease)^10,IF(F137&lt;DATE(2026+10,5,1),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,((F137-DATE(2026+10,5,1))/365.25)*G137*D137*(1+EscalatorInLease)^10+((DATE(2027+10,4,30)-F137)/365.25)*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)))),0)</f>
        <v/>
      </c>
      <c r="Y137" s="5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5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5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5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5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5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5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5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5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5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5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9" t="n">
        <v>2600</v>
      </c>
      <c r="E138" s="40" t="n">
        <v>44958</v>
      </c>
      <c r="F138" s="40" t="n">
        <v>46235</v>
      </c>
      <c r="G138" s="41" t="n">
        <v>16.1534615384615</v>
      </c>
      <c r="H138" s="10">
        <f>VLOOKUP(A138,MLA!$A$5:$L$11,3,FALSE)</f>
        <v/>
      </c>
      <c r="I138" s="25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7">
        <f>IF(E138="",0,(AnalysisStart-E138)/365.25)</f>
        <v/>
      </c>
      <c r="N138" s="5">
        <f>IFERROR(IF(I138="LeaseUp",H138*D138*(1+GrowthMarketRent)^0*IF(0=0,(12-DowntimeNew)/12,1),IF(F138="",0,IF(F138&gt;=DATE(2027+0,4,30),G138*D138*(1+EscalatorInLease)^0,IF(F138&lt;DATE(2026+0,5,1),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,((F138-DATE(2026+0,5,1))/365.25)*G138*D138*(1+EscalatorInLease)^0+((DATE(2027+0,4,30)-F138)/365.25)*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)))),0)</f>
        <v/>
      </c>
      <c r="O138" s="5">
        <f>IFERROR(IF(I138="LeaseUp",H138*D138*(1+GrowthMarketRent)^1*IF(1=0,(12-DowntimeNew)/12,1),IF(F138="",0,IF(F138&gt;=DATE(2027+1,4,30),G138*D138*(1+EscalatorInLease)^1,IF(F138&lt;DATE(2026+1,5,1),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,((F138-DATE(2026+1,5,1))/365.25)*G138*D138*(1+EscalatorInLease)^1+((DATE(2027+1,4,30)-F138)/365.25)*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)))),0)</f>
        <v/>
      </c>
      <c r="P138" s="5">
        <f>IFERROR(IF(I138="LeaseUp",H138*D138*(1+GrowthMarketRent)^2*IF(2=0,(12-DowntimeNew)/12,1),IF(F138="",0,IF(F138&gt;=DATE(2027+2,4,30),G138*D138*(1+EscalatorInLease)^2,IF(F138&lt;DATE(2026+2,5,1),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,((F138-DATE(2026+2,5,1))/365.25)*G138*D138*(1+EscalatorInLease)^2+((DATE(2027+2,4,30)-F138)/365.25)*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)))),0)</f>
        <v/>
      </c>
      <c r="Q138" s="5">
        <f>IFERROR(IF(I138="LeaseUp",H138*D138*(1+GrowthMarketRent)^3*IF(3=0,(12-DowntimeNew)/12,1),IF(F138="",0,IF(F138&gt;=DATE(2027+3,4,30),G138*D138*(1+EscalatorInLease)^3,IF(F138&lt;DATE(2026+3,5,1),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,((F138-DATE(2026+3,5,1))/365.25)*G138*D138*(1+EscalatorInLease)^3+((DATE(2027+3,4,30)-F138)/365.25)*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)))),0)</f>
        <v/>
      </c>
      <c r="R138" s="5">
        <f>IFERROR(IF(I138="LeaseUp",H138*D138*(1+GrowthMarketRent)^4*IF(4=0,(12-DowntimeNew)/12,1),IF(F138="",0,IF(F138&gt;=DATE(2027+4,4,30),G138*D138*(1+EscalatorInLease)^4,IF(F138&lt;DATE(2026+4,5,1),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,((F138-DATE(2026+4,5,1))/365.25)*G138*D138*(1+EscalatorInLease)^4+((DATE(2027+4,4,30)-F138)/365.25)*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)))),0)</f>
        <v/>
      </c>
      <c r="S138" s="5">
        <f>IFERROR(IF(I138="LeaseUp",H138*D138*(1+GrowthMarketRent)^5*IF(5=0,(12-DowntimeNew)/12,1),IF(F138="",0,IF(F138&gt;=DATE(2027+5,4,30),G138*D138*(1+EscalatorInLease)^5,IF(F138&lt;DATE(2026+5,5,1),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,((F138-DATE(2026+5,5,1))/365.25)*G138*D138*(1+EscalatorInLease)^5+((DATE(2027+5,4,30)-F138)/365.25)*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)))),0)</f>
        <v/>
      </c>
      <c r="T138" s="5">
        <f>IFERROR(IF(I138="LeaseUp",H138*D138*(1+GrowthMarketRent)^6*IF(6=0,(12-DowntimeNew)/12,1),IF(F138="",0,IF(F138&gt;=DATE(2027+6,4,30),G138*D138*(1+EscalatorInLease)^6,IF(F138&lt;DATE(2026+6,5,1),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,((F138-DATE(2026+6,5,1))/365.25)*G138*D138*(1+EscalatorInLease)^6+((DATE(2027+6,4,30)-F138)/365.25)*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)))),0)</f>
        <v/>
      </c>
      <c r="U138" s="5">
        <f>IFERROR(IF(I138="LeaseUp",H138*D138*(1+GrowthMarketRent)^7*IF(7=0,(12-DowntimeNew)/12,1),IF(F138="",0,IF(F138&gt;=DATE(2027+7,4,30),G138*D138*(1+EscalatorInLease)^7,IF(F138&lt;DATE(2026+7,5,1),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,((F138-DATE(2026+7,5,1))/365.25)*G138*D138*(1+EscalatorInLease)^7+((DATE(2027+7,4,30)-F138)/365.25)*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)))),0)</f>
        <v/>
      </c>
      <c r="V138" s="5">
        <f>IFERROR(IF(I138="LeaseUp",H138*D138*(1+GrowthMarketRent)^8*IF(8=0,(12-DowntimeNew)/12,1),IF(F138="",0,IF(F138&gt;=DATE(2027+8,4,30),G138*D138*(1+EscalatorInLease)^8,IF(F138&lt;DATE(2026+8,5,1),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,((F138-DATE(2026+8,5,1))/365.25)*G138*D138*(1+EscalatorInLease)^8+((DATE(2027+8,4,30)-F138)/365.25)*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)))),0)</f>
        <v/>
      </c>
      <c r="W138" s="5">
        <f>IFERROR(IF(I138="LeaseUp",H138*D138*(1+GrowthMarketRent)^9*IF(9=0,(12-DowntimeNew)/12,1),IF(F138="",0,IF(F138&gt;=DATE(2027+9,4,30),G138*D138*(1+EscalatorInLease)^9,IF(F138&lt;DATE(2026+9,5,1),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,((F138-DATE(2026+9,5,1))/365.25)*G138*D138*(1+EscalatorInLease)^9+((DATE(2027+9,4,30)-F138)/365.25)*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)))),0)</f>
        <v/>
      </c>
      <c r="X138" s="5">
        <f>IFERROR(IF(I138="LeaseUp",H138*D138*(1+GrowthMarketRent)^10*IF(10=0,(12-DowntimeNew)/12,1),IF(F138="",0,IF(F138&gt;=DATE(2027+10,4,30),G138*D138*(1+EscalatorInLease)^10,IF(F138&lt;DATE(2026+10,5,1),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,((F138-DATE(2026+10,5,1))/365.25)*G138*D138*(1+EscalatorInLease)^10+((DATE(2027+10,4,30)-F138)/365.25)*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)))),0)</f>
        <v/>
      </c>
      <c r="Y138" s="5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5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5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5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5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5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5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5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5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5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5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9" t="n">
        <v>2600</v>
      </c>
      <c r="E139" s="40" t="n">
        <v>44958</v>
      </c>
      <c r="F139" s="40" t="n">
        <v>46204</v>
      </c>
      <c r="G139" s="41" t="n">
        <v>15.615</v>
      </c>
      <c r="H139" s="10">
        <f>VLOOKUP(A139,MLA!$A$5:$L$11,3,FALSE)</f>
        <v/>
      </c>
      <c r="I139" s="25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7">
        <f>IF(E139="",0,(AnalysisStart-E139)/365.25)</f>
        <v/>
      </c>
      <c r="N139" s="5">
        <f>IFERROR(IF(I139="LeaseUp",H139*D139*(1+GrowthMarketRent)^0*IF(0=0,(12-DowntimeNew)/12,1),IF(F139="",0,IF(F139&gt;=DATE(2027+0,4,30),G139*D139*(1+EscalatorInLease)^0,IF(F139&lt;DATE(2026+0,5,1),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,((F139-DATE(2026+0,5,1))/365.25)*G139*D139*(1+EscalatorInLease)^0+((DATE(2027+0,4,30)-F139)/365.25)*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)))),0)</f>
        <v/>
      </c>
      <c r="O139" s="5">
        <f>IFERROR(IF(I139="LeaseUp",H139*D139*(1+GrowthMarketRent)^1*IF(1=0,(12-DowntimeNew)/12,1),IF(F139="",0,IF(F139&gt;=DATE(2027+1,4,30),G139*D139*(1+EscalatorInLease)^1,IF(F139&lt;DATE(2026+1,5,1),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,((F139-DATE(2026+1,5,1))/365.25)*G139*D139*(1+EscalatorInLease)^1+((DATE(2027+1,4,30)-F139)/365.25)*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)))),0)</f>
        <v/>
      </c>
      <c r="P139" s="5">
        <f>IFERROR(IF(I139="LeaseUp",H139*D139*(1+GrowthMarketRent)^2*IF(2=0,(12-DowntimeNew)/12,1),IF(F139="",0,IF(F139&gt;=DATE(2027+2,4,30),G139*D139*(1+EscalatorInLease)^2,IF(F139&lt;DATE(2026+2,5,1),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,((F139-DATE(2026+2,5,1))/365.25)*G139*D139*(1+EscalatorInLease)^2+((DATE(2027+2,4,30)-F139)/365.25)*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)))),0)</f>
        <v/>
      </c>
      <c r="Q139" s="5">
        <f>IFERROR(IF(I139="LeaseUp",H139*D139*(1+GrowthMarketRent)^3*IF(3=0,(12-DowntimeNew)/12,1),IF(F139="",0,IF(F139&gt;=DATE(2027+3,4,30),G139*D139*(1+EscalatorInLease)^3,IF(F139&lt;DATE(2026+3,5,1),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,((F139-DATE(2026+3,5,1))/365.25)*G139*D139*(1+EscalatorInLease)^3+((DATE(2027+3,4,30)-F139)/365.25)*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)))),0)</f>
        <v/>
      </c>
      <c r="R139" s="5">
        <f>IFERROR(IF(I139="LeaseUp",H139*D139*(1+GrowthMarketRent)^4*IF(4=0,(12-DowntimeNew)/12,1),IF(F139="",0,IF(F139&gt;=DATE(2027+4,4,30),G139*D139*(1+EscalatorInLease)^4,IF(F139&lt;DATE(2026+4,5,1),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,((F139-DATE(2026+4,5,1))/365.25)*G139*D139*(1+EscalatorInLease)^4+((DATE(2027+4,4,30)-F139)/365.25)*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)))),0)</f>
        <v/>
      </c>
      <c r="S139" s="5">
        <f>IFERROR(IF(I139="LeaseUp",H139*D139*(1+GrowthMarketRent)^5*IF(5=0,(12-DowntimeNew)/12,1),IF(F139="",0,IF(F139&gt;=DATE(2027+5,4,30),G139*D139*(1+EscalatorInLease)^5,IF(F139&lt;DATE(2026+5,5,1),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,((F139-DATE(2026+5,5,1))/365.25)*G139*D139*(1+EscalatorInLease)^5+((DATE(2027+5,4,30)-F139)/365.25)*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)))),0)</f>
        <v/>
      </c>
      <c r="T139" s="5">
        <f>IFERROR(IF(I139="LeaseUp",H139*D139*(1+GrowthMarketRent)^6*IF(6=0,(12-DowntimeNew)/12,1),IF(F139="",0,IF(F139&gt;=DATE(2027+6,4,30),G139*D139*(1+EscalatorInLease)^6,IF(F139&lt;DATE(2026+6,5,1),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,((F139-DATE(2026+6,5,1))/365.25)*G139*D139*(1+EscalatorInLease)^6+((DATE(2027+6,4,30)-F139)/365.25)*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)))),0)</f>
        <v/>
      </c>
      <c r="U139" s="5">
        <f>IFERROR(IF(I139="LeaseUp",H139*D139*(1+GrowthMarketRent)^7*IF(7=0,(12-DowntimeNew)/12,1),IF(F139="",0,IF(F139&gt;=DATE(2027+7,4,30),G139*D139*(1+EscalatorInLease)^7,IF(F139&lt;DATE(2026+7,5,1),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,((F139-DATE(2026+7,5,1))/365.25)*G139*D139*(1+EscalatorInLease)^7+((DATE(2027+7,4,30)-F139)/365.25)*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)))),0)</f>
        <v/>
      </c>
      <c r="V139" s="5">
        <f>IFERROR(IF(I139="LeaseUp",H139*D139*(1+GrowthMarketRent)^8*IF(8=0,(12-DowntimeNew)/12,1),IF(F139="",0,IF(F139&gt;=DATE(2027+8,4,30),G139*D139*(1+EscalatorInLease)^8,IF(F139&lt;DATE(2026+8,5,1),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,((F139-DATE(2026+8,5,1))/365.25)*G139*D139*(1+EscalatorInLease)^8+((DATE(2027+8,4,30)-F139)/365.25)*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)))),0)</f>
        <v/>
      </c>
      <c r="W139" s="5">
        <f>IFERROR(IF(I139="LeaseUp",H139*D139*(1+GrowthMarketRent)^9*IF(9=0,(12-DowntimeNew)/12,1),IF(F139="",0,IF(F139&gt;=DATE(2027+9,4,30),G139*D139*(1+EscalatorInLease)^9,IF(F139&lt;DATE(2026+9,5,1),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,((F139-DATE(2026+9,5,1))/365.25)*G139*D139*(1+EscalatorInLease)^9+((DATE(2027+9,4,30)-F139)/365.25)*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)))),0)</f>
        <v/>
      </c>
      <c r="X139" s="5">
        <f>IFERROR(IF(I139="LeaseUp",H139*D139*(1+GrowthMarketRent)^10*IF(10=0,(12-DowntimeNew)/12,1),IF(F139="",0,IF(F139&gt;=DATE(2027+10,4,30),G139*D139*(1+EscalatorInLease)^10,IF(F139&lt;DATE(2026+10,5,1),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,((F139-DATE(2026+10,5,1))/365.25)*G139*D139*(1+EscalatorInLease)^10+((DATE(2027+10,4,30)-F139)/365.25)*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)))),0)</f>
        <v/>
      </c>
      <c r="Y139" s="5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5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5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5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5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5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5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5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5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5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5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9" t="n">
        <v>2600</v>
      </c>
      <c r="E140" s="40" t="n">
        <v>45809</v>
      </c>
      <c r="F140" s="40" t="n">
        <v>47058</v>
      </c>
      <c r="G140" s="41" t="n">
        <v>19</v>
      </c>
      <c r="H140" s="10">
        <f>VLOOKUP(A140,MLA!$A$5:$L$11,3,FALSE)</f>
        <v/>
      </c>
      <c r="I140" s="25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7">
        <f>IF(E140="",0,(AnalysisStart-E140)/365.25)</f>
        <v/>
      </c>
      <c r="N140" s="5">
        <f>IFERROR(IF(I140="LeaseUp",H140*D140*(1+GrowthMarketRent)^0*IF(0=0,(12-DowntimeNew)/12,1),IF(F140="",0,IF(F140&gt;=DATE(2027+0,4,30),G140*D140*(1+EscalatorInLease)^0,IF(F140&lt;DATE(2026+0,5,1),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,((F140-DATE(2026+0,5,1))/365.25)*G140*D140*(1+EscalatorInLease)^0+((DATE(2027+0,4,30)-F140)/365.25)*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)))),0)</f>
        <v/>
      </c>
      <c r="O140" s="5">
        <f>IFERROR(IF(I140="LeaseUp",H140*D140*(1+GrowthMarketRent)^1*IF(1=0,(12-DowntimeNew)/12,1),IF(F140="",0,IF(F140&gt;=DATE(2027+1,4,30),G140*D140*(1+EscalatorInLease)^1,IF(F140&lt;DATE(2026+1,5,1),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,((F140-DATE(2026+1,5,1))/365.25)*G140*D140*(1+EscalatorInLease)^1+((DATE(2027+1,4,30)-F140)/365.25)*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)))),0)</f>
        <v/>
      </c>
      <c r="P140" s="5">
        <f>IFERROR(IF(I140="LeaseUp",H140*D140*(1+GrowthMarketRent)^2*IF(2=0,(12-DowntimeNew)/12,1),IF(F140="",0,IF(F140&gt;=DATE(2027+2,4,30),G140*D140*(1+EscalatorInLease)^2,IF(F140&lt;DATE(2026+2,5,1),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,((F140-DATE(2026+2,5,1))/365.25)*G140*D140*(1+EscalatorInLease)^2+((DATE(2027+2,4,30)-F140)/365.25)*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)))),0)</f>
        <v/>
      </c>
      <c r="Q140" s="5">
        <f>IFERROR(IF(I140="LeaseUp",H140*D140*(1+GrowthMarketRent)^3*IF(3=0,(12-DowntimeNew)/12,1),IF(F140="",0,IF(F140&gt;=DATE(2027+3,4,30),G140*D140*(1+EscalatorInLease)^3,IF(F140&lt;DATE(2026+3,5,1),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,((F140-DATE(2026+3,5,1))/365.25)*G140*D140*(1+EscalatorInLease)^3+((DATE(2027+3,4,30)-F140)/365.25)*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)))),0)</f>
        <v/>
      </c>
      <c r="R140" s="5">
        <f>IFERROR(IF(I140="LeaseUp",H140*D140*(1+GrowthMarketRent)^4*IF(4=0,(12-DowntimeNew)/12,1),IF(F140="",0,IF(F140&gt;=DATE(2027+4,4,30),G140*D140*(1+EscalatorInLease)^4,IF(F140&lt;DATE(2026+4,5,1),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,((F140-DATE(2026+4,5,1))/365.25)*G140*D140*(1+EscalatorInLease)^4+((DATE(2027+4,4,30)-F140)/365.25)*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)))),0)</f>
        <v/>
      </c>
      <c r="S140" s="5">
        <f>IFERROR(IF(I140="LeaseUp",H140*D140*(1+GrowthMarketRent)^5*IF(5=0,(12-DowntimeNew)/12,1),IF(F140="",0,IF(F140&gt;=DATE(2027+5,4,30),G140*D140*(1+EscalatorInLease)^5,IF(F140&lt;DATE(2026+5,5,1),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,((F140-DATE(2026+5,5,1))/365.25)*G140*D140*(1+EscalatorInLease)^5+((DATE(2027+5,4,30)-F140)/365.25)*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)))),0)</f>
        <v/>
      </c>
      <c r="T140" s="5">
        <f>IFERROR(IF(I140="LeaseUp",H140*D140*(1+GrowthMarketRent)^6*IF(6=0,(12-DowntimeNew)/12,1),IF(F140="",0,IF(F140&gt;=DATE(2027+6,4,30),G140*D140*(1+EscalatorInLease)^6,IF(F140&lt;DATE(2026+6,5,1),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,((F140-DATE(2026+6,5,1))/365.25)*G140*D140*(1+EscalatorInLease)^6+((DATE(2027+6,4,30)-F140)/365.25)*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)))),0)</f>
        <v/>
      </c>
      <c r="U140" s="5">
        <f>IFERROR(IF(I140="LeaseUp",H140*D140*(1+GrowthMarketRent)^7*IF(7=0,(12-DowntimeNew)/12,1),IF(F140="",0,IF(F140&gt;=DATE(2027+7,4,30),G140*D140*(1+EscalatorInLease)^7,IF(F140&lt;DATE(2026+7,5,1),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,((F140-DATE(2026+7,5,1))/365.25)*G140*D140*(1+EscalatorInLease)^7+((DATE(2027+7,4,30)-F140)/365.25)*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)))),0)</f>
        <v/>
      </c>
      <c r="V140" s="5">
        <f>IFERROR(IF(I140="LeaseUp",H140*D140*(1+GrowthMarketRent)^8*IF(8=0,(12-DowntimeNew)/12,1),IF(F140="",0,IF(F140&gt;=DATE(2027+8,4,30),G140*D140*(1+EscalatorInLease)^8,IF(F140&lt;DATE(2026+8,5,1),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,((F140-DATE(2026+8,5,1))/365.25)*G140*D140*(1+EscalatorInLease)^8+((DATE(2027+8,4,30)-F140)/365.25)*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)))),0)</f>
        <v/>
      </c>
      <c r="W140" s="5">
        <f>IFERROR(IF(I140="LeaseUp",H140*D140*(1+GrowthMarketRent)^9*IF(9=0,(12-DowntimeNew)/12,1),IF(F140="",0,IF(F140&gt;=DATE(2027+9,4,30),G140*D140*(1+EscalatorInLease)^9,IF(F140&lt;DATE(2026+9,5,1),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,((F140-DATE(2026+9,5,1))/365.25)*G140*D140*(1+EscalatorInLease)^9+((DATE(2027+9,4,30)-F140)/365.25)*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)))),0)</f>
        <v/>
      </c>
      <c r="X140" s="5">
        <f>IFERROR(IF(I140="LeaseUp",H140*D140*(1+GrowthMarketRent)^10*IF(10=0,(12-DowntimeNew)/12,1),IF(F140="",0,IF(F140&gt;=DATE(2027+10,4,30),G140*D140*(1+EscalatorInLease)^10,IF(F140&lt;DATE(2026+10,5,1),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,((F140-DATE(2026+10,5,1))/365.25)*G140*D140*(1+EscalatorInLease)^10+((DATE(2027+10,4,30)-F140)/365.25)*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)))),0)</f>
        <v/>
      </c>
      <c r="Y140" s="5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5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5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5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5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5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5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5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5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5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5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9" t="n">
        <v>2600</v>
      </c>
      <c r="E141" s="40" t="n">
        <v>44958</v>
      </c>
      <c r="F141" s="40" t="n">
        <v>46204</v>
      </c>
      <c r="G141" s="41" t="n">
        <v>15.0765384615385</v>
      </c>
      <c r="H141" s="10">
        <f>VLOOKUP(A141,MLA!$A$5:$L$11,3,FALSE)</f>
        <v/>
      </c>
      <c r="I141" s="25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7">
        <f>IF(E141="",0,(AnalysisStart-E141)/365.25)</f>
        <v/>
      </c>
      <c r="N141" s="5">
        <f>IFERROR(IF(I141="LeaseUp",H141*D141*(1+GrowthMarketRent)^0*IF(0=0,(12-DowntimeNew)/12,1),IF(F141="",0,IF(F141&gt;=DATE(2027+0,4,30),G141*D141*(1+EscalatorInLease)^0,IF(F141&lt;DATE(2026+0,5,1),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,((F141-DATE(2026+0,5,1))/365.25)*G141*D141*(1+EscalatorInLease)^0+((DATE(2027+0,4,30)-F141)/365.25)*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)))),0)</f>
        <v/>
      </c>
      <c r="O141" s="5">
        <f>IFERROR(IF(I141="LeaseUp",H141*D141*(1+GrowthMarketRent)^1*IF(1=0,(12-DowntimeNew)/12,1),IF(F141="",0,IF(F141&gt;=DATE(2027+1,4,30),G141*D141*(1+EscalatorInLease)^1,IF(F141&lt;DATE(2026+1,5,1),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,((F141-DATE(2026+1,5,1))/365.25)*G141*D141*(1+EscalatorInLease)^1+((DATE(2027+1,4,30)-F141)/365.25)*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)))),0)</f>
        <v/>
      </c>
      <c r="P141" s="5">
        <f>IFERROR(IF(I141="LeaseUp",H141*D141*(1+GrowthMarketRent)^2*IF(2=0,(12-DowntimeNew)/12,1),IF(F141="",0,IF(F141&gt;=DATE(2027+2,4,30),G141*D141*(1+EscalatorInLease)^2,IF(F141&lt;DATE(2026+2,5,1),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,((F141-DATE(2026+2,5,1))/365.25)*G141*D141*(1+EscalatorInLease)^2+((DATE(2027+2,4,30)-F141)/365.25)*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)))),0)</f>
        <v/>
      </c>
      <c r="Q141" s="5">
        <f>IFERROR(IF(I141="LeaseUp",H141*D141*(1+GrowthMarketRent)^3*IF(3=0,(12-DowntimeNew)/12,1),IF(F141="",0,IF(F141&gt;=DATE(2027+3,4,30),G141*D141*(1+EscalatorInLease)^3,IF(F141&lt;DATE(2026+3,5,1),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,((F141-DATE(2026+3,5,1))/365.25)*G141*D141*(1+EscalatorInLease)^3+((DATE(2027+3,4,30)-F141)/365.25)*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)))),0)</f>
        <v/>
      </c>
      <c r="R141" s="5">
        <f>IFERROR(IF(I141="LeaseUp",H141*D141*(1+GrowthMarketRent)^4*IF(4=0,(12-DowntimeNew)/12,1),IF(F141="",0,IF(F141&gt;=DATE(2027+4,4,30),G141*D141*(1+EscalatorInLease)^4,IF(F141&lt;DATE(2026+4,5,1),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,((F141-DATE(2026+4,5,1))/365.25)*G141*D141*(1+EscalatorInLease)^4+((DATE(2027+4,4,30)-F141)/365.25)*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)))),0)</f>
        <v/>
      </c>
      <c r="S141" s="5">
        <f>IFERROR(IF(I141="LeaseUp",H141*D141*(1+GrowthMarketRent)^5*IF(5=0,(12-DowntimeNew)/12,1),IF(F141="",0,IF(F141&gt;=DATE(2027+5,4,30),G141*D141*(1+EscalatorInLease)^5,IF(F141&lt;DATE(2026+5,5,1),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,((F141-DATE(2026+5,5,1))/365.25)*G141*D141*(1+EscalatorInLease)^5+((DATE(2027+5,4,30)-F141)/365.25)*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)))),0)</f>
        <v/>
      </c>
      <c r="T141" s="5">
        <f>IFERROR(IF(I141="LeaseUp",H141*D141*(1+GrowthMarketRent)^6*IF(6=0,(12-DowntimeNew)/12,1),IF(F141="",0,IF(F141&gt;=DATE(2027+6,4,30),G141*D141*(1+EscalatorInLease)^6,IF(F141&lt;DATE(2026+6,5,1),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,((F141-DATE(2026+6,5,1))/365.25)*G141*D141*(1+EscalatorInLease)^6+((DATE(2027+6,4,30)-F141)/365.25)*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)))),0)</f>
        <v/>
      </c>
      <c r="U141" s="5">
        <f>IFERROR(IF(I141="LeaseUp",H141*D141*(1+GrowthMarketRent)^7*IF(7=0,(12-DowntimeNew)/12,1),IF(F141="",0,IF(F141&gt;=DATE(2027+7,4,30),G141*D141*(1+EscalatorInLease)^7,IF(F141&lt;DATE(2026+7,5,1),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,((F141-DATE(2026+7,5,1))/365.25)*G141*D141*(1+EscalatorInLease)^7+((DATE(2027+7,4,30)-F141)/365.25)*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)))),0)</f>
        <v/>
      </c>
      <c r="V141" s="5">
        <f>IFERROR(IF(I141="LeaseUp",H141*D141*(1+GrowthMarketRent)^8*IF(8=0,(12-DowntimeNew)/12,1),IF(F141="",0,IF(F141&gt;=DATE(2027+8,4,30),G141*D141*(1+EscalatorInLease)^8,IF(F141&lt;DATE(2026+8,5,1),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,((F141-DATE(2026+8,5,1))/365.25)*G141*D141*(1+EscalatorInLease)^8+((DATE(2027+8,4,30)-F141)/365.25)*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)))),0)</f>
        <v/>
      </c>
      <c r="W141" s="5">
        <f>IFERROR(IF(I141="LeaseUp",H141*D141*(1+GrowthMarketRent)^9*IF(9=0,(12-DowntimeNew)/12,1),IF(F141="",0,IF(F141&gt;=DATE(2027+9,4,30),G141*D141*(1+EscalatorInLease)^9,IF(F141&lt;DATE(2026+9,5,1),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,((F141-DATE(2026+9,5,1))/365.25)*G141*D141*(1+EscalatorInLease)^9+((DATE(2027+9,4,30)-F141)/365.25)*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)))),0)</f>
        <v/>
      </c>
      <c r="X141" s="5">
        <f>IFERROR(IF(I141="LeaseUp",H141*D141*(1+GrowthMarketRent)^10*IF(10=0,(12-DowntimeNew)/12,1),IF(F141="",0,IF(F141&gt;=DATE(2027+10,4,30),G141*D141*(1+EscalatorInLease)^10,IF(F141&lt;DATE(2026+10,5,1),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,((F141-DATE(2026+10,5,1))/365.25)*G141*D141*(1+EscalatorInLease)^10+((DATE(2027+10,4,30)-F141)/365.25)*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)))),0)</f>
        <v/>
      </c>
      <c r="Y141" s="5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5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5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5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5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5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5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5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5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5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5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9" t="n">
        <v>2600</v>
      </c>
      <c r="E142" s="40" t="n">
        <v>44958</v>
      </c>
      <c r="F142" s="40" t="n">
        <v>46204</v>
      </c>
      <c r="G142" s="41" t="n">
        <v>15.0765384615385</v>
      </c>
      <c r="H142" s="10">
        <f>VLOOKUP(A142,MLA!$A$5:$L$11,3,FALSE)</f>
        <v/>
      </c>
      <c r="I142" s="25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7">
        <f>IF(E142="",0,(AnalysisStart-E142)/365.25)</f>
        <v/>
      </c>
      <c r="N142" s="5">
        <f>IFERROR(IF(I142="LeaseUp",H142*D142*(1+GrowthMarketRent)^0*IF(0=0,(12-DowntimeNew)/12,1),IF(F142="",0,IF(F142&gt;=DATE(2027+0,4,30),G142*D142*(1+EscalatorInLease)^0,IF(F142&lt;DATE(2026+0,5,1),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,((F142-DATE(2026+0,5,1))/365.25)*G142*D142*(1+EscalatorInLease)^0+((DATE(2027+0,4,30)-F142)/365.25)*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)))),0)</f>
        <v/>
      </c>
      <c r="O142" s="5">
        <f>IFERROR(IF(I142="LeaseUp",H142*D142*(1+GrowthMarketRent)^1*IF(1=0,(12-DowntimeNew)/12,1),IF(F142="",0,IF(F142&gt;=DATE(2027+1,4,30),G142*D142*(1+EscalatorInLease)^1,IF(F142&lt;DATE(2026+1,5,1),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,((F142-DATE(2026+1,5,1))/365.25)*G142*D142*(1+EscalatorInLease)^1+((DATE(2027+1,4,30)-F142)/365.25)*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)))),0)</f>
        <v/>
      </c>
      <c r="P142" s="5">
        <f>IFERROR(IF(I142="LeaseUp",H142*D142*(1+GrowthMarketRent)^2*IF(2=0,(12-DowntimeNew)/12,1),IF(F142="",0,IF(F142&gt;=DATE(2027+2,4,30),G142*D142*(1+EscalatorInLease)^2,IF(F142&lt;DATE(2026+2,5,1),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,((F142-DATE(2026+2,5,1))/365.25)*G142*D142*(1+EscalatorInLease)^2+((DATE(2027+2,4,30)-F142)/365.25)*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)))),0)</f>
        <v/>
      </c>
      <c r="Q142" s="5">
        <f>IFERROR(IF(I142="LeaseUp",H142*D142*(1+GrowthMarketRent)^3*IF(3=0,(12-DowntimeNew)/12,1),IF(F142="",0,IF(F142&gt;=DATE(2027+3,4,30),G142*D142*(1+EscalatorInLease)^3,IF(F142&lt;DATE(2026+3,5,1),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,((F142-DATE(2026+3,5,1))/365.25)*G142*D142*(1+EscalatorInLease)^3+((DATE(2027+3,4,30)-F142)/365.25)*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)))),0)</f>
        <v/>
      </c>
      <c r="R142" s="5">
        <f>IFERROR(IF(I142="LeaseUp",H142*D142*(1+GrowthMarketRent)^4*IF(4=0,(12-DowntimeNew)/12,1),IF(F142="",0,IF(F142&gt;=DATE(2027+4,4,30),G142*D142*(1+EscalatorInLease)^4,IF(F142&lt;DATE(2026+4,5,1),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,((F142-DATE(2026+4,5,1))/365.25)*G142*D142*(1+EscalatorInLease)^4+((DATE(2027+4,4,30)-F142)/365.25)*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)))),0)</f>
        <v/>
      </c>
      <c r="S142" s="5">
        <f>IFERROR(IF(I142="LeaseUp",H142*D142*(1+GrowthMarketRent)^5*IF(5=0,(12-DowntimeNew)/12,1),IF(F142="",0,IF(F142&gt;=DATE(2027+5,4,30),G142*D142*(1+EscalatorInLease)^5,IF(F142&lt;DATE(2026+5,5,1),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,((F142-DATE(2026+5,5,1))/365.25)*G142*D142*(1+EscalatorInLease)^5+((DATE(2027+5,4,30)-F142)/365.25)*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)))),0)</f>
        <v/>
      </c>
      <c r="T142" s="5">
        <f>IFERROR(IF(I142="LeaseUp",H142*D142*(1+GrowthMarketRent)^6*IF(6=0,(12-DowntimeNew)/12,1),IF(F142="",0,IF(F142&gt;=DATE(2027+6,4,30),G142*D142*(1+EscalatorInLease)^6,IF(F142&lt;DATE(2026+6,5,1),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,((F142-DATE(2026+6,5,1))/365.25)*G142*D142*(1+EscalatorInLease)^6+((DATE(2027+6,4,30)-F142)/365.25)*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)))),0)</f>
        <v/>
      </c>
      <c r="U142" s="5">
        <f>IFERROR(IF(I142="LeaseUp",H142*D142*(1+GrowthMarketRent)^7*IF(7=0,(12-DowntimeNew)/12,1),IF(F142="",0,IF(F142&gt;=DATE(2027+7,4,30),G142*D142*(1+EscalatorInLease)^7,IF(F142&lt;DATE(2026+7,5,1),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,((F142-DATE(2026+7,5,1))/365.25)*G142*D142*(1+EscalatorInLease)^7+((DATE(2027+7,4,30)-F142)/365.25)*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)))),0)</f>
        <v/>
      </c>
      <c r="V142" s="5">
        <f>IFERROR(IF(I142="LeaseUp",H142*D142*(1+GrowthMarketRent)^8*IF(8=0,(12-DowntimeNew)/12,1),IF(F142="",0,IF(F142&gt;=DATE(2027+8,4,30),G142*D142*(1+EscalatorInLease)^8,IF(F142&lt;DATE(2026+8,5,1),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,((F142-DATE(2026+8,5,1))/365.25)*G142*D142*(1+EscalatorInLease)^8+((DATE(2027+8,4,30)-F142)/365.25)*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)))),0)</f>
        <v/>
      </c>
      <c r="W142" s="5">
        <f>IFERROR(IF(I142="LeaseUp",H142*D142*(1+GrowthMarketRent)^9*IF(9=0,(12-DowntimeNew)/12,1),IF(F142="",0,IF(F142&gt;=DATE(2027+9,4,30),G142*D142*(1+EscalatorInLease)^9,IF(F142&lt;DATE(2026+9,5,1),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,((F142-DATE(2026+9,5,1))/365.25)*G142*D142*(1+EscalatorInLease)^9+((DATE(2027+9,4,30)-F142)/365.25)*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)))),0)</f>
        <v/>
      </c>
      <c r="X142" s="5">
        <f>IFERROR(IF(I142="LeaseUp",H142*D142*(1+GrowthMarketRent)^10*IF(10=0,(12-DowntimeNew)/12,1),IF(F142="",0,IF(F142&gt;=DATE(2027+10,4,30),G142*D142*(1+EscalatorInLease)^10,IF(F142&lt;DATE(2026+10,5,1),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,((F142-DATE(2026+10,5,1))/365.25)*G142*D142*(1+EscalatorInLease)^10+((DATE(2027+10,4,30)-F142)/365.25)*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)))),0)</f>
        <v/>
      </c>
      <c r="Y142" s="5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5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5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5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5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5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5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5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5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5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5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9" t="n">
        <v>2600</v>
      </c>
      <c r="E143" s="40" t="n">
        <v>45352</v>
      </c>
      <c r="F143" s="40" t="n">
        <v>46600</v>
      </c>
      <c r="G143" s="41" t="n">
        <v>0</v>
      </c>
      <c r="H143" s="10">
        <f>VLOOKUP(A143,MLA!$A$5:$L$11,3,FALSE)</f>
        <v/>
      </c>
      <c r="I143" s="25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7">
        <f>IF(E143="",0,(AnalysisStart-E143)/365.25)</f>
        <v/>
      </c>
      <c r="N143" s="5">
        <f>IFERROR(IF(I143="LeaseUp",H143*D143*(1+GrowthMarketRent)^0*IF(0=0,(12-DowntimeNew)/12,1),IF(F143="",0,IF(F143&gt;=DATE(2027+0,4,30),G143*D143*(1+EscalatorInLease)^0,IF(F143&lt;DATE(2026+0,5,1),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,((F143-DATE(2026+0,5,1))/365.25)*G143*D143*(1+EscalatorInLease)^0+((DATE(2027+0,4,30)-F143)/365.25)*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)))),0)</f>
        <v/>
      </c>
      <c r="O143" s="5">
        <f>IFERROR(IF(I143="LeaseUp",H143*D143*(1+GrowthMarketRent)^1*IF(1=0,(12-DowntimeNew)/12,1),IF(F143="",0,IF(F143&gt;=DATE(2027+1,4,30),G143*D143*(1+EscalatorInLease)^1,IF(F143&lt;DATE(2026+1,5,1),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,((F143-DATE(2026+1,5,1))/365.25)*G143*D143*(1+EscalatorInLease)^1+((DATE(2027+1,4,30)-F143)/365.25)*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)))),0)</f>
        <v/>
      </c>
      <c r="P143" s="5">
        <f>IFERROR(IF(I143="LeaseUp",H143*D143*(1+GrowthMarketRent)^2*IF(2=0,(12-DowntimeNew)/12,1),IF(F143="",0,IF(F143&gt;=DATE(2027+2,4,30),G143*D143*(1+EscalatorInLease)^2,IF(F143&lt;DATE(2026+2,5,1),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,((F143-DATE(2026+2,5,1))/365.25)*G143*D143*(1+EscalatorInLease)^2+((DATE(2027+2,4,30)-F143)/365.25)*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)))),0)</f>
        <v/>
      </c>
      <c r="Q143" s="5">
        <f>IFERROR(IF(I143="LeaseUp",H143*D143*(1+GrowthMarketRent)^3*IF(3=0,(12-DowntimeNew)/12,1),IF(F143="",0,IF(F143&gt;=DATE(2027+3,4,30),G143*D143*(1+EscalatorInLease)^3,IF(F143&lt;DATE(2026+3,5,1),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,((F143-DATE(2026+3,5,1))/365.25)*G143*D143*(1+EscalatorInLease)^3+((DATE(2027+3,4,30)-F143)/365.25)*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)))),0)</f>
        <v/>
      </c>
      <c r="R143" s="5">
        <f>IFERROR(IF(I143="LeaseUp",H143*D143*(1+GrowthMarketRent)^4*IF(4=0,(12-DowntimeNew)/12,1),IF(F143="",0,IF(F143&gt;=DATE(2027+4,4,30),G143*D143*(1+EscalatorInLease)^4,IF(F143&lt;DATE(2026+4,5,1),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,((F143-DATE(2026+4,5,1))/365.25)*G143*D143*(1+EscalatorInLease)^4+((DATE(2027+4,4,30)-F143)/365.25)*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)))),0)</f>
        <v/>
      </c>
      <c r="S143" s="5">
        <f>IFERROR(IF(I143="LeaseUp",H143*D143*(1+GrowthMarketRent)^5*IF(5=0,(12-DowntimeNew)/12,1),IF(F143="",0,IF(F143&gt;=DATE(2027+5,4,30),G143*D143*(1+EscalatorInLease)^5,IF(F143&lt;DATE(2026+5,5,1),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,((F143-DATE(2026+5,5,1))/365.25)*G143*D143*(1+EscalatorInLease)^5+((DATE(2027+5,4,30)-F143)/365.25)*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)))),0)</f>
        <v/>
      </c>
      <c r="T143" s="5">
        <f>IFERROR(IF(I143="LeaseUp",H143*D143*(1+GrowthMarketRent)^6*IF(6=0,(12-DowntimeNew)/12,1),IF(F143="",0,IF(F143&gt;=DATE(2027+6,4,30),G143*D143*(1+EscalatorInLease)^6,IF(F143&lt;DATE(2026+6,5,1),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,((F143-DATE(2026+6,5,1))/365.25)*G143*D143*(1+EscalatorInLease)^6+((DATE(2027+6,4,30)-F143)/365.25)*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)))),0)</f>
        <v/>
      </c>
      <c r="U143" s="5">
        <f>IFERROR(IF(I143="LeaseUp",H143*D143*(1+GrowthMarketRent)^7*IF(7=0,(12-DowntimeNew)/12,1),IF(F143="",0,IF(F143&gt;=DATE(2027+7,4,30),G143*D143*(1+EscalatorInLease)^7,IF(F143&lt;DATE(2026+7,5,1),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,((F143-DATE(2026+7,5,1))/365.25)*G143*D143*(1+EscalatorInLease)^7+((DATE(2027+7,4,30)-F143)/365.25)*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)))),0)</f>
        <v/>
      </c>
      <c r="V143" s="5">
        <f>IFERROR(IF(I143="LeaseUp",H143*D143*(1+GrowthMarketRent)^8*IF(8=0,(12-DowntimeNew)/12,1),IF(F143="",0,IF(F143&gt;=DATE(2027+8,4,30),G143*D143*(1+EscalatorInLease)^8,IF(F143&lt;DATE(2026+8,5,1),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,((F143-DATE(2026+8,5,1))/365.25)*G143*D143*(1+EscalatorInLease)^8+((DATE(2027+8,4,30)-F143)/365.25)*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)))),0)</f>
        <v/>
      </c>
      <c r="W143" s="5">
        <f>IFERROR(IF(I143="LeaseUp",H143*D143*(1+GrowthMarketRent)^9*IF(9=0,(12-DowntimeNew)/12,1),IF(F143="",0,IF(F143&gt;=DATE(2027+9,4,30),G143*D143*(1+EscalatorInLease)^9,IF(F143&lt;DATE(2026+9,5,1),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,((F143-DATE(2026+9,5,1))/365.25)*G143*D143*(1+EscalatorInLease)^9+((DATE(2027+9,4,30)-F143)/365.25)*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)))),0)</f>
        <v/>
      </c>
      <c r="X143" s="5">
        <f>IFERROR(IF(I143="LeaseUp",H143*D143*(1+GrowthMarketRent)^10*IF(10=0,(12-DowntimeNew)/12,1),IF(F143="",0,IF(F143&gt;=DATE(2027+10,4,30),G143*D143*(1+EscalatorInLease)^10,IF(F143&lt;DATE(2026+10,5,1),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,((F143-DATE(2026+10,5,1))/365.25)*G143*D143*(1+EscalatorInLease)^10+((DATE(2027+10,4,30)-F143)/365.25)*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)))),0)</f>
        <v/>
      </c>
      <c r="Y143" s="5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5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5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5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5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5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5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5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5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5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5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9" t="n">
        <v>2600</v>
      </c>
      <c r="E144" s="40" t="n">
        <v>44958</v>
      </c>
      <c r="F144" s="40" t="n">
        <v>46204</v>
      </c>
      <c r="G144" s="41" t="n">
        <v>15.0765384615385</v>
      </c>
      <c r="H144" s="10">
        <f>VLOOKUP(A144,MLA!$A$5:$L$11,3,FALSE)</f>
        <v/>
      </c>
      <c r="I144" s="25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7">
        <f>IF(E144="",0,(AnalysisStart-E144)/365.25)</f>
        <v/>
      </c>
      <c r="N144" s="5">
        <f>IFERROR(IF(I144="LeaseUp",H144*D144*(1+GrowthMarketRent)^0*IF(0=0,(12-DowntimeNew)/12,1),IF(F144="",0,IF(F144&gt;=DATE(2027+0,4,30),G144*D144*(1+EscalatorInLease)^0,IF(F144&lt;DATE(2026+0,5,1),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,((F144-DATE(2026+0,5,1))/365.25)*G144*D144*(1+EscalatorInLease)^0+((DATE(2027+0,4,30)-F144)/365.25)*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)))),0)</f>
        <v/>
      </c>
      <c r="O144" s="5">
        <f>IFERROR(IF(I144="LeaseUp",H144*D144*(1+GrowthMarketRent)^1*IF(1=0,(12-DowntimeNew)/12,1),IF(F144="",0,IF(F144&gt;=DATE(2027+1,4,30),G144*D144*(1+EscalatorInLease)^1,IF(F144&lt;DATE(2026+1,5,1),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,((F144-DATE(2026+1,5,1))/365.25)*G144*D144*(1+EscalatorInLease)^1+((DATE(2027+1,4,30)-F144)/365.25)*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)))),0)</f>
        <v/>
      </c>
      <c r="P144" s="5">
        <f>IFERROR(IF(I144="LeaseUp",H144*D144*(1+GrowthMarketRent)^2*IF(2=0,(12-DowntimeNew)/12,1),IF(F144="",0,IF(F144&gt;=DATE(2027+2,4,30),G144*D144*(1+EscalatorInLease)^2,IF(F144&lt;DATE(2026+2,5,1),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,((F144-DATE(2026+2,5,1))/365.25)*G144*D144*(1+EscalatorInLease)^2+((DATE(2027+2,4,30)-F144)/365.25)*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)))),0)</f>
        <v/>
      </c>
      <c r="Q144" s="5">
        <f>IFERROR(IF(I144="LeaseUp",H144*D144*(1+GrowthMarketRent)^3*IF(3=0,(12-DowntimeNew)/12,1),IF(F144="",0,IF(F144&gt;=DATE(2027+3,4,30),G144*D144*(1+EscalatorInLease)^3,IF(F144&lt;DATE(2026+3,5,1),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,((F144-DATE(2026+3,5,1))/365.25)*G144*D144*(1+EscalatorInLease)^3+((DATE(2027+3,4,30)-F144)/365.25)*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)))),0)</f>
        <v/>
      </c>
      <c r="R144" s="5">
        <f>IFERROR(IF(I144="LeaseUp",H144*D144*(1+GrowthMarketRent)^4*IF(4=0,(12-DowntimeNew)/12,1),IF(F144="",0,IF(F144&gt;=DATE(2027+4,4,30),G144*D144*(1+EscalatorInLease)^4,IF(F144&lt;DATE(2026+4,5,1),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,((F144-DATE(2026+4,5,1))/365.25)*G144*D144*(1+EscalatorInLease)^4+((DATE(2027+4,4,30)-F144)/365.25)*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)))),0)</f>
        <v/>
      </c>
      <c r="S144" s="5">
        <f>IFERROR(IF(I144="LeaseUp",H144*D144*(1+GrowthMarketRent)^5*IF(5=0,(12-DowntimeNew)/12,1),IF(F144="",0,IF(F144&gt;=DATE(2027+5,4,30),G144*D144*(1+EscalatorInLease)^5,IF(F144&lt;DATE(2026+5,5,1),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,((F144-DATE(2026+5,5,1))/365.25)*G144*D144*(1+EscalatorInLease)^5+((DATE(2027+5,4,30)-F144)/365.25)*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)))),0)</f>
        <v/>
      </c>
      <c r="T144" s="5">
        <f>IFERROR(IF(I144="LeaseUp",H144*D144*(1+GrowthMarketRent)^6*IF(6=0,(12-DowntimeNew)/12,1),IF(F144="",0,IF(F144&gt;=DATE(2027+6,4,30),G144*D144*(1+EscalatorInLease)^6,IF(F144&lt;DATE(2026+6,5,1),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,((F144-DATE(2026+6,5,1))/365.25)*G144*D144*(1+EscalatorInLease)^6+((DATE(2027+6,4,30)-F144)/365.25)*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)))),0)</f>
        <v/>
      </c>
      <c r="U144" s="5">
        <f>IFERROR(IF(I144="LeaseUp",H144*D144*(1+GrowthMarketRent)^7*IF(7=0,(12-DowntimeNew)/12,1),IF(F144="",0,IF(F144&gt;=DATE(2027+7,4,30),G144*D144*(1+EscalatorInLease)^7,IF(F144&lt;DATE(2026+7,5,1),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,((F144-DATE(2026+7,5,1))/365.25)*G144*D144*(1+EscalatorInLease)^7+((DATE(2027+7,4,30)-F144)/365.25)*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)))),0)</f>
        <v/>
      </c>
      <c r="V144" s="5">
        <f>IFERROR(IF(I144="LeaseUp",H144*D144*(1+GrowthMarketRent)^8*IF(8=0,(12-DowntimeNew)/12,1),IF(F144="",0,IF(F144&gt;=DATE(2027+8,4,30),G144*D144*(1+EscalatorInLease)^8,IF(F144&lt;DATE(2026+8,5,1),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,((F144-DATE(2026+8,5,1))/365.25)*G144*D144*(1+EscalatorInLease)^8+((DATE(2027+8,4,30)-F144)/365.25)*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)))),0)</f>
        <v/>
      </c>
      <c r="W144" s="5">
        <f>IFERROR(IF(I144="LeaseUp",H144*D144*(1+GrowthMarketRent)^9*IF(9=0,(12-DowntimeNew)/12,1),IF(F144="",0,IF(F144&gt;=DATE(2027+9,4,30),G144*D144*(1+EscalatorInLease)^9,IF(F144&lt;DATE(2026+9,5,1),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,((F144-DATE(2026+9,5,1))/365.25)*G144*D144*(1+EscalatorInLease)^9+((DATE(2027+9,4,30)-F144)/365.25)*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)))),0)</f>
        <v/>
      </c>
      <c r="X144" s="5">
        <f>IFERROR(IF(I144="LeaseUp",H144*D144*(1+GrowthMarketRent)^10*IF(10=0,(12-DowntimeNew)/12,1),IF(F144="",0,IF(F144&gt;=DATE(2027+10,4,30),G144*D144*(1+EscalatorInLease)^10,IF(F144&lt;DATE(2026+10,5,1),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,((F144-DATE(2026+10,5,1))/365.25)*G144*D144*(1+EscalatorInLease)^10+((DATE(2027+10,4,30)-F144)/365.25)*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)))),0)</f>
        <v/>
      </c>
      <c r="Y144" s="5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5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5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5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5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5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5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5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5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5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5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9" t="n">
        <v>2600</v>
      </c>
      <c r="E145" s="40" t="n">
        <v>45717</v>
      </c>
      <c r="F145" s="40" t="n">
        <v>46419</v>
      </c>
      <c r="G145" s="41" t="n">
        <v>18.45</v>
      </c>
      <c r="H145" s="10">
        <f>VLOOKUP(A145,MLA!$A$5:$L$11,3,FALSE)</f>
        <v/>
      </c>
      <c r="I145" s="25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7">
        <f>IF(E145="",0,(AnalysisStart-E145)/365.25)</f>
        <v/>
      </c>
      <c r="N145" s="5">
        <f>IFERROR(IF(I145="LeaseUp",H145*D145*(1+GrowthMarketRent)^0*IF(0=0,(12-DowntimeNew)/12,1),IF(F145="",0,IF(F145&gt;=DATE(2027+0,4,30),G145*D145*(1+EscalatorInLease)^0,IF(F145&lt;DATE(2026+0,5,1),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,((F145-DATE(2026+0,5,1))/365.25)*G145*D145*(1+EscalatorInLease)^0+((DATE(2027+0,4,30)-F145)/365.25)*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)))),0)</f>
        <v/>
      </c>
      <c r="O145" s="5">
        <f>IFERROR(IF(I145="LeaseUp",H145*D145*(1+GrowthMarketRent)^1*IF(1=0,(12-DowntimeNew)/12,1),IF(F145="",0,IF(F145&gt;=DATE(2027+1,4,30),G145*D145*(1+EscalatorInLease)^1,IF(F145&lt;DATE(2026+1,5,1),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,((F145-DATE(2026+1,5,1))/365.25)*G145*D145*(1+EscalatorInLease)^1+((DATE(2027+1,4,30)-F145)/365.25)*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)))),0)</f>
        <v/>
      </c>
      <c r="P145" s="5">
        <f>IFERROR(IF(I145="LeaseUp",H145*D145*(1+GrowthMarketRent)^2*IF(2=0,(12-DowntimeNew)/12,1),IF(F145="",0,IF(F145&gt;=DATE(2027+2,4,30),G145*D145*(1+EscalatorInLease)^2,IF(F145&lt;DATE(2026+2,5,1),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,((F145-DATE(2026+2,5,1))/365.25)*G145*D145*(1+EscalatorInLease)^2+((DATE(2027+2,4,30)-F145)/365.25)*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)))),0)</f>
        <v/>
      </c>
      <c r="Q145" s="5">
        <f>IFERROR(IF(I145="LeaseUp",H145*D145*(1+GrowthMarketRent)^3*IF(3=0,(12-DowntimeNew)/12,1),IF(F145="",0,IF(F145&gt;=DATE(2027+3,4,30),G145*D145*(1+EscalatorInLease)^3,IF(F145&lt;DATE(2026+3,5,1),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,((F145-DATE(2026+3,5,1))/365.25)*G145*D145*(1+EscalatorInLease)^3+((DATE(2027+3,4,30)-F145)/365.25)*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)))),0)</f>
        <v/>
      </c>
      <c r="R145" s="5">
        <f>IFERROR(IF(I145="LeaseUp",H145*D145*(1+GrowthMarketRent)^4*IF(4=0,(12-DowntimeNew)/12,1),IF(F145="",0,IF(F145&gt;=DATE(2027+4,4,30),G145*D145*(1+EscalatorInLease)^4,IF(F145&lt;DATE(2026+4,5,1),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,((F145-DATE(2026+4,5,1))/365.25)*G145*D145*(1+EscalatorInLease)^4+((DATE(2027+4,4,30)-F145)/365.25)*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)))),0)</f>
        <v/>
      </c>
      <c r="S145" s="5">
        <f>IFERROR(IF(I145="LeaseUp",H145*D145*(1+GrowthMarketRent)^5*IF(5=0,(12-DowntimeNew)/12,1),IF(F145="",0,IF(F145&gt;=DATE(2027+5,4,30),G145*D145*(1+EscalatorInLease)^5,IF(F145&lt;DATE(2026+5,5,1),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,((F145-DATE(2026+5,5,1))/365.25)*G145*D145*(1+EscalatorInLease)^5+((DATE(2027+5,4,30)-F145)/365.25)*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)))),0)</f>
        <v/>
      </c>
      <c r="T145" s="5">
        <f>IFERROR(IF(I145="LeaseUp",H145*D145*(1+GrowthMarketRent)^6*IF(6=0,(12-DowntimeNew)/12,1),IF(F145="",0,IF(F145&gt;=DATE(2027+6,4,30),G145*D145*(1+EscalatorInLease)^6,IF(F145&lt;DATE(2026+6,5,1),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,((F145-DATE(2026+6,5,1))/365.25)*G145*D145*(1+EscalatorInLease)^6+((DATE(2027+6,4,30)-F145)/365.25)*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)))),0)</f>
        <v/>
      </c>
      <c r="U145" s="5">
        <f>IFERROR(IF(I145="LeaseUp",H145*D145*(1+GrowthMarketRent)^7*IF(7=0,(12-DowntimeNew)/12,1),IF(F145="",0,IF(F145&gt;=DATE(2027+7,4,30),G145*D145*(1+EscalatorInLease)^7,IF(F145&lt;DATE(2026+7,5,1),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,((F145-DATE(2026+7,5,1))/365.25)*G145*D145*(1+EscalatorInLease)^7+((DATE(2027+7,4,30)-F145)/365.25)*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)))),0)</f>
        <v/>
      </c>
      <c r="V145" s="5">
        <f>IFERROR(IF(I145="LeaseUp",H145*D145*(1+GrowthMarketRent)^8*IF(8=0,(12-DowntimeNew)/12,1),IF(F145="",0,IF(F145&gt;=DATE(2027+8,4,30),G145*D145*(1+EscalatorInLease)^8,IF(F145&lt;DATE(2026+8,5,1),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,((F145-DATE(2026+8,5,1))/365.25)*G145*D145*(1+EscalatorInLease)^8+((DATE(2027+8,4,30)-F145)/365.25)*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)))),0)</f>
        <v/>
      </c>
      <c r="W145" s="5">
        <f>IFERROR(IF(I145="LeaseUp",H145*D145*(1+GrowthMarketRent)^9*IF(9=0,(12-DowntimeNew)/12,1),IF(F145="",0,IF(F145&gt;=DATE(2027+9,4,30),G145*D145*(1+EscalatorInLease)^9,IF(F145&lt;DATE(2026+9,5,1),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,((F145-DATE(2026+9,5,1))/365.25)*G145*D145*(1+EscalatorInLease)^9+((DATE(2027+9,4,30)-F145)/365.25)*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)))),0)</f>
        <v/>
      </c>
      <c r="X145" s="5">
        <f>IFERROR(IF(I145="LeaseUp",H145*D145*(1+GrowthMarketRent)^10*IF(10=0,(12-DowntimeNew)/12,1),IF(F145="",0,IF(F145&gt;=DATE(2027+10,4,30),G145*D145*(1+EscalatorInLease)^10,IF(F145&lt;DATE(2026+10,5,1),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,((F145-DATE(2026+10,5,1))/365.25)*G145*D145*(1+EscalatorInLease)^10+((DATE(2027+10,4,30)-F145)/365.25)*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)))),0)</f>
        <v/>
      </c>
      <c r="Y145" s="5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5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5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5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5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5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5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5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5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5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5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9" t="n">
        <v>2600</v>
      </c>
      <c r="E146" s="40" t="n">
        <v>45078</v>
      </c>
      <c r="F146" s="40" t="n">
        <v>46327</v>
      </c>
      <c r="G146" s="41" t="n">
        <v>16.81</v>
      </c>
      <c r="H146" s="10">
        <f>VLOOKUP(A146,MLA!$A$5:$L$11,3,FALSE)</f>
        <v/>
      </c>
      <c r="I146" s="25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7">
        <f>IF(E146="",0,(AnalysisStart-E146)/365.25)</f>
        <v/>
      </c>
      <c r="N146" s="5">
        <f>IFERROR(IF(I146="LeaseUp",H146*D146*(1+GrowthMarketRent)^0*IF(0=0,(12-DowntimeNew)/12,1),IF(F146="",0,IF(F146&gt;=DATE(2027+0,4,30),G146*D146*(1+EscalatorInLease)^0,IF(F146&lt;DATE(2026+0,5,1),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,((F146-DATE(2026+0,5,1))/365.25)*G146*D146*(1+EscalatorInLease)^0+((DATE(2027+0,4,30)-F146)/365.25)*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)))),0)</f>
        <v/>
      </c>
      <c r="O146" s="5">
        <f>IFERROR(IF(I146="LeaseUp",H146*D146*(1+GrowthMarketRent)^1*IF(1=0,(12-DowntimeNew)/12,1),IF(F146="",0,IF(F146&gt;=DATE(2027+1,4,30),G146*D146*(1+EscalatorInLease)^1,IF(F146&lt;DATE(2026+1,5,1),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,((F146-DATE(2026+1,5,1))/365.25)*G146*D146*(1+EscalatorInLease)^1+((DATE(2027+1,4,30)-F146)/365.25)*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)))),0)</f>
        <v/>
      </c>
      <c r="P146" s="5">
        <f>IFERROR(IF(I146="LeaseUp",H146*D146*(1+GrowthMarketRent)^2*IF(2=0,(12-DowntimeNew)/12,1),IF(F146="",0,IF(F146&gt;=DATE(2027+2,4,30),G146*D146*(1+EscalatorInLease)^2,IF(F146&lt;DATE(2026+2,5,1),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,((F146-DATE(2026+2,5,1))/365.25)*G146*D146*(1+EscalatorInLease)^2+((DATE(2027+2,4,30)-F146)/365.25)*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)))),0)</f>
        <v/>
      </c>
      <c r="Q146" s="5">
        <f>IFERROR(IF(I146="LeaseUp",H146*D146*(1+GrowthMarketRent)^3*IF(3=0,(12-DowntimeNew)/12,1),IF(F146="",0,IF(F146&gt;=DATE(2027+3,4,30),G146*D146*(1+EscalatorInLease)^3,IF(F146&lt;DATE(2026+3,5,1),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,((F146-DATE(2026+3,5,1))/365.25)*G146*D146*(1+EscalatorInLease)^3+((DATE(2027+3,4,30)-F146)/365.25)*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)))),0)</f>
        <v/>
      </c>
      <c r="R146" s="5">
        <f>IFERROR(IF(I146="LeaseUp",H146*D146*(1+GrowthMarketRent)^4*IF(4=0,(12-DowntimeNew)/12,1),IF(F146="",0,IF(F146&gt;=DATE(2027+4,4,30),G146*D146*(1+EscalatorInLease)^4,IF(F146&lt;DATE(2026+4,5,1),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,((F146-DATE(2026+4,5,1))/365.25)*G146*D146*(1+EscalatorInLease)^4+((DATE(2027+4,4,30)-F146)/365.25)*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)))),0)</f>
        <v/>
      </c>
      <c r="S146" s="5">
        <f>IFERROR(IF(I146="LeaseUp",H146*D146*(1+GrowthMarketRent)^5*IF(5=0,(12-DowntimeNew)/12,1),IF(F146="",0,IF(F146&gt;=DATE(2027+5,4,30),G146*D146*(1+EscalatorInLease)^5,IF(F146&lt;DATE(2026+5,5,1),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,((F146-DATE(2026+5,5,1))/365.25)*G146*D146*(1+EscalatorInLease)^5+((DATE(2027+5,4,30)-F146)/365.25)*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)))),0)</f>
        <v/>
      </c>
      <c r="T146" s="5">
        <f>IFERROR(IF(I146="LeaseUp",H146*D146*(1+GrowthMarketRent)^6*IF(6=0,(12-DowntimeNew)/12,1),IF(F146="",0,IF(F146&gt;=DATE(2027+6,4,30),G146*D146*(1+EscalatorInLease)^6,IF(F146&lt;DATE(2026+6,5,1),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,((F146-DATE(2026+6,5,1))/365.25)*G146*D146*(1+EscalatorInLease)^6+((DATE(2027+6,4,30)-F146)/365.25)*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)))),0)</f>
        <v/>
      </c>
      <c r="U146" s="5">
        <f>IFERROR(IF(I146="LeaseUp",H146*D146*(1+GrowthMarketRent)^7*IF(7=0,(12-DowntimeNew)/12,1),IF(F146="",0,IF(F146&gt;=DATE(2027+7,4,30),G146*D146*(1+EscalatorInLease)^7,IF(F146&lt;DATE(2026+7,5,1),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,((F146-DATE(2026+7,5,1))/365.25)*G146*D146*(1+EscalatorInLease)^7+((DATE(2027+7,4,30)-F146)/365.25)*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)))),0)</f>
        <v/>
      </c>
      <c r="V146" s="5">
        <f>IFERROR(IF(I146="LeaseUp",H146*D146*(1+GrowthMarketRent)^8*IF(8=0,(12-DowntimeNew)/12,1),IF(F146="",0,IF(F146&gt;=DATE(2027+8,4,30),G146*D146*(1+EscalatorInLease)^8,IF(F146&lt;DATE(2026+8,5,1),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,((F146-DATE(2026+8,5,1))/365.25)*G146*D146*(1+EscalatorInLease)^8+((DATE(2027+8,4,30)-F146)/365.25)*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)))),0)</f>
        <v/>
      </c>
      <c r="W146" s="5">
        <f>IFERROR(IF(I146="LeaseUp",H146*D146*(1+GrowthMarketRent)^9*IF(9=0,(12-DowntimeNew)/12,1),IF(F146="",0,IF(F146&gt;=DATE(2027+9,4,30),G146*D146*(1+EscalatorInLease)^9,IF(F146&lt;DATE(2026+9,5,1),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,((F146-DATE(2026+9,5,1))/365.25)*G146*D146*(1+EscalatorInLease)^9+((DATE(2027+9,4,30)-F146)/365.25)*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)))),0)</f>
        <v/>
      </c>
      <c r="X146" s="5">
        <f>IFERROR(IF(I146="LeaseUp",H146*D146*(1+GrowthMarketRent)^10*IF(10=0,(12-DowntimeNew)/12,1),IF(F146="",0,IF(F146&gt;=DATE(2027+10,4,30),G146*D146*(1+EscalatorInLease)^10,IF(F146&lt;DATE(2026+10,5,1),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,((F146-DATE(2026+10,5,1))/365.25)*G146*D146*(1+EscalatorInLease)^10+((DATE(2027+10,4,30)-F146)/365.25)*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)))),0)</f>
        <v/>
      </c>
      <c r="Y146" s="5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5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5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5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5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5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5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5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5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5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5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9" t="n">
        <v>2600</v>
      </c>
      <c r="E147" s="40" t="n">
        <v>44958</v>
      </c>
      <c r="F147" s="40" t="n">
        <v>46204</v>
      </c>
      <c r="G147" s="41" t="n">
        <v>15.615</v>
      </c>
      <c r="H147" s="10">
        <f>VLOOKUP(A147,MLA!$A$5:$L$11,3,FALSE)</f>
        <v/>
      </c>
      <c r="I147" s="25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7">
        <f>IF(E147="",0,(AnalysisStart-E147)/365.25)</f>
        <v/>
      </c>
      <c r="N147" s="5">
        <f>IFERROR(IF(I147="LeaseUp",H147*D147*(1+GrowthMarketRent)^0*IF(0=0,(12-DowntimeNew)/12,1),IF(F147="",0,IF(F147&gt;=DATE(2027+0,4,30),G147*D147*(1+EscalatorInLease)^0,IF(F147&lt;DATE(2026+0,5,1),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,((F147-DATE(2026+0,5,1))/365.25)*G147*D147*(1+EscalatorInLease)^0+((DATE(2027+0,4,30)-F147)/365.25)*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)))),0)</f>
        <v/>
      </c>
      <c r="O147" s="5">
        <f>IFERROR(IF(I147="LeaseUp",H147*D147*(1+GrowthMarketRent)^1*IF(1=0,(12-DowntimeNew)/12,1),IF(F147="",0,IF(F147&gt;=DATE(2027+1,4,30),G147*D147*(1+EscalatorInLease)^1,IF(F147&lt;DATE(2026+1,5,1),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,((F147-DATE(2026+1,5,1))/365.25)*G147*D147*(1+EscalatorInLease)^1+((DATE(2027+1,4,30)-F147)/365.25)*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)))),0)</f>
        <v/>
      </c>
      <c r="P147" s="5">
        <f>IFERROR(IF(I147="LeaseUp",H147*D147*(1+GrowthMarketRent)^2*IF(2=0,(12-DowntimeNew)/12,1),IF(F147="",0,IF(F147&gt;=DATE(2027+2,4,30),G147*D147*(1+EscalatorInLease)^2,IF(F147&lt;DATE(2026+2,5,1),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,((F147-DATE(2026+2,5,1))/365.25)*G147*D147*(1+EscalatorInLease)^2+((DATE(2027+2,4,30)-F147)/365.25)*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)))),0)</f>
        <v/>
      </c>
      <c r="Q147" s="5">
        <f>IFERROR(IF(I147="LeaseUp",H147*D147*(1+GrowthMarketRent)^3*IF(3=0,(12-DowntimeNew)/12,1),IF(F147="",0,IF(F147&gt;=DATE(2027+3,4,30),G147*D147*(1+EscalatorInLease)^3,IF(F147&lt;DATE(2026+3,5,1),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,((F147-DATE(2026+3,5,1))/365.25)*G147*D147*(1+EscalatorInLease)^3+((DATE(2027+3,4,30)-F147)/365.25)*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)))),0)</f>
        <v/>
      </c>
      <c r="R147" s="5">
        <f>IFERROR(IF(I147="LeaseUp",H147*D147*(1+GrowthMarketRent)^4*IF(4=0,(12-DowntimeNew)/12,1),IF(F147="",0,IF(F147&gt;=DATE(2027+4,4,30),G147*D147*(1+EscalatorInLease)^4,IF(F147&lt;DATE(2026+4,5,1),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,((F147-DATE(2026+4,5,1))/365.25)*G147*D147*(1+EscalatorInLease)^4+((DATE(2027+4,4,30)-F147)/365.25)*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)))),0)</f>
        <v/>
      </c>
      <c r="S147" s="5">
        <f>IFERROR(IF(I147="LeaseUp",H147*D147*(1+GrowthMarketRent)^5*IF(5=0,(12-DowntimeNew)/12,1),IF(F147="",0,IF(F147&gt;=DATE(2027+5,4,30),G147*D147*(1+EscalatorInLease)^5,IF(F147&lt;DATE(2026+5,5,1),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,((F147-DATE(2026+5,5,1))/365.25)*G147*D147*(1+EscalatorInLease)^5+((DATE(2027+5,4,30)-F147)/365.25)*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)))),0)</f>
        <v/>
      </c>
      <c r="T147" s="5">
        <f>IFERROR(IF(I147="LeaseUp",H147*D147*(1+GrowthMarketRent)^6*IF(6=0,(12-DowntimeNew)/12,1),IF(F147="",0,IF(F147&gt;=DATE(2027+6,4,30),G147*D147*(1+EscalatorInLease)^6,IF(F147&lt;DATE(2026+6,5,1),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,((F147-DATE(2026+6,5,1))/365.25)*G147*D147*(1+EscalatorInLease)^6+((DATE(2027+6,4,30)-F147)/365.25)*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)))),0)</f>
        <v/>
      </c>
      <c r="U147" s="5">
        <f>IFERROR(IF(I147="LeaseUp",H147*D147*(1+GrowthMarketRent)^7*IF(7=0,(12-DowntimeNew)/12,1),IF(F147="",0,IF(F147&gt;=DATE(2027+7,4,30),G147*D147*(1+EscalatorInLease)^7,IF(F147&lt;DATE(2026+7,5,1),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,((F147-DATE(2026+7,5,1))/365.25)*G147*D147*(1+EscalatorInLease)^7+((DATE(2027+7,4,30)-F147)/365.25)*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)))),0)</f>
        <v/>
      </c>
      <c r="V147" s="5">
        <f>IFERROR(IF(I147="LeaseUp",H147*D147*(1+GrowthMarketRent)^8*IF(8=0,(12-DowntimeNew)/12,1),IF(F147="",0,IF(F147&gt;=DATE(2027+8,4,30),G147*D147*(1+EscalatorInLease)^8,IF(F147&lt;DATE(2026+8,5,1),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,((F147-DATE(2026+8,5,1))/365.25)*G147*D147*(1+EscalatorInLease)^8+((DATE(2027+8,4,30)-F147)/365.25)*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)))),0)</f>
        <v/>
      </c>
      <c r="W147" s="5">
        <f>IFERROR(IF(I147="LeaseUp",H147*D147*(1+GrowthMarketRent)^9*IF(9=0,(12-DowntimeNew)/12,1),IF(F147="",0,IF(F147&gt;=DATE(2027+9,4,30),G147*D147*(1+EscalatorInLease)^9,IF(F147&lt;DATE(2026+9,5,1),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,((F147-DATE(2026+9,5,1))/365.25)*G147*D147*(1+EscalatorInLease)^9+((DATE(2027+9,4,30)-F147)/365.25)*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)))),0)</f>
        <v/>
      </c>
      <c r="X147" s="5">
        <f>IFERROR(IF(I147="LeaseUp",H147*D147*(1+GrowthMarketRent)^10*IF(10=0,(12-DowntimeNew)/12,1),IF(F147="",0,IF(F147&gt;=DATE(2027+10,4,30),G147*D147*(1+EscalatorInLease)^10,IF(F147&lt;DATE(2026+10,5,1),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,((F147-DATE(2026+10,5,1))/365.25)*G147*D147*(1+EscalatorInLease)^10+((DATE(2027+10,4,30)-F147)/365.25)*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)))),0)</f>
        <v/>
      </c>
      <c r="Y147" s="5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5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5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5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5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5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5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5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5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5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5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9" t="n">
        <v>2600</v>
      </c>
      <c r="E148" s="40" t="n">
        <v>45292</v>
      </c>
      <c r="F148" s="40" t="n">
        <v>46539</v>
      </c>
      <c r="G148" s="41" t="n">
        <v>17.3353846153846</v>
      </c>
      <c r="H148" s="10">
        <f>VLOOKUP(A148,MLA!$A$5:$L$11,3,FALSE)</f>
        <v/>
      </c>
      <c r="I148" s="25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7">
        <f>IF(E148="",0,(AnalysisStart-E148)/365.25)</f>
        <v/>
      </c>
      <c r="N148" s="5">
        <f>IFERROR(IF(I148="LeaseUp",H148*D148*(1+GrowthMarketRent)^0*IF(0=0,(12-DowntimeNew)/12,1),IF(F148="",0,IF(F148&gt;=DATE(2027+0,4,30),G148*D148*(1+EscalatorInLease)^0,IF(F148&lt;DATE(2026+0,5,1),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,((F148-DATE(2026+0,5,1))/365.25)*G148*D148*(1+EscalatorInLease)^0+((DATE(2027+0,4,30)-F148)/365.25)*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)))),0)</f>
        <v/>
      </c>
      <c r="O148" s="5">
        <f>IFERROR(IF(I148="LeaseUp",H148*D148*(1+GrowthMarketRent)^1*IF(1=0,(12-DowntimeNew)/12,1),IF(F148="",0,IF(F148&gt;=DATE(2027+1,4,30),G148*D148*(1+EscalatorInLease)^1,IF(F148&lt;DATE(2026+1,5,1),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,((F148-DATE(2026+1,5,1))/365.25)*G148*D148*(1+EscalatorInLease)^1+((DATE(2027+1,4,30)-F148)/365.25)*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)))),0)</f>
        <v/>
      </c>
      <c r="P148" s="5">
        <f>IFERROR(IF(I148="LeaseUp",H148*D148*(1+GrowthMarketRent)^2*IF(2=0,(12-DowntimeNew)/12,1),IF(F148="",0,IF(F148&gt;=DATE(2027+2,4,30),G148*D148*(1+EscalatorInLease)^2,IF(F148&lt;DATE(2026+2,5,1),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,((F148-DATE(2026+2,5,1))/365.25)*G148*D148*(1+EscalatorInLease)^2+((DATE(2027+2,4,30)-F148)/365.25)*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)))),0)</f>
        <v/>
      </c>
      <c r="Q148" s="5">
        <f>IFERROR(IF(I148="LeaseUp",H148*D148*(1+GrowthMarketRent)^3*IF(3=0,(12-DowntimeNew)/12,1),IF(F148="",0,IF(F148&gt;=DATE(2027+3,4,30),G148*D148*(1+EscalatorInLease)^3,IF(F148&lt;DATE(2026+3,5,1),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,((F148-DATE(2026+3,5,1))/365.25)*G148*D148*(1+EscalatorInLease)^3+((DATE(2027+3,4,30)-F148)/365.25)*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)))),0)</f>
        <v/>
      </c>
      <c r="R148" s="5">
        <f>IFERROR(IF(I148="LeaseUp",H148*D148*(1+GrowthMarketRent)^4*IF(4=0,(12-DowntimeNew)/12,1),IF(F148="",0,IF(F148&gt;=DATE(2027+4,4,30),G148*D148*(1+EscalatorInLease)^4,IF(F148&lt;DATE(2026+4,5,1),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,((F148-DATE(2026+4,5,1))/365.25)*G148*D148*(1+EscalatorInLease)^4+((DATE(2027+4,4,30)-F148)/365.25)*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)))),0)</f>
        <v/>
      </c>
      <c r="S148" s="5">
        <f>IFERROR(IF(I148="LeaseUp",H148*D148*(1+GrowthMarketRent)^5*IF(5=0,(12-DowntimeNew)/12,1),IF(F148="",0,IF(F148&gt;=DATE(2027+5,4,30),G148*D148*(1+EscalatorInLease)^5,IF(F148&lt;DATE(2026+5,5,1),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,((F148-DATE(2026+5,5,1))/365.25)*G148*D148*(1+EscalatorInLease)^5+((DATE(2027+5,4,30)-F148)/365.25)*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)))),0)</f>
        <v/>
      </c>
      <c r="T148" s="5">
        <f>IFERROR(IF(I148="LeaseUp",H148*D148*(1+GrowthMarketRent)^6*IF(6=0,(12-DowntimeNew)/12,1),IF(F148="",0,IF(F148&gt;=DATE(2027+6,4,30),G148*D148*(1+EscalatorInLease)^6,IF(F148&lt;DATE(2026+6,5,1),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,((F148-DATE(2026+6,5,1))/365.25)*G148*D148*(1+EscalatorInLease)^6+((DATE(2027+6,4,30)-F148)/365.25)*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)))),0)</f>
        <v/>
      </c>
      <c r="U148" s="5">
        <f>IFERROR(IF(I148="LeaseUp",H148*D148*(1+GrowthMarketRent)^7*IF(7=0,(12-DowntimeNew)/12,1),IF(F148="",0,IF(F148&gt;=DATE(2027+7,4,30),G148*D148*(1+EscalatorInLease)^7,IF(F148&lt;DATE(2026+7,5,1),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,((F148-DATE(2026+7,5,1))/365.25)*G148*D148*(1+EscalatorInLease)^7+((DATE(2027+7,4,30)-F148)/365.25)*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)))),0)</f>
        <v/>
      </c>
      <c r="V148" s="5">
        <f>IFERROR(IF(I148="LeaseUp",H148*D148*(1+GrowthMarketRent)^8*IF(8=0,(12-DowntimeNew)/12,1),IF(F148="",0,IF(F148&gt;=DATE(2027+8,4,30),G148*D148*(1+EscalatorInLease)^8,IF(F148&lt;DATE(2026+8,5,1),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,((F148-DATE(2026+8,5,1))/365.25)*G148*D148*(1+EscalatorInLease)^8+((DATE(2027+8,4,30)-F148)/365.25)*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)))),0)</f>
        <v/>
      </c>
      <c r="W148" s="5">
        <f>IFERROR(IF(I148="LeaseUp",H148*D148*(1+GrowthMarketRent)^9*IF(9=0,(12-DowntimeNew)/12,1),IF(F148="",0,IF(F148&gt;=DATE(2027+9,4,30),G148*D148*(1+EscalatorInLease)^9,IF(F148&lt;DATE(2026+9,5,1),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,((F148-DATE(2026+9,5,1))/365.25)*G148*D148*(1+EscalatorInLease)^9+((DATE(2027+9,4,30)-F148)/365.25)*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)))),0)</f>
        <v/>
      </c>
      <c r="X148" s="5">
        <f>IFERROR(IF(I148="LeaseUp",H148*D148*(1+GrowthMarketRent)^10*IF(10=0,(12-DowntimeNew)/12,1),IF(F148="",0,IF(F148&gt;=DATE(2027+10,4,30),G148*D148*(1+EscalatorInLease)^10,IF(F148&lt;DATE(2026+10,5,1),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,((F148-DATE(2026+10,5,1))/365.25)*G148*D148*(1+EscalatorInLease)^10+((DATE(2027+10,4,30)-F148)/365.25)*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)))),0)</f>
        <v/>
      </c>
      <c r="Y148" s="5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5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5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5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5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5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5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5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5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5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5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9" t="n">
        <v>3450</v>
      </c>
      <c r="E149" s="40" t="n">
        <v>46082</v>
      </c>
      <c r="F149" s="40" t="n">
        <v>47331</v>
      </c>
      <c r="G149" s="41" t="n">
        <v>19</v>
      </c>
      <c r="H149" s="10">
        <f>VLOOKUP(A149,MLA!$A$5:$L$11,3,FALSE)</f>
        <v/>
      </c>
      <c r="I149" s="25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7">
        <f>IF(E149="",0,(AnalysisStart-E149)/365.25)</f>
        <v/>
      </c>
      <c r="N149" s="5">
        <f>IFERROR(IF(I149="LeaseUp",H149*D149*(1+GrowthMarketRent)^0*IF(0=0,(12-DowntimeNew)/12,1),IF(F149="",0,IF(F149&gt;=DATE(2027+0,4,30),G149*D149*(1+EscalatorInLease)^0,IF(F149&lt;DATE(2026+0,5,1),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,((F149-DATE(2026+0,5,1))/365.25)*G149*D149*(1+EscalatorInLease)^0+((DATE(2027+0,4,30)-F149)/365.25)*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)))),0)</f>
        <v/>
      </c>
      <c r="O149" s="5">
        <f>IFERROR(IF(I149="LeaseUp",H149*D149*(1+GrowthMarketRent)^1*IF(1=0,(12-DowntimeNew)/12,1),IF(F149="",0,IF(F149&gt;=DATE(2027+1,4,30),G149*D149*(1+EscalatorInLease)^1,IF(F149&lt;DATE(2026+1,5,1),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,((F149-DATE(2026+1,5,1))/365.25)*G149*D149*(1+EscalatorInLease)^1+((DATE(2027+1,4,30)-F149)/365.25)*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)))),0)</f>
        <v/>
      </c>
      <c r="P149" s="5">
        <f>IFERROR(IF(I149="LeaseUp",H149*D149*(1+GrowthMarketRent)^2*IF(2=0,(12-DowntimeNew)/12,1),IF(F149="",0,IF(F149&gt;=DATE(2027+2,4,30),G149*D149*(1+EscalatorInLease)^2,IF(F149&lt;DATE(2026+2,5,1),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,((F149-DATE(2026+2,5,1))/365.25)*G149*D149*(1+EscalatorInLease)^2+((DATE(2027+2,4,30)-F149)/365.25)*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)))),0)</f>
        <v/>
      </c>
      <c r="Q149" s="5">
        <f>IFERROR(IF(I149="LeaseUp",H149*D149*(1+GrowthMarketRent)^3*IF(3=0,(12-DowntimeNew)/12,1),IF(F149="",0,IF(F149&gt;=DATE(2027+3,4,30),G149*D149*(1+EscalatorInLease)^3,IF(F149&lt;DATE(2026+3,5,1),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,((F149-DATE(2026+3,5,1))/365.25)*G149*D149*(1+EscalatorInLease)^3+((DATE(2027+3,4,30)-F149)/365.25)*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)))),0)</f>
        <v/>
      </c>
      <c r="R149" s="5">
        <f>IFERROR(IF(I149="LeaseUp",H149*D149*(1+GrowthMarketRent)^4*IF(4=0,(12-DowntimeNew)/12,1),IF(F149="",0,IF(F149&gt;=DATE(2027+4,4,30),G149*D149*(1+EscalatorInLease)^4,IF(F149&lt;DATE(2026+4,5,1),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,((F149-DATE(2026+4,5,1))/365.25)*G149*D149*(1+EscalatorInLease)^4+((DATE(2027+4,4,30)-F149)/365.25)*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)))),0)</f>
        <v/>
      </c>
      <c r="S149" s="5">
        <f>IFERROR(IF(I149="LeaseUp",H149*D149*(1+GrowthMarketRent)^5*IF(5=0,(12-DowntimeNew)/12,1),IF(F149="",0,IF(F149&gt;=DATE(2027+5,4,30),G149*D149*(1+EscalatorInLease)^5,IF(F149&lt;DATE(2026+5,5,1),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,((F149-DATE(2026+5,5,1))/365.25)*G149*D149*(1+EscalatorInLease)^5+((DATE(2027+5,4,30)-F149)/365.25)*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)))),0)</f>
        <v/>
      </c>
      <c r="T149" s="5">
        <f>IFERROR(IF(I149="LeaseUp",H149*D149*(1+GrowthMarketRent)^6*IF(6=0,(12-DowntimeNew)/12,1),IF(F149="",0,IF(F149&gt;=DATE(2027+6,4,30),G149*D149*(1+EscalatorInLease)^6,IF(F149&lt;DATE(2026+6,5,1),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,((F149-DATE(2026+6,5,1))/365.25)*G149*D149*(1+EscalatorInLease)^6+((DATE(2027+6,4,30)-F149)/365.25)*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)))),0)</f>
        <v/>
      </c>
      <c r="U149" s="5">
        <f>IFERROR(IF(I149="LeaseUp",H149*D149*(1+GrowthMarketRent)^7*IF(7=0,(12-DowntimeNew)/12,1),IF(F149="",0,IF(F149&gt;=DATE(2027+7,4,30),G149*D149*(1+EscalatorInLease)^7,IF(F149&lt;DATE(2026+7,5,1),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,((F149-DATE(2026+7,5,1))/365.25)*G149*D149*(1+EscalatorInLease)^7+((DATE(2027+7,4,30)-F149)/365.25)*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)))),0)</f>
        <v/>
      </c>
      <c r="V149" s="5">
        <f>IFERROR(IF(I149="LeaseUp",H149*D149*(1+GrowthMarketRent)^8*IF(8=0,(12-DowntimeNew)/12,1),IF(F149="",0,IF(F149&gt;=DATE(2027+8,4,30),G149*D149*(1+EscalatorInLease)^8,IF(F149&lt;DATE(2026+8,5,1),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,((F149-DATE(2026+8,5,1))/365.25)*G149*D149*(1+EscalatorInLease)^8+((DATE(2027+8,4,30)-F149)/365.25)*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)))),0)</f>
        <v/>
      </c>
      <c r="W149" s="5">
        <f>IFERROR(IF(I149="LeaseUp",H149*D149*(1+GrowthMarketRent)^9*IF(9=0,(12-DowntimeNew)/12,1),IF(F149="",0,IF(F149&gt;=DATE(2027+9,4,30),G149*D149*(1+EscalatorInLease)^9,IF(F149&lt;DATE(2026+9,5,1),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,((F149-DATE(2026+9,5,1))/365.25)*G149*D149*(1+EscalatorInLease)^9+((DATE(2027+9,4,30)-F149)/365.25)*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)))),0)</f>
        <v/>
      </c>
      <c r="X149" s="5">
        <f>IFERROR(IF(I149="LeaseUp",H149*D149*(1+GrowthMarketRent)^10*IF(10=0,(12-DowntimeNew)/12,1),IF(F149="",0,IF(F149&gt;=DATE(2027+10,4,30),G149*D149*(1+EscalatorInLease)^10,IF(F149&lt;DATE(2026+10,5,1),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,((F149-DATE(2026+10,5,1))/365.25)*G149*D149*(1+EscalatorInLease)^10+((DATE(2027+10,4,30)-F149)/365.25)*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)))),0)</f>
        <v/>
      </c>
      <c r="Y149" s="5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5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5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5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5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5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5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5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5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5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5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9" t="n">
        <v>3450</v>
      </c>
      <c r="E150" s="40" t="n">
        <v>44958</v>
      </c>
      <c r="F150" s="40" t="n">
        <v>46204</v>
      </c>
      <c r="G150" s="41" t="n">
        <v>15.0765217391304</v>
      </c>
      <c r="H150" s="10">
        <f>VLOOKUP(A150,MLA!$A$5:$L$11,3,FALSE)</f>
        <v/>
      </c>
      <c r="I150" s="25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7">
        <f>IF(E150="",0,(AnalysisStart-E150)/365.25)</f>
        <v/>
      </c>
      <c r="N150" s="5">
        <f>IFERROR(IF(I150="LeaseUp",H150*D150*(1+GrowthMarketRent)^0*IF(0=0,(12-DowntimeNew)/12,1),IF(F150="",0,IF(F150&gt;=DATE(2027+0,4,30),G150*D150*(1+EscalatorInLease)^0,IF(F150&lt;DATE(2026+0,5,1),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,((F150-DATE(2026+0,5,1))/365.25)*G150*D150*(1+EscalatorInLease)^0+((DATE(2027+0,4,30)-F150)/365.25)*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)))),0)</f>
        <v/>
      </c>
      <c r="O150" s="5">
        <f>IFERROR(IF(I150="LeaseUp",H150*D150*(1+GrowthMarketRent)^1*IF(1=0,(12-DowntimeNew)/12,1),IF(F150="",0,IF(F150&gt;=DATE(2027+1,4,30),G150*D150*(1+EscalatorInLease)^1,IF(F150&lt;DATE(2026+1,5,1),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,((F150-DATE(2026+1,5,1))/365.25)*G150*D150*(1+EscalatorInLease)^1+((DATE(2027+1,4,30)-F150)/365.25)*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)))),0)</f>
        <v/>
      </c>
      <c r="P150" s="5">
        <f>IFERROR(IF(I150="LeaseUp",H150*D150*(1+GrowthMarketRent)^2*IF(2=0,(12-DowntimeNew)/12,1),IF(F150="",0,IF(F150&gt;=DATE(2027+2,4,30),G150*D150*(1+EscalatorInLease)^2,IF(F150&lt;DATE(2026+2,5,1),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,((F150-DATE(2026+2,5,1))/365.25)*G150*D150*(1+EscalatorInLease)^2+((DATE(2027+2,4,30)-F150)/365.25)*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)))),0)</f>
        <v/>
      </c>
      <c r="Q150" s="5">
        <f>IFERROR(IF(I150="LeaseUp",H150*D150*(1+GrowthMarketRent)^3*IF(3=0,(12-DowntimeNew)/12,1),IF(F150="",0,IF(F150&gt;=DATE(2027+3,4,30),G150*D150*(1+EscalatorInLease)^3,IF(F150&lt;DATE(2026+3,5,1),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,((F150-DATE(2026+3,5,1))/365.25)*G150*D150*(1+EscalatorInLease)^3+((DATE(2027+3,4,30)-F150)/365.25)*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)))),0)</f>
        <v/>
      </c>
      <c r="R150" s="5">
        <f>IFERROR(IF(I150="LeaseUp",H150*D150*(1+GrowthMarketRent)^4*IF(4=0,(12-DowntimeNew)/12,1),IF(F150="",0,IF(F150&gt;=DATE(2027+4,4,30),G150*D150*(1+EscalatorInLease)^4,IF(F150&lt;DATE(2026+4,5,1),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,((F150-DATE(2026+4,5,1))/365.25)*G150*D150*(1+EscalatorInLease)^4+((DATE(2027+4,4,30)-F150)/365.25)*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)))),0)</f>
        <v/>
      </c>
      <c r="S150" s="5">
        <f>IFERROR(IF(I150="LeaseUp",H150*D150*(1+GrowthMarketRent)^5*IF(5=0,(12-DowntimeNew)/12,1),IF(F150="",0,IF(F150&gt;=DATE(2027+5,4,30),G150*D150*(1+EscalatorInLease)^5,IF(F150&lt;DATE(2026+5,5,1),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,((F150-DATE(2026+5,5,1))/365.25)*G150*D150*(1+EscalatorInLease)^5+((DATE(2027+5,4,30)-F150)/365.25)*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)))),0)</f>
        <v/>
      </c>
      <c r="T150" s="5">
        <f>IFERROR(IF(I150="LeaseUp",H150*D150*(1+GrowthMarketRent)^6*IF(6=0,(12-DowntimeNew)/12,1),IF(F150="",0,IF(F150&gt;=DATE(2027+6,4,30),G150*D150*(1+EscalatorInLease)^6,IF(F150&lt;DATE(2026+6,5,1),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,((F150-DATE(2026+6,5,1))/365.25)*G150*D150*(1+EscalatorInLease)^6+((DATE(2027+6,4,30)-F150)/365.25)*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)))),0)</f>
        <v/>
      </c>
      <c r="U150" s="5">
        <f>IFERROR(IF(I150="LeaseUp",H150*D150*(1+GrowthMarketRent)^7*IF(7=0,(12-DowntimeNew)/12,1),IF(F150="",0,IF(F150&gt;=DATE(2027+7,4,30),G150*D150*(1+EscalatorInLease)^7,IF(F150&lt;DATE(2026+7,5,1),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,((F150-DATE(2026+7,5,1))/365.25)*G150*D150*(1+EscalatorInLease)^7+((DATE(2027+7,4,30)-F150)/365.25)*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)))),0)</f>
        <v/>
      </c>
      <c r="V150" s="5">
        <f>IFERROR(IF(I150="LeaseUp",H150*D150*(1+GrowthMarketRent)^8*IF(8=0,(12-DowntimeNew)/12,1),IF(F150="",0,IF(F150&gt;=DATE(2027+8,4,30),G150*D150*(1+EscalatorInLease)^8,IF(F150&lt;DATE(2026+8,5,1),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,((F150-DATE(2026+8,5,1))/365.25)*G150*D150*(1+EscalatorInLease)^8+((DATE(2027+8,4,30)-F150)/365.25)*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)))),0)</f>
        <v/>
      </c>
      <c r="W150" s="5">
        <f>IFERROR(IF(I150="LeaseUp",H150*D150*(1+GrowthMarketRent)^9*IF(9=0,(12-DowntimeNew)/12,1),IF(F150="",0,IF(F150&gt;=DATE(2027+9,4,30),G150*D150*(1+EscalatorInLease)^9,IF(F150&lt;DATE(2026+9,5,1),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,((F150-DATE(2026+9,5,1))/365.25)*G150*D150*(1+EscalatorInLease)^9+((DATE(2027+9,4,30)-F150)/365.25)*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)))),0)</f>
        <v/>
      </c>
      <c r="X150" s="5">
        <f>IFERROR(IF(I150="LeaseUp",H150*D150*(1+GrowthMarketRent)^10*IF(10=0,(12-DowntimeNew)/12,1),IF(F150="",0,IF(F150&gt;=DATE(2027+10,4,30),G150*D150*(1+EscalatorInLease)^10,IF(F150&lt;DATE(2026+10,5,1),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,((F150-DATE(2026+10,5,1))/365.25)*G150*D150*(1+EscalatorInLease)^10+((DATE(2027+10,4,30)-F150)/365.25)*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)))),0)</f>
        <v/>
      </c>
      <c r="Y150" s="5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5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5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5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5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5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5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5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5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5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5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9" t="n">
        <v>2600</v>
      </c>
      <c r="E151" s="40" t="n">
        <v>45748</v>
      </c>
      <c r="F151" s="40" t="n">
        <v>46997</v>
      </c>
      <c r="G151" s="41" t="n">
        <v>18.45</v>
      </c>
      <c r="H151" s="10">
        <f>VLOOKUP(A151,MLA!$A$5:$L$11,3,FALSE)</f>
        <v/>
      </c>
      <c r="I151" s="25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7">
        <f>IF(E151="",0,(AnalysisStart-E151)/365.25)</f>
        <v/>
      </c>
      <c r="N151" s="5">
        <f>IFERROR(IF(I151="LeaseUp",H151*D151*(1+GrowthMarketRent)^0*IF(0=0,(12-DowntimeNew)/12,1),IF(F151="",0,IF(F151&gt;=DATE(2027+0,4,30),G151*D151*(1+EscalatorInLease)^0,IF(F151&lt;DATE(2026+0,5,1),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,((F151-DATE(2026+0,5,1))/365.25)*G151*D151*(1+EscalatorInLease)^0+((DATE(2027+0,4,30)-F151)/365.25)*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)))),0)</f>
        <v/>
      </c>
      <c r="O151" s="5">
        <f>IFERROR(IF(I151="LeaseUp",H151*D151*(1+GrowthMarketRent)^1*IF(1=0,(12-DowntimeNew)/12,1),IF(F151="",0,IF(F151&gt;=DATE(2027+1,4,30),G151*D151*(1+EscalatorInLease)^1,IF(F151&lt;DATE(2026+1,5,1),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,((F151-DATE(2026+1,5,1))/365.25)*G151*D151*(1+EscalatorInLease)^1+((DATE(2027+1,4,30)-F151)/365.25)*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)))),0)</f>
        <v/>
      </c>
      <c r="P151" s="5">
        <f>IFERROR(IF(I151="LeaseUp",H151*D151*(1+GrowthMarketRent)^2*IF(2=0,(12-DowntimeNew)/12,1),IF(F151="",0,IF(F151&gt;=DATE(2027+2,4,30),G151*D151*(1+EscalatorInLease)^2,IF(F151&lt;DATE(2026+2,5,1),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,((F151-DATE(2026+2,5,1))/365.25)*G151*D151*(1+EscalatorInLease)^2+((DATE(2027+2,4,30)-F151)/365.25)*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)))),0)</f>
        <v/>
      </c>
      <c r="Q151" s="5">
        <f>IFERROR(IF(I151="LeaseUp",H151*D151*(1+GrowthMarketRent)^3*IF(3=0,(12-DowntimeNew)/12,1),IF(F151="",0,IF(F151&gt;=DATE(2027+3,4,30),G151*D151*(1+EscalatorInLease)^3,IF(F151&lt;DATE(2026+3,5,1),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,((F151-DATE(2026+3,5,1))/365.25)*G151*D151*(1+EscalatorInLease)^3+((DATE(2027+3,4,30)-F151)/365.25)*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)))),0)</f>
        <v/>
      </c>
      <c r="R151" s="5">
        <f>IFERROR(IF(I151="LeaseUp",H151*D151*(1+GrowthMarketRent)^4*IF(4=0,(12-DowntimeNew)/12,1),IF(F151="",0,IF(F151&gt;=DATE(2027+4,4,30),G151*D151*(1+EscalatorInLease)^4,IF(F151&lt;DATE(2026+4,5,1),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,((F151-DATE(2026+4,5,1))/365.25)*G151*D151*(1+EscalatorInLease)^4+((DATE(2027+4,4,30)-F151)/365.25)*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)))),0)</f>
        <v/>
      </c>
      <c r="S151" s="5">
        <f>IFERROR(IF(I151="LeaseUp",H151*D151*(1+GrowthMarketRent)^5*IF(5=0,(12-DowntimeNew)/12,1),IF(F151="",0,IF(F151&gt;=DATE(2027+5,4,30),G151*D151*(1+EscalatorInLease)^5,IF(F151&lt;DATE(2026+5,5,1),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,((F151-DATE(2026+5,5,1))/365.25)*G151*D151*(1+EscalatorInLease)^5+((DATE(2027+5,4,30)-F151)/365.25)*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)))),0)</f>
        <v/>
      </c>
      <c r="T151" s="5">
        <f>IFERROR(IF(I151="LeaseUp",H151*D151*(1+GrowthMarketRent)^6*IF(6=0,(12-DowntimeNew)/12,1),IF(F151="",0,IF(F151&gt;=DATE(2027+6,4,30),G151*D151*(1+EscalatorInLease)^6,IF(F151&lt;DATE(2026+6,5,1),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,((F151-DATE(2026+6,5,1))/365.25)*G151*D151*(1+EscalatorInLease)^6+((DATE(2027+6,4,30)-F151)/365.25)*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)))),0)</f>
        <v/>
      </c>
      <c r="U151" s="5">
        <f>IFERROR(IF(I151="LeaseUp",H151*D151*(1+GrowthMarketRent)^7*IF(7=0,(12-DowntimeNew)/12,1),IF(F151="",0,IF(F151&gt;=DATE(2027+7,4,30),G151*D151*(1+EscalatorInLease)^7,IF(F151&lt;DATE(2026+7,5,1),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,((F151-DATE(2026+7,5,1))/365.25)*G151*D151*(1+EscalatorInLease)^7+((DATE(2027+7,4,30)-F151)/365.25)*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)))),0)</f>
        <v/>
      </c>
      <c r="V151" s="5">
        <f>IFERROR(IF(I151="LeaseUp",H151*D151*(1+GrowthMarketRent)^8*IF(8=0,(12-DowntimeNew)/12,1),IF(F151="",0,IF(F151&gt;=DATE(2027+8,4,30),G151*D151*(1+EscalatorInLease)^8,IF(F151&lt;DATE(2026+8,5,1),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,((F151-DATE(2026+8,5,1))/365.25)*G151*D151*(1+EscalatorInLease)^8+((DATE(2027+8,4,30)-F151)/365.25)*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)))),0)</f>
        <v/>
      </c>
      <c r="W151" s="5">
        <f>IFERROR(IF(I151="LeaseUp",H151*D151*(1+GrowthMarketRent)^9*IF(9=0,(12-DowntimeNew)/12,1),IF(F151="",0,IF(F151&gt;=DATE(2027+9,4,30),G151*D151*(1+EscalatorInLease)^9,IF(F151&lt;DATE(2026+9,5,1),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,((F151-DATE(2026+9,5,1))/365.25)*G151*D151*(1+EscalatorInLease)^9+((DATE(2027+9,4,30)-F151)/365.25)*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)))),0)</f>
        <v/>
      </c>
      <c r="X151" s="5">
        <f>IFERROR(IF(I151="LeaseUp",H151*D151*(1+GrowthMarketRent)^10*IF(10=0,(12-DowntimeNew)/12,1),IF(F151="",0,IF(F151&gt;=DATE(2027+10,4,30),G151*D151*(1+EscalatorInLease)^10,IF(F151&lt;DATE(2026+10,5,1),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,((F151-DATE(2026+10,5,1))/365.25)*G151*D151*(1+EscalatorInLease)^10+((DATE(2027+10,4,30)-F151)/365.25)*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)))),0)</f>
        <v/>
      </c>
      <c r="Y151" s="5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5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5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5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5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5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5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5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5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5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5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9" t="n">
        <v>2600</v>
      </c>
      <c r="E152" s="40" t="n">
        <v>45536</v>
      </c>
      <c r="F152" s="40" t="n">
        <v>46997</v>
      </c>
      <c r="G152" s="41" t="n">
        <v>18.45</v>
      </c>
      <c r="H152" s="10">
        <f>VLOOKUP(A152,MLA!$A$5:$L$11,3,FALSE)</f>
        <v/>
      </c>
      <c r="I152" s="25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7">
        <f>IF(E152="",0,(AnalysisStart-E152)/365.25)</f>
        <v/>
      </c>
      <c r="N152" s="5">
        <f>IFERROR(IF(I152="LeaseUp",H152*D152*(1+GrowthMarketRent)^0*IF(0=0,(12-DowntimeNew)/12,1),IF(F152="",0,IF(F152&gt;=DATE(2027+0,4,30),G152*D152*(1+EscalatorInLease)^0,IF(F152&lt;DATE(2026+0,5,1),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,((F152-DATE(2026+0,5,1))/365.25)*G152*D152*(1+EscalatorInLease)^0+((DATE(2027+0,4,30)-F152)/365.25)*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)))),0)</f>
        <v/>
      </c>
      <c r="O152" s="5">
        <f>IFERROR(IF(I152="LeaseUp",H152*D152*(1+GrowthMarketRent)^1*IF(1=0,(12-DowntimeNew)/12,1),IF(F152="",0,IF(F152&gt;=DATE(2027+1,4,30),G152*D152*(1+EscalatorInLease)^1,IF(F152&lt;DATE(2026+1,5,1),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,((F152-DATE(2026+1,5,1))/365.25)*G152*D152*(1+EscalatorInLease)^1+((DATE(2027+1,4,30)-F152)/365.25)*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)))),0)</f>
        <v/>
      </c>
      <c r="P152" s="5">
        <f>IFERROR(IF(I152="LeaseUp",H152*D152*(1+GrowthMarketRent)^2*IF(2=0,(12-DowntimeNew)/12,1),IF(F152="",0,IF(F152&gt;=DATE(2027+2,4,30),G152*D152*(1+EscalatorInLease)^2,IF(F152&lt;DATE(2026+2,5,1),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,((F152-DATE(2026+2,5,1))/365.25)*G152*D152*(1+EscalatorInLease)^2+((DATE(2027+2,4,30)-F152)/365.25)*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)))),0)</f>
        <v/>
      </c>
      <c r="Q152" s="5">
        <f>IFERROR(IF(I152="LeaseUp",H152*D152*(1+GrowthMarketRent)^3*IF(3=0,(12-DowntimeNew)/12,1),IF(F152="",0,IF(F152&gt;=DATE(2027+3,4,30),G152*D152*(1+EscalatorInLease)^3,IF(F152&lt;DATE(2026+3,5,1),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,((F152-DATE(2026+3,5,1))/365.25)*G152*D152*(1+EscalatorInLease)^3+((DATE(2027+3,4,30)-F152)/365.25)*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)))),0)</f>
        <v/>
      </c>
      <c r="R152" s="5">
        <f>IFERROR(IF(I152="LeaseUp",H152*D152*(1+GrowthMarketRent)^4*IF(4=0,(12-DowntimeNew)/12,1),IF(F152="",0,IF(F152&gt;=DATE(2027+4,4,30),G152*D152*(1+EscalatorInLease)^4,IF(F152&lt;DATE(2026+4,5,1),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,((F152-DATE(2026+4,5,1))/365.25)*G152*D152*(1+EscalatorInLease)^4+((DATE(2027+4,4,30)-F152)/365.25)*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)))),0)</f>
        <v/>
      </c>
      <c r="S152" s="5">
        <f>IFERROR(IF(I152="LeaseUp",H152*D152*(1+GrowthMarketRent)^5*IF(5=0,(12-DowntimeNew)/12,1),IF(F152="",0,IF(F152&gt;=DATE(2027+5,4,30),G152*D152*(1+EscalatorInLease)^5,IF(F152&lt;DATE(2026+5,5,1),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,((F152-DATE(2026+5,5,1))/365.25)*G152*D152*(1+EscalatorInLease)^5+((DATE(2027+5,4,30)-F152)/365.25)*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)))),0)</f>
        <v/>
      </c>
      <c r="T152" s="5">
        <f>IFERROR(IF(I152="LeaseUp",H152*D152*(1+GrowthMarketRent)^6*IF(6=0,(12-DowntimeNew)/12,1),IF(F152="",0,IF(F152&gt;=DATE(2027+6,4,30),G152*D152*(1+EscalatorInLease)^6,IF(F152&lt;DATE(2026+6,5,1),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,((F152-DATE(2026+6,5,1))/365.25)*G152*D152*(1+EscalatorInLease)^6+((DATE(2027+6,4,30)-F152)/365.25)*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)))),0)</f>
        <v/>
      </c>
      <c r="U152" s="5">
        <f>IFERROR(IF(I152="LeaseUp",H152*D152*(1+GrowthMarketRent)^7*IF(7=0,(12-DowntimeNew)/12,1),IF(F152="",0,IF(F152&gt;=DATE(2027+7,4,30),G152*D152*(1+EscalatorInLease)^7,IF(F152&lt;DATE(2026+7,5,1),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,((F152-DATE(2026+7,5,1))/365.25)*G152*D152*(1+EscalatorInLease)^7+((DATE(2027+7,4,30)-F152)/365.25)*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)))),0)</f>
        <v/>
      </c>
      <c r="V152" s="5">
        <f>IFERROR(IF(I152="LeaseUp",H152*D152*(1+GrowthMarketRent)^8*IF(8=0,(12-DowntimeNew)/12,1),IF(F152="",0,IF(F152&gt;=DATE(2027+8,4,30),G152*D152*(1+EscalatorInLease)^8,IF(F152&lt;DATE(2026+8,5,1),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,((F152-DATE(2026+8,5,1))/365.25)*G152*D152*(1+EscalatorInLease)^8+((DATE(2027+8,4,30)-F152)/365.25)*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)))),0)</f>
        <v/>
      </c>
      <c r="W152" s="5">
        <f>IFERROR(IF(I152="LeaseUp",H152*D152*(1+GrowthMarketRent)^9*IF(9=0,(12-DowntimeNew)/12,1),IF(F152="",0,IF(F152&gt;=DATE(2027+9,4,30),G152*D152*(1+EscalatorInLease)^9,IF(F152&lt;DATE(2026+9,5,1),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,((F152-DATE(2026+9,5,1))/365.25)*G152*D152*(1+EscalatorInLease)^9+((DATE(2027+9,4,30)-F152)/365.25)*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)))),0)</f>
        <v/>
      </c>
      <c r="X152" s="5">
        <f>IFERROR(IF(I152="LeaseUp",H152*D152*(1+GrowthMarketRent)^10*IF(10=0,(12-DowntimeNew)/12,1),IF(F152="",0,IF(F152&gt;=DATE(2027+10,4,30),G152*D152*(1+EscalatorInLease)^10,IF(F152&lt;DATE(2026+10,5,1),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,((F152-DATE(2026+10,5,1))/365.25)*G152*D152*(1+EscalatorInLease)^10+((DATE(2027+10,4,30)-F152)/365.25)*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)))),0)</f>
        <v/>
      </c>
      <c r="Y152" s="5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5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5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5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5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5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5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5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5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5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5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9" t="n">
        <v>2600</v>
      </c>
      <c r="E153" s="40" t="n">
        <v>44986</v>
      </c>
      <c r="F153" s="40" t="n">
        <v>46235</v>
      </c>
      <c r="G153" s="41" t="n">
        <v>16.1534615384615</v>
      </c>
      <c r="H153" s="10">
        <f>VLOOKUP(A153,MLA!$A$5:$L$11,3,FALSE)</f>
        <v/>
      </c>
      <c r="I153" s="25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7">
        <f>IF(E153="",0,(AnalysisStart-E153)/365.25)</f>
        <v/>
      </c>
      <c r="N153" s="5">
        <f>IFERROR(IF(I153="LeaseUp",H153*D153*(1+GrowthMarketRent)^0*IF(0=0,(12-DowntimeNew)/12,1),IF(F153="",0,IF(F153&gt;=DATE(2027+0,4,30),G153*D153*(1+EscalatorInLease)^0,IF(F153&lt;DATE(2026+0,5,1),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,((F153-DATE(2026+0,5,1))/365.25)*G153*D153*(1+EscalatorInLease)^0+((DATE(2027+0,4,30)-F153)/365.25)*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)))),0)</f>
        <v/>
      </c>
      <c r="O153" s="5">
        <f>IFERROR(IF(I153="LeaseUp",H153*D153*(1+GrowthMarketRent)^1*IF(1=0,(12-DowntimeNew)/12,1),IF(F153="",0,IF(F153&gt;=DATE(2027+1,4,30),G153*D153*(1+EscalatorInLease)^1,IF(F153&lt;DATE(2026+1,5,1),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,((F153-DATE(2026+1,5,1))/365.25)*G153*D153*(1+EscalatorInLease)^1+((DATE(2027+1,4,30)-F153)/365.25)*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)))),0)</f>
        <v/>
      </c>
      <c r="P153" s="5">
        <f>IFERROR(IF(I153="LeaseUp",H153*D153*(1+GrowthMarketRent)^2*IF(2=0,(12-DowntimeNew)/12,1),IF(F153="",0,IF(F153&gt;=DATE(2027+2,4,30),G153*D153*(1+EscalatorInLease)^2,IF(F153&lt;DATE(2026+2,5,1),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,((F153-DATE(2026+2,5,1))/365.25)*G153*D153*(1+EscalatorInLease)^2+((DATE(2027+2,4,30)-F153)/365.25)*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)))),0)</f>
        <v/>
      </c>
      <c r="Q153" s="5">
        <f>IFERROR(IF(I153="LeaseUp",H153*D153*(1+GrowthMarketRent)^3*IF(3=0,(12-DowntimeNew)/12,1),IF(F153="",0,IF(F153&gt;=DATE(2027+3,4,30),G153*D153*(1+EscalatorInLease)^3,IF(F153&lt;DATE(2026+3,5,1),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,((F153-DATE(2026+3,5,1))/365.25)*G153*D153*(1+EscalatorInLease)^3+((DATE(2027+3,4,30)-F153)/365.25)*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)))),0)</f>
        <v/>
      </c>
      <c r="R153" s="5">
        <f>IFERROR(IF(I153="LeaseUp",H153*D153*(1+GrowthMarketRent)^4*IF(4=0,(12-DowntimeNew)/12,1),IF(F153="",0,IF(F153&gt;=DATE(2027+4,4,30),G153*D153*(1+EscalatorInLease)^4,IF(F153&lt;DATE(2026+4,5,1),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,((F153-DATE(2026+4,5,1))/365.25)*G153*D153*(1+EscalatorInLease)^4+((DATE(2027+4,4,30)-F153)/365.25)*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)))),0)</f>
        <v/>
      </c>
      <c r="S153" s="5">
        <f>IFERROR(IF(I153="LeaseUp",H153*D153*(1+GrowthMarketRent)^5*IF(5=0,(12-DowntimeNew)/12,1),IF(F153="",0,IF(F153&gt;=DATE(2027+5,4,30),G153*D153*(1+EscalatorInLease)^5,IF(F153&lt;DATE(2026+5,5,1),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,((F153-DATE(2026+5,5,1))/365.25)*G153*D153*(1+EscalatorInLease)^5+((DATE(2027+5,4,30)-F153)/365.25)*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)))),0)</f>
        <v/>
      </c>
      <c r="T153" s="5">
        <f>IFERROR(IF(I153="LeaseUp",H153*D153*(1+GrowthMarketRent)^6*IF(6=0,(12-DowntimeNew)/12,1),IF(F153="",0,IF(F153&gt;=DATE(2027+6,4,30),G153*D153*(1+EscalatorInLease)^6,IF(F153&lt;DATE(2026+6,5,1),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,((F153-DATE(2026+6,5,1))/365.25)*G153*D153*(1+EscalatorInLease)^6+((DATE(2027+6,4,30)-F153)/365.25)*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)))),0)</f>
        <v/>
      </c>
      <c r="U153" s="5">
        <f>IFERROR(IF(I153="LeaseUp",H153*D153*(1+GrowthMarketRent)^7*IF(7=0,(12-DowntimeNew)/12,1),IF(F153="",0,IF(F153&gt;=DATE(2027+7,4,30),G153*D153*(1+EscalatorInLease)^7,IF(F153&lt;DATE(2026+7,5,1),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,((F153-DATE(2026+7,5,1))/365.25)*G153*D153*(1+EscalatorInLease)^7+((DATE(2027+7,4,30)-F153)/365.25)*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)))),0)</f>
        <v/>
      </c>
      <c r="V153" s="5">
        <f>IFERROR(IF(I153="LeaseUp",H153*D153*(1+GrowthMarketRent)^8*IF(8=0,(12-DowntimeNew)/12,1),IF(F153="",0,IF(F153&gt;=DATE(2027+8,4,30),G153*D153*(1+EscalatorInLease)^8,IF(F153&lt;DATE(2026+8,5,1),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,((F153-DATE(2026+8,5,1))/365.25)*G153*D153*(1+EscalatorInLease)^8+((DATE(2027+8,4,30)-F153)/365.25)*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)))),0)</f>
        <v/>
      </c>
      <c r="W153" s="5">
        <f>IFERROR(IF(I153="LeaseUp",H153*D153*(1+GrowthMarketRent)^9*IF(9=0,(12-DowntimeNew)/12,1),IF(F153="",0,IF(F153&gt;=DATE(2027+9,4,30),G153*D153*(1+EscalatorInLease)^9,IF(F153&lt;DATE(2026+9,5,1),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,((F153-DATE(2026+9,5,1))/365.25)*G153*D153*(1+EscalatorInLease)^9+((DATE(2027+9,4,30)-F153)/365.25)*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)))),0)</f>
        <v/>
      </c>
      <c r="X153" s="5">
        <f>IFERROR(IF(I153="LeaseUp",H153*D153*(1+GrowthMarketRent)^10*IF(10=0,(12-DowntimeNew)/12,1),IF(F153="",0,IF(F153&gt;=DATE(2027+10,4,30),G153*D153*(1+EscalatorInLease)^10,IF(F153&lt;DATE(2026+10,5,1),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,((F153-DATE(2026+10,5,1))/365.25)*G153*D153*(1+EscalatorInLease)^10+((DATE(2027+10,4,30)-F153)/365.25)*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)))),0)</f>
        <v/>
      </c>
      <c r="Y153" s="5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5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5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5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5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5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5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5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5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5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5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9" t="n">
        <v>2600</v>
      </c>
      <c r="E154" s="40" t="n">
        <v>45017</v>
      </c>
      <c r="F154" s="40" t="n">
        <v>46296</v>
      </c>
      <c r="G154" s="41" t="n">
        <v>16.1534615384615</v>
      </c>
      <c r="H154" s="10">
        <f>VLOOKUP(A154,MLA!$A$5:$L$11,3,FALSE)</f>
        <v/>
      </c>
      <c r="I154" s="25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7">
        <f>IF(E154="",0,(AnalysisStart-E154)/365.25)</f>
        <v/>
      </c>
      <c r="N154" s="5">
        <f>IFERROR(IF(I154="LeaseUp",H154*D154*(1+GrowthMarketRent)^0*IF(0=0,(12-DowntimeNew)/12,1),IF(F154="",0,IF(F154&gt;=DATE(2027+0,4,30),G154*D154*(1+EscalatorInLease)^0,IF(F154&lt;DATE(2026+0,5,1),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,((F154-DATE(2026+0,5,1))/365.25)*G154*D154*(1+EscalatorInLease)^0+((DATE(2027+0,4,30)-F154)/365.25)*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)))),0)</f>
        <v/>
      </c>
      <c r="O154" s="5">
        <f>IFERROR(IF(I154="LeaseUp",H154*D154*(1+GrowthMarketRent)^1*IF(1=0,(12-DowntimeNew)/12,1),IF(F154="",0,IF(F154&gt;=DATE(2027+1,4,30),G154*D154*(1+EscalatorInLease)^1,IF(F154&lt;DATE(2026+1,5,1),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,((F154-DATE(2026+1,5,1))/365.25)*G154*D154*(1+EscalatorInLease)^1+((DATE(2027+1,4,30)-F154)/365.25)*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)))),0)</f>
        <v/>
      </c>
      <c r="P154" s="5">
        <f>IFERROR(IF(I154="LeaseUp",H154*D154*(1+GrowthMarketRent)^2*IF(2=0,(12-DowntimeNew)/12,1),IF(F154="",0,IF(F154&gt;=DATE(2027+2,4,30),G154*D154*(1+EscalatorInLease)^2,IF(F154&lt;DATE(2026+2,5,1),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,((F154-DATE(2026+2,5,1))/365.25)*G154*D154*(1+EscalatorInLease)^2+((DATE(2027+2,4,30)-F154)/365.25)*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)))),0)</f>
        <v/>
      </c>
      <c r="Q154" s="5">
        <f>IFERROR(IF(I154="LeaseUp",H154*D154*(1+GrowthMarketRent)^3*IF(3=0,(12-DowntimeNew)/12,1),IF(F154="",0,IF(F154&gt;=DATE(2027+3,4,30),G154*D154*(1+EscalatorInLease)^3,IF(F154&lt;DATE(2026+3,5,1),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,((F154-DATE(2026+3,5,1))/365.25)*G154*D154*(1+EscalatorInLease)^3+((DATE(2027+3,4,30)-F154)/365.25)*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)))),0)</f>
        <v/>
      </c>
      <c r="R154" s="5">
        <f>IFERROR(IF(I154="LeaseUp",H154*D154*(1+GrowthMarketRent)^4*IF(4=0,(12-DowntimeNew)/12,1),IF(F154="",0,IF(F154&gt;=DATE(2027+4,4,30),G154*D154*(1+EscalatorInLease)^4,IF(F154&lt;DATE(2026+4,5,1),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,((F154-DATE(2026+4,5,1))/365.25)*G154*D154*(1+EscalatorInLease)^4+((DATE(2027+4,4,30)-F154)/365.25)*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)))),0)</f>
        <v/>
      </c>
      <c r="S154" s="5">
        <f>IFERROR(IF(I154="LeaseUp",H154*D154*(1+GrowthMarketRent)^5*IF(5=0,(12-DowntimeNew)/12,1),IF(F154="",0,IF(F154&gt;=DATE(2027+5,4,30),G154*D154*(1+EscalatorInLease)^5,IF(F154&lt;DATE(2026+5,5,1),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,((F154-DATE(2026+5,5,1))/365.25)*G154*D154*(1+EscalatorInLease)^5+((DATE(2027+5,4,30)-F154)/365.25)*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)))),0)</f>
        <v/>
      </c>
      <c r="T154" s="5">
        <f>IFERROR(IF(I154="LeaseUp",H154*D154*(1+GrowthMarketRent)^6*IF(6=0,(12-DowntimeNew)/12,1),IF(F154="",0,IF(F154&gt;=DATE(2027+6,4,30),G154*D154*(1+EscalatorInLease)^6,IF(F154&lt;DATE(2026+6,5,1),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,((F154-DATE(2026+6,5,1))/365.25)*G154*D154*(1+EscalatorInLease)^6+((DATE(2027+6,4,30)-F154)/365.25)*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)))),0)</f>
        <v/>
      </c>
      <c r="U154" s="5">
        <f>IFERROR(IF(I154="LeaseUp",H154*D154*(1+GrowthMarketRent)^7*IF(7=0,(12-DowntimeNew)/12,1),IF(F154="",0,IF(F154&gt;=DATE(2027+7,4,30),G154*D154*(1+EscalatorInLease)^7,IF(F154&lt;DATE(2026+7,5,1),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,((F154-DATE(2026+7,5,1))/365.25)*G154*D154*(1+EscalatorInLease)^7+((DATE(2027+7,4,30)-F154)/365.25)*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)))),0)</f>
        <v/>
      </c>
      <c r="V154" s="5">
        <f>IFERROR(IF(I154="LeaseUp",H154*D154*(1+GrowthMarketRent)^8*IF(8=0,(12-DowntimeNew)/12,1),IF(F154="",0,IF(F154&gt;=DATE(2027+8,4,30),G154*D154*(1+EscalatorInLease)^8,IF(F154&lt;DATE(2026+8,5,1),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,((F154-DATE(2026+8,5,1))/365.25)*G154*D154*(1+EscalatorInLease)^8+((DATE(2027+8,4,30)-F154)/365.25)*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)))),0)</f>
        <v/>
      </c>
      <c r="W154" s="5">
        <f>IFERROR(IF(I154="LeaseUp",H154*D154*(1+GrowthMarketRent)^9*IF(9=0,(12-DowntimeNew)/12,1),IF(F154="",0,IF(F154&gt;=DATE(2027+9,4,30),G154*D154*(1+EscalatorInLease)^9,IF(F154&lt;DATE(2026+9,5,1),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,((F154-DATE(2026+9,5,1))/365.25)*G154*D154*(1+EscalatorInLease)^9+((DATE(2027+9,4,30)-F154)/365.25)*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)))),0)</f>
        <v/>
      </c>
      <c r="X154" s="5">
        <f>IFERROR(IF(I154="LeaseUp",H154*D154*(1+GrowthMarketRent)^10*IF(10=0,(12-DowntimeNew)/12,1),IF(F154="",0,IF(F154&gt;=DATE(2027+10,4,30),G154*D154*(1+EscalatorInLease)^10,IF(F154&lt;DATE(2026+10,5,1),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,((F154-DATE(2026+10,5,1))/365.25)*G154*D154*(1+EscalatorInLease)^10+((DATE(2027+10,4,30)-F154)/365.25)*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)))),0)</f>
        <v/>
      </c>
      <c r="Y154" s="5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5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5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5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5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5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5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5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5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5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5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9" t="n">
        <v>2600</v>
      </c>
      <c r="E155" s="40" t="n">
        <v>45566</v>
      </c>
      <c r="F155" s="40" t="n">
        <v>46813</v>
      </c>
      <c r="G155" s="41" t="n">
        <v>18.45</v>
      </c>
      <c r="H155" s="10">
        <f>VLOOKUP(A155,MLA!$A$5:$L$11,3,FALSE)</f>
        <v/>
      </c>
      <c r="I155" s="25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7">
        <f>IF(E155="",0,(AnalysisStart-E155)/365.25)</f>
        <v/>
      </c>
      <c r="N155" s="5">
        <f>IFERROR(IF(I155="LeaseUp",H155*D155*(1+GrowthMarketRent)^0*IF(0=0,(12-DowntimeNew)/12,1),IF(F155="",0,IF(F155&gt;=DATE(2027+0,4,30),G155*D155*(1+EscalatorInLease)^0,IF(F155&lt;DATE(2026+0,5,1),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,((F155-DATE(2026+0,5,1))/365.25)*G155*D155*(1+EscalatorInLease)^0+((DATE(2027+0,4,30)-F155)/365.25)*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)))),0)</f>
        <v/>
      </c>
      <c r="O155" s="5">
        <f>IFERROR(IF(I155="LeaseUp",H155*D155*(1+GrowthMarketRent)^1*IF(1=0,(12-DowntimeNew)/12,1),IF(F155="",0,IF(F155&gt;=DATE(2027+1,4,30),G155*D155*(1+EscalatorInLease)^1,IF(F155&lt;DATE(2026+1,5,1),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,((F155-DATE(2026+1,5,1))/365.25)*G155*D155*(1+EscalatorInLease)^1+((DATE(2027+1,4,30)-F155)/365.25)*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)))),0)</f>
        <v/>
      </c>
      <c r="P155" s="5">
        <f>IFERROR(IF(I155="LeaseUp",H155*D155*(1+GrowthMarketRent)^2*IF(2=0,(12-DowntimeNew)/12,1),IF(F155="",0,IF(F155&gt;=DATE(2027+2,4,30),G155*D155*(1+EscalatorInLease)^2,IF(F155&lt;DATE(2026+2,5,1),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,((F155-DATE(2026+2,5,1))/365.25)*G155*D155*(1+EscalatorInLease)^2+((DATE(2027+2,4,30)-F155)/365.25)*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)))),0)</f>
        <v/>
      </c>
      <c r="Q155" s="5">
        <f>IFERROR(IF(I155="LeaseUp",H155*D155*(1+GrowthMarketRent)^3*IF(3=0,(12-DowntimeNew)/12,1),IF(F155="",0,IF(F155&gt;=DATE(2027+3,4,30),G155*D155*(1+EscalatorInLease)^3,IF(F155&lt;DATE(2026+3,5,1),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,((F155-DATE(2026+3,5,1))/365.25)*G155*D155*(1+EscalatorInLease)^3+((DATE(2027+3,4,30)-F155)/365.25)*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)))),0)</f>
        <v/>
      </c>
      <c r="R155" s="5">
        <f>IFERROR(IF(I155="LeaseUp",H155*D155*(1+GrowthMarketRent)^4*IF(4=0,(12-DowntimeNew)/12,1),IF(F155="",0,IF(F155&gt;=DATE(2027+4,4,30),G155*D155*(1+EscalatorInLease)^4,IF(F155&lt;DATE(2026+4,5,1),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,((F155-DATE(2026+4,5,1))/365.25)*G155*D155*(1+EscalatorInLease)^4+((DATE(2027+4,4,30)-F155)/365.25)*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)))),0)</f>
        <v/>
      </c>
      <c r="S155" s="5">
        <f>IFERROR(IF(I155="LeaseUp",H155*D155*(1+GrowthMarketRent)^5*IF(5=0,(12-DowntimeNew)/12,1),IF(F155="",0,IF(F155&gt;=DATE(2027+5,4,30),G155*D155*(1+EscalatorInLease)^5,IF(F155&lt;DATE(2026+5,5,1),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,((F155-DATE(2026+5,5,1))/365.25)*G155*D155*(1+EscalatorInLease)^5+((DATE(2027+5,4,30)-F155)/365.25)*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)))),0)</f>
        <v/>
      </c>
      <c r="T155" s="5">
        <f>IFERROR(IF(I155="LeaseUp",H155*D155*(1+GrowthMarketRent)^6*IF(6=0,(12-DowntimeNew)/12,1),IF(F155="",0,IF(F155&gt;=DATE(2027+6,4,30),G155*D155*(1+EscalatorInLease)^6,IF(F155&lt;DATE(2026+6,5,1),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,((F155-DATE(2026+6,5,1))/365.25)*G155*D155*(1+EscalatorInLease)^6+((DATE(2027+6,4,30)-F155)/365.25)*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)))),0)</f>
        <v/>
      </c>
      <c r="U155" s="5">
        <f>IFERROR(IF(I155="LeaseUp",H155*D155*(1+GrowthMarketRent)^7*IF(7=0,(12-DowntimeNew)/12,1),IF(F155="",0,IF(F155&gt;=DATE(2027+7,4,30),G155*D155*(1+EscalatorInLease)^7,IF(F155&lt;DATE(2026+7,5,1),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,((F155-DATE(2026+7,5,1))/365.25)*G155*D155*(1+EscalatorInLease)^7+((DATE(2027+7,4,30)-F155)/365.25)*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)))),0)</f>
        <v/>
      </c>
      <c r="V155" s="5">
        <f>IFERROR(IF(I155="LeaseUp",H155*D155*(1+GrowthMarketRent)^8*IF(8=0,(12-DowntimeNew)/12,1),IF(F155="",0,IF(F155&gt;=DATE(2027+8,4,30),G155*D155*(1+EscalatorInLease)^8,IF(F155&lt;DATE(2026+8,5,1),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,((F155-DATE(2026+8,5,1))/365.25)*G155*D155*(1+EscalatorInLease)^8+((DATE(2027+8,4,30)-F155)/365.25)*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)))),0)</f>
        <v/>
      </c>
      <c r="W155" s="5">
        <f>IFERROR(IF(I155="LeaseUp",H155*D155*(1+GrowthMarketRent)^9*IF(9=0,(12-DowntimeNew)/12,1),IF(F155="",0,IF(F155&gt;=DATE(2027+9,4,30),G155*D155*(1+EscalatorInLease)^9,IF(F155&lt;DATE(2026+9,5,1),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,((F155-DATE(2026+9,5,1))/365.25)*G155*D155*(1+EscalatorInLease)^9+((DATE(2027+9,4,30)-F155)/365.25)*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)))),0)</f>
        <v/>
      </c>
      <c r="X155" s="5">
        <f>IFERROR(IF(I155="LeaseUp",H155*D155*(1+GrowthMarketRent)^10*IF(10=0,(12-DowntimeNew)/12,1),IF(F155="",0,IF(F155&gt;=DATE(2027+10,4,30),G155*D155*(1+EscalatorInLease)^10,IF(F155&lt;DATE(2026+10,5,1),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,((F155-DATE(2026+10,5,1))/365.25)*G155*D155*(1+EscalatorInLease)^10+((DATE(2027+10,4,30)-F155)/365.25)*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)))),0)</f>
        <v/>
      </c>
      <c r="Y155" s="5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5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5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5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5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5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5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5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5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5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5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9" t="n">
        <v>2600</v>
      </c>
      <c r="E156" s="40" t="n">
        <v>44958</v>
      </c>
      <c r="F156" s="40" t="n">
        <v>46204</v>
      </c>
      <c r="G156" s="41" t="n">
        <v>15.615</v>
      </c>
      <c r="H156" s="10">
        <f>VLOOKUP(A156,MLA!$A$5:$L$11,3,FALSE)</f>
        <v/>
      </c>
      <c r="I156" s="25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7">
        <f>IF(E156="",0,(AnalysisStart-E156)/365.25)</f>
        <v/>
      </c>
      <c r="N156" s="5">
        <f>IFERROR(IF(I156="LeaseUp",H156*D156*(1+GrowthMarketRent)^0*IF(0=0,(12-DowntimeNew)/12,1),IF(F156="",0,IF(F156&gt;=DATE(2027+0,4,30),G156*D156*(1+EscalatorInLease)^0,IF(F156&lt;DATE(2026+0,5,1),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,((F156-DATE(2026+0,5,1))/365.25)*G156*D156*(1+EscalatorInLease)^0+((DATE(2027+0,4,30)-F156)/365.25)*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)))),0)</f>
        <v/>
      </c>
      <c r="O156" s="5">
        <f>IFERROR(IF(I156="LeaseUp",H156*D156*(1+GrowthMarketRent)^1*IF(1=0,(12-DowntimeNew)/12,1),IF(F156="",0,IF(F156&gt;=DATE(2027+1,4,30),G156*D156*(1+EscalatorInLease)^1,IF(F156&lt;DATE(2026+1,5,1),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,((F156-DATE(2026+1,5,1))/365.25)*G156*D156*(1+EscalatorInLease)^1+((DATE(2027+1,4,30)-F156)/365.25)*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)))),0)</f>
        <v/>
      </c>
      <c r="P156" s="5">
        <f>IFERROR(IF(I156="LeaseUp",H156*D156*(1+GrowthMarketRent)^2*IF(2=0,(12-DowntimeNew)/12,1),IF(F156="",0,IF(F156&gt;=DATE(2027+2,4,30),G156*D156*(1+EscalatorInLease)^2,IF(F156&lt;DATE(2026+2,5,1),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,((F156-DATE(2026+2,5,1))/365.25)*G156*D156*(1+EscalatorInLease)^2+((DATE(2027+2,4,30)-F156)/365.25)*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)))),0)</f>
        <v/>
      </c>
      <c r="Q156" s="5">
        <f>IFERROR(IF(I156="LeaseUp",H156*D156*(1+GrowthMarketRent)^3*IF(3=0,(12-DowntimeNew)/12,1),IF(F156="",0,IF(F156&gt;=DATE(2027+3,4,30),G156*D156*(1+EscalatorInLease)^3,IF(F156&lt;DATE(2026+3,5,1),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,((F156-DATE(2026+3,5,1))/365.25)*G156*D156*(1+EscalatorInLease)^3+((DATE(2027+3,4,30)-F156)/365.25)*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)))),0)</f>
        <v/>
      </c>
      <c r="R156" s="5">
        <f>IFERROR(IF(I156="LeaseUp",H156*D156*(1+GrowthMarketRent)^4*IF(4=0,(12-DowntimeNew)/12,1),IF(F156="",0,IF(F156&gt;=DATE(2027+4,4,30),G156*D156*(1+EscalatorInLease)^4,IF(F156&lt;DATE(2026+4,5,1),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,((F156-DATE(2026+4,5,1))/365.25)*G156*D156*(1+EscalatorInLease)^4+((DATE(2027+4,4,30)-F156)/365.25)*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)))),0)</f>
        <v/>
      </c>
      <c r="S156" s="5">
        <f>IFERROR(IF(I156="LeaseUp",H156*D156*(1+GrowthMarketRent)^5*IF(5=0,(12-DowntimeNew)/12,1),IF(F156="",0,IF(F156&gt;=DATE(2027+5,4,30),G156*D156*(1+EscalatorInLease)^5,IF(F156&lt;DATE(2026+5,5,1),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,((F156-DATE(2026+5,5,1))/365.25)*G156*D156*(1+EscalatorInLease)^5+((DATE(2027+5,4,30)-F156)/365.25)*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)))),0)</f>
        <v/>
      </c>
      <c r="T156" s="5">
        <f>IFERROR(IF(I156="LeaseUp",H156*D156*(1+GrowthMarketRent)^6*IF(6=0,(12-DowntimeNew)/12,1),IF(F156="",0,IF(F156&gt;=DATE(2027+6,4,30),G156*D156*(1+EscalatorInLease)^6,IF(F156&lt;DATE(2026+6,5,1),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,((F156-DATE(2026+6,5,1))/365.25)*G156*D156*(1+EscalatorInLease)^6+((DATE(2027+6,4,30)-F156)/365.25)*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)))),0)</f>
        <v/>
      </c>
      <c r="U156" s="5">
        <f>IFERROR(IF(I156="LeaseUp",H156*D156*(1+GrowthMarketRent)^7*IF(7=0,(12-DowntimeNew)/12,1),IF(F156="",0,IF(F156&gt;=DATE(2027+7,4,30),G156*D156*(1+EscalatorInLease)^7,IF(F156&lt;DATE(2026+7,5,1),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,((F156-DATE(2026+7,5,1))/365.25)*G156*D156*(1+EscalatorInLease)^7+((DATE(2027+7,4,30)-F156)/365.25)*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)))),0)</f>
        <v/>
      </c>
      <c r="V156" s="5">
        <f>IFERROR(IF(I156="LeaseUp",H156*D156*(1+GrowthMarketRent)^8*IF(8=0,(12-DowntimeNew)/12,1),IF(F156="",0,IF(F156&gt;=DATE(2027+8,4,30),G156*D156*(1+EscalatorInLease)^8,IF(F156&lt;DATE(2026+8,5,1),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,((F156-DATE(2026+8,5,1))/365.25)*G156*D156*(1+EscalatorInLease)^8+((DATE(2027+8,4,30)-F156)/365.25)*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)))),0)</f>
        <v/>
      </c>
      <c r="W156" s="5">
        <f>IFERROR(IF(I156="LeaseUp",H156*D156*(1+GrowthMarketRent)^9*IF(9=0,(12-DowntimeNew)/12,1),IF(F156="",0,IF(F156&gt;=DATE(2027+9,4,30),G156*D156*(1+EscalatorInLease)^9,IF(F156&lt;DATE(2026+9,5,1),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,((F156-DATE(2026+9,5,1))/365.25)*G156*D156*(1+EscalatorInLease)^9+((DATE(2027+9,4,30)-F156)/365.25)*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)))),0)</f>
        <v/>
      </c>
      <c r="X156" s="5">
        <f>IFERROR(IF(I156="LeaseUp",H156*D156*(1+GrowthMarketRent)^10*IF(10=0,(12-DowntimeNew)/12,1),IF(F156="",0,IF(F156&gt;=DATE(2027+10,4,30),G156*D156*(1+EscalatorInLease)^10,IF(F156&lt;DATE(2026+10,5,1),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,((F156-DATE(2026+10,5,1))/365.25)*G156*D156*(1+EscalatorInLease)^10+((DATE(2027+10,4,30)-F156)/365.25)*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)))),0)</f>
        <v/>
      </c>
      <c r="Y156" s="5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5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5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5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5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5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5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5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5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5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5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9" t="n">
        <v>2600</v>
      </c>
      <c r="E157" s="40" t="n">
        <v>45992</v>
      </c>
      <c r="F157" s="40" t="n">
        <v>47270</v>
      </c>
      <c r="G157" s="41" t="n">
        <v>19</v>
      </c>
      <c r="H157" s="10">
        <f>VLOOKUP(A157,MLA!$A$5:$L$11,3,FALSE)</f>
        <v/>
      </c>
      <c r="I157" s="25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7">
        <f>IF(E157="",0,(AnalysisStart-E157)/365.25)</f>
        <v/>
      </c>
      <c r="N157" s="5">
        <f>IFERROR(IF(I157="LeaseUp",H157*D157*(1+GrowthMarketRent)^0*IF(0=0,(12-DowntimeNew)/12,1),IF(F157="",0,IF(F157&gt;=DATE(2027+0,4,30),G157*D157*(1+EscalatorInLease)^0,IF(F157&lt;DATE(2026+0,5,1),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,((F157-DATE(2026+0,5,1))/365.25)*G157*D157*(1+EscalatorInLease)^0+((DATE(2027+0,4,30)-F157)/365.25)*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)))),0)</f>
        <v/>
      </c>
      <c r="O157" s="5">
        <f>IFERROR(IF(I157="LeaseUp",H157*D157*(1+GrowthMarketRent)^1*IF(1=0,(12-DowntimeNew)/12,1),IF(F157="",0,IF(F157&gt;=DATE(2027+1,4,30),G157*D157*(1+EscalatorInLease)^1,IF(F157&lt;DATE(2026+1,5,1),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,((F157-DATE(2026+1,5,1))/365.25)*G157*D157*(1+EscalatorInLease)^1+((DATE(2027+1,4,30)-F157)/365.25)*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)))),0)</f>
        <v/>
      </c>
      <c r="P157" s="5">
        <f>IFERROR(IF(I157="LeaseUp",H157*D157*(1+GrowthMarketRent)^2*IF(2=0,(12-DowntimeNew)/12,1),IF(F157="",0,IF(F157&gt;=DATE(2027+2,4,30),G157*D157*(1+EscalatorInLease)^2,IF(F157&lt;DATE(2026+2,5,1),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,((F157-DATE(2026+2,5,1))/365.25)*G157*D157*(1+EscalatorInLease)^2+((DATE(2027+2,4,30)-F157)/365.25)*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)))),0)</f>
        <v/>
      </c>
      <c r="Q157" s="5">
        <f>IFERROR(IF(I157="LeaseUp",H157*D157*(1+GrowthMarketRent)^3*IF(3=0,(12-DowntimeNew)/12,1),IF(F157="",0,IF(F157&gt;=DATE(2027+3,4,30),G157*D157*(1+EscalatorInLease)^3,IF(F157&lt;DATE(2026+3,5,1),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,((F157-DATE(2026+3,5,1))/365.25)*G157*D157*(1+EscalatorInLease)^3+((DATE(2027+3,4,30)-F157)/365.25)*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)))),0)</f>
        <v/>
      </c>
      <c r="R157" s="5">
        <f>IFERROR(IF(I157="LeaseUp",H157*D157*(1+GrowthMarketRent)^4*IF(4=0,(12-DowntimeNew)/12,1),IF(F157="",0,IF(F157&gt;=DATE(2027+4,4,30),G157*D157*(1+EscalatorInLease)^4,IF(F157&lt;DATE(2026+4,5,1),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,((F157-DATE(2026+4,5,1))/365.25)*G157*D157*(1+EscalatorInLease)^4+((DATE(2027+4,4,30)-F157)/365.25)*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)))),0)</f>
        <v/>
      </c>
      <c r="S157" s="5">
        <f>IFERROR(IF(I157="LeaseUp",H157*D157*(1+GrowthMarketRent)^5*IF(5=0,(12-DowntimeNew)/12,1),IF(F157="",0,IF(F157&gt;=DATE(2027+5,4,30),G157*D157*(1+EscalatorInLease)^5,IF(F157&lt;DATE(2026+5,5,1),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,((F157-DATE(2026+5,5,1))/365.25)*G157*D157*(1+EscalatorInLease)^5+((DATE(2027+5,4,30)-F157)/365.25)*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)))),0)</f>
        <v/>
      </c>
      <c r="T157" s="5">
        <f>IFERROR(IF(I157="LeaseUp",H157*D157*(1+GrowthMarketRent)^6*IF(6=0,(12-DowntimeNew)/12,1),IF(F157="",0,IF(F157&gt;=DATE(2027+6,4,30),G157*D157*(1+EscalatorInLease)^6,IF(F157&lt;DATE(2026+6,5,1),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,((F157-DATE(2026+6,5,1))/365.25)*G157*D157*(1+EscalatorInLease)^6+((DATE(2027+6,4,30)-F157)/365.25)*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)))),0)</f>
        <v/>
      </c>
      <c r="U157" s="5">
        <f>IFERROR(IF(I157="LeaseUp",H157*D157*(1+GrowthMarketRent)^7*IF(7=0,(12-DowntimeNew)/12,1),IF(F157="",0,IF(F157&gt;=DATE(2027+7,4,30),G157*D157*(1+EscalatorInLease)^7,IF(F157&lt;DATE(2026+7,5,1),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,((F157-DATE(2026+7,5,1))/365.25)*G157*D157*(1+EscalatorInLease)^7+((DATE(2027+7,4,30)-F157)/365.25)*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)))),0)</f>
        <v/>
      </c>
      <c r="V157" s="5">
        <f>IFERROR(IF(I157="LeaseUp",H157*D157*(1+GrowthMarketRent)^8*IF(8=0,(12-DowntimeNew)/12,1),IF(F157="",0,IF(F157&gt;=DATE(2027+8,4,30),G157*D157*(1+EscalatorInLease)^8,IF(F157&lt;DATE(2026+8,5,1),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,((F157-DATE(2026+8,5,1))/365.25)*G157*D157*(1+EscalatorInLease)^8+((DATE(2027+8,4,30)-F157)/365.25)*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)))),0)</f>
        <v/>
      </c>
      <c r="W157" s="5">
        <f>IFERROR(IF(I157="LeaseUp",H157*D157*(1+GrowthMarketRent)^9*IF(9=0,(12-DowntimeNew)/12,1),IF(F157="",0,IF(F157&gt;=DATE(2027+9,4,30),G157*D157*(1+EscalatorInLease)^9,IF(F157&lt;DATE(2026+9,5,1),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,((F157-DATE(2026+9,5,1))/365.25)*G157*D157*(1+EscalatorInLease)^9+((DATE(2027+9,4,30)-F157)/365.25)*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)))),0)</f>
        <v/>
      </c>
      <c r="X157" s="5">
        <f>IFERROR(IF(I157="LeaseUp",H157*D157*(1+GrowthMarketRent)^10*IF(10=0,(12-DowntimeNew)/12,1),IF(F157="",0,IF(F157&gt;=DATE(2027+10,4,30),G157*D157*(1+EscalatorInLease)^10,IF(F157&lt;DATE(2026+10,5,1),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,((F157-DATE(2026+10,5,1))/365.25)*G157*D157*(1+EscalatorInLease)^10+((DATE(2027+10,4,30)-F157)/365.25)*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)))),0)</f>
        <v/>
      </c>
      <c r="Y157" s="5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5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5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5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5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5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5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5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5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5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5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9" t="n">
        <v>2600</v>
      </c>
      <c r="E158" s="40" t="n">
        <v>44958</v>
      </c>
      <c r="F158" s="40" t="n">
        <v>46204</v>
      </c>
      <c r="G158" s="41" t="n">
        <v>15.0765384615385</v>
      </c>
      <c r="H158" s="10">
        <f>VLOOKUP(A158,MLA!$A$5:$L$11,3,FALSE)</f>
        <v/>
      </c>
      <c r="I158" s="25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7">
        <f>IF(E158="",0,(AnalysisStart-E158)/365.25)</f>
        <v/>
      </c>
      <c r="N158" s="5">
        <f>IFERROR(IF(I158="LeaseUp",H158*D158*(1+GrowthMarketRent)^0*IF(0=0,(12-DowntimeNew)/12,1),IF(F158="",0,IF(F158&gt;=DATE(2027+0,4,30),G158*D158*(1+EscalatorInLease)^0,IF(F158&lt;DATE(2026+0,5,1),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,((F158-DATE(2026+0,5,1))/365.25)*G158*D158*(1+EscalatorInLease)^0+((DATE(2027+0,4,30)-F158)/365.25)*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)))),0)</f>
        <v/>
      </c>
      <c r="O158" s="5">
        <f>IFERROR(IF(I158="LeaseUp",H158*D158*(1+GrowthMarketRent)^1*IF(1=0,(12-DowntimeNew)/12,1),IF(F158="",0,IF(F158&gt;=DATE(2027+1,4,30),G158*D158*(1+EscalatorInLease)^1,IF(F158&lt;DATE(2026+1,5,1),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,((F158-DATE(2026+1,5,1))/365.25)*G158*D158*(1+EscalatorInLease)^1+((DATE(2027+1,4,30)-F158)/365.25)*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)))),0)</f>
        <v/>
      </c>
      <c r="P158" s="5">
        <f>IFERROR(IF(I158="LeaseUp",H158*D158*(1+GrowthMarketRent)^2*IF(2=0,(12-DowntimeNew)/12,1),IF(F158="",0,IF(F158&gt;=DATE(2027+2,4,30),G158*D158*(1+EscalatorInLease)^2,IF(F158&lt;DATE(2026+2,5,1),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,((F158-DATE(2026+2,5,1))/365.25)*G158*D158*(1+EscalatorInLease)^2+((DATE(2027+2,4,30)-F158)/365.25)*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)))),0)</f>
        <v/>
      </c>
      <c r="Q158" s="5">
        <f>IFERROR(IF(I158="LeaseUp",H158*D158*(1+GrowthMarketRent)^3*IF(3=0,(12-DowntimeNew)/12,1),IF(F158="",0,IF(F158&gt;=DATE(2027+3,4,30),G158*D158*(1+EscalatorInLease)^3,IF(F158&lt;DATE(2026+3,5,1),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,((F158-DATE(2026+3,5,1))/365.25)*G158*D158*(1+EscalatorInLease)^3+((DATE(2027+3,4,30)-F158)/365.25)*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)))),0)</f>
        <v/>
      </c>
      <c r="R158" s="5">
        <f>IFERROR(IF(I158="LeaseUp",H158*D158*(1+GrowthMarketRent)^4*IF(4=0,(12-DowntimeNew)/12,1),IF(F158="",0,IF(F158&gt;=DATE(2027+4,4,30),G158*D158*(1+EscalatorInLease)^4,IF(F158&lt;DATE(2026+4,5,1),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,((F158-DATE(2026+4,5,1))/365.25)*G158*D158*(1+EscalatorInLease)^4+((DATE(2027+4,4,30)-F158)/365.25)*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)))),0)</f>
        <v/>
      </c>
      <c r="S158" s="5">
        <f>IFERROR(IF(I158="LeaseUp",H158*D158*(1+GrowthMarketRent)^5*IF(5=0,(12-DowntimeNew)/12,1),IF(F158="",0,IF(F158&gt;=DATE(2027+5,4,30),G158*D158*(1+EscalatorInLease)^5,IF(F158&lt;DATE(2026+5,5,1),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,((F158-DATE(2026+5,5,1))/365.25)*G158*D158*(1+EscalatorInLease)^5+((DATE(2027+5,4,30)-F158)/365.25)*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)))),0)</f>
        <v/>
      </c>
      <c r="T158" s="5">
        <f>IFERROR(IF(I158="LeaseUp",H158*D158*(1+GrowthMarketRent)^6*IF(6=0,(12-DowntimeNew)/12,1),IF(F158="",0,IF(F158&gt;=DATE(2027+6,4,30),G158*D158*(1+EscalatorInLease)^6,IF(F158&lt;DATE(2026+6,5,1),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,((F158-DATE(2026+6,5,1))/365.25)*G158*D158*(1+EscalatorInLease)^6+((DATE(2027+6,4,30)-F158)/365.25)*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)))),0)</f>
        <v/>
      </c>
      <c r="U158" s="5">
        <f>IFERROR(IF(I158="LeaseUp",H158*D158*(1+GrowthMarketRent)^7*IF(7=0,(12-DowntimeNew)/12,1),IF(F158="",0,IF(F158&gt;=DATE(2027+7,4,30),G158*D158*(1+EscalatorInLease)^7,IF(F158&lt;DATE(2026+7,5,1),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,((F158-DATE(2026+7,5,1))/365.25)*G158*D158*(1+EscalatorInLease)^7+((DATE(2027+7,4,30)-F158)/365.25)*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)))),0)</f>
        <v/>
      </c>
      <c r="V158" s="5">
        <f>IFERROR(IF(I158="LeaseUp",H158*D158*(1+GrowthMarketRent)^8*IF(8=0,(12-DowntimeNew)/12,1),IF(F158="",0,IF(F158&gt;=DATE(2027+8,4,30),G158*D158*(1+EscalatorInLease)^8,IF(F158&lt;DATE(2026+8,5,1),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,((F158-DATE(2026+8,5,1))/365.25)*G158*D158*(1+EscalatorInLease)^8+((DATE(2027+8,4,30)-F158)/365.25)*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)))),0)</f>
        <v/>
      </c>
      <c r="W158" s="5">
        <f>IFERROR(IF(I158="LeaseUp",H158*D158*(1+GrowthMarketRent)^9*IF(9=0,(12-DowntimeNew)/12,1),IF(F158="",0,IF(F158&gt;=DATE(2027+9,4,30),G158*D158*(1+EscalatorInLease)^9,IF(F158&lt;DATE(2026+9,5,1),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,((F158-DATE(2026+9,5,1))/365.25)*G158*D158*(1+EscalatorInLease)^9+((DATE(2027+9,4,30)-F158)/365.25)*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)))),0)</f>
        <v/>
      </c>
      <c r="X158" s="5">
        <f>IFERROR(IF(I158="LeaseUp",H158*D158*(1+GrowthMarketRent)^10*IF(10=0,(12-DowntimeNew)/12,1),IF(F158="",0,IF(F158&gt;=DATE(2027+10,4,30),G158*D158*(1+EscalatorInLease)^10,IF(F158&lt;DATE(2026+10,5,1),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,((F158-DATE(2026+10,5,1))/365.25)*G158*D158*(1+EscalatorInLease)^10+((DATE(2027+10,4,30)-F158)/365.25)*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)))),0)</f>
        <v/>
      </c>
      <c r="Y158" s="5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5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5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5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5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5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5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5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5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5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5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9" t="n">
        <v>3450</v>
      </c>
      <c r="E159" s="40" t="n">
        <v>45108</v>
      </c>
      <c r="F159" s="40" t="n">
        <v>46357</v>
      </c>
      <c r="G159" s="41" t="n">
        <v>17.3353623188406</v>
      </c>
      <c r="H159" s="10">
        <f>VLOOKUP(A159,MLA!$A$5:$L$11,3,FALSE)</f>
        <v/>
      </c>
      <c r="I159" s="25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7">
        <f>IF(E159="",0,(AnalysisStart-E159)/365.25)</f>
        <v/>
      </c>
      <c r="N159" s="5">
        <f>IFERROR(IF(I159="LeaseUp",H159*D159*(1+GrowthMarketRent)^0*IF(0=0,(12-DowntimeNew)/12,1),IF(F159="",0,IF(F159&gt;=DATE(2027+0,4,30),G159*D159*(1+EscalatorInLease)^0,IF(F159&lt;DATE(2026+0,5,1),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,((F159-DATE(2026+0,5,1))/365.25)*G159*D159*(1+EscalatorInLease)^0+((DATE(2027+0,4,30)-F159)/365.25)*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)))),0)</f>
        <v/>
      </c>
      <c r="O159" s="5">
        <f>IFERROR(IF(I159="LeaseUp",H159*D159*(1+GrowthMarketRent)^1*IF(1=0,(12-DowntimeNew)/12,1),IF(F159="",0,IF(F159&gt;=DATE(2027+1,4,30),G159*D159*(1+EscalatorInLease)^1,IF(F159&lt;DATE(2026+1,5,1),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,((F159-DATE(2026+1,5,1))/365.25)*G159*D159*(1+EscalatorInLease)^1+((DATE(2027+1,4,30)-F159)/365.25)*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)))),0)</f>
        <v/>
      </c>
      <c r="P159" s="5">
        <f>IFERROR(IF(I159="LeaseUp",H159*D159*(1+GrowthMarketRent)^2*IF(2=0,(12-DowntimeNew)/12,1),IF(F159="",0,IF(F159&gt;=DATE(2027+2,4,30),G159*D159*(1+EscalatorInLease)^2,IF(F159&lt;DATE(2026+2,5,1),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,((F159-DATE(2026+2,5,1))/365.25)*G159*D159*(1+EscalatorInLease)^2+((DATE(2027+2,4,30)-F159)/365.25)*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)))),0)</f>
        <v/>
      </c>
      <c r="Q159" s="5">
        <f>IFERROR(IF(I159="LeaseUp",H159*D159*(1+GrowthMarketRent)^3*IF(3=0,(12-DowntimeNew)/12,1),IF(F159="",0,IF(F159&gt;=DATE(2027+3,4,30),G159*D159*(1+EscalatorInLease)^3,IF(F159&lt;DATE(2026+3,5,1),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,((F159-DATE(2026+3,5,1))/365.25)*G159*D159*(1+EscalatorInLease)^3+((DATE(2027+3,4,30)-F159)/365.25)*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)))),0)</f>
        <v/>
      </c>
      <c r="R159" s="5">
        <f>IFERROR(IF(I159="LeaseUp",H159*D159*(1+GrowthMarketRent)^4*IF(4=0,(12-DowntimeNew)/12,1),IF(F159="",0,IF(F159&gt;=DATE(2027+4,4,30),G159*D159*(1+EscalatorInLease)^4,IF(F159&lt;DATE(2026+4,5,1),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,((F159-DATE(2026+4,5,1))/365.25)*G159*D159*(1+EscalatorInLease)^4+((DATE(2027+4,4,30)-F159)/365.25)*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)))),0)</f>
        <v/>
      </c>
      <c r="S159" s="5">
        <f>IFERROR(IF(I159="LeaseUp",H159*D159*(1+GrowthMarketRent)^5*IF(5=0,(12-DowntimeNew)/12,1),IF(F159="",0,IF(F159&gt;=DATE(2027+5,4,30),G159*D159*(1+EscalatorInLease)^5,IF(F159&lt;DATE(2026+5,5,1),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,((F159-DATE(2026+5,5,1))/365.25)*G159*D159*(1+EscalatorInLease)^5+((DATE(2027+5,4,30)-F159)/365.25)*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)))),0)</f>
        <v/>
      </c>
      <c r="T159" s="5">
        <f>IFERROR(IF(I159="LeaseUp",H159*D159*(1+GrowthMarketRent)^6*IF(6=0,(12-DowntimeNew)/12,1),IF(F159="",0,IF(F159&gt;=DATE(2027+6,4,30),G159*D159*(1+EscalatorInLease)^6,IF(F159&lt;DATE(2026+6,5,1),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,((F159-DATE(2026+6,5,1))/365.25)*G159*D159*(1+EscalatorInLease)^6+((DATE(2027+6,4,30)-F159)/365.25)*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)))),0)</f>
        <v/>
      </c>
      <c r="U159" s="5">
        <f>IFERROR(IF(I159="LeaseUp",H159*D159*(1+GrowthMarketRent)^7*IF(7=0,(12-DowntimeNew)/12,1),IF(F159="",0,IF(F159&gt;=DATE(2027+7,4,30),G159*D159*(1+EscalatorInLease)^7,IF(F159&lt;DATE(2026+7,5,1),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,((F159-DATE(2026+7,5,1))/365.25)*G159*D159*(1+EscalatorInLease)^7+((DATE(2027+7,4,30)-F159)/365.25)*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)))),0)</f>
        <v/>
      </c>
      <c r="V159" s="5">
        <f>IFERROR(IF(I159="LeaseUp",H159*D159*(1+GrowthMarketRent)^8*IF(8=0,(12-DowntimeNew)/12,1),IF(F159="",0,IF(F159&gt;=DATE(2027+8,4,30),G159*D159*(1+EscalatorInLease)^8,IF(F159&lt;DATE(2026+8,5,1),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,((F159-DATE(2026+8,5,1))/365.25)*G159*D159*(1+EscalatorInLease)^8+((DATE(2027+8,4,30)-F159)/365.25)*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)))),0)</f>
        <v/>
      </c>
      <c r="W159" s="5">
        <f>IFERROR(IF(I159="LeaseUp",H159*D159*(1+GrowthMarketRent)^9*IF(9=0,(12-DowntimeNew)/12,1),IF(F159="",0,IF(F159&gt;=DATE(2027+9,4,30),G159*D159*(1+EscalatorInLease)^9,IF(F159&lt;DATE(2026+9,5,1),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,((F159-DATE(2026+9,5,1))/365.25)*G159*D159*(1+EscalatorInLease)^9+((DATE(2027+9,4,30)-F159)/365.25)*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)))),0)</f>
        <v/>
      </c>
      <c r="X159" s="5">
        <f>IFERROR(IF(I159="LeaseUp",H159*D159*(1+GrowthMarketRent)^10*IF(10=0,(12-DowntimeNew)/12,1),IF(F159="",0,IF(F159&gt;=DATE(2027+10,4,30),G159*D159*(1+EscalatorInLease)^10,IF(F159&lt;DATE(2026+10,5,1),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,((F159-DATE(2026+10,5,1))/365.25)*G159*D159*(1+EscalatorInLease)^10+((DATE(2027+10,4,30)-F159)/365.25)*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)))),0)</f>
        <v/>
      </c>
      <c r="Y159" s="5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5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5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5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5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5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5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5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5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5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5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9" t="n">
        <v>2600</v>
      </c>
      <c r="E160" s="40" t="n">
        <v>44958</v>
      </c>
      <c r="F160" s="40" t="n">
        <v>46204</v>
      </c>
      <c r="G160" s="41" t="n">
        <v>15.615</v>
      </c>
      <c r="H160" s="10">
        <f>VLOOKUP(A160,MLA!$A$5:$L$11,3,FALSE)</f>
        <v/>
      </c>
      <c r="I160" s="25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7">
        <f>IF(E160="",0,(AnalysisStart-E160)/365.25)</f>
        <v/>
      </c>
      <c r="N160" s="5">
        <f>IFERROR(IF(I160="LeaseUp",H160*D160*(1+GrowthMarketRent)^0*IF(0=0,(12-DowntimeNew)/12,1),IF(F160="",0,IF(F160&gt;=DATE(2027+0,4,30),G160*D160*(1+EscalatorInLease)^0,IF(F160&lt;DATE(2026+0,5,1),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,((F160-DATE(2026+0,5,1))/365.25)*G160*D160*(1+EscalatorInLease)^0+((DATE(2027+0,4,30)-F160)/365.25)*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)))),0)</f>
        <v/>
      </c>
      <c r="O160" s="5">
        <f>IFERROR(IF(I160="LeaseUp",H160*D160*(1+GrowthMarketRent)^1*IF(1=0,(12-DowntimeNew)/12,1),IF(F160="",0,IF(F160&gt;=DATE(2027+1,4,30),G160*D160*(1+EscalatorInLease)^1,IF(F160&lt;DATE(2026+1,5,1),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,((F160-DATE(2026+1,5,1))/365.25)*G160*D160*(1+EscalatorInLease)^1+((DATE(2027+1,4,30)-F160)/365.25)*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)))),0)</f>
        <v/>
      </c>
      <c r="P160" s="5">
        <f>IFERROR(IF(I160="LeaseUp",H160*D160*(1+GrowthMarketRent)^2*IF(2=0,(12-DowntimeNew)/12,1),IF(F160="",0,IF(F160&gt;=DATE(2027+2,4,30),G160*D160*(1+EscalatorInLease)^2,IF(F160&lt;DATE(2026+2,5,1),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,((F160-DATE(2026+2,5,1))/365.25)*G160*D160*(1+EscalatorInLease)^2+((DATE(2027+2,4,30)-F160)/365.25)*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)))),0)</f>
        <v/>
      </c>
      <c r="Q160" s="5">
        <f>IFERROR(IF(I160="LeaseUp",H160*D160*(1+GrowthMarketRent)^3*IF(3=0,(12-DowntimeNew)/12,1),IF(F160="",0,IF(F160&gt;=DATE(2027+3,4,30),G160*D160*(1+EscalatorInLease)^3,IF(F160&lt;DATE(2026+3,5,1),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,((F160-DATE(2026+3,5,1))/365.25)*G160*D160*(1+EscalatorInLease)^3+((DATE(2027+3,4,30)-F160)/365.25)*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)))),0)</f>
        <v/>
      </c>
      <c r="R160" s="5">
        <f>IFERROR(IF(I160="LeaseUp",H160*D160*(1+GrowthMarketRent)^4*IF(4=0,(12-DowntimeNew)/12,1),IF(F160="",0,IF(F160&gt;=DATE(2027+4,4,30),G160*D160*(1+EscalatorInLease)^4,IF(F160&lt;DATE(2026+4,5,1),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,((F160-DATE(2026+4,5,1))/365.25)*G160*D160*(1+EscalatorInLease)^4+((DATE(2027+4,4,30)-F160)/365.25)*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)))),0)</f>
        <v/>
      </c>
      <c r="S160" s="5">
        <f>IFERROR(IF(I160="LeaseUp",H160*D160*(1+GrowthMarketRent)^5*IF(5=0,(12-DowntimeNew)/12,1),IF(F160="",0,IF(F160&gt;=DATE(2027+5,4,30),G160*D160*(1+EscalatorInLease)^5,IF(F160&lt;DATE(2026+5,5,1),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,((F160-DATE(2026+5,5,1))/365.25)*G160*D160*(1+EscalatorInLease)^5+((DATE(2027+5,4,30)-F160)/365.25)*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)))),0)</f>
        <v/>
      </c>
      <c r="T160" s="5">
        <f>IFERROR(IF(I160="LeaseUp",H160*D160*(1+GrowthMarketRent)^6*IF(6=0,(12-DowntimeNew)/12,1),IF(F160="",0,IF(F160&gt;=DATE(2027+6,4,30),G160*D160*(1+EscalatorInLease)^6,IF(F160&lt;DATE(2026+6,5,1),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,((F160-DATE(2026+6,5,1))/365.25)*G160*D160*(1+EscalatorInLease)^6+((DATE(2027+6,4,30)-F160)/365.25)*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)))),0)</f>
        <v/>
      </c>
      <c r="U160" s="5">
        <f>IFERROR(IF(I160="LeaseUp",H160*D160*(1+GrowthMarketRent)^7*IF(7=0,(12-DowntimeNew)/12,1),IF(F160="",0,IF(F160&gt;=DATE(2027+7,4,30),G160*D160*(1+EscalatorInLease)^7,IF(F160&lt;DATE(2026+7,5,1),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,((F160-DATE(2026+7,5,1))/365.25)*G160*D160*(1+EscalatorInLease)^7+((DATE(2027+7,4,30)-F160)/365.25)*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)))),0)</f>
        <v/>
      </c>
      <c r="V160" s="5">
        <f>IFERROR(IF(I160="LeaseUp",H160*D160*(1+GrowthMarketRent)^8*IF(8=0,(12-DowntimeNew)/12,1),IF(F160="",0,IF(F160&gt;=DATE(2027+8,4,30),G160*D160*(1+EscalatorInLease)^8,IF(F160&lt;DATE(2026+8,5,1),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,((F160-DATE(2026+8,5,1))/365.25)*G160*D160*(1+EscalatorInLease)^8+((DATE(2027+8,4,30)-F160)/365.25)*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)))),0)</f>
        <v/>
      </c>
      <c r="W160" s="5">
        <f>IFERROR(IF(I160="LeaseUp",H160*D160*(1+GrowthMarketRent)^9*IF(9=0,(12-DowntimeNew)/12,1),IF(F160="",0,IF(F160&gt;=DATE(2027+9,4,30),G160*D160*(1+EscalatorInLease)^9,IF(F160&lt;DATE(2026+9,5,1),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,((F160-DATE(2026+9,5,1))/365.25)*G160*D160*(1+EscalatorInLease)^9+((DATE(2027+9,4,30)-F160)/365.25)*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)))),0)</f>
        <v/>
      </c>
      <c r="X160" s="5">
        <f>IFERROR(IF(I160="LeaseUp",H160*D160*(1+GrowthMarketRent)^10*IF(10=0,(12-DowntimeNew)/12,1),IF(F160="",0,IF(F160&gt;=DATE(2027+10,4,30),G160*D160*(1+EscalatorInLease)^10,IF(F160&lt;DATE(2026+10,5,1),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,((F160-DATE(2026+10,5,1))/365.25)*G160*D160*(1+EscalatorInLease)^10+((DATE(2027+10,4,30)-F160)/365.25)*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)))),0)</f>
        <v/>
      </c>
      <c r="Y160" s="5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5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5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5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5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5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5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5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5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5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5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9" t="n">
        <v>2600</v>
      </c>
      <c r="E161" s="40" t="n">
        <v>45352</v>
      </c>
      <c r="F161" s="40" t="n">
        <v>46600</v>
      </c>
      <c r="G161" s="41" t="n">
        <v>17.3353846153846</v>
      </c>
      <c r="H161" s="10">
        <f>VLOOKUP(A161,MLA!$A$5:$L$11,3,FALSE)</f>
        <v/>
      </c>
      <c r="I161" s="25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7">
        <f>IF(E161="",0,(AnalysisStart-E161)/365.25)</f>
        <v/>
      </c>
      <c r="N161" s="5">
        <f>IFERROR(IF(I161="LeaseUp",H161*D161*(1+GrowthMarketRent)^0*IF(0=0,(12-DowntimeNew)/12,1),IF(F161="",0,IF(F161&gt;=DATE(2027+0,4,30),G161*D161*(1+EscalatorInLease)^0,IF(F161&lt;DATE(2026+0,5,1),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,((F161-DATE(2026+0,5,1))/365.25)*G161*D161*(1+EscalatorInLease)^0+((DATE(2027+0,4,30)-F161)/365.25)*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)))),0)</f>
        <v/>
      </c>
      <c r="O161" s="5">
        <f>IFERROR(IF(I161="LeaseUp",H161*D161*(1+GrowthMarketRent)^1*IF(1=0,(12-DowntimeNew)/12,1),IF(F161="",0,IF(F161&gt;=DATE(2027+1,4,30),G161*D161*(1+EscalatorInLease)^1,IF(F161&lt;DATE(2026+1,5,1),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,((F161-DATE(2026+1,5,1))/365.25)*G161*D161*(1+EscalatorInLease)^1+((DATE(2027+1,4,30)-F161)/365.25)*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)))),0)</f>
        <v/>
      </c>
      <c r="P161" s="5">
        <f>IFERROR(IF(I161="LeaseUp",H161*D161*(1+GrowthMarketRent)^2*IF(2=0,(12-DowntimeNew)/12,1),IF(F161="",0,IF(F161&gt;=DATE(2027+2,4,30),G161*D161*(1+EscalatorInLease)^2,IF(F161&lt;DATE(2026+2,5,1),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,((F161-DATE(2026+2,5,1))/365.25)*G161*D161*(1+EscalatorInLease)^2+((DATE(2027+2,4,30)-F161)/365.25)*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)))),0)</f>
        <v/>
      </c>
      <c r="Q161" s="5">
        <f>IFERROR(IF(I161="LeaseUp",H161*D161*(1+GrowthMarketRent)^3*IF(3=0,(12-DowntimeNew)/12,1),IF(F161="",0,IF(F161&gt;=DATE(2027+3,4,30),G161*D161*(1+EscalatorInLease)^3,IF(F161&lt;DATE(2026+3,5,1),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,((F161-DATE(2026+3,5,1))/365.25)*G161*D161*(1+EscalatorInLease)^3+((DATE(2027+3,4,30)-F161)/365.25)*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)))),0)</f>
        <v/>
      </c>
      <c r="R161" s="5">
        <f>IFERROR(IF(I161="LeaseUp",H161*D161*(1+GrowthMarketRent)^4*IF(4=0,(12-DowntimeNew)/12,1),IF(F161="",0,IF(F161&gt;=DATE(2027+4,4,30),G161*D161*(1+EscalatorInLease)^4,IF(F161&lt;DATE(2026+4,5,1),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,((F161-DATE(2026+4,5,1))/365.25)*G161*D161*(1+EscalatorInLease)^4+((DATE(2027+4,4,30)-F161)/365.25)*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)))),0)</f>
        <v/>
      </c>
      <c r="S161" s="5">
        <f>IFERROR(IF(I161="LeaseUp",H161*D161*(1+GrowthMarketRent)^5*IF(5=0,(12-DowntimeNew)/12,1),IF(F161="",0,IF(F161&gt;=DATE(2027+5,4,30),G161*D161*(1+EscalatorInLease)^5,IF(F161&lt;DATE(2026+5,5,1),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,((F161-DATE(2026+5,5,1))/365.25)*G161*D161*(1+EscalatorInLease)^5+((DATE(2027+5,4,30)-F161)/365.25)*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)))),0)</f>
        <v/>
      </c>
      <c r="T161" s="5">
        <f>IFERROR(IF(I161="LeaseUp",H161*D161*(1+GrowthMarketRent)^6*IF(6=0,(12-DowntimeNew)/12,1),IF(F161="",0,IF(F161&gt;=DATE(2027+6,4,30),G161*D161*(1+EscalatorInLease)^6,IF(F161&lt;DATE(2026+6,5,1),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,((F161-DATE(2026+6,5,1))/365.25)*G161*D161*(1+EscalatorInLease)^6+((DATE(2027+6,4,30)-F161)/365.25)*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)))),0)</f>
        <v/>
      </c>
      <c r="U161" s="5">
        <f>IFERROR(IF(I161="LeaseUp",H161*D161*(1+GrowthMarketRent)^7*IF(7=0,(12-DowntimeNew)/12,1),IF(F161="",0,IF(F161&gt;=DATE(2027+7,4,30),G161*D161*(1+EscalatorInLease)^7,IF(F161&lt;DATE(2026+7,5,1),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,((F161-DATE(2026+7,5,1))/365.25)*G161*D161*(1+EscalatorInLease)^7+((DATE(2027+7,4,30)-F161)/365.25)*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)))),0)</f>
        <v/>
      </c>
      <c r="V161" s="5">
        <f>IFERROR(IF(I161="LeaseUp",H161*D161*(1+GrowthMarketRent)^8*IF(8=0,(12-DowntimeNew)/12,1),IF(F161="",0,IF(F161&gt;=DATE(2027+8,4,30),G161*D161*(1+EscalatorInLease)^8,IF(F161&lt;DATE(2026+8,5,1),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,((F161-DATE(2026+8,5,1))/365.25)*G161*D161*(1+EscalatorInLease)^8+((DATE(2027+8,4,30)-F161)/365.25)*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)))),0)</f>
        <v/>
      </c>
      <c r="W161" s="5">
        <f>IFERROR(IF(I161="LeaseUp",H161*D161*(1+GrowthMarketRent)^9*IF(9=0,(12-DowntimeNew)/12,1),IF(F161="",0,IF(F161&gt;=DATE(2027+9,4,30),G161*D161*(1+EscalatorInLease)^9,IF(F161&lt;DATE(2026+9,5,1),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,((F161-DATE(2026+9,5,1))/365.25)*G161*D161*(1+EscalatorInLease)^9+((DATE(2027+9,4,30)-F161)/365.25)*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)))),0)</f>
        <v/>
      </c>
      <c r="X161" s="5">
        <f>IFERROR(IF(I161="LeaseUp",H161*D161*(1+GrowthMarketRent)^10*IF(10=0,(12-DowntimeNew)/12,1),IF(F161="",0,IF(F161&gt;=DATE(2027+10,4,30),G161*D161*(1+EscalatorInLease)^10,IF(F161&lt;DATE(2026+10,5,1),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,((F161-DATE(2026+10,5,1))/365.25)*G161*D161*(1+EscalatorInLease)^10+((DATE(2027+10,4,30)-F161)/365.25)*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)))),0)</f>
        <v/>
      </c>
      <c r="Y161" s="5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5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5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5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5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5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5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5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5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5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5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9" t="n">
        <v>2600</v>
      </c>
      <c r="E162" s="40" t="n">
        <v>44986</v>
      </c>
      <c r="F162" s="40" t="n">
        <v>46235</v>
      </c>
      <c r="G162" s="41" t="n">
        <v>16.1534615384615</v>
      </c>
      <c r="H162" s="10">
        <f>VLOOKUP(A162,MLA!$A$5:$L$11,3,FALSE)</f>
        <v/>
      </c>
      <c r="I162" s="25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7">
        <f>IF(E162="",0,(AnalysisStart-E162)/365.25)</f>
        <v/>
      </c>
      <c r="N162" s="5">
        <f>IFERROR(IF(I162="LeaseUp",H162*D162*(1+GrowthMarketRent)^0*IF(0=0,(12-DowntimeNew)/12,1),IF(F162="",0,IF(F162&gt;=DATE(2027+0,4,30),G162*D162*(1+EscalatorInLease)^0,IF(F162&lt;DATE(2026+0,5,1),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,((F162-DATE(2026+0,5,1))/365.25)*G162*D162*(1+EscalatorInLease)^0+((DATE(2027+0,4,30)-F162)/365.25)*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)))),0)</f>
        <v/>
      </c>
      <c r="O162" s="5">
        <f>IFERROR(IF(I162="LeaseUp",H162*D162*(1+GrowthMarketRent)^1*IF(1=0,(12-DowntimeNew)/12,1),IF(F162="",0,IF(F162&gt;=DATE(2027+1,4,30),G162*D162*(1+EscalatorInLease)^1,IF(F162&lt;DATE(2026+1,5,1),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,((F162-DATE(2026+1,5,1))/365.25)*G162*D162*(1+EscalatorInLease)^1+((DATE(2027+1,4,30)-F162)/365.25)*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)))),0)</f>
        <v/>
      </c>
      <c r="P162" s="5">
        <f>IFERROR(IF(I162="LeaseUp",H162*D162*(1+GrowthMarketRent)^2*IF(2=0,(12-DowntimeNew)/12,1),IF(F162="",0,IF(F162&gt;=DATE(2027+2,4,30),G162*D162*(1+EscalatorInLease)^2,IF(F162&lt;DATE(2026+2,5,1),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,((F162-DATE(2026+2,5,1))/365.25)*G162*D162*(1+EscalatorInLease)^2+((DATE(2027+2,4,30)-F162)/365.25)*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)))),0)</f>
        <v/>
      </c>
      <c r="Q162" s="5">
        <f>IFERROR(IF(I162="LeaseUp",H162*D162*(1+GrowthMarketRent)^3*IF(3=0,(12-DowntimeNew)/12,1),IF(F162="",0,IF(F162&gt;=DATE(2027+3,4,30),G162*D162*(1+EscalatorInLease)^3,IF(F162&lt;DATE(2026+3,5,1),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,((F162-DATE(2026+3,5,1))/365.25)*G162*D162*(1+EscalatorInLease)^3+((DATE(2027+3,4,30)-F162)/365.25)*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)))),0)</f>
        <v/>
      </c>
      <c r="R162" s="5">
        <f>IFERROR(IF(I162="LeaseUp",H162*D162*(1+GrowthMarketRent)^4*IF(4=0,(12-DowntimeNew)/12,1),IF(F162="",0,IF(F162&gt;=DATE(2027+4,4,30),G162*D162*(1+EscalatorInLease)^4,IF(F162&lt;DATE(2026+4,5,1),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,((F162-DATE(2026+4,5,1))/365.25)*G162*D162*(1+EscalatorInLease)^4+((DATE(2027+4,4,30)-F162)/365.25)*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)))),0)</f>
        <v/>
      </c>
      <c r="S162" s="5">
        <f>IFERROR(IF(I162="LeaseUp",H162*D162*(1+GrowthMarketRent)^5*IF(5=0,(12-DowntimeNew)/12,1),IF(F162="",0,IF(F162&gt;=DATE(2027+5,4,30),G162*D162*(1+EscalatorInLease)^5,IF(F162&lt;DATE(2026+5,5,1),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,((F162-DATE(2026+5,5,1))/365.25)*G162*D162*(1+EscalatorInLease)^5+((DATE(2027+5,4,30)-F162)/365.25)*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)))),0)</f>
        <v/>
      </c>
      <c r="T162" s="5">
        <f>IFERROR(IF(I162="LeaseUp",H162*D162*(1+GrowthMarketRent)^6*IF(6=0,(12-DowntimeNew)/12,1),IF(F162="",0,IF(F162&gt;=DATE(2027+6,4,30),G162*D162*(1+EscalatorInLease)^6,IF(F162&lt;DATE(2026+6,5,1),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,((F162-DATE(2026+6,5,1))/365.25)*G162*D162*(1+EscalatorInLease)^6+((DATE(2027+6,4,30)-F162)/365.25)*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)))),0)</f>
        <v/>
      </c>
      <c r="U162" s="5">
        <f>IFERROR(IF(I162="LeaseUp",H162*D162*(1+GrowthMarketRent)^7*IF(7=0,(12-DowntimeNew)/12,1),IF(F162="",0,IF(F162&gt;=DATE(2027+7,4,30),G162*D162*(1+EscalatorInLease)^7,IF(F162&lt;DATE(2026+7,5,1),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,((F162-DATE(2026+7,5,1))/365.25)*G162*D162*(1+EscalatorInLease)^7+((DATE(2027+7,4,30)-F162)/365.25)*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)))),0)</f>
        <v/>
      </c>
      <c r="V162" s="5">
        <f>IFERROR(IF(I162="LeaseUp",H162*D162*(1+GrowthMarketRent)^8*IF(8=0,(12-DowntimeNew)/12,1),IF(F162="",0,IF(F162&gt;=DATE(2027+8,4,30),G162*D162*(1+EscalatorInLease)^8,IF(F162&lt;DATE(2026+8,5,1),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,((F162-DATE(2026+8,5,1))/365.25)*G162*D162*(1+EscalatorInLease)^8+((DATE(2027+8,4,30)-F162)/365.25)*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)))),0)</f>
        <v/>
      </c>
      <c r="W162" s="5">
        <f>IFERROR(IF(I162="LeaseUp",H162*D162*(1+GrowthMarketRent)^9*IF(9=0,(12-DowntimeNew)/12,1),IF(F162="",0,IF(F162&gt;=DATE(2027+9,4,30),G162*D162*(1+EscalatorInLease)^9,IF(F162&lt;DATE(2026+9,5,1),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,((F162-DATE(2026+9,5,1))/365.25)*G162*D162*(1+EscalatorInLease)^9+((DATE(2027+9,4,30)-F162)/365.25)*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)))),0)</f>
        <v/>
      </c>
      <c r="X162" s="5">
        <f>IFERROR(IF(I162="LeaseUp",H162*D162*(1+GrowthMarketRent)^10*IF(10=0,(12-DowntimeNew)/12,1),IF(F162="",0,IF(F162&gt;=DATE(2027+10,4,30),G162*D162*(1+EscalatorInLease)^10,IF(F162&lt;DATE(2026+10,5,1),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,((F162-DATE(2026+10,5,1))/365.25)*G162*D162*(1+EscalatorInLease)^10+((DATE(2027+10,4,30)-F162)/365.25)*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)))),0)</f>
        <v/>
      </c>
      <c r="Y162" s="5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5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5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5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5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5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5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5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5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5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5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9" t="n">
        <v>2600</v>
      </c>
      <c r="E163" s="40" t="n">
        <v>44958</v>
      </c>
      <c r="F163" s="40" t="n">
        <v>46204</v>
      </c>
      <c r="G163" s="41" t="n">
        <v>15.0765384615385</v>
      </c>
      <c r="H163" s="10">
        <f>VLOOKUP(A163,MLA!$A$5:$L$11,3,FALSE)</f>
        <v/>
      </c>
      <c r="I163" s="25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7">
        <f>IF(E163="",0,(AnalysisStart-E163)/365.25)</f>
        <v/>
      </c>
      <c r="N163" s="5">
        <f>IFERROR(IF(I163="LeaseUp",H163*D163*(1+GrowthMarketRent)^0*IF(0=0,(12-DowntimeNew)/12,1),IF(F163="",0,IF(F163&gt;=DATE(2027+0,4,30),G163*D163*(1+EscalatorInLease)^0,IF(F163&lt;DATE(2026+0,5,1),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,((F163-DATE(2026+0,5,1))/365.25)*G163*D163*(1+EscalatorInLease)^0+((DATE(2027+0,4,30)-F163)/365.25)*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)))),0)</f>
        <v/>
      </c>
      <c r="O163" s="5">
        <f>IFERROR(IF(I163="LeaseUp",H163*D163*(1+GrowthMarketRent)^1*IF(1=0,(12-DowntimeNew)/12,1),IF(F163="",0,IF(F163&gt;=DATE(2027+1,4,30),G163*D163*(1+EscalatorInLease)^1,IF(F163&lt;DATE(2026+1,5,1),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,((F163-DATE(2026+1,5,1))/365.25)*G163*D163*(1+EscalatorInLease)^1+((DATE(2027+1,4,30)-F163)/365.25)*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)))),0)</f>
        <v/>
      </c>
      <c r="P163" s="5">
        <f>IFERROR(IF(I163="LeaseUp",H163*D163*(1+GrowthMarketRent)^2*IF(2=0,(12-DowntimeNew)/12,1),IF(F163="",0,IF(F163&gt;=DATE(2027+2,4,30),G163*D163*(1+EscalatorInLease)^2,IF(F163&lt;DATE(2026+2,5,1),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,((F163-DATE(2026+2,5,1))/365.25)*G163*D163*(1+EscalatorInLease)^2+((DATE(2027+2,4,30)-F163)/365.25)*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)))),0)</f>
        <v/>
      </c>
      <c r="Q163" s="5">
        <f>IFERROR(IF(I163="LeaseUp",H163*D163*(1+GrowthMarketRent)^3*IF(3=0,(12-DowntimeNew)/12,1),IF(F163="",0,IF(F163&gt;=DATE(2027+3,4,30),G163*D163*(1+EscalatorInLease)^3,IF(F163&lt;DATE(2026+3,5,1),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,((F163-DATE(2026+3,5,1))/365.25)*G163*D163*(1+EscalatorInLease)^3+((DATE(2027+3,4,30)-F163)/365.25)*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)))),0)</f>
        <v/>
      </c>
      <c r="R163" s="5">
        <f>IFERROR(IF(I163="LeaseUp",H163*D163*(1+GrowthMarketRent)^4*IF(4=0,(12-DowntimeNew)/12,1),IF(F163="",0,IF(F163&gt;=DATE(2027+4,4,30),G163*D163*(1+EscalatorInLease)^4,IF(F163&lt;DATE(2026+4,5,1),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,((F163-DATE(2026+4,5,1))/365.25)*G163*D163*(1+EscalatorInLease)^4+((DATE(2027+4,4,30)-F163)/365.25)*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)))),0)</f>
        <v/>
      </c>
      <c r="S163" s="5">
        <f>IFERROR(IF(I163="LeaseUp",H163*D163*(1+GrowthMarketRent)^5*IF(5=0,(12-DowntimeNew)/12,1),IF(F163="",0,IF(F163&gt;=DATE(2027+5,4,30),G163*D163*(1+EscalatorInLease)^5,IF(F163&lt;DATE(2026+5,5,1),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,((F163-DATE(2026+5,5,1))/365.25)*G163*D163*(1+EscalatorInLease)^5+((DATE(2027+5,4,30)-F163)/365.25)*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)))),0)</f>
        <v/>
      </c>
      <c r="T163" s="5">
        <f>IFERROR(IF(I163="LeaseUp",H163*D163*(1+GrowthMarketRent)^6*IF(6=0,(12-DowntimeNew)/12,1),IF(F163="",0,IF(F163&gt;=DATE(2027+6,4,30),G163*D163*(1+EscalatorInLease)^6,IF(F163&lt;DATE(2026+6,5,1),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,((F163-DATE(2026+6,5,1))/365.25)*G163*D163*(1+EscalatorInLease)^6+((DATE(2027+6,4,30)-F163)/365.25)*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)))),0)</f>
        <v/>
      </c>
      <c r="U163" s="5">
        <f>IFERROR(IF(I163="LeaseUp",H163*D163*(1+GrowthMarketRent)^7*IF(7=0,(12-DowntimeNew)/12,1),IF(F163="",0,IF(F163&gt;=DATE(2027+7,4,30),G163*D163*(1+EscalatorInLease)^7,IF(F163&lt;DATE(2026+7,5,1),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,((F163-DATE(2026+7,5,1))/365.25)*G163*D163*(1+EscalatorInLease)^7+((DATE(2027+7,4,30)-F163)/365.25)*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)))),0)</f>
        <v/>
      </c>
      <c r="V163" s="5">
        <f>IFERROR(IF(I163="LeaseUp",H163*D163*(1+GrowthMarketRent)^8*IF(8=0,(12-DowntimeNew)/12,1),IF(F163="",0,IF(F163&gt;=DATE(2027+8,4,30),G163*D163*(1+EscalatorInLease)^8,IF(F163&lt;DATE(2026+8,5,1),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,((F163-DATE(2026+8,5,1))/365.25)*G163*D163*(1+EscalatorInLease)^8+((DATE(2027+8,4,30)-F163)/365.25)*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)))),0)</f>
        <v/>
      </c>
      <c r="W163" s="5">
        <f>IFERROR(IF(I163="LeaseUp",H163*D163*(1+GrowthMarketRent)^9*IF(9=0,(12-DowntimeNew)/12,1),IF(F163="",0,IF(F163&gt;=DATE(2027+9,4,30),G163*D163*(1+EscalatorInLease)^9,IF(F163&lt;DATE(2026+9,5,1),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,((F163-DATE(2026+9,5,1))/365.25)*G163*D163*(1+EscalatorInLease)^9+((DATE(2027+9,4,30)-F163)/365.25)*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)))),0)</f>
        <v/>
      </c>
      <c r="X163" s="5">
        <f>IFERROR(IF(I163="LeaseUp",H163*D163*(1+GrowthMarketRent)^10*IF(10=0,(12-DowntimeNew)/12,1),IF(F163="",0,IF(F163&gt;=DATE(2027+10,4,30),G163*D163*(1+EscalatorInLease)^10,IF(F163&lt;DATE(2026+10,5,1),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,((F163-DATE(2026+10,5,1))/365.25)*G163*D163*(1+EscalatorInLease)^10+((DATE(2027+10,4,30)-F163)/365.25)*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)))),0)</f>
        <v/>
      </c>
      <c r="Y163" s="5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5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5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5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5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5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5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5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5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5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5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9" t="n">
        <v>2600</v>
      </c>
      <c r="E164" s="40" t="n">
        <v>45200</v>
      </c>
      <c r="F164" s="40" t="n">
        <v>46753</v>
      </c>
      <c r="G164" s="41" t="n">
        <v>16.81</v>
      </c>
      <c r="H164" s="10">
        <f>VLOOKUP(A164,MLA!$A$5:$L$11,3,FALSE)</f>
        <v/>
      </c>
      <c r="I164" s="25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7">
        <f>IF(E164="",0,(AnalysisStart-E164)/365.25)</f>
        <v/>
      </c>
      <c r="N164" s="5">
        <f>IFERROR(IF(I164="LeaseUp",H164*D164*(1+GrowthMarketRent)^0*IF(0=0,(12-DowntimeNew)/12,1),IF(F164="",0,IF(F164&gt;=DATE(2027+0,4,30),G164*D164*(1+EscalatorInLease)^0,IF(F164&lt;DATE(2026+0,5,1),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,((F164-DATE(2026+0,5,1))/365.25)*G164*D164*(1+EscalatorInLease)^0+((DATE(2027+0,4,30)-F164)/365.25)*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)))),0)</f>
        <v/>
      </c>
      <c r="O164" s="5">
        <f>IFERROR(IF(I164="LeaseUp",H164*D164*(1+GrowthMarketRent)^1*IF(1=0,(12-DowntimeNew)/12,1),IF(F164="",0,IF(F164&gt;=DATE(2027+1,4,30),G164*D164*(1+EscalatorInLease)^1,IF(F164&lt;DATE(2026+1,5,1),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,((F164-DATE(2026+1,5,1))/365.25)*G164*D164*(1+EscalatorInLease)^1+((DATE(2027+1,4,30)-F164)/365.25)*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)))),0)</f>
        <v/>
      </c>
      <c r="P164" s="5">
        <f>IFERROR(IF(I164="LeaseUp",H164*D164*(1+GrowthMarketRent)^2*IF(2=0,(12-DowntimeNew)/12,1),IF(F164="",0,IF(F164&gt;=DATE(2027+2,4,30),G164*D164*(1+EscalatorInLease)^2,IF(F164&lt;DATE(2026+2,5,1),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,((F164-DATE(2026+2,5,1))/365.25)*G164*D164*(1+EscalatorInLease)^2+((DATE(2027+2,4,30)-F164)/365.25)*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)))),0)</f>
        <v/>
      </c>
      <c r="Q164" s="5">
        <f>IFERROR(IF(I164="LeaseUp",H164*D164*(1+GrowthMarketRent)^3*IF(3=0,(12-DowntimeNew)/12,1),IF(F164="",0,IF(F164&gt;=DATE(2027+3,4,30),G164*D164*(1+EscalatorInLease)^3,IF(F164&lt;DATE(2026+3,5,1),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,((F164-DATE(2026+3,5,1))/365.25)*G164*D164*(1+EscalatorInLease)^3+((DATE(2027+3,4,30)-F164)/365.25)*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)))),0)</f>
        <v/>
      </c>
      <c r="R164" s="5">
        <f>IFERROR(IF(I164="LeaseUp",H164*D164*(1+GrowthMarketRent)^4*IF(4=0,(12-DowntimeNew)/12,1),IF(F164="",0,IF(F164&gt;=DATE(2027+4,4,30),G164*D164*(1+EscalatorInLease)^4,IF(F164&lt;DATE(2026+4,5,1),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,((F164-DATE(2026+4,5,1))/365.25)*G164*D164*(1+EscalatorInLease)^4+((DATE(2027+4,4,30)-F164)/365.25)*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)))),0)</f>
        <v/>
      </c>
      <c r="S164" s="5">
        <f>IFERROR(IF(I164="LeaseUp",H164*D164*(1+GrowthMarketRent)^5*IF(5=0,(12-DowntimeNew)/12,1),IF(F164="",0,IF(F164&gt;=DATE(2027+5,4,30),G164*D164*(1+EscalatorInLease)^5,IF(F164&lt;DATE(2026+5,5,1),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,((F164-DATE(2026+5,5,1))/365.25)*G164*D164*(1+EscalatorInLease)^5+((DATE(2027+5,4,30)-F164)/365.25)*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)))),0)</f>
        <v/>
      </c>
      <c r="T164" s="5">
        <f>IFERROR(IF(I164="LeaseUp",H164*D164*(1+GrowthMarketRent)^6*IF(6=0,(12-DowntimeNew)/12,1),IF(F164="",0,IF(F164&gt;=DATE(2027+6,4,30),G164*D164*(1+EscalatorInLease)^6,IF(F164&lt;DATE(2026+6,5,1),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,((F164-DATE(2026+6,5,1))/365.25)*G164*D164*(1+EscalatorInLease)^6+((DATE(2027+6,4,30)-F164)/365.25)*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)))),0)</f>
        <v/>
      </c>
      <c r="U164" s="5">
        <f>IFERROR(IF(I164="LeaseUp",H164*D164*(1+GrowthMarketRent)^7*IF(7=0,(12-DowntimeNew)/12,1),IF(F164="",0,IF(F164&gt;=DATE(2027+7,4,30),G164*D164*(1+EscalatorInLease)^7,IF(F164&lt;DATE(2026+7,5,1),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,((F164-DATE(2026+7,5,1))/365.25)*G164*D164*(1+EscalatorInLease)^7+((DATE(2027+7,4,30)-F164)/365.25)*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)))),0)</f>
        <v/>
      </c>
      <c r="V164" s="5">
        <f>IFERROR(IF(I164="LeaseUp",H164*D164*(1+GrowthMarketRent)^8*IF(8=0,(12-DowntimeNew)/12,1),IF(F164="",0,IF(F164&gt;=DATE(2027+8,4,30),G164*D164*(1+EscalatorInLease)^8,IF(F164&lt;DATE(2026+8,5,1),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,((F164-DATE(2026+8,5,1))/365.25)*G164*D164*(1+EscalatorInLease)^8+((DATE(2027+8,4,30)-F164)/365.25)*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)))),0)</f>
        <v/>
      </c>
      <c r="W164" s="5">
        <f>IFERROR(IF(I164="LeaseUp",H164*D164*(1+GrowthMarketRent)^9*IF(9=0,(12-DowntimeNew)/12,1),IF(F164="",0,IF(F164&gt;=DATE(2027+9,4,30),G164*D164*(1+EscalatorInLease)^9,IF(F164&lt;DATE(2026+9,5,1),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,((F164-DATE(2026+9,5,1))/365.25)*G164*D164*(1+EscalatorInLease)^9+((DATE(2027+9,4,30)-F164)/365.25)*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)))),0)</f>
        <v/>
      </c>
      <c r="X164" s="5">
        <f>IFERROR(IF(I164="LeaseUp",H164*D164*(1+GrowthMarketRent)^10*IF(10=0,(12-DowntimeNew)/12,1),IF(F164="",0,IF(F164&gt;=DATE(2027+10,4,30),G164*D164*(1+EscalatorInLease)^10,IF(F164&lt;DATE(2026+10,5,1),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,((F164-DATE(2026+10,5,1))/365.25)*G164*D164*(1+EscalatorInLease)^10+((DATE(2027+10,4,30)-F164)/365.25)*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)))),0)</f>
        <v/>
      </c>
      <c r="Y164" s="5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5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5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5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5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5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5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5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5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5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5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9" t="n">
        <v>2600</v>
      </c>
      <c r="E165" s="40" t="n">
        <v>44958</v>
      </c>
      <c r="F165" s="40" t="n">
        <v>46388</v>
      </c>
      <c r="G165" s="41" t="n">
        <v>15.0765384615385</v>
      </c>
      <c r="H165" s="10">
        <f>VLOOKUP(A165,MLA!$A$5:$L$11,3,FALSE)</f>
        <v/>
      </c>
      <c r="I165" s="25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7">
        <f>IF(E165="",0,(AnalysisStart-E165)/365.25)</f>
        <v/>
      </c>
      <c r="N165" s="5">
        <f>IFERROR(IF(I165="LeaseUp",H165*D165*(1+GrowthMarketRent)^0*IF(0=0,(12-DowntimeNew)/12,1),IF(F165="",0,IF(F165&gt;=DATE(2027+0,4,30),G165*D165*(1+EscalatorInLease)^0,IF(F165&lt;DATE(2026+0,5,1),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,((F165-DATE(2026+0,5,1))/365.25)*G165*D165*(1+EscalatorInLease)^0+((DATE(2027+0,4,30)-F165)/365.25)*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)))),0)</f>
        <v/>
      </c>
      <c r="O165" s="5">
        <f>IFERROR(IF(I165="LeaseUp",H165*D165*(1+GrowthMarketRent)^1*IF(1=0,(12-DowntimeNew)/12,1),IF(F165="",0,IF(F165&gt;=DATE(2027+1,4,30),G165*D165*(1+EscalatorInLease)^1,IF(F165&lt;DATE(2026+1,5,1),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,((F165-DATE(2026+1,5,1))/365.25)*G165*D165*(1+EscalatorInLease)^1+((DATE(2027+1,4,30)-F165)/365.25)*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)))),0)</f>
        <v/>
      </c>
      <c r="P165" s="5">
        <f>IFERROR(IF(I165="LeaseUp",H165*D165*(1+GrowthMarketRent)^2*IF(2=0,(12-DowntimeNew)/12,1),IF(F165="",0,IF(F165&gt;=DATE(2027+2,4,30),G165*D165*(1+EscalatorInLease)^2,IF(F165&lt;DATE(2026+2,5,1),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,((F165-DATE(2026+2,5,1))/365.25)*G165*D165*(1+EscalatorInLease)^2+((DATE(2027+2,4,30)-F165)/365.25)*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)))),0)</f>
        <v/>
      </c>
      <c r="Q165" s="5">
        <f>IFERROR(IF(I165="LeaseUp",H165*D165*(1+GrowthMarketRent)^3*IF(3=0,(12-DowntimeNew)/12,1),IF(F165="",0,IF(F165&gt;=DATE(2027+3,4,30),G165*D165*(1+EscalatorInLease)^3,IF(F165&lt;DATE(2026+3,5,1),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,((F165-DATE(2026+3,5,1))/365.25)*G165*D165*(1+EscalatorInLease)^3+((DATE(2027+3,4,30)-F165)/365.25)*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)))),0)</f>
        <v/>
      </c>
      <c r="R165" s="5">
        <f>IFERROR(IF(I165="LeaseUp",H165*D165*(1+GrowthMarketRent)^4*IF(4=0,(12-DowntimeNew)/12,1),IF(F165="",0,IF(F165&gt;=DATE(2027+4,4,30),G165*D165*(1+EscalatorInLease)^4,IF(F165&lt;DATE(2026+4,5,1),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,((F165-DATE(2026+4,5,1))/365.25)*G165*D165*(1+EscalatorInLease)^4+((DATE(2027+4,4,30)-F165)/365.25)*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)))),0)</f>
        <v/>
      </c>
      <c r="S165" s="5">
        <f>IFERROR(IF(I165="LeaseUp",H165*D165*(1+GrowthMarketRent)^5*IF(5=0,(12-DowntimeNew)/12,1),IF(F165="",0,IF(F165&gt;=DATE(2027+5,4,30),G165*D165*(1+EscalatorInLease)^5,IF(F165&lt;DATE(2026+5,5,1),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,((F165-DATE(2026+5,5,1))/365.25)*G165*D165*(1+EscalatorInLease)^5+((DATE(2027+5,4,30)-F165)/365.25)*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)))),0)</f>
        <v/>
      </c>
      <c r="T165" s="5">
        <f>IFERROR(IF(I165="LeaseUp",H165*D165*(1+GrowthMarketRent)^6*IF(6=0,(12-DowntimeNew)/12,1),IF(F165="",0,IF(F165&gt;=DATE(2027+6,4,30),G165*D165*(1+EscalatorInLease)^6,IF(F165&lt;DATE(2026+6,5,1),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,((F165-DATE(2026+6,5,1))/365.25)*G165*D165*(1+EscalatorInLease)^6+((DATE(2027+6,4,30)-F165)/365.25)*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)))),0)</f>
        <v/>
      </c>
      <c r="U165" s="5">
        <f>IFERROR(IF(I165="LeaseUp",H165*D165*(1+GrowthMarketRent)^7*IF(7=0,(12-DowntimeNew)/12,1),IF(F165="",0,IF(F165&gt;=DATE(2027+7,4,30),G165*D165*(1+EscalatorInLease)^7,IF(F165&lt;DATE(2026+7,5,1),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,((F165-DATE(2026+7,5,1))/365.25)*G165*D165*(1+EscalatorInLease)^7+((DATE(2027+7,4,30)-F165)/365.25)*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)))),0)</f>
        <v/>
      </c>
      <c r="V165" s="5">
        <f>IFERROR(IF(I165="LeaseUp",H165*D165*(1+GrowthMarketRent)^8*IF(8=0,(12-DowntimeNew)/12,1),IF(F165="",0,IF(F165&gt;=DATE(2027+8,4,30),G165*D165*(1+EscalatorInLease)^8,IF(F165&lt;DATE(2026+8,5,1),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,((F165-DATE(2026+8,5,1))/365.25)*G165*D165*(1+EscalatorInLease)^8+((DATE(2027+8,4,30)-F165)/365.25)*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)))),0)</f>
        <v/>
      </c>
      <c r="W165" s="5">
        <f>IFERROR(IF(I165="LeaseUp",H165*D165*(1+GrowthMarketRent)^9*IF(9=0,(12-DowntimeNew)/12,1),IF(F165="",0,IF(F165&gt;=DATE(2027+9,4,30),G165*D165*(1+EscalatorInLease)^9,IF(F165&lt;DATE(2026+9,5,1),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,((F165-DATE(2026+9,5,1))/365.25)*G165*D165*(1+EscalatorInLease)^9+((DATE(2027+9,4,30)-F165)/365.25)*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)))),0)</f>
        <v/>
      </c>
      <c r="X165" s="5">
        <f>IFERROR(IF(I165="LeaseUp",H165*D165*(1+GrowthMarketRent)^10*IF(10=0,(12-DowntimeNew)/12,1),IF(F165="",0,IF(F165&gt;=DATE(2027+10,4,30),G165*D165*(1+EscalatorInLease)^10,IF(F165&lt;DATE(2026+10,5,1),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,((F165-DATE(2026+10,5,1))/365.25)*G165*D165*(1+EscalatorInLease)^10+((DATE(2027+10,4,30)-F165)/365.25)*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)))),0)</f>
        <v/>
      </c>
      <c r="Y165" s="5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5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5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5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5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5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5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5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5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5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5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9" t="n">
        <v>3450</v>
      </c>
      <c r="E166" s="40" t="n">
        <v>44958</v>
      </c>
      <c r="F166" s="40" t="n">
        <v>46204</v>
      </c>
      <c r="G166" s="41" t="n">
        <v>15.0765217391304</v>
      </c>
      <c r="H166" s="10">
        <f>VLOOKUP(A166,MLA!$A$5:$L$11,3,FALSE)</f>
        <v/>
      </c>
      <c r="I166" s="25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7">
        <f>IF(E166="",0,(AnalysisStart-E166)/365.25)</f>
        <v/>
      </c>
      <c r="N166" s="5">
        <f>IFERROR(IF(I166="LeaseUp",H166*D166*(1+GrowthMarketRent)^0*IF(0=0,(12-DowntimeNew)/12,1),IF(F166="",0,IF(F166&gt;=DATE(2027+0,4,30),G166*D166*(1+EscalatorInLease)^0,IF(F166&lt;DATE(2026+0,5,1),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,((F166-DATE(2026+0,5,1))/365.25)*G166*D166*(1+EscalatorInLease)^0+((DATE(2027+0,4,30)-F166)/365.25)*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)))),0)</f>
        <v/>
      </c>
      <c r="O166" s="5">
        <f>IFERROR(IF(I166="LeaseUp",H166*D166*(1+GrowthMarketRent)^1*IF(1=0,(12-DowntimeNew)/12,1),IF(F166="",0,IF(F166&gt;=DATE(2027+1,4,30),G166*D166*(1+EscalatorInLease)^1,IF(F166&lt;DATE(2026+1,5,1),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,((F166-DATE(2026+1,5,1))/365.25)*G166*D166*(1+EscalatorInLease)^1+((DATE(2027+1,4,30)-F166)/365.25)*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)))),0)</f>
        <v/>
      </c>
      <c r="P166" s="5">
        <f>IFERROR(IF(I166="LeaseUp",H166*D166*(1+GrowthMarketRent)^2*IF(2=0,(12-DowntimeNew)/12,1),IF(F166="",0,IF(F166&gt;=DATE(2027+2,4,30),G166*D166*(1+EscalatorInLease)^2,IF(F166&lt;DATE(2026+2,5,1),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,((F166-DATE(2026+2,5,1))/365.25)*G166*D166*(1+EscalatorInLease)^2+((DATE(2027+2,4,30)-F166)/365.25)*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)))),0)</f>
        <v/>
      </c>
      <c r="Q166" s="5">
        <f>IFERROR(IF(I166="LeaseUp",H166*D166*(1+GrowthMarketRent)^3*IF(3=0,(12-DowntimeNew)/12,1),IF(F166="",0,IF(F166&gt;=DATE(2027+3,4,30),G166*D166*(1+EscalatorInLease)^3,IF(F166&lt;DATE(2026+3,5,1),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,((F166-DATE(2026+3,5,1))/365.25)*G166*D166*(1+EscalatorInLease)^3+((DATE(2027+3,4,30)-F166)/365.25)*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)))),0)</f>
        <v/>
      </c>
      <c r="R166" s="5">
        <f>IFERROR(IF(I166="LeaseUp",H166*D166*(1+GrowthMarketRent)^4*IF(4=0,(12-DowntimeNew)/12,1),IF(F166="",0,IF(F166&gt;=DATE(2027+4,4,30),G166*D166*(1+EscalatorInLease)^4,IF(F166&lt;DATE(2026+4,5,1),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,((F166-DATE(2026+4,5,1))/365.25)*G166*D166*(1+EscalatorInLease)^4+((DATE(2027+4,4,30)-F166)/365.25)*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)))),0)</f>
        <v/>
      </c>
      <c r="S166" s="5">
        <f>IFERROR(IF(I166="LeaseUp",H166*D166*(1+GrowthMarketRent)^5*IF(5=0,(12-DowntimeNew)/12,1),IF(F166="",0,IF(F166&gt;=DATE(2027+5,4,30),G166*D166*(1+EscalatorInLease)^5,IF(F166&lt;DATE(2026+5,5,1),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,((F166-DATE(2026+5,5,1))/365.25)*G166*D166*(1+EscalatorInLease)^5+((DATE(2027+5,4,30)-F166)/365.25)*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)))),0)</f>
        <v/>
      </c>
      <c r="T166" s="5">
        <f>IFERROR(IF(I166="LeaseUp",H166*D166*(1+GrowthMarketRent)^6*IF(6=0,(12-DowntimeNew)/12,1),IF(F166="",0,IF(F166&gt;=DATE(2027+6,4,30),G166*D166*(1+EscalatorInLease)^6,IF(F166&lt;DATE(2026+6,5,1),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,((F166-DATE(2026+6,5,1))/365.25)*G166*D166*(1+EscalatorInLease)^6+((DATE(2027+6,4,30)-F166)/365.25)*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)))),0)</f>
        <v/>
      </c>
      <c r="U166" s="5">
        <f>IFERROR(IF(I166="LeaseUp",H166*D166*(1+GrowthMarketRent)^7*IF(7=0,(12-DowntimeNew)/12,1),IF(F166="",0,IF(F166&gt;=DATE(2027+7,4,30),G166*D166*(1+EscalatorInLease)^7,IF(F166&lt;DATE(2026+7,5,1),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,((F166-DATE(2026+7,5,1))/365.25)*G166*D166*(1+EscalatorInLease)^7+((DATE(2027+7,4,30)-F166)/365.25)*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)))),0)</f>
        <v/>
      </c>
      <c r="V166" s="5">
        <f>IFERROR(IF(I166="LeaseUp",H166*D166*(1+GrowthMarketRent)^8*IF(8=0,(12-DowntimeNew)/12,1),IF(F166="",0,IF(F166&gt;=DATE(2027+8,4,30),G166*D166*(1+EscalatorInLease)^8,IF(F166&lt;DATE(2026+8,5,1),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,((F166-DATE(2026+8,5,1))/365.25)*G166*D166*(1+EscalatorInLease)^8+((DATE(2027+8,4,30)-F166)/365.25)*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)))),0)</f>
        <v/>
      </c>
      <c r="W166" s="5">
        <f>IFERROR(IF(I166="LeaseUp",H166*D166*(1+GrowthMarketRent)^9*IF(9=0,(12-DowntimeNew)/12,1),IF(F166="",0,IF(F166&gt;=DATE(2027+9,4,30),G166*D166*(1+EscalatorInLease)^9,IF(F166&lt;DATE(2026+9,5,1),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,((F166-DATE(2026+9,5,1))/365.25)*G166*D166*(1+EscalatorInLease)^9+((DATE(2027+9,4,30)-F166)/365.25)*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)))),0)</f>
        <v/>
      </c>
      <c r="X166" s="5">
        <f>IFERROR(IF(I166="LeaseUp",H166*D166*(1+GrowthMarketRent)^10*IF(10=0,(12-DowntimeNew)/12,1),IF(F166="",0,IF(F166&gt;=DATE(2027+10,4,30),G166*D166*(1+EscalatorInLease)^10,IF(F166&lt;DATE(2026+10,5,1),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,((F166-DATE(2026+10,5,1))/365.25)*G166*D166*(1+EscalatorInLease)^10+((DATE(2027+10,4,30)-F166)/365.25)*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)))),0)</f>
        <v/>
      </c>
      <c r="Y166" s="5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5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5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5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5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5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5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5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5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5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5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14" t="inlineStr">
        <is>
          <t>PORTFOLIO TOTAL</t>
        </is>
      </c>
      <c r="D167" s="28">
        <f>SUM(D5:D166)</f>
        <v/>
      </c>
      <c r="N167" s="15">
        <f>SUM(N5:N166)</f>
        <v/>
      </c>
      <c r="O167" s="15">
        <f>SUM(O5:O166)</f>
        <v/>
      </c>
      <c r="P167" s="15">
        <f>SUM(P5:P166)</f>
        <v/>
      </c>
      <c r="Q167" s="15">
        <f>SUM(Q5:Q166)</f>
        <v/>
      </c>
      <c r="R167" s="15">
        <f>SUM(R5:R166)</f>
        <v/>
      </c>
      <c r="S167" s="15">
        <f>SUM(S5:S166)</f>
        <v/>
      </c>
      <c r="T167" s="15">
        <f>SUM(T5:T166)</f>
        <v/>
      </c>
      <c r="U167" s="15">
        <f>SUM(U5:U166)</f>
        <v/>
      </c>
      <c r="V167" s="15">
        <f>SUM(V5:V166)</f>
        <v/>
      </c>
      <c r="W167" s="15">
        <f>SUM(W5:W166)</f>
        <v/>
      </c>
      <c r="X167" s="15">
        <f>SUM(X5:X166)</f>
        <v/>
      </c>
      <c r="Y167" s="15">
        <f>SUM(Y5:Y166)</f>
        <v/>
      </c>
      <c r="Z167" s="15">
        <f>SUM(Z5:Z166)</f>
        <v/>
      </c>
      <c r="AA167" s="15">
        <f>SUM(AA5:AA166)</f>
        <v/>
      </c>
      <c r="AB167" s="15">
        <f>SUM(AB5:AB166)</f>
        <v/>
      </c>
      <c r="AC167" s="15">
        <f>SUM(AC5:AC166)</f>
        <v/>
      </c>
      <c r="AD167" s="15">
        <f>SUM(AD5:AD166)</f>
        <v/>
      </c>
      <c r="AE167" s="15">
        <f>SUM(AE5:AE166)</f>
        <v/>
      </c>
      <c r="AF167" s="15">
        <f>SUM(AF5:AF166)</f>
        <v/>
      </c>
      <c r="AG167" s="15">
        <f>SUM(AG5:AG166)</f>
        <v/>
      </c>
      <c r="AH167" s="15">
        <f>SUM(AH5:AH166)</f>
        <v/>
      </c>
      <c r="AI167" s="15">
        <f>SUM(AI5:AI166)</f>
        <v/>
      </c>
      <c r="AJ167" s="15">
        <f>SUM(AJ5:AJ166)</f>
        <v/>
      </c>
      <c r="AK167" s="15">
        <f>SUM(AK5:AK166)</f>
        <v/>
      </c>
      <c r="AL167" s="15">
        <f>SUM(AL5:AL166)</f>
        <v/>
      </c>
      <c r="AM167" s="15">
        <f>SUM(AM5:AM166)</f>
        <v/>
      </c>
      <c r="AN167" s="15">
        <f>SUM(AN5:AN166)</f>
        <v/>
      </c>
      <c r="AO167" s="15">
        <f>SUM(AO5:AO166)</f>
        <v/>
      </c>
      <c r="AP167" s="15">
        <f>SUM(AP5:AP166)</f>
        <v/>
      </c>
      <c r="AQ167" s="15">
        <f>SUM(AQ5:AQ166)</f>
        <v/>
      </c>
      <c r="AR167" s="15">
        <f>SUM(AR5:AR166)</f>
        <v/>
      </c>
      <c r="AS167" s="15">
        <f>SUM(AS5:AS166)</f>
        <v/>
      </c>
      <c r="AT167" s="15">
        <f>SUM(AT5:AT166)</f>
        <v/>
      </c>
    </row>
  </sheetData>
  <dataValidations count="1">
    <dataValidation sqref="I5:I166" showDropDown="0" showInputMessage="0" showErrorMessage="0" allowBlank="0" errorTitle="Invalid Treatment" error="Must be Market, Option, Vacate, or LeaseUp" promptTitle="Treatment" prompt="Market = 75% renewal / 25% new; Option = 2.5% bump; Vacate = 100% new with downtime; LeaseUp = currently vacant" type="list">
      <formula1>"Market,Option,Vacate,LeaseUp"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42" t="inlineStr">
        <is>
          <t>FY27</t>
        </is>
      </c>
      <c r="C3" s="42" t="inlineStr">
        <is>
          <t>FY28</t>
        </is>
      </c>
      <c r="D3" s="42" t="inlineStr">
        <is>
          <t>FY29</t>
        </is>
      </c>
      <c r="E3" s="42" t="inlineStr">
        <is>
          <t>FY30</t>
        </is>
      </c>
      <c r="F3" s="42" t="inlineStr">
        <is>
          <t>FY31</t>
        </is>
      </c>
      <c r="G3" s="42" t="inlineStr">
        <is>
          <t>FY32</t>
        </is>
      </c>
      <c r="H3" s="42" t="inlineStr">
        <is>
          <t>FY33</t>
        </is>
      </c>
      <c r="I3" s="42" t="inlineStr">
        <is>
          <t>FY34</t>
        </is>
      </c>
      <c r="J3" s="42" t="inlineStr">
        <is>
          <t>FY35</t>
        </is>
      </c>
      <c r="K3" s="42" t="inlineStr">
        <is>
          <t>FY36</t>
        </is>
      </c>
      <c r="L3" s="42" t="inlineStr">
        <is>
          <t>FY37</t>
        </is>
      </c>
      <c r="M3" s="2" t="inlineStr">
        <is>
          <t>Total</t>
        </is>
      </c>
    </row>
    <row r="5">
      <c r="A5" s="13" t="inlineStr">
        <is>
          <t>REVENUE</t>
        </is>
      </c>
    </row>
    <row r="6">
      <c r="A6" s="3" t="inlineStr">
        <is>
          <t>Gross Potential Rent</t>
        </is>
      </c>
      <c r="B6" s="5">
        <f>'Rent Roll'!N167</f>
        <v/>
      </c>
      <c r="C6" s="5">
        <f>'Rent Roll'!O167</f>
        <v/>
      </c>
      <c r="D6" s="5">
        <f>'Rent Roll'!P167</f>
        <v/>
      </c>
      <c r="E6" s="5">
        <f>'Rent Roll'!Q167</f>
        <v/>
      </c>
      <c r="F6" s="5">
        <f>'Rent Roll'!R167</f>
        <v/>
      </c>
      <c r="G6" s="5">
        <f>'Rent Roll'!S167</f>
        <v/>
      </c>
      <c r="H6" s="5">
        <f>'Rent Roll'!T167</f>
        <v/>
      </c>
      <c r="I6" s="5">
        <f>'Rent Roll'!U167</f>
        <v/>
      </c>
      <c r="J6" s="5">
        <f>'Rent Roll'!V167</f>
        <v/>
      </c>
      <c r="K6" s="5">
        <f>'Rent Roll'!W167</f>
        <v/>
      </c>
      <c r="L6" s="5">
        <f>'Rent Roll'!X167</f>
        <v/>
      </c>
      <c r="M6" s="5">
        <f>SUM(B6:L6)</f>
        <v/>
      </c>
    </row>
    <row r="7">
      <c r="A7" s="3" t="inlineStr">
        <is>
          <t>Less: Vacancy &amp; Credit Loss</t>
        </is>
      </c>
      <c r="B7" s="5">
        <f>-B6*(GeneralVacancy+CreditLoss)</f>
        <v/>
      </c>
      <c r="C7" s="5">
        <f>-C6*(GeneralVacancy+CreditLoss)</f>
        <v/>
      </c>
      <c r="D7" s="5">
        <f>-D6*(GeneralVacancy+CreditLoss)</f>
        <v/>
      </c>
      <c r="E7" s="5">
        <f>-E6*(GeneralVacancy+CreditLoss)</f>
        <v/>
      </c>
      <c r="F7" s="5">
        <f>-F6*(GeneralVacancy+CreditLoss)</f>
        <v/>
      </c>
      <c r="G7" s="5">
        <f>-G6*(GeneralVacancy+CreditLoss)</f>
        <v/>
      </c>
      <c r="H7" s="5">
        <f>-H6*(GeneralVacancy+CreditLoss)</f>
        <v/>
      </c>
      <c r="I7" s="5">
        <f>-I6*(GeneralVacancy+CreditLoss)</f>
        <v/>
      </c>
      <c r="J7" s="5">
        <f>-J6*(GeneralVacancy+CreditLoss)</f>
        <v/>
      </c>
      <c r="K7" s="5">
        <f>-K6*(GeneralVacancy+CreditLoss)</f>
        <v/>
      </c>
      <c r="L7" s="5">
        <f>-L6*(GeneralVacancy+CreditLoss)</f>
        <v/>
      </c>
      <c r="M7" s="5">
        <f>SUM(B7:L7)</f>
        <v/>
      </c>
    </row>
    <row r="8">
      <c r="A8" s="3" t="inlineStr">
        <is>
          <t>Expense Recoveries (NNN, excl. mgmt fee)</t>
        </is>
      </c>
      <c r="B8" s="5">
        <f>-(B14+B15+B17+B18)*RecoveryPct</f>
        <v/>
      </c>
      <c r="C8" s="5">
        <f>-(C14+C15+C17+C18)*RecoveryPct</f>
        <v/>
      </c>
      <c r="D8" s="5">
        <f>-(D14+D15+D17+D18)*RecoveryPct</f>
        <v/>
      </c>
      <c r="E8" s="5">
        <f>-(E14+E15+E17+E18)*RecoveryPct</f>
        <v/>
      </c>
      <c r="F8" s="5">
        <f>-(F14+F15+F17+F18)*RecoveryPct</f>
        <v/>
      </c>
      <c r="G8" s="5">
        <f>-(G14+G15+G17+G18)*RecoveryPct</f>
        <v/>
      </c>
      <c r="H8" s="5">
        <f>-(H14+H15+H17+H18)*RecoveryPct</f>
        <v/>
      </c>
      <c r="I8" s="5">
        <f>-(I14+I15+I17+I18)*RecoveryPct</f>
        <v/>
      </c>
      <c r="J8" s="5">
        <f>-(J14+J15+J17+J18)*RecoveryPct</f>
        <v/>
      </c>
      <c r="K8" s="5">
        <f>-(K14+K15+K17+K18)*RecoveryPct</f>
        <v/>
      </c>
      <c r="L8" s="5">
        <f>-(L14+L15+L17+L18)*RecoveryPct</f>
        <v/>
      </c>
      <c r="M8" s="5">
        <f>SUM(B8:L8)</f>
        <v/>
      </c>
    </row>
    <row r="9">
      <c r="A9" s="3" t="inlineStr">
        <is>
          <t>Tenant Upgrade Rent</t>
        </is>
      </c>
      <c r="B9" s="5">
        <f>'Property Data'!H25*(1+TURentGrowth)^0</f>
        <v/>
      </c>
      <c r="C9" s="5">
        <f>'Property Data'!H25*(1+TURentGrowth)^1</f>
        <v/>
      </c>
      <c r="D9" s="5">
        <f>'Property Data'!H25*(1+TURentGrowth)^2</f>
        <v/>
      </c>
      <c r="E9" s="5">
        <f>'Property Data'!H25*(1+TURentGrowth)^3</f>
        <v/>
      </c>
      <c r="F9" s="5">
        <f>'Property Data'!H25*(1+TURentGrowth)^4</f>
        <v/>
      </c>
      <c r="G9" s="5">
        <f>'Property Data'!H25*(1+TURentGrowth)^5</f>
        <v/>
      </c>
      <c r="H9" s="5">
        <f>'Property Data'!H25*(1+TURentGrowth)^6</f>
        <v/>
      </c>
      <c r="I9" s="5">
        <f>'Property Data'!H25*(1+TURentGrowth)^7</f>
        <v/>
      </c>
      <c r="J9" s="5">
        <f>'Property Data'!H25*(1+TURentGrowth)^8</f>
        <v/>
      </c>
      <c r="K9" s="5">
        <f>'Property Data'!H25*(1+TURentGrowth)^9</f>
        <v/>
      </c>
      <c r="L9" s="5">
        <f>'Property Data'!H25*(1+TURentGrowth)^10</f>
        <v/>
      </c>
      <c r="M9" s="5">
        <f>SUM(B9:L9)</f>
        <v/>
      </c>
    </row>
    <row r="10">
      <c r="A10" s="3" t="inlineStr">
        <is>
          <t>Parking Rent</t>
        </is>
      </c>
      <c r="B10" s="5">
        <f>'Property Data'!H26*(1+GrowthOther)^0</f>
        <v/>
      </c>
      <c r="C10" s="5">
        <f>'Property Data'!H26*(1+GrowthOther)^1</f>
        <v/>
      </c>
      <c r="D10" s="5">
        <f>'Property Data'!H26*(1+GrowthOther)^2</f>
        <v/>
      </c>
      <c r="E10" s="5">
        <f>'Property Data'!H26*(1+GrowthOther)^3</f>
        <v/>
      </c>
      <c r="F10" s="5">
        <f>'Property Data'!H26*(1+GrowthOther)^4</f>
        <v/>
      </c>
      <c r="G10" s="5">
        <f>'Property Data'!H26*(1+GrowthOther)^5</f>
        <v/>
      </c>
      <c r="H10" s="5">
        <f>'Property Data'!H26*(1+GrowthOther)^6</f>
        <v/>
      </c>
      <c r="I10" s="5">
        <f>'Property Data'!H26*(1+GrowthOther)^7</f>
        <v/>
      </c>
      <c r="J10" s="5">
        <f>'Property Data'!H26*(1+GrowthOther)^8</f>
        <v/>
      </c>
      <c r="K10" s="5">
        <f>'Property Data'!H26*(1+GrowthOther)^9</f>
        <v/>
      </c>
      <c r="L10" s="5">
        <f>'Property Data'!H26*(1+GrowthOther)^10</f>
        <v/>
      </c>
      <c r="M10" s="5">
        <f>SUM(B10:L10)</f>
        <v/>
      </c>
    </row>
    <row r="11">
      <c r="A11" s="14" t="inlineStr">
        <is>
          <t>EFFECTIVE GROSS REVENUE (EGR)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5">
        <f>SUM(G6:G10)</f>
        <v/>
      </c>
      <c r="H11" s="15">
        <f>SUM(H6:H10)</f>
        <v/>
      </c>
      <c r="I11" s="15">
        <f>SUM(I6:I10)</f>
        <v/>
      </c>
      <c r="J11" s="15">
        <f>SUM(J6:J10)</f>
        <v/>
      </c>
      <c r="K11" s="15">
        <f>SUM(K6:K10)</f>
        <v/>
      </c>
      <c r="L11" s="15">
        <f>SUM(L6:L10)</f>
        <v/>
      </c>
      <c r="M11" s="15">
        <f>SUM(B11:L11)</f>
        <v/>
      </c>
    </row>
    <row r="13">
      <c r="A13" s="13" t="inlineStr">
        <is>
          <t>OPERATING EXPENSES</t>
        </is>
      </c>
    </row>
    <row r="14">
      <c r="A14" s="3" t="inlineStr">
        <is>
          <t>CAM</t>
        </is>
      </c>
      <c r="B14" s="5">
        <f>-'Property Data'!H20*(1+GrowthOpEx)^0</f>
        <v/>
      </c>
      <c r="C14" s="5">
        <f>-'Property Data'!H20*(1+GrowthOpEx)^1</f>
        <v/>
      </c>
      <c r="D14" s="5">
        <f>-'Property Data'!H20*(1+GrowthOpEx)^2</f>
        <v/>
      </c>
      <c r="E14" s="5">
        <f>-'Property Data'!H20*(1+GrowthOpEx)^3</f>
        <v/>
      </c>
      <c r="F14" s="5">
        <f>-'Property Data'!H20*(1+GrowthOpEx)^4</f>
        <v/>
      </c>
      <c r="G14" s="5">
        <f>-'Property Data'!H20*(1+GrowthOpEx)^5</f>
        <v/>
      </c>
      <c r="H14" s="5">
        <f>-'Property Data'!H20*(1+GrowthOpEx)^6</f>
        <v/>
      </c>
      <c r="I14" s="5">
        <f>-'Property Data'!H20*(1+GrowthOpEx)^7</f>
        <v/>
      </c>
      <c r="J14" s="5">
        <f>-'Property Data'!H20*(1+GrowthOpEx)^8</f>
        <v/>
      </c>
      <c r="K14" s="5">
        <f>-'Property Data'!H20*(1+GrowthOpEx)^9</f>
        <v/>
      </c>
      <c r="L14" s="5">
        <f>-'Property Data'!H20*(1+GrowthOpEx)^10</f>
        <v/>
      </c>
      <c r="M14" s="5">
        <f>SUM(B14:L14)</f>
        <v/>
      </c>
    </row>
    <row r="15">
      <c r="A15" s="3" t="inlineStr">
        <is>
          <t>Utilities</t>
        </is>
      </c>
      <c r="B15" s="5">
        <f>-'Property Data'!H21*(1+GrowthOpEx)^0</f>
        <v/>
      </c>
      <c r="C15" s="5">
        <f>-'Property Data'!H21*(1+GrowthOpEx)^1</f>
        <v/>
      </c>
      <c r="D15" s="5">
        <f>-'Property Data'!H21*(1+GrowthOpEx)^2</f>
        <v/>
      </c>
      <c r="E15" s="5">
        <f>-'Property Data'!H21*(1+GrowthOpEx)^3</f>
        <v/>
      </c>
      <c r="F15" s="5">
        <f>-'Property Data'!H21*(1+GrowthOpEx)^4</f>
        <v/>
      </c>
      <c r="G15" s="5">
        <f>-'Property Data'!H21*(1+GrowthOpEx)^5</f>
        <v/>
      </c>
      <c r="H15" s="5">
        <f>-'Property Data'!H21*(1+GrowthOpEx)^6</f>
        <v/>
      </c>
      <c r="I15" s="5">
        <f>-'Property Data'!H21*(1+GrowthOpEx)^7</f>
        <v/>
      </c>
      <c r="J15" s="5">
        <f>-'Property Data'!H21*(1+GrowthOpEx)^8</f>
        <v/>
      </c>
      <c r="K15" s="5">
        <f>-'Property Data'!H21*(1+GrowthOpEx)^9</f>
        <v/>
      </c>
      <c r="L15" s="5">
        <f>-'Property Data'!H21*(1+GrowthOpEx)^10</f>
        <v/>
      </c>
      <c r="M15" s="5">
        <f>SUM(B15:L15)</f>
        <v/>
      </c>
    </row>
    <row r="16">
      <c r="A16" s="3" t="inlineStr">
        <is>
          <t>Management Fee</t>
        </is>
      </c>
      <c r="B16" s="5">
        <f>-B11*MgmtFeePct</f>
        <v/>
      </c>
      <c r="C16" s="5">
        <f>-C11*MgmtFeePct</f>
        <v/>
      </c>
      <c r="D16" s="5">
        <f>-D11*MgmtFeePct</f>
        <v/>
      </c>
      <c r="E16" s="5">
        <f>-E11*MgmtFeePct</f>
        <v/>
      </c>
      <c r="F16" s="5">
        <f>-F11*MgmtFeePct</f>
        <v/>
      </c>
      <c r="G16" s="5">
        <f>-G11*MgmtFeePct</f>
        <v/>
      </c>
      <c r="H16" s="5">
        <f>-H11*MgmtFeePct</f>
        <v/>
      </c>
      <c r="I16" s="5">
        <f>-I11*MgmtFeePct</f>
        <v/>
      </c>
      <c r="J16" s="5">
        <f>-J11*MgmtFeePct</f>
        <v/>
      </c>
      <c r="K16" s="5">
        <f>-K11*MgmtFeePct</f>
        <v/>
      </c>
      <c r="L16" s="5">
        <f>-L11*MgmtFeePct</f>
        <v/>
      </c>
      <c r="M16" s="5">
        <f>SUM(B16:L16)</f>
        <v/>
      </c>
    </row>
    <row r="17">
      <c r="A17" s="3" t="inlineStr">
        <is>
          <t>Insurance</t>
        </is>
      </c>
      <c r="B17" s="5">
        <f>-'Property Data'!H23*(1+GrowthOpEx)^0</f>
        <v/>
      </c>
      <c r="C17" s="5">
        <f>-'Property Data'!H23*(1+GrowthOpEx)^1</f>
        <v/>
      </c>
      <c r="D17" s="5">
        <f>-'Property Data'!H23*(1+GrowthOpEx)^2</f>
        <v/>
      </c>
      <c r="E17" s="5">
        <f>-'Property Data'!H23*(1+GrowthOpEx)^3</f>
        <v/>
      </c>
      <c r="F17" s="5">
        <f>-'Property Data'!H23*(1+GrowthOpEx)^4</f>
        <v/>
      </c>
      <c r="G17" s="5">
        <f>-'Property Data'!H23*(1+GrowthOpEx)^5</f>
        <v/>
      </c>
      <c r="H17" s="5">
        <f>-'Property Data'!H23*(1+GrowthOpEx)^6</f>
        <v/>
      </c>
      <c r="I17" s="5">
        <f>-'Property Data'!H23*(1+GrowthOpEx)^7</f>
        <v/>
      </c>
      <c r="J17" s="5">
        <f>-'Property Data'!H23*(1+GrowthOpEx)^8</f>
        <v/>
      </c>
      <c r="K17" s="5">
        <f>-'Property Data'!H23*(1+GrowthOpEx)^9</f>
        <v/>
      </c>
      <c r="L17" s="5">
        <f>-'Property Data'!H23*(1+GrowthOpEx)^10</f>
        <v/>
      </c>
      <c r="M17" s="5">
        <f>SUM(B17:L17)</f>
        <v/>
      </c>
    </row>
    <row r="18">
      <c r="A18" s="3" t="inlineStr">
        <is>
          <t>RE Taxes</t>
        </is>
      </c>
      <c r="B18" s="5">
        <f>IF(ReassessTaxes,-(PurchasePrice*SUMPRODUCT('Property Data'!$B$4:$G$4,'Property Data'!$B$16:$G$16)/PortfolioSF)*(1+GrowthRETax)^0,-'Property Data'!$H$24*(1+GrowthRETax)^0)</f>
        <v/>
      </c>
      <c r="C18" s="5">
        <f>IF(ReassessTaxes,-(PurchasePrice*SUMPRODUCT('Property Data'!$B$4:$G$4,'Property Data'!$B$16:$G$16)/PortfolioSF)*(1+GrowthRETax)^1,-'Property Data'!$H$24*(1+GrowthRETax)^1)</f>
        <v/>
      </c>
      <c r="D18" s="5">
        <f>IF(ReassessTaxes,-(PurchasePrice*SUMPRODUCT('Property Data'!$B$4:$G$4,'Property Data'!$B$16:$G$16)/PortfolioSF)*(1+GrowthRETax)^2,-'Property Data'!$H$24*(1+GrowthRETax)^2)</f>
        <v/>
      </c>
      <c r="E18" s="5">
        <f>IF(ReassessTaxes,-(PurchasePrice*SUMPRODUCT('Property Data'!$B$4:$G$4,'Property Data'!$B$16:$G$16)/PortfolioSF)*(1+GrowthRETax)^3,-'Property Data'!$H$24*(1+GrowthRETax)^3)</f>
        <v/>
      </c>
      <c r="F18" s="5">
        <f>IF(ReassessTaxes,-(PurchasePrice*SUMPRODUCT('Property Data'!$B$4:$G$4,'Property Data'!$B$16:$G$16)/PortfolioSF)*(1+GrowthRETax)^4,-'Property Data'!$H$24*(1+GrowthRETax)^4)</f>
        <v/>
      </c>
      <c r="G18" s="5">
        <f>IF(ReassessTaxes,-(PurchasePrice*SUMPRODUCT('Property Data'!$B$4:$G$4,'Property Data'!$B$16:$G$16)/PortfolioSF)*(1+GrowthRETax)^5,-'Property Data'!$H$24*(1+GrowthRETax)^5)</f>
        <v/>
      </c>
      <c r="H18" s="5">
        <f>IF(ReassessTaxes,-(PurchasePrice*SUMPRODUCT('Property Data'!$B$4:$G$4,'Property Data'!$B$16:$G$16)/PortfolioSF)*(1+GrowthRETax)^6,-'Property Data'!$H$24*(1+GrowthRETax)^6)</f>
        <v/>
      </c>
      <c r="I18" s="5">
        <f>IF(ReassessTaxes,-(PurchasePrice*SUMPRODUCT('Property Data'!$B$4:$G$4,'Property Data'!$B$16:$G$16)/PortfolioSF)*(1+GrowthRETax)^7,-'Property Data'!$H$24*(1+GrowthRETax)^7)</f>
        <v/>
      </c>
      <c r="J18" s="5">
        <f>IF(ReassessTaxes,-(PurchasePrice*SUMPRODUCT('Property Data'!$B$4:$G$4,'Property Data'!$B$16:$G$16)/PortfolioSF)*(1+GrowthRETax)^8,-'Property Data'!$H$24*(1+GrowthRETax)^8)</f>
        <v/>
      </c>
      <c r="K18" s="5">
        <f>IF(ReassessTaxes,-(PurchasePrice*SUMPRODUCT('Property Data'!$B$4:$G$4,'Property Data'!$B$16:$G$16)/PortfolioSF)*(1+GrowthRETax)^9,-'Property Data'!$H$24*(1+GrowthRETax)^9)</f>
        <v/>
      </c>
      <c r="L18" s="5">
        <f>IF(ReassessTaxes,-(PurchasePrice*SUMPRODUCT('Property Data'!$B$4:$G$4,'Property Data'!$B$16:$G$16)/PortfolioSF)*(1+GrowthRETax)^10,-'Property Data'!$H$24*(1+GrowthRETax)^10)</f>
        <v/>
      </c>
      <c r="M18" s="5">
        <f>SUM(B18:L18)</f>
        <v/>
      </c>
    </row>
    <row r="19">
      <c r="A19" s="14" t="inlineStr">
        <is>
          <t>TOTAL OPERATING EXPENSES</t>
        </is>
      </c>
      <c r="B19" s="15">
        <f>SUM(B14:B18)</f>
        <v/>
      </c>
      <c r="C19" s="15">
        <f>SUM(C14:C18)</f>
        <v/>
      </c>
      <c r="D19" s="15">
        <f>SUM(D14:D18)</f>
        <v/>
      </c>
      <c r="E19" s="15">
        <f>SUM(E14:E18)</f>
        <v/>
      </c>
      <c r="F19" s="15">
        <f>SUM(F14:F18)</f>
        <v/>
      </c>
      <c r="G19" s="15">
        <f>SUM(G14:G18)</f>
        <v/>
      </c>
      <c r="H19" s="15">
        <f>SUM(H14:H18)</f>
        <v/>
      </c>
      <c r="I19" s="15">
        <f>SUM(I14:I18)</f>
        <v/>
      </c>
      <c r="J19" s="15">
        <f>SUM(J14:J18)</f>
        <v/>
      </c>
      <c r="K19" s="15">
        <f>SUM(K14:K18)</f>
        <v/>
      </c>
      <c r="L19" s="15">
        <f>SUM(L14:L18)</f>
        <v/>
      </c>
      <c r="M19" s="15">
        <f>SUM(B19:L19)</f>
        <v/>
      </c>
    </row>
    <row r="21">
      <c r="A21" s="14" t="inlineStr">
        <is>
          <t>NET OPERATING INCOME (NOI)</t>
        </is>
      </c>
      <c r="B21" s="8">
        <f>B11+B19</f>
        <v/>
      </c>
      <c r="C21" s="8">
        <f>C11+C19</f>
        <v/>
      </c>
      <c r="D21" s="8">
        <f>D11+D19</f>
        <v/>
      </c>
      <c r="E21" s="8">
        <f>E11+E19</f>
        <v/>
      </c>
      <c r="F21" s="8">
        <f>F11+F19</f>
        <v/>
      </c>
      <c r="G21" s="8">
        <f>G11+G19</f>
        <v/>
      </c>
      <c r="H21" s="8">
        <f>H11+H19</f>
        <v/>
      </c>
      <c r="I21" s="8">
        <f>I11+I19</f>
        <v/>
      </c>
      <c r="J21" s="8">
        <f>J11+J19</f>
        <v/>
      </c>
      <c r="K21" s="8">
        <f>K11+K19</f>
        <v/>
      </c>
      <c r="L21" s="8">
        <f>L11+L19</f>
        <v/>
      </c>
      <c r="M21" s="15">
        <f>SUM(B21:L21)</f>
        <v/>
      </c>
    </row>
    <row r="23">
      <c r="A23" s="13" t="inlineStr">
        <is>
          <t>CAPITAL COSTS</t>
        </is>
      </c>
    </row>
    <row r="24">
      <c r="A24" s="3" t="inlineStr">
        <is>
          <t>Tenant Improvements &amp; Leasing Commissions</t>
        </is>
      </c>
      <c r="B24" s="5">
        <f>-'Rent Roll'!Y167</f>
        <v/>
      </c>
      <c r="C24" s="5">
        <f>-'Rent Roll'!Z167</f>
        <v/>
      </c>
      <c r="D24" s="5">
        <f>-'Rent Roll'!AA167</f>
        <v/>
      </c>
      <c r="E24" s="5">
        <f>-'Rent Roll'!AB167</f>
        <v/>
      </c>
      <c r="F24" s="5">
        <f>-'Rent Roll'!AC167</f>
        <v/>
      </c>
      <c r="G24" s="5">
        <f>-'Rent Roll'!AD167</f>
        <v/>
      </c>
      <c r="H24" s="5">
        <f>-'Rent Roll'!AE167</f>
        <v/>
      </c>
      <c r="I24" s="5">
        <f>-'Rent Roll'!AF167</f>
        <v/>
      </c>
      <c r="J24" s="5">
        <f>-'Rent Roll'!AG167</f>
        <v/>
      </c>
      <c r="K24" s="5">
        <f>-'Rent Roll'!AH167</f>
        <v/>
      </c>
      <c r="L24" s="5">
        <f>-'Rent Roll'!AI167</f>
        <v/>
      </c>
      <c r="M24" s="5">
        <f>SUM(B24:L24)</f>
        <v/>
      </c>
    </row>
    <row r="25">
      <c r="A25" s="3" t="inlineStr">
        <is>
          <t>Capital Reserves</t>
        </is>
      </c>
      <c r="B25" s="5">
        <f>-ReservesPSF*PortfolioSF*(1+CPI)^0</f>
        <v/>
      </c>
      <c r="C25" s="5">
        <f>-ReservesPSF*PortfolioSF*(1+CPI)^1</f>
        <v/>
      </c>
      <c r="D25" s="5">
        <f>-ReservesPSF*PortfolioSF*(1+CPI)^2</f>
        <v/>
      </c>
      <c r="E25" s="5">
        <f>-ReservesPSF*PortfolioSF*(1+CPI)^3</f>
        <v/>
      </c>
      <c r="F25" s="5">
        <f>-ReservesPSF*PortfolioSF*(1+CPI)^4</f>
        <v/>
      </c>
      <c r="G25" s="5">
        <f>-ReservesPSF*PortfolioSF*(1+CPI)^5</f>
        <v/>
      </c>
      <c r="H25" s="5">
        <f>-ReservesPSF*PortfolioSF*(1+CPI)^6</f>
        <v/>
      </c>
      <c r="I25" s="5">
        <f>-ReservesPSF*PortfolioSF*(1+CPI)^7</f>
        <v/>
      </c>
      <c r="J25" s="5">
        <f>-ReservesPSF*PortfolioSF*(1+CPI)^8</f>
        <v/>
      </c>
      <c r="K25" s="5">
        <f>-ReservesPSF*PortfolioSF*(1+CPI)^9</f>
        <v/>
      </c>
      <c r="L25" s="5">
        <f>-ReservesPSF*PortfolioSF*(1+CPI)^10</f>
        <v/>
      </c>
      <c r="M25" s="5">
        <f>SUM(B25:L25)</f>
        <v/>
      </c>
    </row>
    <row r="26">
      <c r="A26" s="14" t="inlineStr">
        <is>
          <t>TOTAL CAPITAL</t>
        </is>
      </c>
      <c r="B26" s="15">
        <f>SUM(B24:B25)</f>
        <v/>
      </c>
      <c r="C26" s="15">
        <f>SUM(C24:C25)</f>
        <v/>
      </c>
      <c r="D26" s="15">
        <f>SUM(D24:D25)</f>
        <v/>
      </c>
      <c r="E26" s="15">
        <f>SUM(E24:E25)</f>
        <v/>
      </c>
      <c r="F26" s="15">
        <f>SUM(F24:F25)</f>
        <v/>
      </c>
      <c r="G26" s="15">
        <f>SUM(G24:G25)</f>
        <v/>
      </c>
      <c r="H26" s="15">
        <f>SUM(H24:H25)</f>
        <v/>
      </c>
      <c r="I26" s="15">
        <f>SUM(I24:I25)</f>
        <v/>
      </c>
      <c r="J26" s="15">
        <f>SUM(J24:J25)</f>
        <v/>
      </c>
      <c r="K26" s="15">
        <f>SUM(K24:K25)</f>
        <v/>
      </c>
      <c r="L26" s="15">
        <f>SUM(L24:L25)</f>
        <v/>
      </c>
      <c r="M26" s="15">
        <f>SUM(B26:L26)</f>
        <v/>
      </c>
    </row>
    <row r="28">
      <c r="A28" s="14" t="inlineStr">
        <is>
          <t>UNLEVERED CASH FLOW</t>
        </is>
      </c>
      <c r="B28" s="8">
        <f>B21+B26</f>
        <v/>
      </c>
      <c r="C28" s="8">
        <f>C21+C26</f>
        <v/>
      </c>
      <c r="D28" s="8">
        <f>D21+D26</f>
        <v/>
      </c>
      <c r="E28" s="8">
        <f>E21+E26</f>
        <v/>
      </c>
      <c r="F28" s="8">
        <f>F21+F26</f>
        <v/>
      </c>
      <c r="G28" s="8">
        <f>G21+G26</f>
        <v/>
      </c>
      <c r="H28" s="8">
        <f>H21+H26</f>
        <v/>
      </c>
      <c r="I28" s="8">
        <f>I21+I26</f>
        <v/>
      </c>
      <c r="J28" s="8">
        <f>J21+J26</f>
        <v/>
      </c>
      <c r="K28" s="8">
        <f>K21+K26</f>
        <v/>
      </c>
      <c r="L28" s="8">
        <f>L21+L26</f>
        <v/>
      </c>
      <c r="M28" s="15">
        <f>SUM(B28:L28)</f>
        <v/>
      </c>
    </row>
    <row r="30">
      <c r="A30" s="13" t="inlineStr">
        <is>
          <t>DEBT SERVICE</t>
        </is>
      </c>
    </row>
    <row r="31">
      <c r="A31" s="3" t="inlineStr">
        <is>
          <t>Interest</t>
        </is>
      </c>
      <c r="B31" s="5">
        <f>Debt!B87</f>
        <v/>
      </c>
      <c r="C31" s="5">
        <f>Debt!B88</f>
        <v/>
      </c>
      <c r="D31" s="5">
        <f>Debt!B89</f>
        <v/>
      </c>
      <c r="E31" s="5">
        <f>Debt!B90</f>
        <v/>
      </c>
      <c r="F31" s="5">
        <f>Debt!B91</f>
        <v/>
      </c>
      <c r="G31" s="5">
        <f>Debt!B92</f>
        <v/>
      </c>
      <c r="H31" s="5">
        <f>Debt!B93</f>
        <v/>
      </c>
      <c r="I31" s="5">
        <f>Debt!B94</f>
        <v/>
      </c>
      <c r="J31" s="5">
        <f>Debt!B95</f>
        <v/>
      </c>
      <c r="K31" s="5">
        <f>Debt!B96</f>
        <v/>
      </c>
      <c r="L31" s="5">
        <f>Debt!B97</f>
        <v/>
      </c>
      <c r="M31" s="5">
        <f>SUM(B31:L31)</f>
        <v/>
      </c>
    </row>
    <row r="32">
      <c r="A32" s="3" t="inlineStr">
        <is>
          <t>Principal</t>
        </is>
      </c>
      <c r="B32" s="5">
        <f>Debt!C87</f>
        <v/>
      </c>
      <c r="C32" s="5">
        <f>Debt!C88</f>
        <v/>
      </c>
      <c r="D32" s="5">
        <f>Debt!C89</f>
        <v/>
      </c>
      <c r="E32" s="5">
        <f>Debt!C90</f>
        <v/>
      </c>
      <c r="F32" s="5">
        <f>Debt!C91</f>
        <v/>
      </c>
      <c r="G32" s="5">
        <f>Debt!C92</f>
        <v/>
      </c>
      <c r="H32" s="5">
        <f>Debt!C93</f>
        <v/>
      </c>
      <c r="I32" s="5">
        <f>Debt!C94</f>
        <v/>
      </c>
      <c r="J32" s="5">
        <f>Debt!C95</f>
        <v/>
      </c>
      <c r="K32" s="5">
        <f>Debt!C96</f>
        <v/>
      </c>
      <c r="L32" s="5">
        <f>Debt!C97</f>
        <v/>
      </c>
      <c r="M32" s="5">
        <f>SUM(B32:L32)</f>
        <v/>
      </c>
    </row>
    <row r="33">
      <c r="A33" s="3" t="inlineStr">
        <is>
          <t>Total Debt Service</t>
        </is>
      </c>
      <c r="B33" s="5">
        <f>Debt!D87</f>
        <v/>
      </c>
      <c r="C33" s="5">
        <f>Debt!D88</f>
        <v/>
      </c>
      <c r="D33" s="5">
        <f>Debt!D89</f>
        <v/>
      </c>
      <c r="E33" s="5">
        <f>Debt!D90</f>
        <v/>
      </c>
      <c r="F33" s="5">
        <f>Debt!D91</f>
        <v/>
      </c>
      <c r="G33" s="5">
        <f>Debt!D92</f>
        <v/>
      </c>
      <c r="H33" s="5">
        <f>Debt!D93</f>
        <v/>
      </c>
      <c r="I33" s="5">
        <f>Debt!D94</f>
        <v/>
      </c>
      <c r="J33" s="5">
        <f>Debt!D95</f>
        <v/>
      </c>
      <c r="K33" s="5">
        <f>Debt!D96</f>
        <v/>
      </c>
      <c r="L33" s="5">
        <f>Debt!D97</f>
        <v/>
      </c>
      <c r="M33" s="5">
        <f>SUM(B33:L33)</f>
        <v/>
      </c>
    </row>
    <row r="34">
      <c r="A34" s="3" t="inlineStr">
        <is>
          <t>Loan Payoff at Maturity</t>
        </is>
      </c>
      <c r="B34" s="5">
        <f>IF(INT((LoanTermMonths-1)/12)=0,-INDEX(Debt!$G$22:$G$81,LoanTermMonths),0)</f>
        <v/>
      </c>
      <c r="C34" s="5">
        <f>IF(INT((LoanTermMonths-1)/12)=1,-INDEX(Debt!$G$22:$G$81,LoanTermMonths),0)</f>
        <v/>
      </c>
      <c r="D34" s="5">
        <f>IF(INT((LoanTermMonths-1)/12)=2,-INDEX(Debt!$G$22:$G$81,LoanTermMonths),0)</f>
        <v/>
      </c>
      <c r="E34" s="5">
        <f>IF(INT((LoanTermMonths-1)/12)=3,-INDEX(Debt!$G$22:$G$81,LoanTermMonths),0)</f>
        <v/>
      </c>
      <c r="F34" s="5">
        <f>IF(INT((LoanTermMonths-1)/12)=4,-INDEX(Debt!$G$22:$G$81,LoanTermMonths),0)</f>
        <v/>
      </c>
      <c r="G34" s="5">
        <f>IF(INT((LoanTermMonths-1)/12)=5,-INDEX(Debt!$G$22:$G$81,LoanTermMonths),0)</f>
        <v/>
      </c>
      <c r="H34" s="5">
        <f>IF(INT((LoanTermMonths-1)/12)=6,-INDEX(Debt!$G$22:$G$81,LoanTermMonths),0)</f>
        <v/>
      </c>
      <c r="I34" s="5">
        <f>IF(INT((LoanTermMonths-1)/12)=7,-INDEX(Debt!$G$22:$G$81,LoanTermMonths),0)</f>
        <v/>
      </c>
      <c r="J34" s="5">
        <f>IF(INT((LoanTermMonths-1)/12)=8,-INDEX(Debt!$G$22:$G$81,LoanTermMonths),0)</f>
        <v/>
      </c>
      <c r="K34" s="5">
        <f>IF(INT((LoanTermMonths-1)/12)=9,-INDEX(Debt!$G$22:$G$81,LoanTermMonths),0)</f>
        <v/>
      </c>
      <c r="L34" s="5">
        <f>IF(INT((LoanTermMonths-1)/12)=10,-INDEX(Debt!$G$22:$G$81,LoanTermMonths),0)</f>
        <v/>
      </c>
      <c r="M34" s="5">
        <f>SUM(B34:L34)</f>
        <v/>
      </c>
    </row>
    <row r="36">
      <c r="A36" s="14" t="inlineStr">
        <is>
          <t>LEVERED CASH FLOW</t>
        </is>
      </c>
      <c r="B36" s="8">
        <f>B28+B33+B34</f>
        <v/>
      </c>
      <c r="C36" s="8">
        <f>C28+C33+C34</f>
        <v/>
      </c>
      <c r="D36" s="8">
        <f>D28+D33+D34</f>
        <v/>
      </c>
      <c r="E36" s="8">
        <f>E28+E33+E34</f>
        <v/>
      </c>
      <c r="F36" s="8">
        <f>F28+F33+F34</f>
        <v/>
      </c>
      <c r="G36" s="8">
        <f>G28+G33+G34</f>
        <v/>
      </c>
      <c r="H36" s="8">
        <f>H28+H33+H34</f>
        <v/>
      </c>
      <c r="I36" s="8">
        <f>I28+I33+I34</f>
        <v/>
      </c>
      <c r="J36" s="8">
        <f>J28+J33+J34</f>
        <v/>
      </c>
      <c r="K36" s="8">
        <f>K28+K33+K34</f>
        <v/>
      </c>
      <c r="L36" s="8">
        <f>L28+L33+L34</f>
        <v/>
      </c>
      <c r="M36" s="15">
        <f>SUM(B36:L36)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</cols>
  <sheetData>
    <row r="1">
      <c r="A1" s="1" t="inlineStr">
        <is>
          <t>MONTHLY CASH FLOW — 120 months from AnalysisStart</t>
        </is>
      </c>
    </row>
    <row r="3">
      <c r="A3" s="13" t="inlineStr">
        <is>
          <t>Month #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2" t="n">
        <v>31</v>
      </c>
      <c r="AG3" s="42" t="n">
        <v>32</v>
      </c>
      <c r="AH3" s="42" t="n">
        <v>33</v>
      </c>
      <c r="AI3" s="42" t="n">
        <v>34</v>
      </c>
      <c r="AJ3" s="42" t="n">
        <v>35</v>
      </c>
      <c r="AK3" s="42" t="n">
        <v>36</v>
      </c>
      <c r="AL3" s="42" t="n">
        <v>37</v>
      </c>
      <c r="AM3" s="42" t="n">
        <v>38</v>
      </c>
      <c r="AN3" s="42" t="n">
        <v>39</v>
      </c>
      <c r="AO3" s="42" t="n">
        <v>40</v>
      </c>
      <c r="AP3" s="42" t="n">
        <v>41</v>
      </c>
      <c r="AQ3" s="42" t="n">
        <v>42</v>
      </c>
      <c r="AR3" s="42" t="n">
        <v>43</v>
      </c>
      <c r="AS3" s="42" t="n">
        <v>44</v>
      </c>
      <c r="AT3" s="42" t="n">
        <v>45</v>
      </c>
      <c r="AU3" s="42" t="n">
        <v>46</v>
      </c>
      <c r="AV3" s="42" t="n">
        <v>47</v>
      </c>
      <c r="AW3" s="42" t="n">
        <v>48</v>
      </c>
      <c r="AX3" s="42" t="n">
        <v>49</v>
      </c>
      <c r="AY3" s="42" t="n">
        <v>50</v>
      </c>
      <c r="AZ3" s="42" t="n">
        <v>51</v>
      </c>
      <c r="BA3" s="42" t="n">
        <v>52</v>
      </c>
      <c r="BB3" s="42" t="n">
        <v>53</v>
      </c>
      <c r="BC3" s="42" t="n">
        <v>54</v>
      </c>
      <c r="BD3" s="42" t="n">
        <v>55</v>
      </c>
      <c r="BE3" s="42" t="n">
        <v>56</v>
      </c>
      <c r="BF3" s="42" t="n">
        <v>57</v>
      </c>
      <c r="BG3" s="42" t="n">
        <v>58</v>
      </c>
      <c r="BH3" s="42" t="n">
        <v>59</v>
      </c>
      <c r="BI3" s="42" t="n">
        <v>60</v>
      </c>
      <c r="BJ3" s="42" t="n">
        <v>61</v>
      </c>
      <c r="BK3" s="42" t="n">
        <v>62</v>
      </c>
      <c r="BL3" s="42" t="n">
        <v>63</v>
      </c>
      <c r="BM3" s="42" t="n">
        <v>64</v>
      </c>
      <c r="BN3" s="42" t="n">
        <v>65</v>
      </c>
      <c r="BO3" s="42" t="n">
        <v>66</v>
      </c>
      <c r="BP3" s="42" t="n">
        <v>67</v>
      </c>
      <c r="BQ3" s="42" t="n">
        <v>68</v>
      </c>
      <c r="BR3" s="42" t="n">
        <v>69</v>
      </c>
      <c r="BS3" s="42" t="n">
        <v>70</v>
      </c>
      <c r="BT3" s="42" t="n">
        <v>71</v>
      </c>
      <c r="BU3" s="42" t="n">
        <v>72</v>
      </c>
      <c r="BV3" s="42" t="n">
        <v>73</v>
      </c>
      <c r="BW3" s="42" t="n">
        <v>74</v>
      </c>
      <c r="BX3" s="42" t="n">
        <v>75</v>
      </c>
      <c r="BY3" s="42" t="n">
        <v>76</v>
      </c>
      <c r="BZ3" s="42" t="n">
        <v>77</v>
      </c>
      <c r="CA3" s="42" t="n">
        <v>78</v>
      </c>
      <c r="CB3" s="42" t="n">
        <v>79</v>
      </c>
      <c r="CC3" s="42" t="n">
        <v>80</v>
      </c>
      <c r="CD3" s="42" t="n">
        <v>81</v>
      </c>
      <c r="CE3" s="42" t="n">
        <v>82</v>
      </c>
      <c r="CF3" s="42" t="n">
        <v>83</v>
      </c>
      <c r="CG3" s="42" t="n">
        <v>84</v>
      </c>
      <c r="CH3" s="42" t="n">
        <v>85</v>
      </c>
      <c r="CI3" s="42" t="n">
        <v>86</v>
      </c>
      <c r="CJ3" s="42" t="n">
        <v>87</v>
      </c>
      <c r="CK3" s="42" t="n">
        <v>88</v>
      </c>
      <c r="CL3" s="42" t="n">
        <v>89</v>
      </c>
      <c r="CM3" s="42" t="n">
        <v>90</v>
      </c>
      <c r="CN3" s="42" t="n">
        <v>91</v>
      </c>
      <c r="CO3" s="42" t="n">
        <v>92</v>
      </c>
      <c r="CP3" s="42" t="n">
        <v>93</v>
      </c>
      <c r="CQ3" s="42" t="n">
        <v>94</v>
      </c>
      <c r="CR3" s="42" t="n">
        <v>95</v>
      </c>
      <c r="CS3" s="42" t="n">
        <v>96</v>
      </c>
      <c r="CT3" s="42" t="n">
        <v>97</v>
      </c>
      <c r="CU3" s="42" t="n">
        <v>98</v>
      </c>
      <c r="CV3" s="42" t="n">
        <v>99</v>
      </c>
      <c r="CW3" s="42" t="n">
        <v>100</v>
      </c>
      <c r="CX3" s="42" t="n">
        <v>101</v>
      </c>
      <c r="CY3" s="42" t="n">
        <v>102</v>
      </c>
      <c r="CZ3" s="42" t="n">
        <v>103</v>
      </c>
      <c r="DA3" s="42" t="n">
        <v>104</v>
      </c>
      <c r="DB3" s="42" t="n">
        <v>105</v>
      </c>
      <c r="DC3" s="42" t="n">
        <v>106</v>
      </c>
      <c r="DD3" s="42" t="n">
        <v>107</v>
      </c>
      <c r="DE3" s="42" t="n">
        <v>108</v>
      </c>
      <c r="DF3" s="42" t="n">
        <v>109</v>
      </c>
      <c r="DG3" s="42" t="n">
        <v>110</v>
      </c>
      <c r="DH3" s="42" t="n">
        <v>111</v>
      </c>
      <c r="DI3" s="42" t="n">
        <v>112</v>
      </c>
      <c r="DJ3" s="42" t="n">
        <v>113</v>
      </c>
      <c r="DK3" s="42" t="n">
        <v>114</v>
      </c>
      <c r="DL3" s="42" t="n">
        <v>115</v>
      </c>
      <c r="DM3" s="42" t="n">
        <v>116</v>
      </c>
      <c r="DN3" s="42" t="n">
        <v>117</v>
      </c>
      <c r="DO3" s="42" t="n">
        <v>118</v>
      </c>
      <c r="DP3" s="42" t="n">
        <v>119</v>
      </c>
      <c r="DQ3" s="42" t="n">
        <v>120</v>
      </c>
    </row>
    <row r="4">
      <c r="A4" s="13" t="inlineStr">
        <is>
          <t>Month</t>
        </is>
      </c>
      <c r="B4" s="43">
        <f>EDATE(AnalysisStart,0)</f>
        <v/>
      </c>
      <c r="C4" s="43">
        <f>EDATE(AnalysisStart,1)</f>
        <v/>
      </c>
      <c r="D4" s="43">
        <f>EDATE(AnalysisStart,2)</f>
        <v/>
      </c>
      <c r="E4" s="43">
        <f>EDATE(AnalysisStart,3)</f>
        <v/>
      </c>
      <c r="F4" s="43">
        <f>EDATE(AnalysisStart,4)</f>
        <v/>
      </c>
      <c r="G4" s="43">
        <f>EDATE(AnalysisStart,5)</f>
        <v/>
      </c>
      <c r="H4" s="43">
        <f>EDATE(AnalysisStart,6)</f>
        <v/>
      </c>
      <c r="I4" s="43">
        <f>EDATE(AnalysisStart,7)</f>
        <v/>
      </c>
      <c r="J4" s="43">
        <f>EDATE(AnalysisStart,8)</f>
        <v/>
      </c>
      <c r="K4" s="43">
        <f>EDATE(AnalysisStart,9)</f>
        <v/>
      </c>
      <c r="L4" s="43">
        <f>EDATE(AnalysisStart,10)</f>
        <v/>
      </c>
      <c r="M4" s="43">
        <f>EDATE(AnalysisStart,11)</f>
        <v/>
      </c>
      <c r="N4" s="43">
        <f>EDATE(AnalysisStart,12)</f>
        <v/>
      </c>
      <c r="O4" s="43">
        <f>EDATE(AnalysisStart,13)</f>
        <v/>
      </c>
      <c r="P4" s="43">
        <f>EDATE(AnalysisStart,14)</f>
        <v/>
      </c>
      <c r="Q4" s="43">
        <f>EDATE(AnalysisStart,15)</f>
        <v/>
      </c>
      <c r="R4" s="43">
        <f>EDATE(AnalysisStart,16)</f>
        <v/>
      </c>
      <c r="S4" s="43">
        <f>EDATE(AnalysisStart,17)</f>
        <v/>
      </c>
      <c r="T4" s="43">
        <f>EDATE(AnalysisStart,18)</f>
        <v/>
      </c>
      <c r="U4" s="43">
        <f>EDATE(AnalysisStart,19)</f>
        <v/>
      </c>
      <c r="V4" s="43">
        <f>EDATE(AnalysisStart,20)</f>
        <v/>
      </c>
      <c r="W4" s="43">
        <f>EDATE(AnalysisStart,21)</f>
        <v/>
      </c>
      <c r="X4" s="43">
        <f>EDATE(AnalysisStart,22)</f>
        <v/>
      </c>
      <c r="Y4" s="43">
        <f>EDATE(AnalysisStart,23)</f>
        <v/>
      </c>
      <c r="Z4" s="43">
        <f>EDATE(AnalysisStart,24)</f>
        <v/>
      </c>
      <c r="AA4" s="43">
        <f>EDATE(AnalysisStart,25)</f>
        <v/>
      </c>
      <c r="AB4" s="43">
        <f>EDATE(AnalysisStart,26)</f>
        <v/>
      </c>
      <c r="AC4" s="43">
        <f>EDATE(AnalysisStart,27)</f>
        <v/>
      </c>
      <c r="AD4" s="43">
        <f>EDATE(AnalysisStart,28)</f>
        <v/>
      </c>
      <c r="AE4" s="43">
        <f>EDATE(AnalysisStart,29)</f>
        <v/>
      </c>
      <c r="AF4" s="43">
        <f>EDATE(AnalysisStart,30)</f>
        <v/>
      </c>
      <c r="AG4" s="43">
        <f>EDATE(AnalysisStart,31)</f>
        <v/>
      </c>
      <c r="AH4" s="43">
        <f>EDATE(AnalysisStart,32)</f>
        <v/>
      </c>
      <c r="AI4" s="43">
        <f>EDATE(AnalysisStart,33)</f>
        <v/>
      </c>
      <c r="AJ4" s="43">
        <f>EDATE(AnalysisStart,34)</f>
        <v/>
      </c>
      <c r="AK4" s="43">
        <f>EDATE(AnalysisStart,35)</f>
        <v/>
      </c>
      <c r="AL4" s="43">
        <f>EDATE(AnalysisStart,36)</f>
        <v/>
      </c>
      <c r="AM4" s="43">
        <f>EDATE(AnalysisStart,37)</f>
        <v/>
      </c>
      <c r="AN4" s="43">
        <f>EDATE(AnalysisStart,38)</f>
        <v/>
      </c>
      <c r="AO4" s="43">
        <f>EDATE(AnalysisStart,39)</f>
        <v/>
      </c>
      <c r="AP4" s="43">
        <f>EDATE(AnalysisStart,40)</f>
        <v/>
      </c>
      <c r="AQ4" s="43">
        <f>EDATE(AnalysisStart,41)</f>
        <v/>
      </c>
      <c r="AR4" s="43">
        <f>EDATE(AnalysisStart,42)</f>
        <v/>
      </c>
      <c r="AS4" s="43">
        <f>EDATE(AnalysisStart,43)</f>
        <v/>
      </c>
      <c r="AT4" s="43">
        <f>EDATE(AnalysisStart,44)</f>
        <v/>
      </c>
      <c r="AU4" s="43">
        <f>EDATE(AnalysisStart,45)</f>
        <v/>
      </c>
      <c r="AV4" s="43">
        <f>EDATE(AnalysisStart,46)</f>
        <v/>
      </c>
      <c r="AW4" s="43">
        <f>EDATE(AnalysisStart,47)</f>
        <v/>
      </c>
      <c r="AX4" s="43">
        <f>EDATE(AnalysisStart,48)</f>
        <v/>
      </c>
      <c r="AY4" s="43">
        <f>EDATE(AnalysisStart,49)</f>
        <v/>
      </c>
      <c r="AZ4" s="43">
        <f>EDATE(AnalysisStart,50)</f>
        <v/>
      </c>
      <c r="BA4" s="43">
        <f>EDATE(AnalysisStart,51)</f>
        <v/>
      </c>
      <c r="BB4" s="43">
        <f>EDATE(AnalysisStart,52)</f>
        <v/>
      </c>
      <c r="BC4" s="43">
        <f>EDATE(AnalysisStart,53)</f>
        <v/>
      </c>
      <c r="BD4" s="43">
        <f>EDATE(AnalysisStart,54)</f>
        <v/>
      </c>
      <c r="BE4" s="43">
        <f>EDATE(AnalysisStart,55)</f>
        <v/>
      </c>
      <c r="BF4" s="43">
        <f>EDATE(AnalysisStart,56)</f>
        <v/>
      </c>
      <c r="BG4" s="43">
        <f>EDATE(AnalysisStart,57)</f>
        <v/>
      </c>
      <c r="BH4" s="43">
        <f>EDATE(AnalysisStart,58)</f>
        <v/>
      </c>
      <c r="BI4" s="43">
        <f>EDATE(AnalysisStart,59)</f>
        <v/>
      </c>
      <c r="BJ4" s="43">
        <f>EDATE(AnalysisStart,60)</f>
        <v/>
      </c>
      <c r="BK4" s="43">
        <f>EDATE(AnalysisStart,61)</f>
        <v/>
      </c>
      <c r="BL4" s="43">
        <f>EDATE(AnalysisStart,62)</f>
        <v/>
      </c>
      <c r="BM4" s="43">
        <f>EDATE(AnalysisStart,63)</f>
        <v/>
      </c>
      <c r="BN4" s="43">
        <f>EDATE(AnalysisStart,64)</f>
        <v/>
      </c>
      <c r="BO4" s="43">
        <f>EDATE(AnalysisStart,65)</f>
        <v/>
      </c>
      <c r="BP4" s="43">
        <f>EDATE(AnalysisStart,66)</f>
        <v/>
      </c>
      <c r="BQ4" s="43">
        <f>EDATE(AnalysisStart,67)</f>
        <v/>
      </c>
      <c r="BR4" s="43">
        <f>EDATE(AnalysisStart,68)</f>
        <v/>
      </c>
      <c r="BS4" s="43">
        <f>EDATE(AnalysisStart,69)</f>
        <v/>
      </c>
      <c r="BT4" s="43">
        <f>EDATE(AnalysisStart,70)</f>
        <v/>
      </c>
      <c r="BU4" s="43">
        <f>EDATE(AnalysisStart,71)</f>
        <v/>
      </c>
      <c r="BV4" s="43">
        <f>EDATE(AnalysisStart,72)</f>
        <v/>
      </c>
      <c r="BW4" s="43">
        <f>EDATE(AnalysisStart,73)</f>
        <v/>
      </c>
      <c r="BX4" s="43">
        <f>EDATE(AnalysisStart,74)</f>
        <v/>
      </c>
      <c r="BY4" s="43">
        <f>EDATE(AnalysisStart,75)</f>
        <v/>
      </c>
      <c r="BZ4" s="43">
        <f>EDATE(AnalysisStart,76)</f>
        <v/>
      </c>
      <c r="CA4" s="43">
        <f>EDATE(AnalysisStart,77)</f>
        <v/>
      </c>
      <c r="CB4" s="43">
        <f>EDATE(AnalysisStart,78)</f>
        <v/>
      </c>
      <c r="CC4" s="43">
        <f>EDATE(AnalysisStart,79)</f>
        <v/>
      </c>
      <c r="CD4" s="43">
        <f>EDATE(AnalysisStart,80)</f>
        <v/>
      </c>
      <c r="CE4" s="43">
        <f>EDATE(AnalysisStart,81)</f>
        <v/>
      </c>
      <c r="CF4" s="43">
        <f>EDATE(AnalysisStart,82)</f>
        <v/>
      </c>
      <c r="CG4" s="43">
        <f>EDATE(AnalysisStart,83)</f>
        <v/>
      </c>
      <c r="CH4" s="43">
        <f>EDATE(AnalysisStart,84)</f>
        <v/>
      </c>
      <c r="CI4" s="43">
        <f>EDATE(AnalysisStart,85)</f>
        <v/>
      </c>
      <c r="CJ4" s="43">
        <f>EDATE(AnalysisStart,86)</f>
        <v/>
      </c>
      <c r="CK4" s="43">
        <f>EDATE(AnalysisStart,87)</f>
        <v/>
      </c>
      <c r="CL4" s="43">
        <f>EDATE(AnalysisStart,88)</f>
        <v/>
      </c>
      <c r="CM4" s="43">
        <f>EDATE(AnalysisStart,89)</f>
        <v/>
      </c>
      <c r="CN4" s="43">
        <f>EDATE(AnalysisStart,90)</f>
        <v/>
      </c>
      <c r="CO4" s="43">
        <f>EDATE(AnalysisStart,91)</f>
        <v/>
      </c>
      <c r="CP4" s="43">
        <f>EDATE(AnalysisStart,92)</f>
        <v/>
      </c>
      <c r="CQ4" s="43">
        <f>EDATE(AnalysisStart,93)</f>
        <v/>
      </c>
      <c r="CR4" s="43">
        <f>EDATE(AnalysisStart,94)</f>
        <v/>
      </c>
      <c r="CS4" s="43">
        <f>EDATE(AnalysisStart,95)</f>
        <v/>
      </c>
      <c r="CT4" s="43">
        <f>EDATE(AnalysisStart,96)</f>
        <v/>
      </c>
      <c r="CU4" s="43">
        <f>EDATE(AnalysisStart,97)</f>
        <v/>
      </c>
      <c r="CV4" s="43">
        <f>EDATE(AnalysisStart,98)</f>
        <v/>
      </c>
      <c r="CW4" s="43">
        <f>EDATE(AnalysisStart,99)</f>
        <v/>
      </c>
      <c r="CX4" s="43">
        <f>EDATE(AnalysisStart,100)</f>
        <v/>
      </c>
      <c r="CY4" s="43">
        <f>EDATE(AnalysisStart,101)</f>
        <v/>
      </c>
      <c r="CZ4" s="43">
        <f>EDATE(AnalysisStart,102)</f>
        <v/>
      </c>
      <c r="DA4" s="43">
        <f>EDATE(AnalysisStart,103)</f>
        <v/>
      </c>
      <c r="DB4" s="43">
        <f>EDATE(AnalysisStart,104)</f>
        <v/>
      </c>
      <c r="DC4" s="43">
        <f>EDATE(AnalysisStart,105)</f>
        <v/>
      </c>
      <c r="DD4" s="43">
        <f>EDATE(AnalysisStart,106)</f>
        <v/>
      </c>
      <c r="DE4" s="43">
        <f>EDATE(AnalysisStart,107)</f>
        <v/>
      </c>
      <c r="DF4" s="43">
        <f>EDATE(AnalysisStart,108)</f>
        <v/>
      </c>
      <c r="DG4" s="43">
        <f>EDATE(AnalysisStart,109)</f>
        <v/>
      </c>
      <c r="DH4" s="43">
        <f>EDATE(AnalysisStart,110)</f>
        <v/>
      </c>
      <c r="DI4" s="43">
        <f>EDATE(AnalysisStart,111)</f>
        <v/>
      </c>
      <c r="DJ4" s="43">
        <f>EDATE(AnalysisStart,112)</f>
        <v/>
      </c>
      <c r="DK4" s="43">
        <f>EDATE(AnalysisStart,113)</f>
        <v/>
      </c>
      <c r="DL4" s="43">
        <f>EDATE(AnalysisStart,114)</f>
        <v/>
      </c>
      <c r="DM4" s="43">
        <f>EDATE(AnalysisStart,115)</f>
        <v/>
      </c>
      <c r="DN4" s="43">
        <f>EDATE(AnalysisStart,116)</f>
        <v/>
      </c>
      <c r="DO4" s="43">
        <f>EDATE(AnalysisStart,117)</f>
        <v/>
      </c>
      <c r="DP4" s="43">
        <f>EDATE(AnalysisStart,118)</f>
        <v/>
      </c>
      <c r="DQ4" s="43">
        <f>EDATE(AnalysisStart,119)</f>
        <v/>
      </c>
    </row>
    <row r="5">
      <c r="A5" s="13" t="inlineStr">
        <is>
          <t>Fiscal Year</t>
        </is>
      </c>
      <c r="B5" s="44" t="inlineStr">
        <is>
          <t>FY27</t>
        </is>
      </c>
      <c r="C5" s="44" t="inlineStr">
        <is>
          <t>FY27</t>
        </is>
      </c>
      <c r="D5" s="44" t="inlineStr">
        <is>
          <t>FY27</t>
        </is>
      </c>
      <c r="E5" s="44" t="inlineStr">
        <is>
          <t>FY27</t>
        </is>
      </c>
      <c r="F5" s="44" t="inlineStr">
        <is>
          <t>FY27</t>
        </is>
      </c>
      <c r="G5" s="44" t="inlineStr">
        <is>
          <t>FY27</t>
        </is>
      </c>
      <c r="H5" s="44" t="inlineStr">
        <is>
          <t>FY27</t>
        </is>
      </c>
      <c r="I5" s="44" t="inlineStr">
        <is>
          <t>FY27</t>
        </is>
      </c>
      <c r="J5" s="44" t="inlineStr">
        <is>
          <t>FY27</t>
        </is>
      </c>
      <c r="K5" s="44" t="inlineStr">
        <is>
          <t>FY27</t>
        </is>
      </c>
      <c r="L5" s="44" t="inlineStr">
        <is>
          <t>FY27</t>
        </is>
      </c>
      <c r="M5" s="44" t="inlineStr">
        <is>
          <t>FY27</t>
        </is>
      </c>
      <c r="N5" s="44" t="inlineStr">
        <is>
          <t>FY28</t>
        </is>
      </c>
      <c r="O5" s="44" t="inlineStr">
        <is>
          <t>FY28</t>
        </is>
      </c>
      <c r="P5" s="44" t="inlineStr">
        <is>
          <t>FY28</t>
        </is>
      </c>
      <c r="Q5" s="44" t="inlineStr">
        <is>
          <t>FY28</t>
        </is>
      </c>
      <c r="R5" s="44" t="inlineStr">
        <is>
          <t>FY28</t>
        </is>
      </c>
      <c r="S5" s="44" t="inlineStr">
        <is>
          <t>FY28</t>
        </is>
      </c>
      <c r="T5" s="44" t="inlineStr">
        <is>
          <t>FY28</t>
        </is>
      </c>
      <c r="U5" s="44" t="inlineStr">
        <is>
          <t>FY28</t>
        </is>
      </c>
      <c r="V5" s="44" t="inlineStr">
        <is>
          <t>FY28</t>
        </is>
      </c>
      <c r="W5" s="44" t="inlineStr">
        <is>
          <t>FY28</t>
        </is>
      </c>
      <c r="X5" s="44" t="inlineStr">
        <is>
          <t>FY28</t>
        </is>
      </c>
      <c r="Y5" s="44" t="inlineStr">
        <is>
          <t>FY28</t>
        </is>
      </c>
      <c r="Z5" s="44" t="inlineStr">
        <is>
          <t>FY29</t>
        </is>
      </c>
      <c r="AA5" s="44" t="inlineStr">
        <is>
          <t>FY29</t>
        </is>
      </c>
      <c r="AB5" s="44" t="inlineStr">
        <is>
          <t>FY29</t>
        </is>
      </c>
      <c r="AC5" s="44" t="inlineStr">
        <is>
          <t>FY29</t>
        </is>
      </c>
      <c r="AD5" s="44" t="inlineStr">
        <is>
          <t>FY29</t>
        </is>
      </c>
      <c r="AE5" s="44" t="inlineStr">
        <is>
          <t>FY29</t>
        </is>
      </c>
      <c r="AF5" s="44" t="inlineStr">
        <is>
          <t>FY29</t>
        </is>
      </c>
      <c r="AG5" s="44" t="inlineStr">
        <is>
          <t>FY29</t>
        </is>
      </c>
      <c r="AH5" s="44" t="inlineStr">
        <is>
          <t>FY29</t>
        </is>
      </c>
      <c r="AI5" s="44" t="inlineStr">
        <is>
          <t>FY29</t>
        </is>
      </c>
      <c r="AJ5" s="44" t="inlineStr">
        <is>
          <t>FY29</t>
        </is>
      </c>
      <c r="AK5" s="44" t="inlineStr">
        <is>
          <t>FY29</t>
        </is>
      </c>
      <c r="AL5" s="44" t="inlineStr">
        <is>
          <t>FY30</t>
        </is>
      </c>
      <c r="AM5" s="44" t="inlineStr">
        <is>
          <t>FY30</t>
        </is>
      </c>
      <c r="AN5" s="44" t="inlineStr">
        <is>
          <t>FY30</t>
        </is>
      </c>
      <c r="AO5" s="44" t="inlineStr">
        <is>
          <t>FY30</t>
        </is>
      </c>
      <c r="AP5" s="44" t="inlineStr">
        <is>
          <t>FY30</t>
        </is>
      </c>
      <c r="AQ5" s="44" t="inlineStr">
        <is>
          <t>FY30</t>
        </is>
      </c>
      <c r="AR5" s="44" t="inlineStr">
        <is>
          <t>FY30</t>
        </is>
      </c>
      <c r="AS5" s="44" t="inlineStr">
        <is>
          <t>FY30</t>
        </is>
      </c>
      <c r="AT5" s="44" t="inlineStr">
        <is>
          <t>FY30</t>
        </is>
      </c>
      <c r="AU5" s="44" t="inlineStr">
        <is>
          <t>FY30</t>
        </is>
      </c>
      <c r="AV5" s="44" t="inlineStr">
        <is>
          <t>FY30</t>
        </is>
      </c>
      <c r="AW5" s="44" t="inlineStr">
        <is>
          <t>FY30</t>
        </is>
      </c>
      <c r="AX5" s="44" t="inlineStr">
        <is>
          <t>FY31</t>
        </is>
      </c>
      <c r="AY5" s="44" t="inlineStr">
        <is>
          <t>FY31</t>
        </is>
      </c>
      <c r="AZ5" s="44" t="inlineStr">
        <is>
          <t>FY31</t>
        </is>
      </c>
      <c r="BA5" s="44" t="inlineStr">
        <is>
          <t>FY31</t>
        </is>
      </c>
      <c r="BB5" s="44" t="inlineStr">
        <is>
          <t>FY31</t>
        </is>
      </c>
      <c r="BC5" s="44" t="inlineStr">
        <is>
          <t>FY31</t>
        </is>
      </c>
      <c r="BD5" s="44" t="inlineStr">
        <is>
          <t>FY31</t>
        </is>
      </c>
      <c r="BE5" s="44" t="inlineStr">
        <is>
          <t>FY31</t>
        </is>
      </c>
      <c r="BF5" s="44" t="inlineStr">
        <is>
          <t>FY31</t>
        </is>
      </c>
      <c r="BG5" s="44" t="inlineStr">
        <is>
          <t>FY31</t>
        </is>
      </c>
      <c r="BH5" s="44" t="inlineStr">
        <is>
          <t>FY31</t>
        </is>
      </c>
      <c r="BI5" s="44" t="inlineStr">
        <is>
          <t>FY31</t>
        </is>
      </c>
      <c r="BJ5" s="44" t="inlineStr">
        <is>
          <t>FY32</t>
        </is>
      </c>
      <c r="BK5" s="44" t="inlineStr">
        <is>
          <t>FY32</t>
        </is>
      </c>
      <c r="BL5" s="44" t="inlineStr">
        <is>
          <t>FY32</t>
        </is>
      </c>
      <c r="BM5" s="44" t="inlineStr">
        <is>
          <t>FY32</t>
        </is>
      </c>
      <c r="BN5" s="44" t="inlineStr">
        <is>
          <t>FY32</t>
        </is>
      </c>
      <c r="BO5" s="44" t="inlineStr">
        <is>
          <t>FY32</t>
        </is>
      </c>
      <c r="BP5" s="44" t="inlineStr">
        <is>
          <t>FY32</t>
        </is>
      </c>
      <c r="BQ5" s="44" t="inlineStr">
        <is>
          <t>FY32</t>
        </is>
      </c>
      <c r="BR5" s="44" t="inlineStr">
        <is>
          <t>FY32</t>
        </is>
      </c>
      <c r="BS5" s="44" t="inlineStr">
        <is>
          <t>FY32</t>
        </is>
      </c>
      <c r="BT5" s="44" t="inlineStr">
        <is>
          <t>FY32</t>
        </is>
      </c>
      <c r="BU5" s="44" t="inlineStr">
        <is>
          <t>FY32</t>
        </is>
      </c>
      <c r="BV5" s="44" t="inlineStr">
        <is>
          <t>FY33</t>
        </is>
      </c>
      <c r="BW5" s="44" t="inlineStr">
        <is>
          <t>FY33</t>
        </is>
      </c>
      <c r="BX5" s="44" t="inlineStr">
        <is>
          <t>FY33</t>
        </is>
      </c>
      <c r="BY5" s="44" t="inlineStr">
        <is>
          <t>FY33</t>
        </is>
      </c>
      <c r="BZ5" s="44" t="inlineStr">
        <is>
          <t>FY33</t>
        </is>
      </c>
      <c r="CA5" s="44" t="inlineStr">
        <is>
          <t>FY33</t>
        </is>
      </c>
      <c r="CB5" s="44" t="inlineStr">
        <is>
          <t>FY33</t>
        </is>
      </c>
      <c r="CC5" s="44" t="inlineStr">
        <is>
          <t>FY33</t>
        </is>
      </c>
      <c r="CD5" s="44" t="inlineStr">
        <is>
          <t>FY33</t>
        </is>
      </c>
      <c r="CE5" s="44" t="inlineStr">
        <is>
          <t>FY33</t>
        </is>
      </c>
      <c r="CF5" s="44" t="inlineStr">
        <is>
          <t>FY33</t>
        </is>
      </c>
      <c r="CG5" s="44" t="inlineStr">
        <is>
          <t>FY33</t>
        </is>
      </c>
      <c r="CH5" s="44" t="inlineStr">
        <is>
          <t>FY34</t>
        </is>
      </c>
      <c r="CI5" s="44" t="inlineStr">
        <is>
          <t>FY34</t>
        </is>
      </c>
      <c r="CJ5" s="44" t="inlineStr">
        <is>
          <t>FY34</t>
        </is>
      </c>
      <c r="CK5" s="44" t="inlineStr">
        <is>
          <t>FY34</t>
        </is>
      </c>
      <c r="CL5" s="44" t="inlineStr">
        <is>
          <t>FY34</t>
        </is>
      </c>
      <c r="CM5" s="44" t="inlineStr">
        <is>
          <t>FY34</t>
        </is>
      </c>
      <c r="CN5" s="44" t="inlineStr">
        <is>
          <t>FY34</t>
        </is>
      </c>
      <c r="CO5" s="44" t="inlineStr">
        <is>
          <t>FY34</t>
        </is>
      </c>
      <c r="CP5" s="44" t="inlineStr">
        <is>
          <t>FY34</t>
        </is>
      </c>
      <c r="CQ5" s="44" t="inlineStr">
        <is>
          <t>FY34</t>
        </is>
      </c>
      <c r="CR5" s="44" t="inlineStr">
        <is>
          <t>FY34</t>
        </is>
      </c>
      <c r="CS5" s="44" t="inlineStr">
        <is>
          <t>FY34</t>
        </is>
      </c>
      <c r="CT5" s="44" t="inlineStr">
        <is>
          <t>FY35</t>
        </is>
      </c>
      <c r="CU5" s="44" t="inlineStr">
        <is>
          <t>FY35</t>
        </is>
      </c>
      <c r="CV5" s="44" t="inlineStr">
        <is>
          <t>FY35</t>
        </is>
      </c>
      <c r="CW5" s="44" t="inlineStr">
        <is>
          <t>FY35</t>
        </is>
      </c>
      <c r="CX5" s="44" t="inlineStr">
        <is>
          <t>FY35</t>
        </is>
      </c>
      <c r="CY5" s="44" t="inlineStr">
        <is>
          <t>FY35</t>
        </is>
      </c>
      <c r="CZ5" s="44" t="inlineStr">
        <is>
          <t>FY35</t>
        </is>
      </c>
      <c r="DA5" s="44" t="inlineStr">
        <is>
          <t>FY35</t>
        </is>
      </c>
      <c r="DB5" s="44" t="inlineStr">
        <is>
          <t>FY35</t>
        </is>
      </c>
      <c r="DC5" s="44" t="inlineStr">
        <is>
          <t>FY35</t>
        </is>
      </c>
      <c r="DD5" s="44" t="inlineStr">
        <is>
          <t>FY35</t>
        </is>
      </c>
      <c r="DE5" s="44" t="inlineStr">
        <is>
          <t>FY35</t>
        </is>
      </c>
      <c r="DF5" s="44" t="inlineStr">
        <is>
          <t>FY36</t>
        </is>
      </c>
      <c r="DG5" s="44" t="inlineStr">
        <is>
          <t>FY36</t>
        </is>
      </c>
      <c r="DH5" s="44" t="inlineStr">
        <is>
          <t>FY36</t>
        </is>
      </c>
      <c r="DI5" s="44" t="inlineStr">
        <is>
          <t>FY36</t>
        </is>
      </c>
      <c r="DJ5" s="44" t="inlineStr">
        <is>
          <t>FY36</t>
        </is>
      </c>
      <c r="DK5" s="44" t="inlineStr">
        <is>
          <t>FY36</t>
        </is>
      </c>
      <c r="DL5" s="44" t="inlineStr">
        <is>
          <t>FY36</t>
        </is>
      </c>
      <c r="DM5" s="44" t="inlineStr">
        <is>
          <t>FY36</t>
        </is>
      </c>
      <c r="DN5" s="44" t="inlineStr">
        <is>
          <t>FY36</t>
        </is>
      </c>
      <c r="DO5" s="44" t="inlineStr">
        <is>
          <t>FY36</t>
        </is>
      </c>
      <c r="DP5" s="44" t="inlineStr">
        <is>
          <t>FY36</t>
        </is>
      </c>
      <c r="DQ5" s="44" t="inlineStr">
        <is>
          <t>FY36</t>
        </is>
      </c>
    </row>
    <row r="7">
      <c r="A7" s="3" t="inlineStr">
        <is>
          <t>NOI (Annual / 12)</t>
        </is>
      </c>
      <c r="B7" s="5">
        <f>'Annual CF'!B21/12</f>
        <v/>
      </c>
      <c r="C7" s="5">
        <f>'Annual CF'!B21/12</f>
        <v/>
      </c>
      <c r="D7" s="5">
        <f>'Annual CF'!B21/12</f>
        <v/>
      </c>
      <c r="E7" s="5">
        <f>'Annual CF'!B21/12</f>
        <v/>
      </c>
      <c r="F7" s="5">
        <f>'Annual CF'!B21/12</f>
        <v/>
      </c>
      <c r="G7" s="5">
        <f>'Annual CF'!B21/12</f>
        <v/>
      </c>
      <c r="H7" s="5">
        <f>'Annual CF'!B21/12</f>
        <v/>
      </c>
      <c r="I7" s="5">
        <f>'Annual CF'!B21/12</f>
        <v/>
      </c>
      <c r="J7" s="5">
        <f>'Annual CF'!B21/12</f>
        <v/>
      </c>
      <c r="K7" s="5">
        <f>'Annual CF'!B21/12</f>
        <v/>
      </c>
      <c r="L7" s="5">
        <f>'Annual CF'!B21/12</f>
        <v/>
      </c>
      <c r="M7" s="5">
        <f>'Annual CF'!B21/12</f>
        <v/>
      </c>
      <c r="N7" s="5">
        <f>'Annual CF'!C21/12</f>
        <v/>
      </c>
      <c r="O7" s="5">
        <f>'Annual CF'!C21/12</f>
        <v/>
      </c>
      <c r="P7" s="5">
        <f>'Annual CF'!C21/12</f>
        <v/>
      </c>
      <c r="Q7" s="5">
        <f>'Annual CF'!C21/12</f>
        <v/>
      </c>
      <c r="R7" s="5">
        <f>'Annual CF'!C21/12</f>
        <v/>
      </c>
      <c r="S7" s="5">
        <f>'Annual CF'!C21/12</f>
        <v/>
      </c>
      <c r="T7" s="5">
        <f>'Annual CF'!C21/12</f>
        <v/>
      </c>
      <c r="U7" s="5">
        <f>'Annual CF'!C21/12</f>
        <v/>
      </c>
      <c r="V7" s="5">
        <f>'Annual CF'!C21/12</f>
        <v/>
      </c>
      <c r="W7" s="5">
        <f>'Annual CF'!C21/12</f>
        <v/>
      </c>
      <c r="X7" s="5">
        <f>'Annual CF'!C21/12</f>
        <v/>
      </c>
      <c r="Y7" s="5">
        <f>'Annual CF'!C21/12</f>
        <v/>
      </c>
      <c r="Z7" s="5">
        <f>'Annual CF'!D21/12</f>
        <v/>
      </c>
      <c r="AA7" s="5">
        <f>'Annual CF'!D21/12</f>
        <v/>
      </c>
      <c r="AB7" s="5">
        <f>'Annual CF'!D21/12</f>
        <v/>
      </c>
      <c r="AC7" s="5">
        <f>'Annual CF'!D21/12</f>
        <v/>
      </c>
      <c r="AD7" s="5">
        <f>'Annual CF'!D21/12</f>
        <v/>
      </c>
      <c r="AE7" s="5">
        <f>'Annual CF'!D21/12</f>
        <v/>
      </c>
      <c r="AF7" s="5">
        <f>'Annual CF'!D21/12</f>
        <v/>
      </c>
      <c r="AG7" s="5">
        <f>'Annual CF'!D21/12</f>
        <v/>
      </c>
      <c r="AH7" s="5">
        <f>'Annual CF'!D21/12</f>
        <v/>
      </c>
      <c r="AI7" s="5">
        <f>'Annual CF'!D21/12</f>
        <v/>
      </c>
      <c r="AJ7" s="5">
        <f>'Annual CF'!D21/12</f>
        <v/>
      </c>
      <c r="AK7" s="5">
        <f>'Annual CF'!D21/12</f>
        <v/>
      </c>
      <c r="AL7" s="5">
        <f>'Annual CF'!E21/12</f>
        <v/>
      </c>
      <c r="AM7" s="5">
        <f>'Annual CF'!E21/12</f>
        <v/>
      </c>
      <c r="AN7" s="5">
        <f>'Annual CF'!E21/12</f>
        <v/>
      </c>
      <c r="AO7" s="5">
        <f>'Annual CF'!E21/12</f>
        <v/>
      </c>
      <c r="AP7" s="5">
        <f>'Annual CF'!E21/12</f>
        <v/>
      </c>
      <c r="AQ7" s="5">
        <f>'Annual CF'!E21/12</f>
        <v/>
      </c>
      <c r="AR7" s="5">
        <f>'Annual CF'!E21/12</f>
        <v/>
      </c>
      <c r="AS7" s="5">
        <f>'Annual CF'!E21/12</f>
        <v/>
      </c>
      <c r="AT7" s="5">
        <f>'Annual CF'!E21/12</f>
        <v/>
      </c>
      <c r="AU7" s="5">
        <f>'Annual CF'!E21/12</f>
        <v/>
      </c>
      <c r="AV7" s="5">
        <f>'Annual CF'!E21/12</f>
        <v/>
      </c>
      <c r="AW7" s="5">
        <f>'Annual CF'!E21/12</f>
        <v/>
      </c>
      <c r="AX7" s="5">
        <f>'Annual CF'!F21/12</f>
        <v/>
      </c>
      <c r="AY7" s="5">
        <f>'Annual CF'!F21/12</f>
        <v/>
      </c>
      <c r="AZ7" s="5">
        <f>'Annual CF'!F21/12</f>
        <v/>
      </c>
      <c r="BA7" s="5">
        <f>'Annual CF'!F21/12</f>
        <v/>
      </c>
      <c r="BB7" s="5">
        <f>'Annual CF'!F21/12</f>
        <v/>
      </c>
      <c r="BC7" s="5">
        <f>'Annual CF'!F21/12</f>
        <v/>
      </c>
      <c r="BD7" s="5">
        <f>'Annual CF'!F21/12</f>
        <v/>
      </c>
      <c r="BE7" s="5">
        <f>'Annual CF'!F21/12</f>
        <v/>
      </c>
      <c r="BF7" s="5">
        <f>'Annual CF'!F21/12</f>
        <v/>
      </c>
      <c r="BG7" s="5">
        <f>'Annual CF'!F21/12</f>
        <v/>
      </c>
      <c r="BH7" s="5">
        <f>'Annual CF'!F21/12</f>
        <v/>
      </c>
      <c r="BI7" s="5">
        <f>'Annual CF'!F21/12</f>
        <v/>
      </c>
      <c r="BJ7" s="5">
        <f>'Annual CF'!G21/12</f>
        <v/>
      </c>
      <c r="BK7" s="5">
        <f>'Annual CF'!G21/12</f>
        <v/>
      </c>
      <c r="BL7" s="5">
        <f>'Annual CF'!G21/12</f>
        <v/>
      </c>
      <c r="BM7" s="5">
        <f>'Annual CF'!G21/12</f>
        <v/>
      </c>
      <c r="BN7" s="5">
        <f>'Annual CF'!G21/12</f>
        <v/>
      </c>
      <c r="BO7" s="5">
        <f>'Annual CF'!G21/12</f>
        <v/>
      </c>
      <c r="BP7" s="5">
        <f>'Annual CF'!G21/12</f>
        <v/>
      </c>
      <c r="BQ7" s="5">
        <f>'Annual CF'!G21/12</f>
        <v/>
      </c>
      <c r="BR7" s="5">
        <f>'Annual CF'!G21/12</f>
        <v/>
      </c>
      <c r="BS7" s="5">
        <f>'Annual CF'!G21/12</f>
        <v/>
      </c>
      <c r="BT7" s="5">
        <f>'Annual CF'!G21/12</f>
        <v/>
      </c>
      <c r="BU7" s="5">
        <f>'Annual CF'!G21/12</f>
        <v/>
      </c>
      <c r="BV7" s="5">
        <f>'Annual CF'!H21/12</f>
        <v/>
      </c>
      <c r="BW7" s="5">
        <f>'Annual CF'!H21/12</f>
        <v/>
      </c>
      <c r="BX7" s="5">
        <f>'Annual CF'!H21/12</f>
        <v/>
      </c>
      <c r="BY7" s="5">
        <f>'Annual CF'!H21/12</f>
        <v/>
      </c>
      <c r="BZ7" s="5">
        <f>'Annual CF'!H21/12</f>
        <v/>
      </c>
      <c r="CA7" s="5">
        <f>'Annual CF'!H21/12</f>
        <v/>
      </c>
      <c r="CB7" s="5">
        <f>'Annual CF'!H21/12</f>
        <v/>
      </c>
      <c r="CC7" s="5">
        <f>'Annual CF'!H21/12</f>
        <v/>
      </c>
      <c r="CD7" s="5">
        <f>'Annual CF'!H21/12</f>
        <v/>
      </c>
      <c r="CE7" s="5">
        <f>'Annual CF'!H21/12</f>
        <v/>
      </c>
      <c r="CF7" s="5">
        <f>'Annual CF'!H21/12</f>
        <v/>
      </c>
      <c r="CG7" s="5">
        <f>'Annual CF'!H21/12</f>
        <v/>
      </c>
      <c r="CH7" s="5">
        <f>'Annual CF'!I21/12</f>
        <v/>
      </c>
      <c r="CI7" s="5">
        <f>'Annual CF'!I21/12</f>
        <v/>
      </c>
      <c r="CJ7" s="5">
        <f>'Annual CF'!I21/12</f>
        <v/>
      </c>
      <c r="CK7" s="5">
        <f>'Annual CF'!I21/12</f>
        <v/>
      </c>
      <c r="CL7" s="5">
        <f>'Annual CF'!I21/12</f>
        <v/>
      </c>
      <c r="CM7" s="5">
        <f>'Annual CF'!I21/12</f>
        <v/>
      </c>
      <c r="CN7" s="5">
        <f>'Annual CF'!I21/12</f>
        <v/>
      </c>
      <c r="CO7" s="5">
        <f>'Annual CF'!I21/12</f>
        <v/>
      </c>
      <c r="CP7" s="5">
        <f>'Annual CF'!I21/12</f>
        <v/>
      </c>
      <c r="CQ7" s="5">
        <f>'Annual CF'!I21/12</f>
        <v/>
      </c>
      <c r="CR7" s="5">
        <f>'Annual CF'!I21/12</f>
        <v/>
      </c>
      <c r="CS7" s="5">
        <f>'Annual CF'!I21/12</f>
        <v/>
      </c>
      <c r="CT7" s="5">
        <f>'Annual CF'!J21/12</f>
        <v/>
      </c>
      <c r="CU7" s="5">
        <f>'Annual CF'!J21/12</f>
        <v/>
      </c>
      <c r="CV7" s="5">
        <f>'Annual CF'!J21/12</f>
        <v/>
      </c>
      <c r="CW7" s="5">
        <f>'Annual CF'!J21/12</f>
        <v/>
      </c>
      <c r="CX7" s="5">
        <f>'Annual CF'!J21/12</f>
        <v/>
      </c>
      <c r="CY7" s="5">
        <f>'Annual CF'!J21/12</f>
        <v/>
      </c>
      <c r="CZ7" s="5">
        <f>'Annual CF'!J21/12</f>
        <v/>
      </c>
      <c r="DA7" s="5">
        <f>'Annual CF'!J21/12</f>
        <v/>
      </c>
      <c r="DB7" s="5">
        <f>'Annual CF'!J21/12</f>
        <v/>
      </c>
      <c r="DC7" s="5">
        <f>'Annual CF'!J21/12</f>
        <v/>
      </c>
      <c r="DD7" s="5">
        <f>'Annual CF'!J21/12</f>
        <v/>
      </c>
      <c r="DE7" s="5">
        <f>'Annual CF'!J21/12</f>
        <v/>
      </c>
      <c r="DF7" s="5">
        <f>'Annual CF'!K21/12</f>
        <v/>
      </c>
      <c r="DG7" s="5">
        <f>'Annual CF'!K21/12</f>
        <v/>
      </c>
      <c r="DH7" s="5">
        <f>'Annual CF'!K21/12</f>
        <v/>
      </c>
      <c r="DI7" s="5">
        <f>'Annual CF'!K21/12</f>
        <v/>
      </c>
      <c r="DJ7" s="5">
        <f>'Annual CF'!K21/12</f>
        <v/>
      </c>
      <c r="DK7" s="5">
        <f>'Annual CF'!K21/12</f>
        <v/>
      </c>
      <c r="DL7" s="5">
        <f>'Annual CF'!K21/12</f>
        <v/>
      </c>
      <c r="DM7" s="5">
        <f>'Annual CF'!K21/12</f>
        <v/>
      </c>
      <c r="DN7" s="5">
        <f>'Annual CF'!K21/12</f>
        <v/>
      </c>
      <c r="DO7" s="5">
        <f>'Annual CF'!K21/12</f>
        <v/>
      </c>
      <c r="DP7" s="5">
        <f>'Annual CF'!K21/12</f>
        <v/>
      </c>
      <c r="DQ7" s="5">
        <f>'Annual CF'!K21/12</f>
        <v/>
      </c>
    </row>
    <row r="8">
      <c r="A8" s="3" t="inlineStr">
        <is>
          <t>Capital Costs (Annual / 12)</t>
        </is>
      </c>
      <c r="B8" s="5">
        <f>'Annual CF'!B26/12</f>
        <v/>
      </c>
      <c r="C8" s="5">
        <f>'Annual CF'!B26/12</f>
        <v/>
      </c>
      <c r="D8" s="5">
        <f>'Annual CF'!B26/12</f>
        <v/>
      </c>
      <c r="E8" s="5">
        <f>'Annual CF'!B26/12</f>
        <v/>
      </c>
      <c r="F8" s="5">
        <f>'Annual CF'!B26/12</f>
        <v/>
      </c>
      <c r="G8" s="5">
        <f>'Annual CF'!B26/12</f>
        <v/>
      </c>
      <c r="H8" s="5">
        <f>'Annual CF'!B26/12</f>
        <v/>
      </c>
      <c r="I8" s="5">
        <f>'Annual CF'!B26/12</f>
        <v/>
      </c>
      <c r="J8" s="5">
        <f>'Annual CF'!B26/12</f>
        <v/>
      </c>
      <c r="K8" s="5">
        <f>'Annual CF'!B26/12</f>
        <v/>
      </c>
      <c r="L8" s="5">
        <f>'Annual CF'!B26/12</f>
        <v/>
      </c>
      <c r="M8" s="5">
        <f>'Annual CF'!B26/12</f>
        <v/>
      </c>
      <c r="N8" s="5">
        <f>'Annual CF'!C26/12</f>
        <v/>
      </c>
      <c r="O8" s="5">
        <f>'Annual CF'!C26/12</f>
        <v/>
      </c>
      <c r="P8" s="5">
        <f>'Annual CF'!C26/12</f>
        <v/>
      </c>
      <c r="Q8" s="5">
        <f>'Annual CF'!C26/12</f>
        <v/>
      </c>
      <c r="R8" s="5">
        <f>'Annual CF'!C26/12</f>
        <v/>
      </c>
      <c r="S8" s="5">
        <f>'Annual CF'!C26/12</f>
        <v/>
      </c>
      <c r="T8" s="5">
        <f>'Annual CF'!C26/12</f>
        <v/>
      </c>
      <c r="U8" s="5">
        <f>'Annual CF'!C26/12</f>
        <v/>
      </c>
      <c r="V8" s="5">
        <f>'Annual CF'!C26/12</f>
        <v/>
      </c>
      <c r="W8" s="5">
        <f>'Annual CF'!C26/12</f>
        <v/>
      </c>
      <c r="X8" s="5">
        <f>'Annual CF'!C26/12</f>
        <v/>
      </c>
      <c r="Y8" s="5">
        <f>'Annual CF'!C26/12</f>
        <v/>
      </c>
      <c r="Z8" s="5">
        <f>'Annual CF'!D26/12</f>
        <v/>
      </c>
      <c r="AA8" s="5">
        <f>'Annual CF'!D26/12</f>
        <v/>
      </c>
      <c r="AB8" s="5">
        <f>'Annual CF'!D26/12</f>
        <v/>
      </c>
      <c r="AC8" s="5">
        <f>'Annual CF'!D26/12</f>
        <v/>
      </c>
      <c r="AD8" s="5">
        <f>'Annual CF'!D26/12</f>
        <v/>
      </c>
      <c r="AE8" s="5">
        <f>'Annual CF'!D26/12</f>
        <v/>
      </c>
      <c r="AF8" s="5">
        <f>'Annual CF'!D26/12</f>
        <v/>
      </c>
      <c r="AG8" s="5">
        <f>'Annual CF'!D26/12</f>
        <v/>
      </c>
      <c r="AH8" s="5">
        <f>'Annual CF'!D26/12</f>
        <v/>
      </c>
      <c r="AI8" s="5">
        <f>'Annual CF'!D26/12</f>
        <v/>
      </c>
      <c r="AJ8" s="5">
        <f>'Annual CF'!D26/12</f>
        <v/>
      </c>
      <c r="AK8" s="5">
        <f>'Annual CF'!D26/12</f>
        <v/>
      </c>
      <c r="AL8" s="5">
        <f>'Annual CF'!E26/12</f>
        <v/>
      </c>
      <c r="AM8" s="5">
        <f>'Annual CF'!E26/12</f>
        <v/>
      </c>
      <c r="AN8" s="5">
        <f>'Annual CF'!E26/12</f>
        <v/>
      </c>
      <c r="AO8" s="5">
        <f>'Annual CF'!E26/12</f>
        <v/>
      </c>
      <c r="AP8" s="5">
        <f>'Annual CF'!E26/12</f>
        <v/>
      </c>
      <c r="AQ8" s="5">
        <f>'Annual CF'!E26/12</f>
        <v/>
      </c>
      <c r="AR8" s="5">
        <f>'Annual CF'!E26/12</f>
        <v/>
      </c>
      <c r="AS8" s="5">
        <f>'Annual CF'!E26/12</f>
        <v/>
      </c>
      <c r="AT8" s="5">
        <f>'Annual CF'!E26/12</f>
        <v/>
      </c>
      <c r="AU8" s="5">
        <f>'Annual CF'!E26/12</f>
        <v/>
      </c>
      <c r="AV8" s="5">
        <f>'Annual CF'!E26/12</f>
        <v/>
      </c>
      <c r="AW8" s="5">
        <f>'Annual CF'!E26/12</f>
        <v/>
      </c>
      <c r="AX8" s="5">
        <f>'Annual CF'!F26/12</f>
        <v/>
      </c>
      <c r="AY8" s="5">
        <f>'Annual CF'!F26/12</f>
        <v/>
      </c>
      <c r="AZ8" s="5">
        <f>'Annual CF'!F26/12</f>
        <v/>
      </c>
      <c r="BA8" s="5">
        <f>'Annual CF'!F26/12</f>
        <v/>
      </c>
      <c r="BB8" s="5">
        <f>'Annual CF'!F26/12</f>
        <v/>
      </c>
      <c r="BC8" s="5">
        <f>'Annual CF'!F26/12</f>
        <v/>
      </c>
      <c r="BD8" s="5">
        <f>'Annual CF'!F26/12</f>
        <v/>
      </c>
      <c r="BE8" s="5">
        <f>'Annual CF'!F26/12</f>
        <v/>
      </c>
      <c r="BF8" s="5">
        <f>'Annual CF'!F26/12</f>
        <v/>
      </c>
      <c r="BG8" s="5">
        <f>'Annual CF'!F26/12</f>
        <v/>
      </c>
      <c r="BH8" s="5">
        <f>'Annual CF'!F26/12</f>
        <v/>
      </c>
      <c r="BI8" s="5">
        <f>'Annual CF'!F26/12</f>
        <v/>
      </c>
      <c r="BJ8" s="5">
        <f>'Annual CF'!G26/12</f>
        <v/>
      </c>
      <c r="BK8" s="5">
        <f>'Annual CF'!G26/12</f>
        <v/>
      </c>
      <c r="BL8" s="5">
        <f>'Annual CF'!G26/12</f>
        <v/>
      </c>
      <c r="BM8" s="5">
        <f>'Annual CF'!G26/12</f>
        <v/>
      </c>
      <c r="BN8" s="5">
        <f>'Annual CF'!G26/12</f>
        <v/>
      </c>
      <c r="BO8" s="5">
        <f>'Annual CF'!G26/12</f>
        <v/>
      </c>
      <c r="BP8" s="5">
        <f>'Annual CF'!G26/12</f>
        <v/>
      </c>
      <c r="BQ8" s="5">
        <f>'Annual CF'!G26/12</f>
        <v/>
      </c>
      <c r="BR8" s="5">
        <f>'Annual CF'!G26/12</f>
        <v/>
      </c>
      <c r="BS8" s="5">
        <f>'Annual CF'!G26/12</f>
        <v/>
      </c>
      <c r="BT8" s="5">
        <f>'Annual CF'!G26/12</f>
        <v/>
      </c>
      <c r="BU8" s="5">
        <f>'Annual CF'!G26/12</f>
        <v/>
      </c>
      <c r="BV8" s="5">
        <f>'Annual CF'!H26/12</f>
        <v/>
      </c>
      <c r="BW8" s="5">
        <f>'Annual CF'!H26/12</f>
        <v/>
      </c>
      <c r="BX8" s="5">
        <f>'Annual CF'!H26/12</f>
        <v/>
      </c>
      <c r="BY8" s="5">
        <f>'Annual CF'!H26/12</f>
        <v/>
      </c>
      <c r="BZ8" s="5">
        <f>'Annual CF'!H26/12</f>
        <v/>
      </c>
      <c r="CA8" s="5">
        <f>'Annual CF'!H26/12</f>
        <v/>
      </c>
      <c r="CB8" s="5">
        <f>'Annual CF'!H26/12</f>
        <v/>
      </c>
      <c r="CC8" s="5">
        <f>'Annual CF'!H26/12</f>
        <v/>
      </c>
      <c r="CD8" s="5">
        <f>'Annual CF'!H26/12</f>
        <v/>
      </c>
      <c r="CE8" s="5">
        <f>'Annual CF'!H26/12</f>
        <v/>
      </c>
      <c r="CF8" s="5">
        <f>'Annual CF'!H26/12</f>
        <v/>
      </c>
      <c r="CG8" s="5">
        <f>'Annual CF'!H26/12</f>
        <v/>
      </c>
      <c r="CH8" s="5">
        <f>'Annual CF'!I26/12</f>
        <v/>
      </c>
      <c r="CI8" s="5">
        <f>'Annual CF'!I26/12</f>
        <v/>
      </c>
      <c r="CJ8" s="5">
        <f>'Annual CF'!I26/12</f>
        <v/>
      </c>
      <c r="CK8" s="5">
        <f>'Annual CF'!I26/12</f>
        <v/>
      </c>
      <c r="CL8" s="5">
        <f>'Annual CF'!I26/12</f>
        <v/>
      </c>
      <c r="CM8" s="5">
        <f>'Annual CF'!I26/12</f>
        <v/>
      </c>
      <c r="CN8" s="5">
        <f>'Annual CF'!I26/12</f>
        <v/>
      </c>
      <c r="CO8" s="5">
        <f>'Annual CF'!I26/12</f>
        <v/>
      </c>
      <c r="CP8" s="5">
        <f>'Annual CF'!I26/12</f>
        <v/>
      </c>
      <c r="CQ8" s="5">
        <f>'Annual CF'!I26/12</f>
        <v/>
      </c>
      <c r="CR8" s="5">
        <f>'Annual CF'!I26/12</f>
        <v/>
      </c>
      <c r="CS8" s="5">
        <f>'Annual CF'!I26/12</f>
        <v/>
      </c>
      <c r="CT8" s="5">
        <f>'Annual CF'!J26/12</f>
        <v/>
      </c>
      <c r="CU8" s="5">
        <f>'Annual CF'!J26/12</f>
        <v/>
      </c>
      <c r="CV8" s="5">
        <f>'Annual CF'!J26/12</f>
        <v/>
      </c>
      <c r="CW8" s="5">
        <f>'Annual CF'!J26/12</f>
        <v/>
      </c>
      <c r="CX8" s="5">
        <f>'Annual CF'!J26/12</f>
        <v/>
      </c>
      <c r="CY8" s="5">
        <f>'Annual CF'!J26/12</f>
        <v/>
      </c>
      <c r="CZ8" s="5">
        <f>'Annual CF'!J26/12</f>
        <v/>
      </c>
      <c r="DA8" s="5">
        <f>'Annual CF'!J26/12</f>
        <v/>
      </c>
      <c r="DB8" s="5">
        <f>'Annual CF'!J26/12</f>
        <v/>
      </c>
      <c r="DC8" s="5">
        <f>'Annual CF'!J26/12</f>
        <v/>
      </c>
      <c r="DD8" s="5">
        <f>'Annual CF'!J26/12</f>
        <v/>
      </c>
      <c r="DE8" s="5">
        <f>'Annual CF'!J26/12</f>
        <v/>
      </c>
      <c r="DF8" s="5">
        <f>'Annual CF'!K26/12</f>
        <v/>
      </c>
      <c r="DG8" s="5">
        <f>'Annual CF'!K26/12</f>
        <v/>
      </c>
      <c r="DH8" s="5">
        <f>'Annual CF'!K26/12</f>
        <v/>
      </c>
      <c r="DI8" s="5">
        <f>'Annual CF'!K26/12</f>
        <v/>
      </c>
      <c r="DJ8" s="5">
        <f>'Annual CF'!K26/12</f>
        <v/>
      </c>
      <c r="DK8" s="5">
        <f>'Annual CF'!K26/12</f>
        <v/>
      </c>
      <c r="DL8" s="5">
        <f>'Annual CF'!K26/12</f>
        <v/>
      </c>
      <c r="DM8" s="5">
        <f>'Annual CF'!K26/12</f>
        <v/>
      </c>
      <c r="DN8" s="5">
        <f>'Annual CF'!K26/12</f>
        <v/>
      </c>
      <c r="DO8" s="5">
        <f>'Annual CF'!K26/12</f>
        <v/>
      </c>
      <c r="DP8" s="5">
        <f>'Annual CF'!K26/12</f>
        <v/>
      </c>
      <c r="DQ8" s="5">
        <f>'Annual CF'!K26/12</f>
        <v/>
      </c>
    </row>
    <row r="9">
      <c r="A9" s="14" t="inlineStr">
        <is>
          <t>Operating Cash Flow</t>
        </is>
      </c>
      <c r="B9" s="15">
        <f>B7+B8</f>
        <v/>
      </c>
      <c r="C9" s="15">
        <f>C7+C8</f>
        <v/>
      </c>
      <c r="D9" s="15">
        <f>D7+D8</f>
        <v/>
      </c>
      <c r="E9" s="15">
        <f>E7+E8</f>
        <v/>
      </c>
      <c r="F9" s="15">
        <f>F7+F8</f>
        <v/>
      </c>
      <c r="G9" s="15">
        <f>G7+G8</f>
        <v/>
      </c>
      <c r="H9" s="15">
        <f>H7+H8</f>
        <v/>
      </c>
      <c r="I9" s="15">
        <f>I7+I8</f>
        <v/>
      </c>
      <c r="J9" s="15">
        <f>J7+J8</f>
        <v/>
      </c>
      <c r="K9" s="15">
        <f>K7+K8</f>
        <v/>
      </c>
      <c r="L9" s="15">
        <f>L7+L8</f>
        <v/>
      </c>
      <c r="M9" s="15">
        <f>M7+M8</f>
        <v/>
      </c>
      <c r="N9" s="15">
        <f>N7+N8</f>
        <v/>
      </c>
      <c r="O9" s="15">
        <f>O7+O8</f>
        <v/>
      </c>
      <c r="P9" s="15">
        <f>P7+P8</f>
        <v/>
      </c>
      <c r="Q9" s="15">
        <f>Q7+Q8</f>
        <v/>
      </c>
      <c r="R9" s="15">
        <f>R7+R8</f>
        <v/>
      </c>
      <c r="S9" s="15">
        <f>S7+S8</f>
        <v/>
      </c>
      <c r="T9" s="15">
        <f>T7+T8</f>
        <v/>
      </c>
      <c r="U9" s="15">
        <f>U7+U8</f>
        <v/>
      </c>
      <c r="V9" s="15">
        <f>V7+V8</f>
        <v/>
      </c>
      <c r="W9" s="15">
        <f>W7+W8</f>
        <v/>
      </c>
      <c r="X9" s="15">
        <f>X7+X8</f>
        <v/>
      </c>
      <c r="Y9" s="15">
        <f>Y7+Y8</f>
        <v/>
      </c>
      <c r="Z9" s="15">
        <f>Z7+Z8</f>
        <v/>
      </c>
      <c r="AA9" s="15">
        <f>AA7+AA8</f>
        <v/>
      </c>
      <c r="AB9" s="15">
        <f>AB7+AB8</f>
        <v/>
      </c>
      <c r="AC9" s="15">
        <f>AC7+AC8</f>
        <v/>
      </c>
      <c r="AD9" s="15">
        <f>AD7+AD8</f>
        <v/>
      </c>
      <c r="AE9" s="15">
        <f>AE7+AE8</f>
        <v/>
      </c>
      <c r="AF9" s="15">
        <f>AF7+AF8</f>
        <v/>
      </c>
      <c r="AG9" s="15">
        <f>AG7+AG8</f>
        <v/>
      </c>
      <c r="AH9" s="15">
        <f>AH7+AH8</f>
        <v/>
      </c>
      <c r="AI9" s="15">
        <f>AI7+AI8</f>
        <v/>
      </c>
      <c r="AJ9" s="15">
        <f>AJ7+AJ8</f>
        <v/>
      </c>
      <c r="AK9" s="15">
        <f>AK7+AK8</f>
        <v/>
      </c>
      <c r="AL9" s="15">
        <f>AL7+AL8</f>
        <v/>
      </c>
      <c r="AM9" s="15">
        <f>AM7+AM8</f>
        <v/>
      </c>
      <c r="AN9" s="15">
        <f>AN7+AN8</f>
        <v/>
      </c>
      <c r="AO9" s="15">
        <f>AO7+AO8</f>
        <v/>
      </c>
      <c r="AP9" s="15">
        <f>AP7+AP8</f>
        <v/>
      </c>
      <c r="AQ9" s="15">
        <f>AQ7+AQ8</f>
        <v/>
      </c>
      <c r="AR9" s="15">
        <f>AR7+AR8</f>
        <v/>
      </c>
      <c r="AS9" s="15">
        <f>AS7+AS8</f>
        <v/>
      </c>
      <c r="AT9" s="15">
        <f>AT7+AT8</f>
        <v/>
      </c>
      <c r="AU9" s="15">
        <f>AU7+AU8</f>
        <v/>
      </c>
      <c r="AV9" s="15">
        <f>AV7+AV8</f>
        <v/>
      </c>
      <c r="AW9" s="15">
        <f>AW7+AW8</f>
        <v/>
      </c>
      <c r="AX9" s="15">
        <f>AX7+AX8</f>
        <v/>
      </c>
      <c r="AY9" s="15">
        <f>AY7+AY8</f>
        <v/>
      </c>
      <c r="AZ9" s="15">
        <f>AZ7+AZ8</f>
        <v/>
      </c>
      <c r="BA9" s="15">
        <f>BA7+BA8</f>
        <v/>
      </c>
      <c r="BB9" s="15">
        <f>BB7+BB8</f>
        <v/>
      </c>
      <c r="BC9" s="15">
        <f>BC7+BC8</f>
        <v/>
      </c>
      <c r="BD9" s="15">
        <f>BD7+BD8</f>
        <v/>
      </c>
      <c r="BE9" s="15">
        <f>BE7+BE8</f>
        <v/>
      </c>
      <c r="BF9" s="15">
        <f>BF7+BF8</f>
        <v/>
      </c>
      <c r="BG9" s="15">
        <f>BG7+BG8</f>
        <v/>
      </c>
      <c r="BH9" s="15">
        <f>BH7+BH8</f>
        <v/>
      </c>
      <c r="BI9" s="15">
        <f>BI7+BI8</f>
        <v/>
      </c>
      <c r="BJ9" s="15">
        <f>BJ7+BJ8</f>
        <v/>
      </c>
      <c r="BK9" s="15">
        <f>BK7+BK8</f>
        <v/>
      </c>
      <c r="BL9" s="15">
        <f>BL7+BL8</f>
        <v/>
      </c>
      <c r="BM9" s="15">
        <f>BM7+BM8</f>
        <v/>
      </c>
      <c r="BN9" s="15">
        <f>BN7+BN8</f>
        <v/>
      </c>
      <c r="BO9" s="15">
        <f>BO7+BO8</f>
        <v/>
      </c>
      <c r="BP9" s="15">
        <f>BP7+BP8</f>
        <v/>
      </c>
      <c r="BQ9" s="15">
        <f>BQ7+BQ8</f>
        <v/>
      </c>
      <c r="BR9" s="15">
        <f>BR7+BR8</f>
        <v/>
      </c>
      <c r="BS9" s="15">
        <f>BS7+BS8</f>
        <v/>
      </c>
      <c r="BT9" s="15">
        <f>BT7+BT8</f>
        <v/>
      </c>
      <c r="BU9" s="15">
        <f>BU7+BU8</f>
        <v/>
      </c>
      <c r="BV9" s="15">
        <f>BV7+BV8</f>
        <v/>
      </c>
      <c r="BW9" s="15">
        <f>BW7+BW8</f>
        <v/>
      </c>
      <c r="BX9" s="15">
        <f>BX7+BX8</f>
        <v/>
      </c>
      <c r="BY9" s="15">
        <f>BY7+BY8</f>
        <v/>
      </c>
      <c r="BZ9" s="15">
        <f>BZ7+BZ8</f>
        <v/>
      </c>
      <c r="CA9" s="15">
        <f>CA7+CA8</f>
        <v/>
      </c>
      <c r="CB9" s="15">
        <f>CB7+CB8</f>
        <v/>
      </c>
      <c r="CC9" s="15">
        <f>CC7+CC8</f>
        <v/>
      </c>
      <c r="CD9" s="15">
        <f>CD7+CD8</f>
        <v/>
      </c>
      <c r="CE9" s="15">
        <f>CE7+CE8</f>
        <v/>
      </c>
      <c r="CF9" s="15">
        <f>CF7+CF8</f>
        <v/>
      </c>
      <c r="CG9" s="15">
        <f>CG7+CG8</f>
        <v/>
      </c>
      <c r="CH9" s="15">
        <f>CH7+CH8</f>
        <v/>
      </c>
      <c r="CI9" s="15">
        <f>CI7+CI8</f>
        <v/>
      </c>
      <c r="CJ9" s="15">
        <f>CJ7+CJ8</f>
        <v/>
      </c>
      <c r="CK9" s="15">
        <f>CK7+CK8</f>
        <v/>
      </c>
      <c r="CL9" s="15">
        <f>CL7+CL8</f>
        <v/>
      </c>
      <c r="CM9" s="15">
        <f>CM7+CM8</f>
        <v/>
      </c>
      <c r="CN9" s="15">
        <f>CN7+CN8</f>
        <v/>
      </c>
      <c r="CO9" s="15">
        <f>CO7+CO8</f>
        <v/>
      </c>
      <c r="CP9" s="15">
        <f>CP7+CP8</f>
        <v/>
      </c>
      <c r="CQ9" s="15">
        <f>CQ7+CQ8</f>
        <v/>
      </c>
      <c r="CR9" s="15">
        <f>CR7+CR8</f>
        <v/>
      </c>
      <c r="CS9" s="15">
        <f>CS7+CS8</f>
        <v/>
      </c>
      <c r="CT9" s="15">
        <f>CT7+CT8</f>
        <v/>
      </c>
      <c r="CU9" s="15">
        <f>CU7+CU8</f>
        <v/>
      </c>
      <c r="CV9" s="15">
        <f>CV7+CV8</f>
        <v/>
      </c>
      <c r="CW9" s="15">
        <f>CW7+CW8</f>
        <v/>
      </c>
      <c r="CX9" s="15">
        <f>CX7+CX8</f>
        <v/>
      </c>
      <c r="CY9" s="15">
        <f>CY7+CY8</f>
        <v/>
      </c>
      <c r="CZ9" s="15">
        <f>CZ7+CZ8</f>
        <v/>
      </c>
      <c r="DA9" s="15">
        <f>DA7+DA8</f>
        <v/>
      </c>
      <c r="DB9" s="15">
        <f>DB7+DB8</f>
        <v/>
      </c>
      <c r="DC9" s="15">
        <f>DC7+DC8</f>
        <v/>
      </c>
      <c r="DD9" s="15">
        <f>DD7+DD8</f>
        <v/>
      </c>
      <c r="DE9" s="15">
        <f>DE7+DE8</f>
        <v/>
      </c>
      <c r="DF9" s="15">
        <f>DF7+DF8</f>
        <v/>
      </c>
      <c r="DG9" s="15">
        <f>DG7+DG8</f>
        <v/>
      </c>
      <c r="DH9" s="15">
        <f>DH7+DH8</f>
        <v/>
      </c>
      <c r="DI9" s="15">
        <f>DI7+DI8</f>
        <v/>
      </c>
      <c r="DJ9" s="15">
        <f>DJ7+DJ8</f>
        <v/>
      </c>
      <c r="DK9" s="15">
        <f>DK7+DK8</f>
        <v/>
      </c>
      <c r="DL9" s="15">
        <f>DL7+DL8</f>
        <v/>
      </c>
      <c r="DM9" s="15">
        <f>DM7+DM8</f>
        <v/>
      </c>
      <c r="DN9" s="15">
        <f>DN7+DN8</f>
        <v/>
      </c>
      <c r="DO9" s="15">
        <f>DO7+DO8</f>
        <v/>
      </c>
      <c r="DP9" s="15">
        <f>DP7+DP8</f>
        <v/>
      </c>
      <c r="DQ9" s="15">
        <f>DQ7+DQ8</f>
        <v/>
      </c>
    </row>
    <row r="11">
      <c r="A11" s="3" t="inlineStr">
        <is>
          <t>Purchase Price + Closing Costs</t>
        </is>
      </c>
      <c r="B11" s="5">
        <f>-PurchasePrice*(1+AcqCostPct)</f>
        <v/>
      </c>
    </row>
    <row r="12">
      <c r="A12" s="3" t="inlineStr">
        <is>
          <t>Loan Proceeds (net of orig fee)</t>
        </is>
      </c>
      <c r="B12" s="5">
        <f>PurchasePrice*LTV*(1-LoanOrigFeePct)</f>
        <v/>
      </c>
    </row>
    <row r="13">
      <c r="A13" s="3" t="inlineStr">
        <is>
          <t>Sale Proceeds (net of sale costs)</t>
        </is>
      </c>
      <c r="B13" s="5">
        <f>IFERROR(IF(1=HoldMonths,(INDEX('Annual CF'!$B$21:$L$21,MIN(11,INT((HoldMonths-1)/12)+2))/ExitCap)*(1-DispCostPct),0),0)</f>
        <v/>
      </c>
      <c r="C13" s="5">
        <f>IFERROR(IF(2=HoldMonths,(INDEX('Annual CF'!$B$21:$L$21,MIN(11,INT((HoldMonths-1)/12)+2))/ExitCap)*(1-DispCostPct),0),0)</f>
        <v/>
      </c>
      <c r="D13" s="5">
        <f>IFERROR(IF(3=HoldMonths,(INDEX('Annual CF'!$B$21:$L$21,MIN(11,INT((HoldMonths-1)/12)+2))/ExitCap)*(1-DispCostPct),0),0)</f>
        <v/>
      </c>
      <c r="E13" s="5">
        <f>IFERROR(IF(4=HoldMonths,(INDEX('Annual CF'!$B$21:$L$21,MIN(11,INT((HoldMonths-1)/12)+2))/ExitCap)*(1-DispCostPct),0),0)</f>
        <v/>
      </c>
      <c r="F13" s="5">
        <f>IFERROR(IF(5=HoldMonths,(INDEX('Annual CF'!$B$21:$L$21,MIN(11,INT((HoldMonths-1)/12)+2))/ExitCap)*(1-DispCostPct),0),0)</f>
        <v/>
      </c>
      <c r="G13" s="5">
        <f>IFERROR(IF(6=HoldMonths,(INDEX('Annual CF'!$B$21:$L$21,MIN(11,INT((HoldMonths-1)/12)+2))/ExitCap)*(1-DispCostPct),0),0)</f>
        <v/>
      </c>
      <c r="H13" s="5">
        <f>IFERROR(IF(7=HoldMonths,(INDEX('Annual CF'!$B$21:$L$21,MIN(11,INT((HoldMonths-1)/12)+2))/ExitCap)*(1-DispCostPct),0),0)</f>
        <v/>
      </c>
      <c r="I13" s="5">
        <f>IFERROR(IF(8=HoldMonths,(INDEX('Annual CF'!$B$21:$L$21,MIN(11,INT((HoldMonths-1)/12)+2))/ExitCap)*(1-DispCostPct),0),0)</f>
        <v/>
      </c>
      <c r="J13" s="5">
        <f>IFERROR(IF(9=HoldMonths,(INDEX('Annual CF'!$B$21:$L$21,MIN(11,INT((HoldMonths-1)/12)+2))/ExitCap)*(1-DispCostPct),0),0)</f>
        <v/>
      </c>
      <c r="K13" s="5">
        <f>IFERROR(IF(10=HoldMonths,(INDEX('Annual CF'!$B$21:$L$21,MIN(11,INT((HoldMonths-1)/12)+2))/ExitCap)*(1-DispCostPct),0),0)</f>
        <v/>
      </c>
      <c r="L13" s="5">
        <f>IFERROR(IF(11=HoldMonths,(INDEX('Annual CF'!$B$21:$L$21,MIN(11,INT((HoldMonths-1)/12)+2))/ExitCap)*(1-DispCostPct),0),0)</f>
        <v/>
      </c>
      <c r="M13" s="5">
        <f>IFERROR(IF(12=HoldMonths,(INDEX('Annual CF'!$B$21:$L$21,MIN(11,INT((HoldMonths-1)/12)+2))/ExitCap)*(1-DispCostPct),0),0)</f>
        <v/>
      </c>
      <c r="N13" s="5">
        <f>IFERROR(IF(13=HoldMonths,(INDEX('Annual CF'!$B$21:$L$21,MIN(11,INT((HoldMonths-1)/12)+2))/ExitCap)*(1-DispCostPct),0),0)</f>
        <v/>
      </c>
      <c r="O13" s="5">
        <f>IFERROR(IF(14=HoldMonths,(INDEX('Annual CF'!$B$21:$L$21,MIN(11,INT((HoldMonths-1)/12)+2))/ExitCap)*(1-DispCostPct),0),0)</f>
        <v/>
      </c>
      <c r="P13" s="5">
        <f>IFERROR(IF(15=HoldMonths,(INDEX('Annual CF'!$B$21:$L$21,MIN(11,INT((HoldMonths-1)/12)+2))/ExitCap)*(1-DispCostPct),0),0)</f>
        <v/>
      </c>
      <c r="Q13" s="5">
        <f>IFERROR(IF(16=HoldMonths,(INDEX('Annual CF'!$B$21:$L$21,MIN(11,INT((HoldMonths-1)/12)+2))/ExitCap)*(1-DispCostPct),0),0)</f>
        <v/>
      </c>
      <c r="R13" s="5">
        <f>IFERROR(IF(17=HoldMonths,(INDEX('Annual CF'!$B$21:$L$21,MIN(11,INT((HoldMonths-1)/12)+2))/ExitCap)*(1-DispCostPct),0),0)</f>
        <v/>
      </c>
      <c r="S13" s="5">
        <f>IFERROR(IF(18=HoldMonths,(INDEX('Annual CF'!$B$21:$L$21,MIN(11,INT((HoldMonths-1)/12)+2))/ExitCap)*(1-DispCostPct),0),0)</f>
        <v/>
      </c>
      <c r="T13" s="5">
        <f>IFERROR(IF(19=HoldMonths,(INDEX('Annual CF'!$B$21:$L$21,MIN(11,INT((HoldMonths-1)/12)+2))/ExitCap)*(1-DispCostPct),0),0)</f>
        <v/>
      </c>
      <c r="U13" s="5">
        <f>IFERROR(IF(20=HoldMonths,(INDEX('Annual CF'!$B$21:$L$21,MIN(11,INT((HoldMonths-1)/12)+2))/ExitCap)*(1-DispCostPct),0),0)</f>
        <v/>
      </c>
      <c r="V13" s="5">
        <f>IFERROR(IF(21=HoldMonths,(INDEX('Annual CF'!$B$21:$L$21,MIN(11,INT((HoldMonths-1)/12)+2))/ExitCap)*(1-DispCostPct),0),0)</f>
        <v/>
      </c>
      <c r="W13" s="5">
        <f>IFERROR(IF(22=HoldMonths,(INDEX('Annual CF'!$B$21:$L$21,MIN(11,INT((HoldMonths-1)/12)+2))/ExitCap)*(1-DispCostPct),0),0)</f>
        <v/>
      </c>
      <c r="X13" s="5">
        <f>IFERROR(IF(23=HoldMonths,(INDEX('Annual CF'!$B$21:$L$21,MIN(11,INT((HoldMonths-1)/12)+2))/ExitCap)*(1-DispCostPct),0),0)</f>
        <v/>
      </c>
      <c r="Y13" s="5">
        <f>IFERROR(IF(24=HoldMonths,(INDEX('Annual CF'!$B$21:$L$21,MIN(11,INT((HoldMonths-1)/12)+2))/ExitCap)*(1-DispCostPct),0),0)</f>
        <v/>
      </c>
      <c r="Z13" s="5">
        <f>IFERROR(IF(25=HoldMonths,(INDEX('Annual CF'!$B$21:$L$21,MIN(11,INT((HoldMonths-1)/12)+2))/ExitCap)*(1-DispCostPct),0),0)</f>
        <v/>
      </c>
      <c r="AA13" s="5">
        <f>IFERROR(IF(26=HoldMonths,(INDEX('Annual CF'!$B$21:$L$21,MIN(11,INT((HoldMonths-1)/12)+2))/ExitCap)*(1-DispCostPct),0),0)</f>
        <v/>
      </c>
      <c r="AB13" s="5">
        <f>IFERROR(IF(27=HoldMonths,(INDEX('Annual CF'!$B$21:$L$21,MIN(11,INT((HoldMonths-1)/12)+2))/ExitCap)*(1-DispCostPct),0),0)</f>
        <v/>
      </c>
      <c r="AC13" s="5">
        <f>IFERROR(IF(28=HoldMonths,(INDEX('Annual CF'!$B$21:$L$21,MIN(11,INT((HoldMonths-1)/12)+2))/ExitCap)*(1-DispCostPct),0),0)</f>
        <v/>
      </c>
      <c r="AD13" s="5">
        <f>IFERROR(IF(29=HoldMonths,(INDEX('Annual CF'!$B$21:$L$21,MIN(11,INT((HoldMonths-1)/12)+2))/ExitCap)*(1-DispCostPct),0),0)</f>
        <v/>
      </c>
      <c r="AE13" s="5">
        <f>IFERROR(IF(30=HoldMonths,(INDEX('Annual CF'!$B$21:$L$21,MIN(11,INT((HoldMonths-1)/12)+2))/ExitCap)*(1-DispCostPct),0),0)</f>
        <v/>
      </c>
      <c r="AF13" s="5">
        <f>IFERROR(IF(31=HoldMonths,(INDEX('Annual CF'!$B$21:$L$21,MIN(11,INT((HoldMonths-1)/12)+2))/ExitCap)*(1-DispCostPct),0),0)</f>
        <v/>
      </c>
      <c r="AG13" s="5">
        <f>IFERROR(IF(32=HoldMonths,(INDEX('Annual CF'!$B$21:$L$21,MIN(11,INT((HoldMonths-1)/12)+2))/ExitCap)*(1-DispCostPct),0),0)</f>
        <v/>
      </c>
      <c r="AH13" s="5">
        <f>IFERROR(IF(33=HoldMonths,(INDEX('Annual CF'!$B$21:$L$21,MIN(11,INT((HoldMonths-1)/12)+2))/ExitCap)*(1-DispCostPct),0),0)</f>
        <v/>
      </c>
      <c r="AI13" s="5">
        <f>IFERROR(IF(34=HoldMonths,(INDEX('Annual CF'!$B$21:$L$21,MIN(11,INT((HoldMonths-1)/12)+2))/ExitCap)*(1-DispCostPct),0),0)</f>
        <v/>
      </c>
      <c r="AJ13" s="5">
        <f>IFERROR(IF(35=HoldMonths,(INDEX('Annual CF'!$B$21:$L$21,MIN(11,INT((HoldMonths-1)/12)+2))/ExitCap)*(1-DispCostPct),0),0)</f>
        <v/>
      </c>
      <c r="AK13" s="5">
        <f>IFERROR(IF(36=HoldMonths,(INDEX('Annual CF'!$B$21:$L$21,MIN(11,INT((HoldMonths-1)/12)+2))/ExitCap)*(1-DispCostPct),0),0)</f>
        <v/>
      </c>
      <c r="AL13" s="5">
        <f>IFERROR(IF(37=HoldMonths,(INDEX('Annual CF'!$B$21:$L$21,MIN(11,INT((HoldMonths-1)/12)+2))/ExitCap)*(1-DispCostPct),0),0)</f>
        <v/>
      </c>
      <c r="AM13" s="5">
        <f>IFERROR(IF(38=HoldMonths,(INDEX('Annual CF'!$B$21:$L$21,MIN(11,INT((HoldMonths-1)/12)+2))/ExitCap)*(1-DispCostPct),0),0)</f>
        <v/>
      </c>
      <c r="AN13" s="5">
        <f>IFERROR(IF(39=HoldMonths,(INDEX('Annual CF'!$B$21:$L$21,MIN(11,INT((HoldMonths-1)/12)+2))/ExitCap)*(1-DispCostPct),0),0)</f>
        <v/>
      </c>
      <c r="AO13" s="5">
        <f>IFERROR(IF(40=HoldMonths,(INDEX('Annual CF'!$B$21:$L$21,MIN(11,INT((HoldMonths-1)/12)+2))/ExitCap)*(1-DispCostPct),0),0)</f>
        <v/>
      </c>
      <c r="AP13" s="5">
        <f>IFERROR(IF(41=HoldMonths,(INDEX('Annual CF'!$B$21:$L$21,MIN(11,INT((HoldMonths-1)/12)+2))/ExitCap)*(1-DispCostPct),0),0)</f>
        <v/>
      </c>
      <c r="AQ13" s="5">
        <f>IFERROR(IF(42=HoldMonths,(INDEX('Annual CF'!$B$21:$L$21,MIN(11,INT((HoldMonths-1)/12)+2))/ExitCap)*(1-DispCostPct),0),0)</f>
        <v/>
      </c>
      <c r="AR13" s="5">
        <f>IFERROR(IF(43=HoldMonths,(INDEX('Annual CF'!$B$21:$L$21,MIN(11,INT((HoldMonths-1)/12)+2))/ExitCap)*(1-DispCostPct),0),0)</f>
        <v/>
      </c>
      <c r="AS13" s="5">
        <f>IFERROR(IF(44=HoldMonths,(INDEX('Annual CF'!$B$21:$L$21,MIN(11,INT((HoldMonths-1)/12)+2))/ExitCap)*(1-DispCostPct),0),0)</f>
        <v/>
      </c>
      <c r="AT13" s="5">
        <f>IFERROR(IF(45=HoldMonths,(INDEX('Annual CF'!$B$21:$L$21,MIN(11,INT((HoldMonths-1)/12)+2))/ExitCap)*(1-DispCostPct),0),0)</f>
        <v/>
      </c>
      <c r="AU13" s="5">
        <f>IFERROR(IF(46=HoldMonths,(INDEX('Annual CF'!$B$21:$L$21,MIN(11,INT((HoldMonths-1)/12)+2))/ExitCap)*(1-DispCostPct),0),0)</f>
        <v/>
      </c>
      <c r="AV13" s="5">
        <f>IFERROR(IF(47=HoldMonths,(INDEX('Annual CF'!$B$21:$L$21,MIN(11,INT((HoldMonths-1)/12)+2))/ExitCap)*(1-DispCostPct),0),0)</f>
        <v/>
      </c>
      <c r="AW13" s="5">
        <f>IFERROR(IF(48=HoldMonths,(INDEX('Annual CF'!$B$21:$L$21,MIN(11,INT((HoldMonths-1)/12)+2))/ExitCap)*(1-DispCostPct),0),0)</f>
        <v/>
      </c>
      <c r="AX13" s="5">
        <f>IFERROR(IF(49=HoldMonths,(INDEX('Annual CF'!$B$21:$L$21,MIN(11,INT((HoldMonths-1)/12)+2))/ExitCap)*(1-DispCostPct),0),0)</f>
        <v/>
      </c>
      <c r="AY13" s="5">
        <f>IFERROR(IF(50=HoldMonths,(INDEX('Annual CF'!$B$21:$L$21,MIN(11,INT((HoldMonths-1)/12)+2))/ExitCap)*(1-DispCostPct),0),0)</f>
        <v/>
      </c>
      <c r="AZ13" s="5">
        <f>IFERROR(IF(51=HoldMonths,(INDEX('Annual CF'!$B$21:$L$21,MIN(11,INT((HoldMonths-1)/12)+2))/ExitCap)*(1-DispCostPct),0),0)</f>
        <v/>
      </c>
      <c r="BA13" s="5">
        <f>IFERROR(IF(52=HoldMonths,(INDEX('Annual CF'!$B$21:$L$21,MIN(11,INT((HoldMonths-1)/12)+2))/ExitCap)*(1-DispCostPct),0),0)</f>
        <v/>
      </c>
      <c r="BB13" s="5">
        <f>IFERROR(IF(53=HoldMonths,(INDEX('Annual CF'!$B$21:$L$21,MIN(11,INT((HoldMonths-1)/12)+2))/ExitCap)*(1-DispCostPct),0),0)</f>
        <v/>
      </c>
      <c r="BC13" s="5">
        <f>IFERROR(IF(54=HoldMonths,(INDEX('Annual CF'!$B$21:$L$21,MIN(11,INT((HoldMonths-1)/12)+2))/ExitCap)*(1-DispCostPct),0),0)</f>
        <v/>
      </c>
      <c r="BD13" s="5">
        <f>IFERROR(IF(55=HoldMonths,(INDEX('Annual CF'!$B$21:$L$21,MIN(11,INT((HoldMonths-1)/12)+2))/ExitCap)*(1-DispCostPct),0),0)</f>
        <v/>
      </c>
      <c r="BE13" s="5">
        <f>IFERROR(IF(56=HoldMonths,(INDEX('Annual CF'!$B$21:$L$21,MIN(11,INT((HoldMonths-1)/12)+2))/ExitCap)*(1-DispCostPct),0),0)</f>
        <v/>
      </c>
      <c r="BF13" s="5">
        <f>IFERROR(IF(57=HoldMonths,(INDEX('Annual CF'!$B$21:$L$21,MIN(11,INT((HoldMonths-1)/12)+2))/ExitCap)*(1-DispCostPct),0),0)</f>
        <v/>
      </c>
      <c r="BG13" s="5">
        <f>IFERROR(IF(58=HoldMonths,(INDEX('Annual CF'!$B$21:$L$21,MIN(11,INT((HoldMonths-1)/12)+2))/ExitCap)*(1-DispCostPct),0),0)</f>
        <v/>
      </c>
      <c r="BH13" s="5">
        <f>IFERROR(IF(59=HoldMonths,(INDEX('Annual CF'!$B$21:$L$21,MIN(11,INT((HoldMonths-1)/12)+2))/ExitCap)*(1-DispCostPct),0),0)</f>
        <v/>
      </c>
      <c r="BI13" s="5">
        <f>IFERROR(IF(60=HoldMonths,(INDEX('Annual CF'!$B$21:$L$21,MIN(11,INT((HoldMonths-1)/12)+2))/ExitCap)*(1-DispCostPct),0),0)</f>
        <v/>
      </c>
      <c r="BJ13" s="5">
        <f>IFERROR(IF(61=HoldMonths,(INDEX('Annual CF'!$B$21:$L$21,MIN(11,INT((HoldMonths-1)/12)+2))/ExitCap)*(1-DispCostPct),0),0)</f>
        <v/>
      </c>
      <c r="BK13" s="5">
        <f>IFERROR(IF(62=HoldMonths,(INDEX('Annual CF'!$B$21:$L$21,MIN(11,INT((HoldMonths-1)/12)+2))/ExitCap)*(1-DispCostPct),0),0)</f>
        <v/>
      </c>
      <c r="BL13" s="5">
        <f>IFERROR(IF(63=HoldMonths,(INDEX('Annual CF'!$B$21:$L$21,MIN(11,INT((HoldMonths-1)/12)+2))/ExitCap)*(1-DispCostPct),0),0)</f>
        <v/>
      </c>
      <c r="BM13" s="5">
        <f>IFERROR(IF(64=HoldMonths,(INDEX('Annual CF'!$B$21:$L$21,MIN(11,INT((HoldMonths-1)/12)+2))/ExitCap)*(1-DispCostPct),0),0)</f>
        <v/>
      </c>
      <c r="BN13" s="5">
        <f>IFERROR(IF(65=HoldMonths,(INDEX('Annual CF'!$B$21:$L$21,MIN(11,INT((HoldMonths-1)/12)+2))/ExitCap)*(1-DispCostPct),0),0)</f>
        <v/>
      </c>
      <c r="BO13" s="5">
        <f>IFERROR(IF(66=HoldMonths,(INDEX('Annual CF'!$B$21:$L$21,MIN(11,INT((HoldMonths-1)/12)+2))/ExitCap)*(1-DispCostPct),0),0)</f>
        <v/>
      </c>
      <c r="BP13" s="5">
        <f>IFERROR(IF(67=HoldMonths,(INDEX('Annual CF'!$B$21:$L$21,MIN(11,INT((HoldMonths-1)/12)+2))/ExitCap)*(1-DispCostPct),0),0)</f>
        <v/>
      </c>
      <c r="BQ13" s="5">
        <f>IFERROR(IF(68=HoldMonths,(INDEX('Annual CF'!$B$21:$L$21,MIN(11,INT((HoldMonths-1)/12)+2))/ExitCap)*(1-DispCostPct),0),0)</f>
        <v/>
      </c>
      <c r="BR13" s="5">
        <f>IFERROR(IF(69=HoldMonths,(INDEX('Annual CF'!$B$21:$L$21,MIN(11,INT((HoldMonths-1)/12)+2))/ExitCap)*(1-DispCostPct),0),0)</f>
        <v/>
      </c>
      <c r="BS13" s="5">
        <f>IFERROR(IF(70=HoldMonths,(INDEX('Annual CF'!$B$21:$L$21,MIN(11,INT((HoldMonths-1)/12)+2))/ExitCap)*(1-DispCostPct),0),0)</f>
        <v/>
      </c>
      <c r="BT13" s="5">
        <f>IFERROR(IF(71=HoldMonths,(INDEX('Annual CF'!$B$21:$L$21,MIN(11,INT((HoldMonths-1)/12)+2))/ExitCap)*(1-DispCostPct),0),0)</f>
        <v/>
      </c>
      <c r="BU13" s="5">
        <f>IFERROR(IF(72=HoldMonths,(INDEX('Annual CF'!$B$21:$L$21,MIN(11,INT((HoldMonths-1)/12)+2))/ExitCap)*(1-DispCostPct),0),0)</f>
        <v/>
      </c>
      <c r="BV13" s="5">
        <f>IFERROR(IF(73=HoldMonths,(INDEX('Annual CF'!$B$21:$L$21,MIN(11,INT((HoldMonths-1)/12)+2))/ExitCap)*(1-DispCostPct),0),0)</f>
        <v/>
      </c>
      <c r="BW13" s="5">
        <f>IFERROR(IF(74=HoldMonths,(INDEX('Annual CF'!$B$21:$L$21,MIN(11,INT((HoldMonths-1)/12)+2))/ExitCap)*(1-DispCostPct),0),0)</f>
        <v/>
      </c>
      <c r="BX13" s="5">
        <f>IFERROR(IF(75=HoldMonths,(INDEX('Annual CF'!$B$21:$L$21,MIN(11,INT((HoldMonths-1)/12)+2))/ExitCap)*(1-DispCostPct),0),0)</f>
        <v/>
      </c>
      <c r="BY13" s="5">
        <f>IFERROR(IF(76=HoldMonths,(INDEX('Annual CF'!$B$21:$L$21,MIN(11,INT((HoldMonths-1)/12)+2))/ExitCap)*(1-DispCostPct),0),0)</f>
        <v/>
      </c>
      <c r="BZ13" s="5">
        <f>IFERROR(IF(77=HoldMonths,(INDEX('Annual CF'!$B$21:$L$21,MIN(11,INT((HoldMonths-1)/12)+2))/ExitCap)*(1-DispCostPct),0),0)</f>
        <v/>
      </c>
      <c r="CA13" s="5">
        <f>IFERROR(IF(78=HoldMonths,(INDEX('Annual CF'!$B$21:$L$21,MIN(11,INT((HoldMonths-1)/12)+2))/ExitCap)*(1-DispCostPct),0),0)</f>
        <v/>
      </c>
      <c r="CB13" s="5">
        <f>IFERROR(IF(79=HoldMonths,(INDEX('Annual CF'!$B$21:$L$21,MIN(11,INT((HoldMonths-1)/12)+2))/ExitCap)*(1-DispCostPct),0),0)</f>
        <v/>
      </c>
      <c r="CC13" s="5">
        <f>IFERROR(IF(80=HoldMonths,(INDEX('Annual CF'!$B$21:$L$21,MIN(11,INT((HoldMonths-1)/12)+2))/ExitCap)*(1-DispCostPct),0),0)</f>
        <v/>
      </c>
      <c r="CD13" s="5">
        <f>IFERROR(IF(81=HoldMonths,(INDEX('Annual CF'!$B$21:$L$21,MIN(11,INT((HoldMonths-1)/12)+2))/ExitCap)*(1-DispCostPct),0),0)</f>
        <v/>
      </c>
      <c r="CE13" s="5">
        <f>IFERROR(IF(82=HoldMonths,(INDEX('Annual CF'!$B$21:$L$21,MIN(11,INT((HoldMonths-1)/12)+2))/ExitCap)*(1-DispCostPct),0),0)</f>
        <v/>
      </c>
      <c r="CF13" s="5">
        <f>IFERROR(IF(83=HoldMonths,(INDEX('Annual CF'!$B$21:$L$21,MIN(11,INT((HoldMonths-1)/12)+2))/ExitCap)*(1-DispCostPct),0),0)</f>
        <v/>
      </c>
      <c r="CG13" s="5">
        <f>IFERROR(IF(84=HoldMonths,(INDEX('Annual CF'!$B$21:$L$21,MIN(11,INT((HoldMonths-1)/12)+2))/ExitCap)*(1-DispCostPct),0),0)</f>
        <v/>
      </c>
      <c r="CH13" s="5">
        <f>IFERROR(IF(85=HoldMonths,(INDEX('Annual CF'!$B$21:$L$21,MIN(11,INT((HoldMonths-1)/12)+2))/ExitCap)*(1-DispCostPct),0),0)</f>
        <v/>
      </c>
      <c r="CI13" s="5">
        <f>IFERROR(IF(86=HoldMonths,(INDEX('Annual CF'!$B$21:$L$21,MIN(11,INT((HoldMonths-1)/12)+2))/ExitCap)*(1-DispCostPct),0),0)</f>
        <v/>
      </c>
      <c r="CJ13" s="5">
        <f>IFERROR(IF(87=HoldMonths,(INDEX('Annual CF'!$B$21:$L$21,MIN(11,INT((HoldMonths-1)/12)+2))/ExitCap)*(1-DispCostPct),0),0)</f>
        <v/>
      </c>
      <c r="CK13" s="5">
        <f>IFERROR(IF(88=HoldMonths,(INDEX('Annual CF'!$B$21:$L$21,MIN(11,INT((HoldMonths-1)/12)+2))/ExitCap)*(1-DispCostPct),0),0)</f>
        <v/>
      </c>
      <c r="CL13" s="5">
        <f>IFERROR(IF(89=HoldMonths,(INDEX('Annual CF'!$B$21:$L$21,MIN(11,INT((HoldMonths-1)/12)+2))/ExitCap)*(1-DispCostPct),0),0)</f>
        <v/>
      </c>
      <c r="CM13" s="5">
        <f>IFERROR(IF(90=HoldMonths,(INDEX('Annual CF'!$B$21:$L$21,MIN(11,INT((HoldMonths-1)/12)+2))/ExitCap)*(1-DispCostPct),0),0)</f>
        <v/>
      </c>
      <c r="CN13" s="5">
        <f>IFERROR(IF(91=HoldMonths,(INDEX('Annual CF'!$B$21:$L$21,MIN(11,INT((HoldMonths-1)/12)+2))/ExitCap)*(1-DispCostPct),0),0)</f>
        <v/>
      </c>
      <c r="CO13" s="5">
        <f>IFERROR(IF(92=HoldMonths,(INDEX('Annual CF'!$B$21:$L$21,MIN(11,INT((HoldMonths-1)/12)+2))/ExitCap)*(1-DispCostPct),0),0)</f>
        <v/>
      </c>
      <c r="CP13" s="5">
        <f>IFERROR(IF(93=HoldMonths,(INDEX('Annual CF'!$B$21:$L$21,MIN(11,INT((HoldMonths-1)/12)+2))/ExitCap)*(1-DispCostPct),0),0)</f>
        <v/>
      </c>
      <c r="CQ13" s="5">
        <f>IFERROR(IF(94=HoldMonths,(INDEX('Annual CF'!$B$21:$L$21,MIN(11,INT((HoldMonths-1)/12)+2))/ExitCap)*(1-DispCostPct),0),0)</f>
        <v/>
      </c>
      <c r="CR13" s="5">
        <f>IFERROR(IF(95=HoldMonths,(INDEX('Annual CF'!$B$21:$L$21,MIN(11,INT((HoldMonths-1)/12)+2))/ExitCap)*(1-DispCostPct),0),0)</f>
        <v/>
      </c>
      <c r="CS13" s="5">
        <f>IFERROR(IF(96=HoldMonths,(INDEX('Annual CF'!$B$21:$L$21,MIN(11,INT((HoldMonths-1)/12)+2))/ExitCap)*(1-DispCostPct),0),0)</f>
        <v/>
      </c>
      <c r="CT13" s="5">
        <f>IFERROR(IF(97=HoldMonths,(INDEX('Annual CF'!$B$21:$L$21,MIN(11,INT((HoldMonths-1)/12)+2))/ExitCap)*(1-DispCostPct),0),0)</f>
        <v/>
      </c>
      <c r="CU13" s="5">
        <f>IFERROR(IF(98=HoldMonths,(INDEX('Annual CF'!$B$21:$L$21,MIN(11,INT((HoldMonths-1)/12)+2))/ExitCap)*(1-DispCostPct),0),0)</f>
        <v/>
      </c>
      <c r="CV13" s="5">
        <f>IFERROR(IF(99=HoldMonths,(INDEX('Annual CF'!$B$21:$L$21,MIN(11,INT((HoldMonths-1)/12)+2))/ExitCap)*(1-DispCostPct),0),0)</f>
        <v/>
      </c>
      <c r="CW13" s="5">
        <f>IFERROR(IF(100=HoldMonths,(INDEX('Annual CF'!$B$21:$L$21,MIN(11,INT((HoldMonths-1)/12)+2))/ExitCap)*(1-DispCostPct),0),0)</f>
        <v/>
      </c>
      <c r="CX13" s="5">
        <f>IFERROR(IF(101=HoldMonths,(INDEX('Annual CF'!$B$21:$L$21,MIN(11,INT((HoldMonths-1)/12)+2))/ExitCap)*(1-DispCostPct),0),0)</f>
        <v/>
      </c>
      <c r="CY13" s="5">
        <f>IFERROR(IF(102=HoldMonths,(INDEX('Annual CF'!$B$21:$L$21,MIN(11,INT((HoldMonths-1)/12)+2))/ExitCap)*(1-DispCostPct),0),0)</f>
        <v/>
      </c>
      <c r="CZ13" s="5">
        <f>IFERROR(IF(103=HoldMonths,(INDEX('Annual CF'!$B$21:$L$21,MIN(11,INT((HoldMonths-1)/12)+2))/ExitCap)*(1-DispCostPct),0),0)</f>
        <v/>
      </c>
      <c r="DA13" s="5">
        <f>IFERROR(IF(104=HoldMonths,(INDEX('Annual CF'!$B$21:$L$21,MIN(11,INT((HoldMonths-1)/12)+2))/ExitCap)*(1-DispCostPct),0),0)</f>
        <v/>
      </c>
      <c r="DB13" s="5">
        <f>IFERROR(IF(105=HoldMonths,(INDEX('Annual CF'!$B$21:$L$21,MIN(11,INT((HoldMonths-1)/12)+2))/ExitCap)*(1-DispCostPct),0),0)</f>
        <v/>
      </c>
      <c r="DC13" s="5">
        <f>IFERROR(IF(106=HoldMonths,(INDEX('Annual CF'!$B$21:$L$21,MIN(11,INT((HoldMonths-1)/12)+2))/ExitCap)*(1-DispCostPct),0),0)</f>
        <v/>
      </c>
      <c r="DD13" s="5">
        <f>IFERROR(IF(107=HoldMonths,(INDEX('Annual CF'!$B$21:$L$21,MIN(11,INT((HoldMonths-1)/12)+2))/ExitCap)*(1-DispCostPct),0),0)</f>
        <v/>
      </c>
      <c r="DE13" s="5">
        <f>IFERROR(IF(108=HoldMonths,(INDEX('Annual CF'!$B$21:$L$21,MIN(11,INT((HoldMonths-1)/12)+2))/ExitCap)*(1-DispCostPct),0),0)</f>
        <v/>
      </c>
      <c r="DF13" s="5">
        <f>IFERROR(IF(109=HoldMonths,(INDEX('Annual CF'!$B$21:$L$21,MIN(11,INT((HoldMonths-1)/12)+2))/ExitCap)*(1-DispCostPct),0),0)</f>
        <v/>
      </c>
      <c r="DG13" s="5">
        <f>IFERROR(IF(110=HoldMonths,(INDEX('Annual CF'!$B$21:$L$21,MIN(11,INT((HoldMonths-1)/12)+2))/ExitCap)*(1-DispCostPct),0),0)</f>
        <v/>
      </c>
      <c r="DH13" s="5">
        <f>IFERROR(IF(111=HoldMonths,(INDEX('Annual CF'!$B$21:$L$21,MIN(11,INT((HoldMonths-1)/12)+2))/ExitCap)*(1-DispCostPct),0),0)</f>
        <v/>
      </c>
      <c r="DI13" s="5">
        <f>IFERROR(IF(112=HoldMonths,(INDEX('Annual CF'!$B$21:$L$21,MIN(11,INT((HoldMonths-1)/12)+2))/ExitCap)*(1-DispCostPct),0),0)</f>
        <v/>
      </c>
      <c r="DJ13" s="5">
        <f>IFERROR(IF(113=HoldMonths,(INDEX('Annual CF'!$B$21:$L$21,MIN(11,INT((HoldMonths-1)/12)+2))/ExitCap)*(1-DispCostPct),0),0)</f>
        <v/>
      </c>
      <c r="DK13" s="5">
        <f>IFERROR(IF(114=HoldMonths,(INDEX('Annual CF'!$B$21:$L$21,MIN(11,INT((HoldMonths-1)/12)+2))/ExitCap)*(1-DispCostPct),0),0)</f>
        <v/>
      </c>
      <c r="DL13" s="5">
        <f>IFERROR(IF(115=HoldMonths,(INDEX('Annual CF'!$B$21:$L$21,MIN(11,INT((HoldMonths-1)/12)+2))/ExitCap)*(1-DispCostPct),0),0)</f>
        <v/>
      </c>
      <c r="DM13" s="5">
        <f>IFERROR(IF(116=HoldMonths,(INDEX('Annual CF'!$B$21:$L$21,MIN(11,INT((HoldMonths-1)/12)+2))/ExitCap)*(1-DispCostPct),0),0)</f>
        <v/>
      </c>
      <c r="DN13" s="5">
        <f>IFERROR(IF(117=HoldMonths,(INDEX('Annual CF'!$B$21:$L$21,MIN(11,INT((HoldMonths-1)/12)+2))/ExitCap)*(1-DispCostPct),0),0)</f>
        <v/>
      </c>
      <c r="DO13" s="5">
        <f>IFERROR(IF(118=HoldMonths,(INDEX('Annual CF'!$B$21:$L$21,MIN(11,INT((HoldMonths-1)/12)+2))/ExitCap)*(1-DispCostPct),0),0)</f>
        <v/>
      </c>
      <c r="DP13" s="5">
        <f>IFERROR(IF(119=HoldMonths,(INDEX('Annual CF'!$B$21:$L$21,MIN(11,INT((HoldMonths-1)/12)+2))/ExitCap)*(1-DispCostPct),0),0)</f>
        <v/>
      </c>
      <c r="DQ13" s="5">
        <f>IFERROR(IF(120=HoldMonths,(INDEX('Annual CF'!$B$21:$L$21,MIN(11,INT((HoldMonths-1)/12)+2))/ExitCap)*(1-DispCostPct),0),0)</f>
        <v/>
      </c>
    </row>
    <row r="14">
      <c r="A14" s="3" t="inlineStr">
        <is>
          <t>Loan Payoff at Exit</t>
        </is>
      </c>
      <c r="B14" s="5">
        <f>IFERROR(IF(1=HoldMonths,-INDEX(Debt!$G$22:$G$81,MIN(60,HoldMonths)),0),0)</f>
        <v/>
      </c>
      <c r="C14" s="5">
        <f>IFERROR(IF(2=HoldMonths,-INDEX(Debt!$G$22:$G$81,MIN(60,HoldMonths)),0),0)</f>
        <v/>
      </c>
      <c r="D14" s="5">
        <f>IFERROR(IF(3=HoldMonths,-INDEX(Debt!$G$22:$G$81,MIN(60,HoldMonths)),0),0)</f>
        <v/>
      </c>
      <c r="E14" s="5">
        <f>IFERROR(IF(4=HoldMonths,-INDEX(Debt!$G$22:$G$81,MIN(60,HoldMonths)),0),0)</f>
        <v/>
      </c>
      <c r="F14" s="5">
        <f>IFERROR(IF(5=HoldMonths,-INDEX(Debt!$G$22:$G$81,MIN(60,HoldMonths)),0),0)</f>
        <v/>
      </c>
      <c r="G14" s="5">
        <f>IFERROR(IF(6=HoldMonths,-INDEX(Debt!$G$22:$G$81,MIN(60,HoldMonths)),0),0)</f>
        <v/>
      </c>
      <c r="H14" s="5">
        <f>IFERROR(IF(7=HoldMonths,-INDEX(Debt!$G$22:$G$81,MIN(60,HoldMonths)),0),0)</f>
        <v/>
      </c>
      <c r="I14" s="5">
        <f>IFERROR(IF(8=HoldMonths,-INDEX(Debt!$G$22:$G$81,MIN(60,HoldMonths)),0),0)</f>
        <v/>
      </c>
      <c r="J14" s="5">
        <f>IFERROR(IF(9=HoldMonths,-INDEX(Debt!$G$22:$G$81,MIN(60,HoldMonths)),0),0)</f>
        <v/>
      </c>
      <c r="K14" s="5">
        <f>IFERROR(IF(10=HoldMonths,-INDEX(Debt!$G$22:$G$81,MIN(60,HoldMonths)),0),0)</f>
        <v/>
      </c>
      <c r="L14" s="5">
        <f>IFERROR(IF(11=HoldMonths,-INDEX(Debt!$G$22:$G$81,MIN(60,HoldMonths)),0),0)</f>
        <v/>
      </c>
      <c r="M14" s="5">
        <f>IFERROR(IF(12=HoldMonths,-INDEX(Debt!$G$22:$G$81,MIN(60,HoldMonths)),0),0)</f>
        <v/>
      </c>
      <c r="N14" s="5">
        <f>IFERROR(IF(13=HoldMonths,-INDEX(Debt!$G$22:$G$81,MIN(60,HoldMonths)),0),0)</f>
        <v/>
      </c>
      <c r="O14" s="5">
        <f>IFERROR(IF(14=HoldMonths,-INDEX(Debt!$G$22:$G$81,MIN(60,HoldMonths)),0),0)</f>
        <v/>
      </c>
      <c r="P14" s="5">
        <f>IFERROR(IF(15=HoldMonths,-INDEX(Debt!$G$22:$G$81,MIN(60,HoldMonths)),0),0)</f>
        <v/>
      </c>
      <c r="Q14" s="5">
        <f>IFERROR(IF(16=HoldMonths,-INDEX(Debt!$G$22:$G$81,MIN(60,HoldMonths)),0),0)</f>
        <v/>
      </c>
      <c r="R14" s="5">
        <f>IFERROR(IF(17=HoldMonths,-INDEX(Debt!$G$22:$G$81,MIN(60,HoldMonths)),0),0)</f>
        <v/>
      </c>
      <c r="S14" s="5">
        <f>IFERROR(IF(18=HoldMonths,-INDEX(Debt!$G$22:$G$81,MIN(60,HoldMonths)),0),0)</f>
        <v/>
      </c>
      <c r="T14" s="5">
        <f>IFERROR(IF(19=HoldMonths,-INDEX(Debt!$G$22:$G$81,MIN(60,HoldMonths)),0),0)</f>
        <v/>
      </c>
      <c r="U14" s="5">
        <f>IFERROR(IF(20=HoldMonths,-INDEX(Debt!$G$22:$G$81,MIN(60,HoldMonths)),0),0)</f>
        <v/>
      </c>
      <c r="V14" s="5">
        <f>IFERROR(IF(21=HoldMonths,-INDEX(Debt!$G$22:$G$81,MIN(60,HoldMonths)),0),0)</f>
        <v/>
      </c>
      <c r="W14" s="5">
        <f>IFERROR(IF(22=HoldMonths,-INDEX(Debt!$G$22:$G$81,MIN(60,HoldMonths)),0),0)</f>
        <v/>
      </c>
      <c r="X14" s="5">
        <f>IFERROR(IF(23=HoldMonths,-INDEX(Debt!$G$22:$G$81,MIN(60,HoldMonths)),0),0)</f>
        <v/>
      </c>
      <c r="Y14" s="5">
        <f>IFERROR(IF(24=HoldMonths,-INDEX(Debt!$G$22:$G$81,MIN(60,HoldMonths)),0),0)</f>
        <v/>
      </c>
      <c r="Z14" s="5">
        <f>IFERROR(IF(25=HoldMonths,-INDEX(Debt!$G$22:$G$81,MIN(60,HoldMonths)),0),0)</f>
        <v/>
      </c>
      <c r="AA14" s="5">
        <f>IFERROR(IF(26=HoldMonths,-INDEX(Debt!$G$22:$G$81,MIN(60,HoldMonths)),0),0)</f>
        <v/>
      </c>
      <c r="AB14" s="5">
        <f>IFERROR(IF(27=HoldMonths,-INDEX(Debt!$G$22:$G$81,MIN(60,HoldMonths)),0),0)</f>
        <v/>
      </c>
      <c r="AC14" s="5">
        <f>IFERROR(IF(28=HoldMonths,-INDEX(Debt!$G$22:$G$81,MIN(60,HoldMonths)),0),0)</f>
        <v/>
      </c>
      <c r="AD14" s="5">
        <f>IFERROR(IF(29=HoldMonths,-INDEX(Debt!$G$22:$G$81,MIN(60,HoldMonths)),0),0)</f>
        <v/>
      </c>
      <c r="AE14" s="5">
        <f>IFERROR(IF(30=HoldMonths,-INDEX(Debt!$G$22:$G$81,MIN(60,HoldMonths)),0),0)</f>
        <v/>
      </c>
      <c r="AF14" s="5">
        <f>IFERROR(IF(31=HoldMonths,-INDEX(Debt!$G$22:$G$81,MIN(60,HoldMonths)),0),0)</f>
        <v/>
      </c>
      <c r="AG14" s="5">
        <f>IFERROR(IF(32=HoldMonths,-INDEX(Debt!$G$22:$G$81,MIN(60,HoldMonths)),0),0)</f>
        <v/>
      </c>
      <c r="AH14" s="5">
        <f>IFERROR(IF(33=HoldMonths,-INDEX(Debt!$G$22:$G$81,MIN(60,HoldMonths)),0),0)</f>
        <v/>
      </c>
      <c r="AI14" s="5">
        <f>IFERROR(IF(34=HoldMonths,-INDEX(Debt!$G$22:$G$81,MIN(60,HoldMonths)),0),0)</f>
        <v/>
      </c>
      <c r="AJ14" s="5">
        <f>IFERROR(IF(35=HoldMonths,-INDEX(Debt!$G$22:$G$81,MIN(60,HoldMonths)),0),0)</f>
        <v/>
      </c>
      <c r="AK14" s="5">
        <f>IFERROR(IF(36=HoldMonths,-INDEX(Debt!$G$22:$G$81,MIN(60,HoldMonths)),0),0)</f>
        <v/>
      </c>
      <c r="AL14" s="5">
        <f>IFERROR(IF(37=HoldMonths,-INDEX(Debt!$G$22:$G$81,MIN(60,HoldMonths)),0),0)</f>
        <v/>
      </c>
      <c r="AM14" s="5">
        <f>IFERROR(IF(38=HoldMonths,-INDEX(Debt!$G$22:$G$81,MIN(60,HoldMonths)),0),0)</f>
        <v/>
      </c>
      <c r="AN14" s="5">
        <f>IFERROR(IF(39=HoldMonths,-INDEX(Debt!$G$22:$G$81,MIN(60,HoldMonths)),0),0)</f>
        <v/>
      </c>
      <c r="AO14" s="5">
        <f>IFERROR(IF(40=HoldMonths,-INDEX(Debt!$G$22:$G$81,MIN(60,HoldMonths)),0),0)</f>
        <v/>
      </c>
      <c r="AP14" s="5">
        <f>IFERROR(IF(41=HoldMonths,-INDEX(Debt!$G$22:$G$81,MIN(60,HoldMonths)),0),0)</f>
        <v/>
      </c>
      <c r="AQ14" s="5">
        <f>IFERROR(IF(42=HoldMonths,-INDEX(Debt!$G$22:$G$81,MIN(60,HoldMonths)),0),0)</f>
        <v/>
      </c>
      <c r="AR14" s="5">
        <f>IFERROR(IF(43=HoldMonths,-INDEX(Debt!$G$22:$G$81,MIN(60,HoldMonths)),0),0)</f>
        <v/>
      </c>
      <c r="AS14" s="5">
        <f>IFERROR(IF(44=HoldMonths,-INDEX(Debt!$G$22:$G$81,MIN(60,HoldMonths)),0),0)</f>
        <v/>
      </c>
      <c r="AT14" s="5">
        <f>IFERROR(IF(45=HoldMonths,-INDEX(Debt!$G$22:$G$81,MIN(60,HoldMonths)),0),0)</f>
        <v/>
      </c>
      <c r="AU14" s="5">
        <f>IFERROR(IF(46=HoldMonths,-INDEX(Debt!$G$22:$G$81,MIN(60,HoldMonths)),0),0)</f>
        <v/>
      </c>
      <c r="AV14" s="5">
        <f>IFERROR(IF(47=HoldMonths,-INDEX(Debt!$G$22:$G$81,MIN(60,HoldMonths)),0),0)</f>
        <v/>
      </c>
      <c r="AW14" s="5">
        <f>IFERROR(IF(48=HoldMonths,-INDEX(Debt!$G$22:$G$81,MIN(60,HoldMonths)),0),0)</f>
        <v/>
      </c>
      <c r="AX14" s="5">
        <f>IFERROR(IF(49=HoldMonths,-INDEX(Debt!$G$22:$G$81,MIN(60,HoldMonths)),0),0)</f>
        <v/>
      </c>
      <c r="AY14" s="5">
        <f>IFERROR(IF(50=HoldMonths,-INDEX(Debt!$G$22:$G$81,MIN(60,HoldMonths)),0),0)</f>
        <v/>
      </c>
      <c r="AZ14" s="5">
        <f>IFERROR(IF(51=HoldMonths,-INDEX(Debt!$G$22:$G$81,MIN(60,HoldMonths)),0),0)</f>
        <v/>
      </c>
      <c r="BA14" s="5">
        <f>IFERROR(IF(52=HoldMonths,-INDEX(Debt!$G$22:$G$81,MIN(60,HoldMonths)),0),0)</f>
        <v/>
      </c>
      <c r="BB14" s="5">
        <f>IFERROR(IF(53=HoldMonths,-INDEX(Debt!$G$22:$G$81,MIN(60,HoldMonths)),0),0)</f>
        <v/>
      </c>
      <c r="BC14" s="5">
        <f>IFERROR(IF(54=HoldMonths,-INDEX(Debt!$G$22:$G$81,MIN(60,HoldMonths)),0),0)</f>
        <v/>
      </c>
      <c r="BD14" s="5">
        <f>IFERROR(IF(55=HoldMonths,-INDEX(Debt!$G$22:$G$81,MIN(60,HoldMonths)),0),0)</f>
        <v/>
      </c>
      <c r="BE14" s="5">
        <f>IFERROR(IF(56=HoldMonths,-INDEX(Debt!$G$22:$G$81,MIN(60,HoldMonths)),0),0)</f>
        <v/>
      </c>
      <c r="BF14" s="5">
        <f>IFERROR(IF(57=HoldMonths,-INDEX(Debt!$G$22:$G$81,MIN(60,HoldMonths)),0),0)</f>
        <v/>
      </c>
      <c r="BG14" s="5">
        <f>IFERROR(IF(58=HoldMonths,-INDEX(Debt!$G$22:$G$81,MIN(60,HoldMonths)),0),0)</f>
        <v/>
      </c>
      <c r="BH14" s="5">
        <f>IFERROR(IF(59=HoldMonths,-INDEX(Debt!$G$22:$G$81,MIN(60,HoldMonths)),0),0)</f>
        <v/>
      </c>
      <c r="BI14" s="5">
        <f>IFERROR(IF(60=HoldMonths,-INDEX(Debt!$G$22:$G$81,MIN(60,HoldMonths)),0),0)</f>
        <v/>
      </c>
      <c r="BJ14" s="5">
        <f>IFERROR(IF(61=HoldMonths,-INDEX(Debt!$G$22:$G$81,MIN(60,HoldMonths)),0),0)</f>
        <v/>
      </c>
      <c r="BK14" s="5">
        <f>IFERROR(IF(62=HoldMonths,-INDEX(Debt!$G$22:$G$81,MIN(60,HoldMonths)),0),0)</f>
        <v/>
      </c>
      <c r="BL14" s="5">
        <f>IFERROR(IF(63=HoldMonths,-INDEX(Debt!$G$22:$G$81,MIN(60,HoldMonths)),0),0)</f>
        <v/>
      </c>
      <c r="BM14" s="5">
        <f>IFERROR(IF(64=HoldMonths,-INDEX(Debt!$G$22:$G$81,MIN(60,HoldMonths)),0),0)</f>
        <v/>
      </c>
      <c r="BN14" s="5">
        <f>IFERROR(IF(65=HoldMonths,-INDEX(Debt!$G$22:$G$81,MIN(60,HoldMonths)),0),0)</f>
        <v/>
      </c>
      <c r="BO14" s="5">
        <f>IFERROR(IF(66=HoldMonths,-INDEX(Debt!$G$22:$G$81,MIN(60,HoldMonths)),0),0)</f>
        <v/>
      </c>
      <c r="BP14" s="5">
        <f>IFERROR(IF(67=HoldMonths,-INDEX(Debt!$G$22:$G$81,MIN(60,HoldMonths)),0),0)</f>
        <v/>
      </c>
      <c r="BQ14" s="5">
        <f>IFERROR(IF(68=HoldMonths,-INDEX(Debt!$G$22:$G$81,MIN(60,HoldMonths)),0),0)</f>
        <v/>
      </c>
      <c r="BR14" s="5">
        <f>IFERROR(IF(69=HoldMonths,-INDEX(Debt!$G$22:$G$81,MIN(60,HoldMonths)),0),0)</f>
        <v/>
      </c>
      <c r="BS14" s="5">
        <f>IFERROR(IF(70=HoldMonths,-INDEX(Debt!$G$22:$G$81,MIN(60,HoldMonths)),0),0)</f>
        <v/>
      </c>
      <c r="BT14" s="5">
        <f>IFERROR(IF(71=HoldMonths,-INDEX(Debt!$G$22:$G$81,MIN(60,HoldMonths)),0),0)</f>
        <v/>
      </c>
      <c r="BU14" s="5">
        <f>IFERROR(IF(72=HoldMonths,-INDEX(Debt!$G$22:$G$81,MIN(60,HoldMonths)),0),0)</f>
        <v/>
      </c>
      <c r="BV14" s="5">
        <f>IFERROR(IF(73=HoldMonths,-INDEX(Debt!$G$22:$G$81,MIN(60,HoldMonths)),0),0)</f>
        <v/>
      </c>
      <c r="BW14" s="5">
        <f>IFERROR(IF(74=HoldMonths,-INDEX(Debt!$G$22:$G$81,MIN(60,HoldMonths)),0),0)</f>
        <v/>
      </c>
      <c r="BX14" s="5">
        <f>IFERROR(IF(75=HoldMonths,-INDEX(Debt!$G$22:$G$81,MIN(60,HoldMonths)),0),0)</f>
        <v/>
      </c>
      <c r="BY14" s="5">
        <f>IFERROR(IF(76=HoldMonths,-INDEX(Debt!$G$22:$G$81,MIN(60,HoldMonths)),0),0)</f>
        <v/>
      </c>
      <c r="BZ14" s="5">
        <f>IFERROR(IF(77=HoldMonths,-INDEX(Debt!$G$22:$G$81,MIN(60,HoldMonths)),0),0)</f>
        <v/>
      </c>
      <c r="CA14" s="5">
        <f>IFERROR(IF(78=HoldMonths,-INDEX(Debt!$G$22:$G$81,MIN(60,HoldMonths)),0),0)</f>
        <v/>
      </c>
      <c r="CB14" s="5">
        <f>IFERROR(IF(79=HoldMonths,-INDEX(Debt!$G$22:$G$81,MIN(60,HoldMonths)),0),0)</f>
        <v/>
      </c>
      <c r="CC14" s="5">
        <f>IFERROR(IF(80=HoldMonths,-INDEX(Debt!$G$22:$G$81,MIN(60,HoldMonths)),0),0)</f>
        <v/>
      </c>
      <c r="CD14" s="5">
        <f>IFERROR(IF(81=HoldMonths,-INDEX(Debt!$G$22:$G$81,MIN(60,HoldMonths)),0),0)</f>
        <v/>
      </c>
      <c r="CE14" s="5">
        <f>IFERROR(IF(82=HoldMonths,-INDEX(Debt!$G$22:$G$81,MIN(60,HoldMonths)),0),0)</f>
        <v/>
      </c>
      <c r="CF14" s="5">
        <f>IFERROR(IF(83=HoldMonths,-INDEX(Debt!$G$22:$G$81,MIN(60,HoldMonths)),0),0)</f>
        <v/>
      </c>
      <c r="CG14" s="5">
        <f>IFERROR(IF(84=HoldMonths,-INDEX(Debt!$G$22:$G$81,MIN(60,HoldMonths)),0),0)</f>
        <v/>
      </c>
      <c r="CH14" s="5">
        <f>IFERROR(IF(85=HoldMonths,-INDEX(Debt!$G$22:$G$81,MIN(60,HoldMonths)),0),0)</f>
        <v/>
      </c>
      <c r="CI14" s="5">
        <f>IFERROR(IF(86=HoldMonths,-INDEX(Debt!$G$22:$G$81,MIN(60,HoldMonths)),0),0)</f>
        <v/>
      </c>
      <c r="CJ14" s="5">
        <f>IFERROR(IF(87=HoldMonths,-INDEX(Debt!$G$22:$G$81,MIN(60,HoldMonths)),0),0)</f>
        <v/>
      </c>
      <c r="CK14" s="5">
        <f>IFERROR(IF(88=HoldMonths,-INDEX(Debt!$G$22:$G$81,MIN(60,HoldMonths)),0),0)</f>
        <v/>
      </c>
      <c r="CL14" s="5">
        <f>IFERROR(IF(89=HoldMonths,-INDEX(Debt!$G$22:$G$81,MIN(60,HoldMonths)),0),0)</f>
        <v/>
      </c>
      <c r="CM14" s="5">
        <f>IFERROR(IF(90=HoldMonths,-INDEX(Debt!$G$22:$G$81,MIN(60,HoldMonths)),0),0)</f>
        <v/>
      </c>
      <c r="CN14" s="5">
        <f>IFERROR(IF(91=HoldMonths,-INDEX(Debt!$G$22:$G$81,MIN(60,HoldMonths)),0),0)</f>
        <v/>
      </c>
      <c r="CO14" s="5">
        <f>IFERROR(IF(92=HoldMonths,-INDEX(Debt!$G$22:$G$81,MIN(60,HoldMonths)),0),0)</f>
        <v/>
      </c>
      <c r="CP14" s="5">
        <f>IFERROR(IF(93=HoldMonths,-INDEX(Debt!$G$22:$G$81,MIN(60,HoldMonths)),0),0)</f>
        <v/>
      </c>
      <c r="CQ14" s="5">
        <f>IFERROR(IF(94=HoldMonths,-INDEX(Debt!$G$22:$G$81,MIN(60,HoldMonths)),0),0)</f>
        <v/>
      </c>
      <c r="CR14" s="5">
        <f>IFERROR(IF(95=HoldMonths,-INDEX(Debt!$G$22:$G$81,MIN(60,HoldMonths)),0),0)</f>
        <v/>
      </c>
      <c r="CS14" s="5">
        <f>IFERROR(IF(96=HoldMonths,-INDEX(Debt!$G$22:$G$81,MIN(60,HoldMonths)),0),0)</f>
        <v/>
      </c>
      <c r="CT14" s="5">
        <f>IFERROR(IF(97=HoldMonths,-INDEX(Debt!$G$22:$G$81,MIN(60,HoldMonths)),0),0)</f>
        <v/>
      </c>
      <c r="CU14" s="5">
        <f>IFERROR(IF(98=HoldMonths,-INDEX(Debt!$G$22:$G$81,MIN(60,HoldMonths)),0),0)</f>
        <v/>
      </c>
      <c r="CV14" s="5">
        <f>IFERROR(IF(99=HoldMonths,-INDEX(Debt!$G$22:$G$81,MIN(60,HoldMonths)),0),0)</f>
        <v/>
      </c>
      <c r="CW14" s="5">
        <f>IFERROR(IF(100=HoldMonths,-INDEX(Debt!$G$22:$G$81,MIN(60,HoldMonths)),0),0)</f>
        <v/>
      </c>
      <c r="CX14" s="5">
        <f>IFERROR(IF(101=HoldMonths,-INDEX(Debt!$G$22:$G$81,MIN(60,HoldMonths)),0),0)</f>
        <v/>
      </c>
      <c r="CY14" s="5">
        <f>IFERROR(IF(102=HoldMonths,-INDEX(Debt!$G$22:$G$81,MIN(60,HoldMonths)),0),0)</f>
        <v/>
      </c>
      <c r="CZ14" s="5">
        <f>IFERROR(IF(103=HoldMonths,-INDEX(Debt!$G$22:$G$81,MIN(60,HoldMonths)),0),0)</f>
        <v/>
      </c>
      <c r="DA14" s="5">
        <f>IFERROR(IF(104=HoldMonths,-INDEX(Debt!$G$22:$G$81,MIN(60,HoldMonths)),0),0)</f>
        <v/>
      </c>
      <c r="DB14" s="5">
        <f>IFERROR(IF(105=HoldMonths,-INDEX(Debt!$G$22:$G$81,MIN(60,HoldMonths)),0),0)</f>
        <v/>
      </c>
      <c r="DC14" s="5">
        <f>IFERROR(IF(106=HoldMonths,-INDEX(Debt!$G$22:$G$81,MIN(60,HoldMonths)),0),0)</f>
        <v/>
      </c>
      <c r="DD14" s="5">
        <f>IFERROR(IF(107=HoldMonths,-INDEX(Debt!$G$22:$G$81,MIN(60,HoldMonths)),0),0)</f>
        <v/>
      </c>
      <c r="DE14" s="5">
        <f>IFERROR(IF(108=HoldMonths,-INDEX(Debt!$G$22:$G$81,MIN(60,HoldMonths)),0),0)</f>
        <v/>
      </c>
      <c r="DF14" s="5">
        <f>IFERROR(IF(109=HoldMonths,-INDEX(Debt!$G$22:$G$81,MIN(60,HoldMonths)),0),0)</f>
        <v/>
      </c>
      <c r="DG14" s="5">
        <f>IFERROR(IF(110=HoldMonths,-INDEX(Debt!$G$22:$G$81,MIN(60,HoldMonths)),0),0)</f>
        <v/>
      </c>
      <c r="DH14" s="5">
        <f>IFERROR(IF(111=HoldMonths,-INDEX(Debt!$G$22:$G$81,MIN(60,HoldMonths)),0),0)</f>
        <v/>
      </c>
      <c r="DI14" s="5">
        <f>IFERROR(IF(112=HoldMonths,-INDEX(Debt!$G$22:$G$81,MIN(60,HoldMonths)),0),0)</f>
        <v/>
      </c>
      <c r="DJ14" s="5">
        <f>IFERROR(IF(113=HoldMonths,-INDEX(Debt!$G$22:$G$81,MIN(60,HoldMonths)),0),0)</f>
        <v/>
      </c>
      <c r="DK14" s="5">
        <f>IFERROR(IF(114=HoldMonths,-INDEX(Debt!$G$22:$G$81,MIN(60,HoldMonths)),0),0)</f>
        <v/>
      </c>
      <c r="DL14" s="5">
        <f>IFERROR(IF(115=HoldMonths,-INDEX(Debt!$G$22:$G$81,MIN(60,HoldMonths)),0),0)</f>
        <v/>
      </c>
      <c r="DM14" s="5">
        <f>IFERROR(IF(116=HoldMonths,-INDEX(Debt!$G$22:$G$81,MIN(60,HoldMonths)),0),0)</f>
        <v/>
      </c>
      <c r="DN14" s="5">
        <f>IFERROR(IF(117=HoldMonths,-INDEX(Debt!$G$22:$G$81,MIN(60,HoldMonths)),0),0)</f>
        <v/>
      </c>
      <c r="DO14" s="5">
        <f>IFERROR(IF(118=HoldMonths,-INDEX(Debt!$G$22:$G$81,MIN(60,HoldMonths)),0),0)</f>
        <v/>
      </c>
      <c r="DP14" s="5">
        <f>IFERROR(IF(119=HoldMonths,-INDEX(Debt!$G$22:$G$81,MIN(60,HoldMonths)),0),0)</f>
        <v/>
      </c>
      <c r="DQ14" s="5">
        <f>IFERROR(IF(120=HoldMonths,-INDEX(Debt!$G$22:$G$81,MIN(60,HoldMonths)),0),0)</f>
        <v/>
      </c>
    </row>
    <row r="15">
      <c r="A15" s="3" t="inlineStr">
        <is>
          <t>Debt Service (Monthly)</t>
        </is>
      </c>
      <c r="B15" s="5">
        <f>-Debt!F22</f>
        <v/>
      </c>
      <c r="C15" s="5">
        <f>-Debt!F23</f>
        <v/>
      </c>
      <c r="D15" s="5">
        <f>-Debt!F24</f>
        <v/>
      </c>
      <c r="E15" s="5">
        <f>-Debt!F25</f>
        <v/>
      </c>
      <c r="F15" s="5">
        <f>-Debt!F26</f>
        <v/>
      </c>
      <c r="G15" s="5">
        <f>-Debt!F27</f>
        <v/>
      </c>
      <c r="H15" s="5">
        <f>-Debt!F28</f>
        <v/>
      </c>
      <c r="I15" s="5">
        <f>-Debt!F29</f>
        <v/>
      </c>
      <c r="J15" s="5">
        <f>-Debt!F30</f>
        <v/>
      </c>
      <c r="K15" s="5">
        <f>-Debt!F31</f>
        <v/>
      </c>
      <c r="L15" s="5">
        <f>-Debt!F32</f>
        <v/>
      </c>
      <c r="M15" s="5">
        <f>-Debt!F33</f>
        <v/>
      </c>
      <c r="N15" s="5">
        <f>-Debt!F34</f>
        <v/>
      </c>
      <c r="O15" s="5">
        <f>-Debt!F35</f>
        <v/>
      </c>
      <c r="P15" s="5">
        <f>-Debt!F36</f>
        <v/>
      </c>
      <c r="Q15" s="5">
        <f>-Debt!F37</f>
        <v/>
      </c>
      <c r="R15" s="5">
        <f>-Debt!F38</f>
        <v/>
      </c>
      <c r="S15" s="5">
        <f>-Debt!F39</f>
        <v/>
      </c>
      <c r="T15" s="5">
        <f>-Debt!F40</f>
        <v/>
      </c>
      <c r="U15" s="5">
        <f>-Debt!F41</f>
        <v/>
      </c>
      <c r="V15" s="5">
        <f>-Debt!F42</f>
        <v/>
      </c>
      <c r="W15" s="5">
        <f>-Debt!F43</f>
        <v/>
      </c>
      <c r="X15" s="5">
        <f>-Debt!F44</f>
        <v/>
      </c>
      <c r="Y15" s="5">
        <f>-Debt!F45</f>
        <v/>
      </c>
      <c r="Z15" s="5">
        <f>-Debt!F46</f>
        <v/>
      </c>
      <c r="AA15" s="5">
        <f>-Debt!F47</f>
        <v/>
      </c>
      <c r="AB15" s="5">
        <f>-Debt!F48</f>
        <v/>
      </c>
      <c r="AC15" s="5">
        <f>-Debt!F49</f>
        <v/>
      </c>
      <c r="AD15" s="5">
        <f>-Debt!F50</f>
        <v/>
      </c>
      <c r="AE15" s="5">
        <f>-Debt!F51</f>
        <v/>
      </c>
      <c r="AF15" s="5">
        <f>-Debt!F52</f>
        <v/>
      </c>
      <c r="AG15" s="5">
        <f>-Debt!F53</f>
        <v/>
      </c>
      <c r="AH15" s="5">
        <f>-Debt!F54</f>
        <v/>
      </c>
      <c r="AI15" s="5">
        <f>-Debt!F55</f>
        <v/>
      </c>
      <c r="AJ15" s="5">
        <f>-Debt!F56</f>
        <v/>
      </c>
      <c r="AK15" s="5">
        <f>-Debt!F57</f>
        <v/>
      </c>
      <c r="AL15" s="5">
        <f>-Debt!F58</f>
        <v/>
      </c>
      <c r="AM15" s="5">
        <f>-Debt!F59</f>
        <v/>
      </c>
      <c r="AN15" s="5">
        <f>-Debt!F60</f>
        <v/>
      </c>
      <c r="AO15" s="5">
        <f>-Debt!F61</f>
        <v/>
      </c>
      <c r="AP15" s="5">
        <f>-Debt!F62</f>
        <v/>
      </c>
      <c r="AQ15" s="5">
        <f>-Debt!F63</f>
        <v/>
      </c>
      <c r="AR15" s="5">
        <f>-Debt!F64</f>
        <v/>
      </c>
      <c r="AS15" s="5">
        <f>-Debt!F65</f>
        <v/>
      </c>
      <c r="AT15" s="5">
        <f>-Debt!F66</f>
        <v/>
      </c>
      <c r="AU15" s="5">
        <f>-Debt!F67</f>
        <v/>
      </c>
      <c r="AV15" s="5">
        <f>-Debt!F68</f>
        <v/>
      </c>
      <c r="AW15" s="5">
        <f>-Debt!F69</f>
        <v/>
      </c>
      <c r="AX15" s="5">
        <f>-Debt!F70</f>
        <v/>
      </c>
      <c r="AY15" s="5">
        <f>-Debt!F71</f>
        <v/>
      </c>
      <c r="AZ15" s="5">
        <f>-Debt!F72</f>
        <v/>
      </c>
      <c r="BA15" s="5">
        <f>-Debt!F73</f>
        <v/>
      </c>
      <c r="BB15" s="5">
        <f>-Debt!F74</f>
        <v/>
      </c>
      <c r="BC15" s="5">
        <f>-Debt!F75</f>
        <v/>
      </c>
      <c r="BD15" s="5">
        <f>-Debt!F76</f>
        <v/>
      </c>
      <c r="BE15" s="5">
        <f>-Debt!F77</f>
        <v/>
      </c>
      <c r="BF15" s="5">
        <f>-Debt!F78</f>
        <v/>
      </c>
      <c r="BG15" s="5">
        <f>-Debt!F79</f>
        <v/>
      </c>
      <c r="BH15" s="5">
        <f>-Debt!F80</f>
        <v/>
      </c>
      <c r="BI15" s="5">
        <f>-Debt!F81</f>
        <v/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</row>
    <row r="17">
      <c r="A17" s="14" t="inlineStr">
        <is>
          <t>UNLEVERED CASH FLOW</t>
        </is>
      </c>
      <c r="B17" s="8">
        <f>B9+B11+B13</f>
        <v/>
      </c>
      <c r="C17" s="8">
        <f>C9+C11+C13</f>
        <v/>
      </c>
      <c r="D17" s="8">
        <f>D9+D11+D13</f>
        <v/>
      </c>
      <c r="E17" s="8">
        <f>E9+E11+E13</f>
        <v/>
      </c>
      <c r="F17" s="8">
        <f>F9+F11+F13</f>
        <v/>
      </c>
      <c r="G17" s="8">
        <f>G9+G11+G13</f>
        <v/>
      </c>
      <c r="H17" s="8">
        <f>H9+H11+H13</f>
        <v/>
      </c>
      <c r="I17" s="8">
        <f>I9+I11+I13</f>
        <v/>
      </c>
      <c r="J17" s="8">
        <f>J9+J11+J13</f>
        <v/>
      </c>
      <c r="K17" s="8">
        <f>K9+K11+K13</f>
        <v/>
      </c>
      <c r="L17" s="8">
        <f>L9+L11+L13</f>
        <v/>
      </c>
      <c r="M17" s="8">
        <f>M9+M11+M13</f>
        <v/>
      </c>
      <c r="N17" s="8">
        <f>N9+N11+N13</f>
        <v/>
      </c>
      <c r="O17" s="8">
        <f>O9+O11+O13</f>
        <v/>
      </c>
      <c r="P17" s="8">
        <f>P9+P11+P13</f>
        <v/>
      </c>
      <c r="Q17" s="8">
        <f>Q9+Q11+Q13</f>
        <v/>
      </c>
      <c r="R17" s="8">
        <f>R9+R11+R13</f>
        <v/>
      </c>
      <c r="S17" s="8">
        <f>S9+S11+S13</f>
        <v/>
      </c>
      <c r="T17" s="8">
        <f>T9+T11+T13</f>
        <v/>
      </c>
      <c r="U17" s="8">
        <f>U9+U11+U13</f>
        <v/>
      </c>
      <c r="V17" s="8">
        <f>V9+V11+V13</f>
        <v/>
      </c>
      <c r="W17" s="8">
        <f>W9+W11+W13</f>
        <v/>
      </c>
      <c r="X17" s="8">
        <f>X9+X11+X13</f>
        <v/>
      </c>
      <c r="Y17" s="8">
        <f>Y9+Y11+Y13</f>
        <v/>
      </c>
      <c r="Z17" s="8">
        <f>Z9+Z11+Z13</f>
        <v/>
      </c>
      <c r="AA17" s="8">
        <f>AA9+AA11+AA13</f>
        <v/>
      </c>
      <c r="AB17" s="8">
        <f>AB9+AB11+AB13</f>
        <v/>
      </c>
      <c r="AC17" s="8">
        <f>AC9+AC11+AC13</f>
        <v/>
      </c>
      <c r="AD17" s="8">
        <f>AD9+AD11+AD13</f>
        <v/>
      </c>
      <c r="AE17" s="8">
        <f>AE9+AE11+AE13</f>
        <v/>
      </c>
      <c r="AF17" s="8">
        <f>AF9+AF11+AF13</f>
        <v/>
      </c>
      <c r="AG17" s="8">
        <f>AG9+AG11+AG13</f>
        <v/>
      </c>
      <c r="AH17" s="8">
        <f>AH9+AH11+AH13</f>
        <v/>
      </c>
      <c r="AI17" s="8">
        <f>AI9+AI11+AI13</f>
        <v/>
      </c>
      <c r="AJ17" s="8">
        <f>AJ9+AJ11+AJ13</f>
        <v/>
      </c>
      <c r="AK17" s="8">
        <f>AK9+AK11+AK13</f>
        <v/>
      </c>
      <c r="AL17" s="8">
        <f>AL9+AL11+AL13</f>
        <v/>
      </c>
      <c r="AM17" s="8">
        <f>AM9+AM11+AM13</f>
        <v/>
      </c>
      <c r="AN17" s="8">
        <f>AN9+AN11+AN13</f>
        <v/>
      </c>
      <c r="AO17" s="8">
        <f>AO9+AO11+AO13</f>
        <v/>
      </c>
      <c r="AP17" s="8">
        <f>AP9+AP11+AP13</f>
        <v/>
      </c>
      <c r="AQ17" s="8">
        <f>AQ9+AQ11+AQ13</f>
        <v/>
      </c>
      <c r="AR17" s="8">
        <f>AR9+AR11+AR13</f>
        <v/>
      </c>
      <c r="AS17" s="8">
        <f>AS9+AS11+AS13</f>
        <v/>
      </c>
      <c r="AT17" s="8">
        <f>AT9+AT11+AT13</f>
        <v/>
      </c>
      <c r="AU17" s="8">
        <f>AU9+AU11+AU13</f>
        <v/>
      </c>
      <c r="AV17" s="8">
        <f>AV9+AV11+AV13</f>
        <v/>
      </c>
      <c r="AW17" s="8">
        <f>AW9+AW11+AW13</f>
        <v/>
      </c>
      <c r="AX17" s="8">
        <f>AX9+AX11+AX13</f>
        <v/>
      </c>
      <c r="AY17" s="8">
        <f>AY9+AY11+AY13</f>
        <v/>
      </c>
      <c r="AZ17" s="8">
        <f>AZ9+AZ11+AZ13</f>
        <v/>
      </c>
      <c r="BA17" s="8">
        <f>BA9+BA11+BA13</f>
        <v/>
      </c>
      <c r="BB17" s="8">
        <f>BB9+BB11+BB13</f>
        <v/>
      </c>
      <c r="BC17" s="8">
        <f>BC9+BC11+BC13</f>
        <v/>
      </c>
      <c r="BD17" s="8">
        <f>BD9+BD11+BD13</f>
        <v/>
      </c>
      <c r="BE17" s="8">
        <f>BE9+BE11+BE13</f>
        <v/>
      </c>
      <c r="BF17" s="8">
        <f>BF9+BF11+BF13</f>
        <v/>
      </c>
      <c r="BG17" s="8">
        <f>BG9+BG11+BG13</f>
        <v/>
      </c>
      <c r="BH17" s="8">
        <f>BH9+BH11+BH13</f>
        <v/>
      </c>
      <c r="BI17" s="8">
        <f>BI9+BI11+BI13</f>
        <v/>
      </c>
      <c r="BJ17" s="8">
        <f>BJ9+BJ11+BJ13</f>
        <v/>
      </c>
      <c r="BK17" s="8">
        <f>BK9+BK11+BK13</f>
        <v/>
      </c>
      <c r="BL17" s="8">
        <f>BL9+BL11+BL13</f>
        <v/>
      </c>
      <c r="BM17" s="8">
        <f>BM9+BM11+BM13</f>
        <v/>
      </c>
      <c r="BN17" s="8">
        <f>BN9+BN11+BN13</f>
        <v/>
      </c>
      <c r="BO17" s="8">
        <f>BO9+BO11+BO13</f>
        <v/>
      </c>
      <c r="BP17" s="8">
        <f>BP9+BP11+BP13</f>
        <v/>
      </c>
      <c r="BQ17" s="8">
        <f>BQ9+BQ11+BQ13</f>
        <v/>
      </c>
      <c r="BR17" s="8">
        <f>BR9+BR11+BR13</f>
        <v/>
      </c>
      <c r="BS17" s="8">
        <f>BS9+BS11+BS13</f>
        <v/>
      </c>
      <c r="BT17" s="8">
        <f>BT9+BT11+BT13</f>
        <v/>
      </c>
      <c r="BU17" s="8">
        <f>BU9+BU11+BU13</f>
        <v/>
      </c>
      <c r="BV17" s="8">
        <f>BV9+BV11+BV13</f>
        <v/>
      </c>
      <c r="BW17" s="8">
        <f>BW9+BW11+BW13</f>
        <v/>
      </c>
      <c r="BX17" s="8">
        <f>BX9+BX11+BX13</f>
        <v/>
      </c>
      <c r="BY17" s="8">
        <f>BY9+BY11+BY13</f>
        <v/>
      </c>
      <c r="BZ17" s="8">
        <f>BZ9+BZ11+BZ13</f>
        <v/>
      </c>
      <c r="CA17" s="8">
        <f>CA9+CA11+CA13</f>
        <v/>
      </c>
      <c r="CB17" s="8">
        <f>CB9+CB11+CB13</f>
        <v/>
      </c>
      <c r="CC17" s="8">
        <f>CC9+CC11+CC13</f>
        <v/>
      </c>
      <c r="CD17" s="8">
        <f>CD9+CD11+CD13</f>
        <v/>
      </c>
      <c r="CE17" s="8">
        <f>CE9+CE11+CE13</f>
        <v/>
      </c>
      <c r="CF17" s="8">
        <f>CF9+CF11+CF13</f>
        <v/>
      </c>
      <c r="CG17" s="8">
        <f>CG9+CG11+CG13</f>
        <v/>
      </c>
      <c r="CH17" s="8">
        <f>CH9+CH11+CH13</f>
        <v/>
      </c>
      <c r="CI17" s="8">
        <f>CI9+CI11+CI13</f>
        <v/>
      </c>
      <c r="CJ17" s="8">
        <f>CJ9+CJ11+CJ13</f>
        <v/>
      </c>
      <c r="CK17" s="8">
        <f>CK9+CK11+CK13</f>
        <v/>
      </c>
      <c r="CL17" s="8">
        <f>CL9+CL11+CL13</f>
        <v/>
      </c>
      <c r="CM17" s="8">
        <f>CM9+CM11+CM13</f>
        <v/>
      </c>
      <c r="CN17" s="8">
        <f>CN9+CN11+CN13</f>
        <v/>
      </c>
      <c r="CO17" s="8">
        <f>CO9+CO11+CO13</f>
        <v/>
      </c>
      <c r="CP17" s="8">
        <f>CP9+CP11+CP13</f>
        <v/>
      </c>
      <c r="CQ17" s="8">
        <f>CQ9+CQ11+CQ13</f>
        <v/>
      </c>
      <c r="CR17" s="8">
        <f>CR9+CR11+CR13</f>
        <v/>
      </c>
      <c r="CS17" s="8">
        <f>CS9+CS11+CS13</f>
        <v/>
      </c>
      <c r="CT17" s="8">
        <f>CT9+CT11+CT13</f>
        <v/>
      </c>
      <c r="CU17" s="8">
        <f>CU9+CU11+CU13</f>
        <v/>
      </c>
      <c r="CV17" s="8">
        <f>CV9+CV11+CV13</f>
        <v/>
      </c>
      <c r="CW17" s="8">
        <f>CW9+CW11+CW13</f>
        <v/>
      </c>
      <c r="CX17" s="8">
        <f>CX9+CX11+CX13</f>
        <v/>
      </c>
      <c r="CY17" s="8">
        <f>CY9+CY11+CY13</f>
        <v/>
      </c>
      <c r="CZ17" s="8">
        <f>CZ9+CZ11+CZ13</f>
        <v/>
      </c>
      <c r="DA17" s="8">
        <f>DA9+DA11+DA13</f>
        <v/>
      </c>
      <c r="DB17" s="8">
        <f>DB9+DB11+DB13</f>
        <v/>
      </c>
      <c r="DC17" s="8">
        <f>DC9+DC11+DC13</f>
        <v/>
      </c>
      <c r="DD17" s="8">
        <f>DD9+DD11+DD13</f>
        <v/>
      </c>
      <c r="DE17" s="8">
        <f>DE9+DE11+DE13</f>
        <v/>
      </c>
      <c r="DF17" s="8">
        <f>DF9+DF11+DF13</f>
        <v/>
      </c>
      <c r="DG17" s="8">
        <f>DG9+DG11+DG13</f>
        <v/>
      </c>
      <c r="DH17" s="8">
        <f>DH9+DH11+DH13</f>
        <v/>
      </c>
      <c r="DI17" s="8">
        <f>DI9+DI11+DI13</f>
        <v/>
      </c>
      <c r="DJ17" s="8">
        <f>DJ9+DJ11+DJ13</f>
        <v/>
      </c>
      <c r="DK17" s="8">
        <f>DK9+DK11+DK13</f>
        <v/>
      </c>
      <c r="DL17" s="8">
        <f>DL9+DL11+DL13</f>
        <v/>
      </c>
      <c r="DM17" s="8">
        <f>DM9+DM11+DM13</f>
        <v/>
      </c>
      <c r="DN17" s="8">
        <f>DN9+DN11+DN13</f>
        <v/>
      </c>
      <c r="DO17" s="8">
        <f>DO9+DO11+DO13</f>
        <v/>
      </c>
      <c r="DP17" s="8">
        <f>DP9+DP11+DP13</f>
        <v/>
      </c>
      <c r="DQ17" s="8">
        <f>DQ9+DQ11+DQ13</f>
        <v/>
      </c>
    </row>
    <row r="18">
      <c r="A18" s="14" t="inlineStr">
        <is>
          <t>LEVERED CASH FLOW</t>
        </is>
      </c>
      <c r="B18" s="8">
        <f>B17+B12+B15+B14</f>
        <v/>
      </c>
      <c r="C18" s="8">
        <f>C17+C12+C15+C14</f>
        <v/>
      </c>
      <c r="D18" s="8">
        <f>D17+D12+D15+D14</f>
        <v/>
      </c>
      <c r="E18" s="8">
        <f>E17+E12+E15+E14</f>
        <v/>
      </c>
      <c r="F18" s="8">
        <f>F17+F12+F15+F14</f>
        <v/>
      </c>
      <c r="G18" s="8">
        <f>G17+G12+G15+G14</f>
        <v/>
      </c>
      <c r="H18" s="8">
        <f>H17+H12+H15+H14</f>
        <v/>
      </c>
      <c r="I18" s="8">
        <f>I17+I12+I15+I14</f>
        <v/>
      </c>
      <c r="J18" s="8">
        <f>J17+J12+J15+J14</f>
        <v/>
      </c>
      <c r="K18" s="8">
        <f>K17+K12+K15+K14</f>
        <v/>
      </c>
      <c r="L18" s="8">
        <f>L17+L12+L15+L14</f>
        <v/>
      </c>
      <c r="M18" s="8">
        <f>M17+M12+M15+M14</f>
        <v/>
      </c>
      <c r="N18" s="8">
        <f>N17+N12+N15+N14</f>
        <v/>
      </c>
      <c r="O18" s="8">
        <f>O17+O12+O15+O14</f>
        <v/>
      </c>
      <c r="P18" s="8">
        <f>P17+P12+P15+P14</f>
        <v/>
      </c>
      <c r="Q18" s="8">
        <f>Q17+Q12+Q15+Q14</f>
        <v/>
      </c>
      <c r="R18" s="8">
        <f>R17+R12+R15+R14</f>
        <v/>
      </c>
      <c r="S18" s="8">
        <f>S17+S12+S15+S14</f>
        <v/>
      </c>
      <c r="T18" s="8">
        <f>T17+T12+T15+T14</f>
        <v/>
      </c>
      <c r="U18" s="8">
        <f>U17+U12+U15+U14</f>
        <v/>
      </c>
      <c r="V18" s="8">
        <f>V17+V12+V15+V14</f>
        <v/>
      </c>
      <c r="W18" s="8">
        <f>W17+W12+W15+W14</f>
        <v/>
      </c>
      <c r="X18" s="8">
        <f>X17+X12+X15+X14</f>
        <v/>
      </c>
      <c r="Y18" s="8">
        <f>Y17+Y12+Y15+Y14</f>
        <v/>
      </c>
      <c r="Z18" s="8">
        <f>Z17+Z12+Z15+Z14</f>
        <v/>
      </c>
      <c r="AA18" s="8">
        <f>AA17+AA12+AA15+AA14</f>
        <v/>
      </c>
      <c r="AB18" s="8">
        <f>AB17+AB12+AB15+AB14</f>
        <v/>
      </c>
      <c r="AC18" s="8">
        <f>AC17+AC12+AC15+AC14</f>
        <v/>
      </c>
      <c r="AD18" s="8">
        <f>AD17+AD12+AD15+AD14</f>
        <v/>
      </c>
      <c r="AE18" s="8">
        <f>AE17+AE12+AE15+AE14</f>
        <v/>
      </c>
      <c r="AF18" s="8">
        <f>AF17+AF12+AF15+AF14</f>
        <v/>
      </c>
      <c r="AG18" s="8">
        <f>AG17+AG12+AG15+AG14</f>
        <v/>
      </c>
      <c r="AH18" s="8">
        <f>AH17+AH12+AH15+AH14</f>
        <v/>
      </c>
      <c r="AI18" s="8">
        <f>AI17+AI12+AI15+AI14</f>
        <v/>
      </c>
      <c r="AJ18" s="8">
        <f>AJ17+AJ12+AJ15+AJ14</f>
        <v/>
      </c>
      <c r="AK18" s="8">
        <f>AK17+AK12+AK15+AK14</f>
        <v/>
      </c>
      <c r="AL18" s="8">
        <f>AL17+AL12+AL15+AL14</f>
        <v/>
      </c>
      <c r="AM18" s="8">
        <f>AM17+AM12+AM15+AM14</f>
        <v/>
      </c>
      <c r="AN18" s="8">
        <f>AN17+AN12+AN15+AN14</f>
        <v/>
      </c>
      <c r="AO18" s="8">
        <f>AO17+AO12+AO15+AO14</f>
        <v/>
      </c>
      <c r="AP18" s="8">
        <f>AP17+AP12+AP15+AP14</f>
        <v/>
      </c>
      <c r="AQ18" s="8">
        <f>AQ17+AQ12+AQ15+AQ14</f>
        <v/>
      </c>
      <c r="AR18" s="8">
        <f>AR17+AR12+AR15+AR14</f>
        <v/>
      </c>
      <c r="AS18" s="8">
        <f>AS17+AS12+AS15+AS14</f>
        <v/>
      </c>
      <c r="AT18" s="8">
        <f>AT17+AT12+AT15+AT14</f>
        <v/>
      </c>
      <c r="AU18" s="8">
        <f>AU17+AU12+AU15+AU14</f>
        <v/>
      </c>
      <c r="AV18" s="8">
        <f>AV17+AV12+AV15+AV14</f>
        <v/>
      </c>
      <c r="AW18" s="8">
        <f>AW17+AW12+AW15+AW14</f>
        <v/>
      </c>
      <c r="AX18" s="8">
        <f>AX17+AX12+AX15+AX14</f>
        <v/>
      </c>
      <c r="AY18" s="8">
        <f>AY17+AY12+AY15+AY14</f>
        <v/>
      </c>
      <c r="AZ18" s="8">
        <f>AZ17+AZ12+AZ15+AZ14</f>
        <v/>
      </c>
      <c r="BA18" s="8">
        <f>BA17+BA12+BA15+BA14</f>
        <v/>
      </c>
      <c r="BB18" s="8">
        <f>BB17+BB12+BB15+BB14</f>
        <v/>
      </c>
      <c r="BC18" s="8">
        <f>BC17+BC12+BC15+BC14</f>
        <v/>
      </c>
      <c r="BD18" s="8">
        <f>BD17+BD12+BD15+BD14</f>
        <v/>
      </c>
      <c r="BE18" s="8">
        <f>BE17+BE12+BE15+BE14</f>
        <v/>
      </c>
      <c r="BF18" s="8">
        <f>BF17+BF12+BF15+BF14</f>
        <v/>
      </c>
      <c r="BG18" s="8">
        <f>BG17+BG12+BG15+BG14</f>
        <v/>
      </c>
      <c r="BH18" s="8">
        <f>BH17+BH12+BH15+BH14</f>
        <v/>
      </c>
      <c r="BI18" s="8">
        <f>BI17+BI12+BI15+BI14</f>
        <v/>
      </c>
      <c r="BJ18" s="8">
        <f>BJ17+BJ12+BJ15+BJ14</f>
        <v/>
      </c>
      <c r="BK18" s="8">
        <f>BK17+BK12+BK15+BK14</f>
        <v/>
      </c>
      <c r="BL18" s="8">
        <f>BL17+BL12+BL15+BL14</f>
        <v/>
      </c>
      <c r="BM18" s="8">
        <f>BM17+BM12+BM15+BM14</f>
        <v/>
      </c>
      <c r="BN18" s="8">
        <f>BN17+BN12+BN15+BN14</f>
        <v/>
      </c>
      <c r="BO18" s="8">
        <f>BO17+BO12+BO15+BO14</f>
        <v/>
      </c>
      <c r="BP18" s="8">
        <f>BP17+BP12+BP15+BP14</f>
        <v/>
      </c>
      <c r="BQ18" s="8">
        <f>BQ17+BQ12+BQ15+BQ14</f>
        <v/>
      </c>
      <c r="BR18" s="8">
        <f>BR17+BR12+BR15+BR14</f>
        <v/>
      </c>
      <c r="BS18" s="8">
        <f>BS17+BS12+BS15+BS14</f>
        <v/>
      </c>
      <c r="BT18" s="8">
        <f>BT17+BT12+BT15+BT14</f>
        <v/>
      </c>
      <c r="BU18" s="8">
        <f>BU17+BU12+BU15+BU14</f>
        <v/>
      </c>
      <c r="BV18" s="8">
        <f>BV17+BV12+BV15+BV14</f>
        <v/>
      </c>
      <c r="BW18" s="8">
        <f>BW17+BW12+BW15+BW14</f>
        <v/>
      </c>
      <c r="BX18" s="8">
        <f>BX17+BX12+BX15+BX14</f>
        <v/>
      </c>
      <c r="BY18" s="8">
        <f>BY17+BY12+BY15+BY14</f>
        <v/>
      </c>
      <c r="BZ18" s="8">
        <f>BZ17+BZ12+BZ15+BZ14</f>
        <v/>
      </c>
      <c r="CA18" s="8">
        <f>CA17+CA12+CA15+CA14</f>
        <v/>
      </c>
      <c r="CB18" s="8">
        <f>CB17+CB12+CB15+CB14</f>
        <v/>
      </c>
      <c r="CC18" s="8">
        <f>CC17+CC12+CC15+CC14</f>
        <v/>
      </c>
      <c r="CD18" s="8">
        <f>CD17+CD12+CD15+CD14</f>
        <v/>
      </c>
      <c r="CE18" s="8">
        <f>CE17+CE12+CE15+CE14</f>
        <v/>
      </c>
      <c r="CF18" s="8">
        <f>CF17+CF12+CF15+CF14</f>
        <v/>
      </c>
      <c r="CG18" s="8">
        <f>CG17+CG12+CG15+CG14</f>
        <v/>
      </c>
      <c r="CH18" s="8">
        <f>CH17+CH12+CH15+CH14</f>
        <v/>
      </c>
      <c r="CI18" s="8">
        <f>CI17+CI12+CI15+CI14</f>
        <v/>
      </c>
      <c r="CJ18" s="8">
        <f>CJ17+CJ12+CJ15+CJ14</f>
        <v/>
      </c>
      <c r="CK18" s="8">
        <f>CK17+CK12+CK15+CK14</f>
        <v/>
      </c>
      <c r="CL18" s="8">
        <f>CL17+CL12+CL15+CL14</f>
        <v/>
      </c>
      <c r="CM18" s="8">
        <f>CM17+CM12+CM15+CM14</f>
        <v/>
      </c>
      <c r="CN18" s="8">
        <f>CN17+CN12+CN15+CN14</f>
        <v/>
      </c>
      <c r="CO18" s="8">
        <f>CO17+CO12+CO15+CO14</f>
        <v/>
      </c>
      <c r="CP18" s="8">
        <f>CP17+CP12+CP15+CP14</f>
        <v/>
      </c>
      <c r="CQ18" s="8">
        <f>CQ17+CQ12+CQ15+CQ14</f>
        <v/>
      </c>
      <c r="CR18" s="8">
        <f>CR17+CR12+CR15+CR14</f>
        <v/>
      </c>
      <c r="CS18" s="8">
        <f>CS17+CS12+CS15+CS14</f>
        <v/>
      </c>
      <c r="CT18" s="8">
        <f>CT17+CT12+CT15+CT14</f>
        <v/>
      </c>
      <c r="CU18" s="8">
        <f>CU17+CU12+CU15+CU14</f>
        <v/>
      </c>
      <c r="CV18" s="8">
        <f>CV17+CV12+CV15+CV14</f>
        <v/>
      </c>
      <c r="CW18" s="8">
        <f>CW17+CW12+CW15+CW14</f>
        <v/>
      </c>
      <c r="CX18" s="8">
        <f>CX17+CX12+CX15+CX14</f>
        <v/>
      </c>
      <c r="CY18" s="8">
        <f>CY17+CY12+CY15+CY14</f>
        <v/>
      </c>
      <c r="CZ18" s="8">
        <f>CZ17+CZ12+CZ15+CZ14</f>
        <v/>
      </c>
      <c r="DA18" s="8">
        <f>DA17+DA12+DA15+DA14</f>
        <v/>
      </c>
      <c r="DB18" s="8">
        <f>DB17+DB12+DB15+DB14</f>
        <v/>
      </c>
      <c r="DC18" s="8">
        <f>DC17+DC12+DC15+DC14</f>
        <v/>
      </c>
      <c r="DD18" s="8">
        <f>DD17+DD12+DD15+DD14</f>
        <v/>
      </c>
      <c r="DE18" s="8">
        <f>DE17+DE12+DE15+DE14</f>
        <v/>
      </c>
      <c r="DF18" s="8">
        <f>DF17+DF12+DF15+DF14</f>
        <v/>
      </c>
      <c r="DG18" s="8">
        <f>DG17+DG12+DG15+DG14</f>
        <v/>
      </c>
      <c r="DH18" s="8">
        <f>DH17+DH12+DH15+DH14</f>
        <v/>
      </c>
      <c r="DI18" s="8">
        <f>DI17+DI12+DI15+DI14</f>
        <v/>
      </c>
      <c r="DJ18" s="8">
        <f>DJ17+DJ12+DJ15+DJ14</f>
        <v/>
      </c>
      <c r="DK18" s="8">
        <f>DK17+DK12+DK15+DK14</f>
        <v/>
      </c>
      <c r="DL18" s="8">
        <f>DL17+DL12+DL15+DL14</f>
        <v/>
      </c>
      <c r="DM18" s="8">
        <f>DM17+DM12+DM15+DM14</f>
        <v/>
      </c>
      <c r="DN18" s="8">
        <f>DN17+DN12+DN15+DN14</f>
        <v/>
      </c>
      <c r="DO18" s="8">
        <f>DO17+DO12+DO15+DO14</f>
        <v/>
      </c>
      <c r="DP18" s="8">
        <f>DP17+DP12+DP15+DP14</f>
        <v/>
      </c>
      <c r="DQ18" s="8">
        <f>DQ17+DQ12+DQ15+DQ14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MODULE — BANK FLOATING (SOFR + 300 bps, 70% LTV, 5-yr term)</t>
        </is>
      </c>
    </row>
    <row r="3">
      <c r="A3" s="2" t="inlineStr">
        <is>
          <t>LOAN SIZING</t>
        </is>
      </c>
    </row>
    <row r="4">
      <c r="A4" s="3" t="inlineStr">
        <is>
          <t>Purchase Price</t>
        </is>
      </c>
      <c r="B4" s="5">
        <f>PurchasePrice</f>
        <v/>
      </c>
    </row>
    <row r="5">
      <c r="A5" s="3" t="inlineStr">
        <is>
          <t>LTV</t>
        </is>
      </c>
      <c r="B5" s="9">
        <f>LTV</f>
        <v/>
      </c>
    </row>
    <row r="6">
      <c r="A6" s="3" t="inlineStr">
        <is>
          <t>Loan Amount</t>
        </is>
      </c>
      <c r="B6" s="5">
        <f>PurchasePrice*LTV</f>
        <v/>
      </c>
    </row>
    <row r="7">
      <c r="A7" s="3" t="inlineStr">
        <is>
          <t>SOFR</t>
        </is>
      </c>
      <c r="B7" s="9">
        <f>SOFR</f>
        <v/>
      </c>
    </row>
    <row r="8">
      <c r="A8" s="3" t="inlineStr">
        <is>
          <t>Spread (bps)</t>
        </is>
      </c>
      <c r="B8" s="6">
        <f>LoanSpreadBps</f>
        <v/>
      </c>
    </row>
    <row r="9">
      <c r="A9" s="3" t="inlineStr">
        <is>
          <t>All-in Rate</t>
        </is>
      </c>
      <c r="B9" s="9">
        <f>LoanRate</f>
        <v/>
      </c>
    </row>
    <row r="10">
      <c r="A10" s="3" t="inlineStr">
        <is>
          <t>Amortization (months)</t>
        </is>
      </c>
      <c r="B10" s="6">
        <f>LoanAmortMonths</f>
        <v/>
      </c>
    </row>
    <row r="11">
      <c r="A11" s="3" t="inlineStr">
        <is>
          <t>I/O Period (months)</t>
        </is>
      </c>
      <c r="B11" s="6">
        <f>LoanIOMonths</f>
        <v/>
      </c>
    </row>
    <row r="12">
      <c r="A12" s="3" t="inlineStr">
        <is>
          <t>Term (months)</t>
        </is>
      </c>
      <c r="B12" s="6">
        <f>LoanTermMonths</f>
        <v/>
      </c>
    </row>
    <row r="13">
      <c r="A13" s="3" t="inlineStr">
        <is>
          <t>Origination Fee $</t>
        </is>
      </c>
      <c r="B13" s="5">
        <f>PurchasePrice*LTV*LoanOrigFeePct</f>
        <v/>
      </c>
    </row>
    <row r="16">
      <c r="A16" s="2" t="inlineStr">
        <is>
          <t>KEY METRICS</t>
        </is>
      </c>
    </row>
    <row r="17">
      <c r="A17" s="3" t="inlineStr">
        <is>
          <t>Monthly P&amp;I Payment (amort)</t>
        </is>
      </c>
      <c r="B17" s="5">
        <f>-PMT(LoanRate/12,LoanAmortMonths,PurchasePrice*LTV)</f>
        <v/>
      </c>
    </row>
    <row r="18">
      <c r="A18" s="3" t="inlineStr">
        <is>
          <t>Monthly Interest-Only Payment</t>
        </is>
      </c>
      <c r="B18" s="5">
        <f>PurchasePrice*LTV*LoanRate/12</f>
        <v/>
      </c>
    </row>
    <row r="20">
      <c r="A20" s="2" t="inlineStr">
        <is>
          <t>AMORTIZATION SCHEDULE (60 monthly periods)</t>
        </is>
      </c>
    </row>
    <row r="21">
      <c r="A21" s="2" t="inlineStr">
        <is>
          <t>Month</t>
        </is>
      </c>
      <c r="B21" s="2" t="inlineStr">
        <is>
          <t>Beg Balance</t>
        </is>
      </c>
      <c r="C21" s="2" t="inlineStr">
        <is>
          <t>Rate (Annual)</t>
        </is>
      </c>
      <c r="D21" s="2" t="inlineStr">
        <is>
          <t>Interest</t>
        </is>
      </c>
      <c r="E21" s="2" t="inlineStr">
        <is>
          <t>Principal</t>
        </is>
      </c>
      <c r="F21" s="2" t="inlineStr">
        <is>
          <t>Payment</t>
        </is>
      </c>
      <c r="G21" s="2" t="inlineStr">
        <is>
          <t>End Balance</t>
        </is>
      </c>
    </row>
    <row r="22">
      <c r="A22" s="45" t="n">
        <v>1</v>
      </c>
      <c r="B22" s="46">
        <f>PurchasePrice*LTV</f>
        <v/>
      </c>
      <c r="C22" s="47">
        <f>LoanRate</f>
        <v/>
      </c>
      <c r="D22" s="46">
        <f>B22*C22/12</f>
        <v/>
      </c>
      <c r="E22" s="46">
        <f>IF(1&lt;=LoanIOMonths,0,F22-D22)</f>
        <v/>
      </c>
      <c r="F22" s="46">
        <f>IF(1&lt;=LoanIOMonths,D22,$B$17)</f>
        <v/>
      </c>
      <c r="G22" s="46">
        <f>B22-E22</f>
        <v/>
      </c>
    </row>
    <row r="23">
      <c r="A23" s="45" t="n">
        <v>2</v>
      </c>
      <c r="B23" s="46">
        <f>G22</f>
        <v/>
      </c>
      <c r="C23" s="47">
        <f>LoanRate</f>
        <v/>
      </c>
      <c r="D23" s="46">
        <f>B23*C23/12</f>
        <v/>
      </c>
      <c r="E23" s="46">
        <f>IF(2&lt;=LoanIOMonths,0,F23-D23)</f>
        <v/>
      </c>
      <c r="F23" s="46">
        <f>IF(2&lt;=LoanIOMonths,D23,$B$17)</f>
        <v/>
      </c>
      <c r="G23" s="46">
        <f>B23-E23</f>
        <v/>
      </c>
    </row>
    <row r="24">
      <c r="A24" s="45" t="n">
        <v>3</v>
      </c>
      <c r="B24" s="46">
        <f>G23</f>
        <v/>
      </c>
      <c r="C24" s="47">
        <f>LoanRate</f>
        <v/>
      </c>
      <c r="D24" s="46">
        <f>B24*C24/12</f>
        <v/>
      </c>
      <c r="E24" s="46">
        <f>IF(3&lt;=LoanIOMonths,0,F24-D24)</f>
        <v/>
      </c>
      <c r="F24" s="46">
        <f>IF(3&lt;=LoanIOMonths,D24,$B$17)</f>
        <v/>
      </c>
      <c r="G24" s="46">
        <f>B24-E24</f>
        <v/>
      </c>
    </row>
    <row r="25">
      <c r="A25" s="45" t="n">
        <v>4</v>
      </c>
      <c r="B25" s="46">
        <f>G24</f>
        <v/>
      </c>
      <c r="C25" s="47">
        <f>LoanRate</f>
        <v/>
      </c>
      <c r="D25" s="46">
        <f>B25*C25/12</f>
        <v/>
      </c>
      <c r="E25" s="46">
        <f>IF(4&lt;=LoanIOMonths,0,F25-D25)</f>
        <v/>
      </c>
      <c r="F25" s="46">
        <f>IF(4&lt;=LoanIOMonths,D25,$B$17)</f>
        <v/>
      </c>
      <c r="G25" s="46">
        <f>B25-E25</f>
        <v/>
      </c>
    </row>
    <row r="26">
      <c r="A26" s="45" t="n">
        <v>5</v>
      </c>
      <c r="B26" s="46">
        <f>G25</f>
        <v/>
      </c>
      <c r="C26" s="47">
        <f>LoanRate</f>
        <v/>
      </c>
      <c r="D26" s="46">
        <f>B26*C26/12</f>
        <v/>
      </c>
      <c r="E26" s="46">
        <f>IF(5&lt;=LoanIOMonths,0,F26-D26)</f>
        <v/>
      </c>
      <c r="F26" s="46">
        <f>IF(5&lt;=LoanIOMonths,D26,$B$17)</f>
        <v/>
      </c>
      <c r="G26" s="46">
        <f>B26-E26</f>
        <v/>
      </c>
    </row>
    <row r="27">
      <c r="A27" s="45" t="n">
        <v>6</v>
      </c>
      <c r="B27" s="46">
        <f>G26</f>
        <v/>
      </c>
      <c r="C27" s="47">
        <f>LoanRate</f>
        <v/>
      </c>
      <c r="D27" s="46">
        <f>B27*C27/12</f>
        <v/>
      </c>
      <c r="E27" s="46">
        <f>IF(6&lt;=LoanIOMonths,0,F27-D27)</f>
        <v/>
      </c>
      <c r="F27" s="46">
        <f>IF(6&lt;=LoanIOMonths,D27,$B$17)</f>
        <v/>
      </c>
      <c r="G27" s="46">
        <f>B27-E27</f>
        <v/>
      </c>
    </row>
    <row r="28">
      <c r="A28" s="45" t="n">
        <v>7</v>
      </c>
      <c r="B28" s="46">
        <f>G27</f>
        <v/>
      </c>
      <c r="C28" s="47">
        <f>LoanRate</f>
        <v/>
      </c>
      <c r="D28" s="46">
        <f>B28*C28/12</f>
        <v/>
      </c>
      <c r="E28" s="46">
        <f>IF(7&lt;=LoanIOMonths,0,F28-D28)</f>
        <v/>
      </c>
      <c r="F28" s="46">
        <f>IF(7&lt;=LoanIOMonths,D28,$B$17)</f>
        <v/>
      </c>
      <c r="G28" s="46">
        <f>B28-E28</f>
        <v/>
      </c>
    </row>
    <row r="29">
      <c r="A29" s="45" t="n">
        <v>8</v>
      </c>
      <c r="B29" s="46">
        <f>G28</f>
        <v/>
      </c>
      <c r="C29" s="47">
        <f>LoanRate</f>
        <v/>
      </c>
      <c r="D29" s="46">
        <f>B29*C29/12</f>
        <v/>
      </c>
      <c r="E29" s="46">
        <f>IF(8&lt;=LoanIOMonths,0,F29-D29)</f>
        <v/>
      </c>
      <c r="F29" s="46">
        <f>IF(8&lt;=LoanIOMonths,D29,$B$17)</f>
        <v/>
      </c>
      <c r="G29" s="46">
        <f>B29-E29</f>
        <v/>
      </c>
    </row>
    <row r="30">
      <c r="A30" s="45" t="n">
        <v>9</v>
      </c>
      <c r="B30" s="46">
        <f>G29</f>
        <v/>
      </c>
      <c r="C30" s="47">
        <f>LoanRate</f>
        <v/>
      </c>
      <c r="D30" s="46">
        <f>B30*C30/12</f>
        <v/>
      </c>
      <c r="E30" s="46">
        <f>IF(9&lt;=LoanIOMonths,0,F30-D30)</f>
        <v/>
      </c>
      <c r="F30" s="46">
        <f>IF(9&lt;=LoanIOMonths,D30,$B$17)</f>
        <v/>
      </c>
      <c r="G30" s="46">
        <f>B30-E30</f>
        <v/>
      </c>
    </row>
    <row r="31">
      <c r="A31" s="45" t="n">
        <v>10</v>
      </c>
      <c r="B31" s="46">
        <f>G30</f>
        <v/>
      </c>
      <c r="C31" s="47">
        <f>LoanRate</f>
        <v/>
      </c>
      <c r="D31" s="46">
        <f>B31*C31/12</f>
        <v/>
      </c>
      <c r="E31" s="46">
        <f>IF(10&lt;=LoanIOMonths,0,F31-D31)</f>
        <v/>
      </c>
      <c r="F31" s="46">
        <f>IF(10&lt;=LoanIOMonths,D31,$B$17)</f>
        <v/>
      </c>
      <c r="G31" s="46">
        <f>B31-E31</f>
        <v/>
      </c>
    </row>
    <row r="32">
      <c r="A32" s="45" t="n">
        <v>11</v>
      </c>
      <c r="B32" s="46">
        <f>G31</f>
        <v/>
      </c>
      <c r="C32" s="47">
        <f>LoanRate</f>
        <v/>
      </c>
      <c r="D32" s="46">
        <f>B32*C32/12</f>
        <v/>
      </c>
      <c r="E32" s="46">
        <f>IF(11&lt;=LoanIOMonths,0,F32-D32)</f>
        <v/>
      </c>
      <c r="F32" s="46">
        <f>IF(11&lt;=LoanIOMonths,D32,$B$17)</f>
        <v/>
      </c>
      <c r="G32" s="46">
        <f>B32-E32</f>
        <v/>
      </c>
    </row>
    <row r="33">
      <c r="A33" s="45" t="n">
        <v>12</v>
      </c>
      <c r="B33" s="46">
        <f>G32</f>
        <v/>
      </c>
      <c r="C33" s="47">
        <f>LoanRate</f>
        <v/>
      </c>
      <c r="D33" s="46">
        <f>B33*C33/12</f>
        <v/>
      </c>
      <c r="E33" s="46">
        <f>IF(12&lt;=LoanIOMonths,0,F33-D33)</f>
        <v/>
      </c>
      <c r="F33" s="46">
        <f>IF(12&lt;=LoanIOMonths,D33,$B$17)</f>
        <v/>
      </c>
      <c r="G33" s="46">
        <f>B33-E33</f>
        <v/>
      </c>
    </row>
    <row r="34">
      <c r="A34" s="45" t="n">
        <v>13</v>
      </c>
      <c r="B34" s="46">
        <f>G33</f>
        <v/>
      </c>
      <c r="C34" s="47">
        <f>LoanRate</f>
        <v/>
      </c>
      <c r="D34" s="46">
        <f>B34*C34/12</f>
        <v/>
      </c>
      <c r="E34" s="46">
        <f>IF(13&lt;=LoanIOMonths,0,F34-D34)</f>
        <v/>
      </c>
      <c r="F34" s="46">
        <f>IF(13&lt;=LoanIOMonths,D34,$B$17)</f>
        <v/>
      </c>
      <c r="G34" s="46">
        <f>B34-E34</f>
        <v/>
      </c>
    </row>
    <row r="35">
      <c r="A35" s="45" t="n">
        <v>14</v>
      </c>
      <c r="B35" s="46">
        <f>G34</f>
        <v/>
      </c>
      <c r="C35" s="47">
        <f>LoanRate</f>
        <v/>
      </c>
      <c r="D35" s="46">
        <f>B35*C35/12</f>
        <v/>
      </c>
      <c r="E35" s="46">
        <f>IF(14&lt;=LoanIOMonths,0,F35-D35)</f>
        <v/>
      </c>
      <c r="F35" s="46">
        <f>IF(14&lt;=LoanIOMonths,D35,$B$17)</f>
        <v/>
      </c>
      <c r="G35" s="46">
        <f>B35-E35</f>
        <v/>
      </c>
    </row>
    <row r="36">
      <c r="A36" s="45" t="n">
        <v>15</v>
      </c>
      <c r="B36" s="46">
        <f>G35</f>
        <v/>
      </c>
      <c r="C36" s="47">
        <f>LoanRate</f>
        <v/>
      </c>
      <c r="D36" s="46">
        <f>B36*C36/12</f>
        <v/>
      </c>
      <c r="E36" s="46">
        <f>IF(15&lt;=LoanIOMonths,0,F36-D36)</f>
        <v/>
      </c>
      <c r="F36" s="46">
        <f>IF(15&lt;=LoanIOMonths,D36,$B$17)</f>
        <v/>
      </c>
      <c r="G36" s="46">
        <f>B36-E36</f>
        <v/>
      </c>
    </row>
    <row r="37">
      <c r="A37" s="45" t="n">
        <v>16</v>
      </c>
      <c r="B37" s="46">
        <f>G36</f>
        <v/>
      </c>
      <c r="C37" s="47">
        <f>LoanRate</f>
        <v/>
      </c>
      <c r="D37" s="46">
        <f>B37*C37/12</f>
        <v/>
      </c>
      <c r="E37" s="46">
        <f>IF(16&lt;=LoanIOMonths,0,F37-D37)</f>
        <v/>
      </c>
      <c r="F37" s="46">
        <f>IF(16&lt;=LoanIOMonths,D37,$B$17)</f>
        <v/>
      </c>
      <c r="G37" s="46">
        <f>B37-E37</f>
        <v/>
      </c>
    </row>
    <row r="38">
      <c r="A38" s="45" t="n">
        <v>17</v>
      </c>
      <c r="B38" s="46">
        <f>G37</f>
        <v/>
      </c>
      <c r="C38" s="47">
        <f>LoanRate</f>
        <v/>
      </c>
      <c r="D38" s="46">
        <f>B38*C38/12</f>
        <v/>
      </c>
      <c r="E38" s="46">
        <f>IF(17&lt;=LoanIOMonths,0,F38-D38)</f>
        <v/>
      </c>
      <c r="F38" s="46">
        <f>IF(17&lt;=LoanIOMonths,D38,$B$17)</f>
        <v/>
      </c>
      <c r="G38" s="46">
        <f>B38-E38</f>
        <v/>
      </c>
    </row>
    <row r="39">
      <c r="A39" s="45" t="n">
        <v>18</v>
      </c>
      <c r="B39" s="46">
        <f>G38</f>
        <v/>
      </c>
      <c r="C39" s="47">
        <f>LoanRate</f>
        <v/>
      </c>
      <c r="D39" s="46">
        <f>B39*C39/12</f>
        <v/>
      </c>
      <c r="E39" s="46">
        <f>IF(18&lt;=LoanIOMonths,0,F39-D39)</f>
        <v/>
      </c>
      <c r="F39" s="46">
        <f>IF(18&lt;=LoanIOMonths,D39,$B$17)</f>
        <v/>
      </c>
      <c r="G39" s="46">
        <f>B39-E39</f>
        <v/>
      </c>
    </row>
    <row r="40">
      <c r="A40" s="45" t="n">
        <v>19</v>
      </c>
      <c r="B40" s="46">
        <f>G39</f>
        <v/>
      </c>
      <c r="C40" s="47">
        <f>LoanRate</f>
        <v/>
      </c>
      <c r="D40" s="46">
        <f>B40*C40/12</f>
        <v/>
      </c>
      <c r="E40" s="46">
        <f>IF(19&lt;=LoanIOMonths,0,F40-D40)</f>
        <v/>
      </c>
      <c r="F40" s="46">
        <f>IF(19&lt;=LoanIOMonths,D40,$B$17)</f>
        <v/>
      </c>
      <c r="G40" s="46">
        <f>B40-E40</f>
        <v/>
      </c>
    </row>
    <row r="41">
      <c r="A41" s="45" t="n">
        <v>20</v>
      </c>
      <c r="B41" s="46">
        <f>G40</f>
        <v/>
      </c>
      <c r="C41" s="47">
        <f>LoanRate</f>
        <v/>
      </c>
      <c r="D41" s="46">
        <f>B41*C41/12</f>
        <v/>
      </c>
      <c r="E41" s="46">
        <f>IF(20&lt;=LoanIOMonths,0,F41-D41)</f>
        <v/>
      </c>
      <c r="F41" s="46">
        <f>IF(20&lt;=LoanIOMonths,D41,$B$17)</f>
        <v/>
      </c>
      <c r="G41" s="46">
        <f>B41-E41</f>
        <v/>
      </c>
    </row>
    <row r="42">
      <c r="A42" s="45" t="n">
        <v>21</v>
      </c>
      <c r="B42" s="46">
        <f>G41</f>
        <v/>
      </c>
      <c r="C42" s="47">
        <f>LoanRate</f>
        <v/>
      </c>
      <c r="D42" s="46">
        <f>B42*C42/12</f>
        <v/>
      </c>
      <c r="E42" s="46">
        <f>IF(21&lt;=LoanIOMonths,0,F42-D42)</f>
        <v/>
      </c>
      <c r="F42" s="46">
        <f>IF(21&lt;=LoanIOMonths,D42,$B$17)</f>
        <v/>
      </c>
      <c r="G42" s="46">
        <f>B42-E42</f>
        <v/>
      </c>
    </row>
    <row r="43">
      <c r="A43" s="45" t="n">
        <v>22</v>
      </c>
      <c r="B43" s="46">
        <f>G42</f>
        <v/>
      </c>
      <c r="C43" s="47">
        <f>LoanRate</f>
        <v/>
      </c>
      <c r="D43" s="46">
        <f>B43*C43/12</f>
        <v/>
      </c>
      <c r="E43" s="46">
        <f>IF(22&lt;=LoanIOMonths,0,F43-D43)</f>
        <v/>
      </c>
      <c r="F43" s="46">
        <f>IF(22&lt;=LoanIOMonths,D43,$B$17)</f>
        <v/>
      </c>
      <c r="G43" s="46">
        <f>B43-E43</f>
        <v/>
      </c>
    </row>
    <row r="44">
      <c r="A44" s="45" t="n">
        <v>23</v>
      </c>
      <c r="B44" s="46">
        <f>G43</f>
        <v/>
      </c>
      <c r="C44" s="47">
        <f>LoanRate</f>
        <v/>
      </c>
      <c r="D44" s="46">
        <f>B44*C44/12</f>
        <v/>
      </c>
      <c r="E44" s="46">
        <f>IF(23&lt;=LoanIOMonths,0,F44-D44)</f>
        <v/>
      </c>
      <c r="F44" s="46">
        <f>IF(23&lt;=LoanIOMonths,D44,$B$17)</f>
        <v/>
      </c>
      <c r="G44" s="46">
        <f>B44-E44</f>
        <v/>
      </c>
    </row>
    <row r="45">
      <c r="A45" s="45" t="n">
        <v>24</v>
      </c>
      <c r="B45" s="46">
        <f>G44</f>
        <v/>
      </c>
      <c r="C45" s="47">
        <f>LoanRate</f>
        <v/>
      </c>
      <c r="D45" s="46">
        <f>B45*C45/12</f>
        <v/>
      </c>
      <c r="E45" s="46">
        <f>IF(24&lt;=LoanIOMonths,0,F45-D45)</f>
        <v/>
      </c>
      <c r="F45" s="46">
        <f>IF(24&lt;=LoanIOMonths,D45,$B$17)</f>
        <v/>
      </c>
      <c r="G45" s="46">
        <f>B45-E45</f>
        <v/>
      </c>
    </row>
    <row r="46">
      <c r="A46" s="45" t="n">
        <v>25</v>
      </c>
      <c r="B46" s="46">
        <f>G45</f>
        <v/>
      </c>
      <c r="C46" s="47">
        <f>LoanRate</f>
        <v/>
      </c>
      <c r="D46" s="46">
        <f>B46*C46/12</f>
        <v/>
      </c>
      <c r="E46" s="46">
        <f>IF(25&lt;=LoanIOMonths,0,F46-D46)</f>
        <v/>
      </c>
      <c r="F46" s="46">
        <f>IF(25&lt;=LoanIOMonths,D46,$B$17)</f>
        <v/>
      </c>
      <c r="G46" s="46">
        <f>B46-E46</f>
        <v/>
      </c>
    </row>
    <row r="47">
      <c r="A47" s="45" t="n">
        <v>26</v>
      </c>
      <c r="B47" s="46">
        <f>G46</f>
        <v/>
      </c>
      <c r="C47" s="47">
        <f>LoanRate</f>
        <v/>
      </c>
      <c r="D47" s="46">
        <f>B47*C47/12</f>
        <v/>
      </c>
      <c r="E47" s="46">
        <f>IF(26&lt;=LoanIOMonths,0,F47-D47)</f>
        <v/>
      </c>
      <c r="F47" s="46">
        <f>IF(26&lt;=LoanIOMonths,D47,$B$17)</f>
        <v/>
      </c>
      <c r="G47" s="46">
        <f>B47-E47</f>
        <v/>
      </c>
    </row>
    <row r="48">
      <c r="A48" s="45" t="n">
        <v>27</v>
      </c>
      <c r="B48" s="46">
        <f>G47</f>
        <v/>
      </c>
      <c r="C48" s="47">
        <f>LoanRate</f>
        <v/>
      </c>
      <c r="D48" s="46">
        <f>B48*C48/12</f>
        <v/>
      </c>
      <c r="E48" s="46">
        <f>IF(27&lt;=LoanIOMonths,0,F48-D48)</f>
        <v/>
      </c>
      <c r="F48" s="46">
        <f>IF(27&lt;=LoanIOMonths,D48,$B$17)</f>
        <v/>
      </c>
      <c r="G48" s="46">
        <f>B48-E48</f>
        <v/>
      </c>
    </row>
    <row r="49">
      <c r="A49" s="45" t="n">
        <v>28</v>
      </c>
      <c r="B49" s="46">
        <f>G48</f>
        <v/>
      </c>
      <c r="C49" s="47">
        <f>LoanRate</f>
        <v/>
      </c>
      <c r="D49" s="46">
        <f>B49*C49/12</f>
        <v/>
      </c>
      <c r="E49" s="46">
        <f>IF(28&lt;=LoanIOMonths,0,F49-D49)</f>
        <v/>
      </c>
      <c r="F49" s="46">
        <f>IF(28&lt;=LoanIOMonths,D49,$B$17)</f>
        <v/>
      </c>
      <c r="G49" s="46">
        <f>B49-E49</f>
        <v/>
      </c>
    </row>
    <row r="50">
      <c r="A50" s="45" t="n">
        <v>29</v>
      </c>
      <c r="B50" s="46">
        <f>G49</f>
        <v/>
      </c>
      <c r="C50" s="47">
        <f>LoanRate</f>
        <v/>
      </c>
      <c r="D50" s="46">
        <f>B50*C50/12</f>
        <v/>
      </c>
      <c r="E50" s="46">
        <f>IF(29&lt;=LoanIOMonths,0,F50-D50)</f>
        <v/>
      </c>
      <c r="F50" s="46">
        <f>IF(29&lt;=LoanIOMonths,D50,$B$17)</f>
        <v/>
      </c>
      <c r="G50" s="46">
        <f>B50-E50</f>
        <v/>
      </c>
    </row>
    <row r="51">
      <c r="A51" s="45" t="n">
        <v>30</v>
      </c>
      <c r="B51" s="46">
        <f>G50</f>
        <v/>
      </c>
      <c r="C51" s="47">
        <f>LoanRate</f>
        <v/>
      </c>
      <c r="D51" s="46">
        <f>B51*C51/12</f>
        <v/>
      </c>
      <c r="E51" s="46">
        <f>IF(30&lt;=LoanIOMonths,0,F51-D51)</f>
        <v/>
      </c>
      <c r="F51" s="46">
        <f>IF(30&lt;=LoanIOMonths,D51,$B$17)</f>
        <v/>
      </c>
      <c r="G51" s="46">
        <f>B51-E51</f>
        <v/>
      </c>
    </row>
    <row r="52">
      <c r="A52" s="45" t="n">
        <v>31</v>
      </c>
      <c r="B52" s="46">
        <f>G51</f>
        <v/>
      </c>
      <c r="C52" s="47">
        <f>LoanRate</f>
        <v/>
      </c>
      <c r="D52" s="46">
        <f>B52*C52/12</f>
        <v/>
      </c>
      <c r="E52" s="46">
        <f>IF(31&lt;=LoanIOMonths,0,F52-D52)</f>
        <v/>
      </c>
      <c r="F52" s="46">
        <f>IF(31&lt;=LoanIOMonths,D52,$B$17)</f>
        <v/>
      </c>
      <c r="G52" s="46">
        <f>B52-E52</f>
        <v/>
      </c>
    </row>
    <row r="53">
      <c r="A53" s="45" t="n">
        <v>32</v>
      </c>
      <c r="B53" s="46">
        <f>G52</f>
        <v/>
      </c>
      <c r="C53" s="47">
        <f>LoanRate</f>
        <v/>
      </c>
      <c r="D53" s="46">
        <f>B53*C53/12</f>
        <v/>
      </c>
      <c r="E53" s="46">
        <f>IF(32&lt;=LoanIOMonths,0,F53-D53)</f>
        <v/>
      </c>
      <c r="F53" s="46">
        <f>IF(32&lt;=LoanIOMonths,D53,$B$17)</f>
        <v/>
      </c>
      <c r="G53" s="46">
        <f>B53-E53</f>
        <v/>
      </c>
    </row>
    <row r="54">
      <c r="A54" s="45" t="n">
        <v>33</v>
      </c>
      <c r="B54" s="46">
        <f>G53</f>
        <v/>
      </c>
      <c r="C54" s="47">
        <f>LoanRate</f>
        <v/>
      </c>
      <c r="D54" s="46">
        <f>B54*C54/12</f>
        <v/>
      </c>
      <c r="E54" s="46">
        <f>IF(33&lt;=LoanIOMonths,0,F54-D54)</f>
        <v/>
      </c>
      <c r="F54" s="46">
        <f>IF(33&lt;=LoanIOMonths,D54,$B$17)</f>
        <v/>
      </c>
      <c r="G54" s="46">
        <f>B54-E54</f>
        <v/>
      </c>
    </row>
    <row r="55">
      <c r="A55" s="45" t="n">
        <v>34</v>
      </c>
      <c r="B55" s="46">
        <f>G54</f>
        <v/>
      </c>
      <c r="C55" s="47">
        <f>LoanRate</f>
        <v/>
      </c>
      <c r="D55" s="46">
        <f>B55*C55/12</f>
        <v/>
      </c>
      <c r="E55" s="46">
        <f>IF(34&lt;=LoanIOMonths,0,F55-D55)</f>
        <v/>
      </c>
      <c r="F55" s="46">
        <f>IF(34&lt;=LoanIOMonths,D55,$B$17)</f>
        <v/>
      </c>
      <c r="G55" s="46">
        <f>B55-E55</f>
        <v/>
      </c>
    </row>
    <row r="56">
      <c r="A56" s="45" t="n">
        <v>35</v>
      </c>
      <c r="B56" s="46">
        <f>G55</f>
        <v/>
      </c>
      <c r="C56" s="47">
        <f>LoanRate</f>
        <v/>
      </c>
      <c r="D56" s="46">
        <f>B56*C56/12</f>
        <v/>
      </c>
      <c r="E56" s="46">
        <f>IF(35&lt;=LoanIOMonths,0,F56-D56)</f>
        <v/>
      </c>
      <c r="F56" s="46">
        <f>IF(35&lt;=LoanIOMonths,D56,$B$17)</f>
        <v/>
      </c>
      <c r="G56" s="46">
        <f>B56-E56</f>
        <v/>
      </c>
    </row>
    <row r="57">
      <c r="A57" s="45" t="n">
        <v>36</v>
      </c>
      <c r="B57" s="46">
        <f>G56</f>
        <v/>
      </c>
      <c r="C57" s="47">
        <f>LoanRate</f>
        <v/>
      </c>
      <c r="D57" s="46">
        <f>B57*C57/12</f>
        <v/>
      </c>
      <c r="E57" s="46">
        <f>IF(36&lt;=LoanIOMonths,0,F57-D57)</f>
        <v/>
      </c>
      <c r="F57" s="46">
        <f>IF(36&lt;=LoanIOMonths,D57,$B$17)</f>
        <v/>
      </c>
      <c r="G57" s="46">
        <f>B57-E57</f>
        <v/>
      </c>
    </row>
    <row r="58">
      <c r="A58" s="45" t="n">
        <v>37</v>
      </c>
      <c r="B58" s="46">
        <f>G57</f>
        <v/>
      </c>
      <c r="C58" s="47">
        <f>LoanRate</f>
        <v/>
      </c>
      <c r="D58" s="46">
        <f>B58*C58/12</f>
        <v/>
      </c>
      <c r="E58" s="46">
        <f>IF(37&lt;=LoanIOMonths,0,F58-D58)</f>
        <v/>
      </c>
      <c r="F58" s="46">
        <f>IF(37&lt;=LoanIOMonths,D58,$B$17)</f>
        <v/>
      </c>
      <c r="G58" s="46">
        <f>B58-E58</f>
        <v/>
      </c>
    </row>
    <row r="59">
      <c r="A59" s="45" t="n">
        <v>38</v>
      </c>
      <c r="B59" s="46">
        <f>G58</f>
        <v/>
      </c>
      <c r="C59" s="47">
        <f>LoanRate</f>
        <v/>
      </c>
      <c r="D59" s="46">
        <f>B59*C59/12</f>
        <v/>
      </c>
      <c r="E59" s="46">
        <f>IF(38&lt;=LoanIOMonths,0,F59-D59)</f>
        <v/>
      </c>
      <c r="F59" s="46">
        <f>IF(38&lt;=LoanIOMonths,D59,$B$17)</f>
        <v/>
      </c>
      <c r="G59" s="46">
        <f>B59-E59</f>
        <v/>
      </c>
    </row>
    <row r="60">
      <c r="A60" s="45" t="n">
        <v>39</v>
      </c>
      <c r="B60" s="46">
        <f>G59</f>
        <v/>
      </c>
      <c r="C60" s="47">
        <f>LoanRate</f>
        <v/>
      </c>
      <c r="D60" s="46">
        <f>B60*C60/12</f>
        <v/>
      </c>
      <c r="E60" s="46">
        <f>IF(39&lt;=LoanIOMonths,0,F60-D60)</f>
        <v/>
      </c>
      <c r="F60" s="46">
        <f>IF(39&lt;=LoanIOMonths,D60,$B$17)</f>
        <v/>
      </c>
      <c r="G60" s="46">
        <f>B60-E60</f>
        <v/>
      </c>
    </row>
    <row r="61">
      <c r="A61" s="45" t="n">
        <v>40</v>
      </c>
      <c r="B61" s="46">
        <f>G60</f>
        <v/>
      </c>
      <c r="C61" s="47">
        <f>LoanRate</f>
        <v/>
      </c>
      <c r="D61" s="46">
        <f>B61*C61/12</f>
        <v/>
      </c>
      <c r="E61" s="46">
        <f>IF(40&lt;=LoanIOMonths,0,F61-D61)</f>
        <v/>
      </c>
      <c r="F61" s="46">
        <f>IF(40&lt;=LoanIOMonths,D61,$B$17)</f>
        <v/>
      </c>
      <c r="G61" s="46">
        <f>B61-E61</f>
        <v/>
      </c>
    </row>
    <row r="62">
      <c r="A62" s="45" t="n">
        <v>41</v>
      </c>
      <c r="B62" s="46">
        <f>G61</f>
        <v/>
      </c>
      <c r="C62" s="47">
        <f>LoanRate</f>
        <v/>
      </c>
      <c r="D62" s="46">
        <f>B62*C62/12</f>
        <v/>
      </c>
      <c r="E62" s="46">
        <f>IF(41&lt;=LoanIOMonths,0,F62-D62)</f>
        <v/>
      </c>
      <c r="F62" s="46">
        <f>IF(41&lt;=LoanIOMonths,D62,$B$17)</f>
        <v/>
      </c>
      <c r="G62" s="46">
        <f>B62-E62</f>
        <v/>
      </c>
    </row>
    <row r="63">
      <c r="A63" s="45" t="n">
        <v>42</v>
      </c>
      <c r="B63" s="46">
        <f>G62</f>
        <v/>
      </c>
      <c r="C63" s="47">
        <f>LoanRate</f>
        <v/>
      </c>
      <c r="D63" s="46">
        <f>B63*C63/12</f>
        <v/>
      </c>
      <c r="E63" s="46">
        <f>IF(42&lt;=LoanIOMonths,0,F63-D63)</f>
        <v/>
      </c>
      <c r="F63" s="46">
        <f>IF(42&lt;=LoanIOMonths,D63,$B$17)</f>
        <v/>
      </c>
      <c r="G63" s="46">
        <f>B63-E63</f>
        <v/>
      </c>
    </row>
    <row r="64">
      <c r="A64" s="45" t="n">
        <v>43</v>
      </c>
      <c r="B64" s="46">
        <f>G63</f>
        <v/>
      </c>
      <c r="C64" s="47">
        <f>LoanRate</f>
        <v/>
      </c>
      <c r="D64" s="46">
        <f>B64*C64/12</f>
        <v/>
      </c>
      <c r="E64" s="46">
        <f>IF(43&lt;=LoanIOMonths,0,F64-D64)</f>
        <v/>
      </c>
      <c r="F64" s="46">
        <f>IF(43&lt;=LoanIOMonths,D64,$B$17)</f>
        <v/>
      </c>
      <c r="G64" s="46">
        <f>B64-E64</f>
        <v/>
      </c>
    </row>
    <row r="65">
      <c r="A65" s="45" t="n">
        <v>44</v>
      </c>
      <c r="B65" s="46">
        <f>G64</f>
        <v/>
      </c>
      <c r="C65" s="47">
        <f>LoanRate</f>
        <v/>
      </c>
      <c r="D65" s="46">
        <f>B65*C65/12</f>
        <v/>
      </c>
      <c r="E65" s="46">
        <f>IF(44&lt;=LoanIOMonths,0,F65-D65)</f>
        <v/>
      </c>
      <c r="F65" s="46">
        <f>IF(44&lt;=LoanIOMonths,D65,$B$17)</f>
        <v/>
      </c>
      <c r="G65" s="46">
        <f>B65-E65</f>
        <v/>
      </c>
    </row>
    <row r="66">
      <c r="A66" s="45" t="n">
        <v>45</v>
      </c>
      <c r="B66" s="46">
        <f>G65</f>
        <v/>
      </c>
      <c r="C66" s="47">
        <f>LoanRate</f>
        <v/>
      </c>
      <c r="D66" s="46">
        <f>B66*C66/12</f>
        <v/>
      </c>
      <c r="E66" s="46">
        <f>IF(45&lt;=LoanIOMonths,0,F66-D66)</f>
        <v/>
      </c>
      <c r="F66" s="46">
        <f>IF(45&lt;=LoanIOMonths,D66,$B$17)</f>
        <v/>
      </c>
      <c r="G66" s="46">
        <f>B66-E66</f>
        <v/>
      </c>
    </row>
    <row r="67">
      <c r="A67" s="45" t="n">
        <v>46</v>
      </c>
      <c r="B67" s="46">
        <f>G66</f>
        <v/>
      </c>
      <c r="C67" s="47">
        <f>LoanRate</f>
        <v/>
      </c>
      <c r="D67" s="46">
        <f>B67*C67/12</f>
        <v/>
      </c>
      <c r="E67" s="46">
        <f>IF(46&lt;=LoanIOMonths,0,F67-D67)</f>
        <v/>
      </c>
      <c r="F67" s="46">
        <f>IF(46&lt;=LoanIOMonths,D67,$B$17)</f>
        <v/>
      </c>
      <c r="G67" s="46">
        <f>B67-E67</f>
        <v/>
      </c>
    </row>
    <row r="68">
      <c r="A68" s="45" t="n">
        <v>47</v>
      </c>
      <c r="B68" s="46">
        <f>G67</f>
        <v/>
      </c>
      <c r="C68" s="47">
        <f>LoanRate</f>
        <v/>
      </c>
      <c r="D68" s="46">
        <f>B68*C68/12</f>
        <v/>
      </c>
      <c r="E68" s="46">
        <f>IF(47&lt;=LoanIOMonths,0,F68-D68)</f>
        <v/>
      </c>
      <c r="F68" s="46">
        <f>IF(47&lt;=LoanIOMonths,D68,$B$17)</f>
        <v/>
      </c>
      <c r="G68" s="46">
        <f>B68-E68</f>
        <v/>
      </c>
    </row>
    <row r="69">
      <c r="A69" s="45" t="n">
        <v>48</v>
      </c>
      <c r="B69" s="46">
        <f>G68</f>
        <v/>
      </c>
      <c r="C69" s="47">
        <f>LoanRate</f>
        <v/>
      </c>
      <c r="D69" s="46">
        <f>B69*C69/12</f>
        <v/>
      </c>
      <c r="E69" s="46">
        <f>IF(48&lt;=LoanIOMonths,0,F69-D69)</f>
        <v/>
      </c>
      <c r="F69" s="46">
        <f>IF(48&lt;=LoanIOMonths,D69,$B$17)</f>
        <v/>
      </c>
      <c r="G69" s="46">
        <f>B69-E69</f>
        <v/>
      </c>
    </row>
    <row r="70">
      <c r="A70" s="45" t="n">
        <v>49</v>
      </c>
      <c r="B70" s="46">
        <f>G69</f>
        <v/>
      </c>
      <c r="C70" s="47">
        <f>LoanRate</f>
        <v/>
      </c>
      <c r="D70" s="46">
        <f>B70*C70/12</f>
        <v/>
      </c>
      <c r="E70" s="46">
        <f>IF(49&lt;=LoanIOMonths,0,F70-D70)</f>
        <v/>
      </c>
      <c r="F70" s="46">
        <f>IF(49&lt;=LoanIOMonths,D70,$B$17)</f>
        <v/>
      </c>
      <c r="G70" s="46">
        <f>B70-E70</f>
        <v/>
      </c>
    </row>
    <row r="71">
      <c r="A71" s="45" t="n">
        <v>50</v>
      </c>
      <c r="B71" s="46">
        <f>G70</f>
        <v/>
      </c>
      <c r="C71" s="47">
        <f>LoanRate</f>
        <v/>
      </c>
      <c r="D71" s="46">
        <f>B71*C71/12</f>
        <v/>
      </c>
      <c r="E71" s="46">
        <f>IF(50&lt;=LoanIOMonths,0,F71-D71)</f>
        <v/>
      </c>
      <c r="F71" s="46">
        <f>IF(50&lt;=LoanIOMonths,D71,$B$17)</f>
        <v/>
      </c>
      <c r="G71" s="46">
        <f>B71-E71</f>
        <v/>
      </c>
    </row>
    <row r="72">
      <c r="A72" s="45" t="n">
        <v>51</v>
      </c>
      <c r="B72" s="46">
        <f>G71</f>
        <v/>
      </c>
      <c r="C72" s="47">
        <f>LoanRate</f>
        <v/>
      </c>
      <c r="D72" s="46">
        <f>B72*C72/12</f>
        <v/>
      </c>
      <c r="E72" s="46">
        <f>IF(51&lt;=LoanIOMonths,0,F72-D72)</f>
        <v/>
      </c>
      <c r="F72" s="46">
        <f>IF(51&lt;=LoanIOMonths,D72,$B$17)</f>
        <v/>
      </c>
      <c r="G72" s="46">
        <f>B72-E72</f>
        <v/>
      </c>
    </row>
    <row r="73">
      <c r="A73" s="45" t="n">
        <v>52</v>
      </c>
      <c r="B73" s="46">
        <f>G72</f>
        <v/>
      </c>
      <c r="C73" s="47">
        <f>LoanRate</f>
        <v/>
      </c>
      <c r="D73" s="46">
        <f>B73*C73/12</f>
        <v/>
      </c>
      <c r="E73" s="46">
        <f>IF(52&lt;=LoanIOMonths,0,F73-D73)</f>
        <v/>
      </c>
      <c r="F73" s="46">
        <f>IF(52&lt;=LoanIOMonths,D73,$B$17)</f>
        <v/>
      </c>
      <c r="G73" s="46">
        <f>B73-E73</f>
        <v/>
      </c>
    </row>
    <row r="74">
      <c r="A74" s="45" t="n">
        <v>53</v>
      </c>
      <c r="B74" s="46">
        <f>G73</f>
        <v/>
      </c>
      <c r="C74" s="47">
        <f>LoanRate</f>
        <v/>
      </c>
      <c r="D74" s="46">
        <f>B74*C74/12</f>
        <v/>
      </c>
      <c r="E74" s="46">
        <f>IF(53&lt;=LoanIOMonths,0,F74-D74)</f>
        <v/>
      </c>
      <c r="F74" s="46">
        <f>IF(53&lt;=LoanIOMonths,D74,$B$17)</f>
        <v/>
      </c>
      <c r="G74" s="46">
        <f>B74-E74</f>
        <v/>
      </c>
    </row>
    <row r="75">
      <c r="A75" s="45" t="n">
        <v>54</v>
      </c>
      <c r="B75" s="46">
        <f>G74</f>
        <v/>
      </c>
      <c r="C75" s="47">
        <f>LoanRate</f>
        <v/>
      </c>
      <c r="D75" s="46">
        <f>B75*C75/12</f>
        <v/>
      </c>
      <c r="E75" s="46">
        <f>IF(54&lt;=LoanIOMonths,0,F75-D75)</f>
        <v/>
      </c>
      <c r="F75" s="46">
        <f>IF(54&lt;=LoanIOMonths,D75,$B$17)</f>
        <v/>
      </c>
      <c r="G75" s="46">
        <f>B75-E75</f>
        <v/>
      </c>
    </row>
    <row r="76">
      <c r="A76" s="45" t="n">
        <v>55</v>
      </c>
      <c r="B76" s="46">
        <f>G75</f>
        <v/>
      </c>
      <c r="C76" s="47">
        <f>LoanRate</f>
        <v/>
      </c>
      <c r="D76" s="46">
        <f>B76*C76/12</f>
        <v/>
      </c>
      <c r="E76" s="46">
        <f>IF(55&lt;=LoanIOMonths,0,F76-D76)</f>
        <v/>
      </c>
      <c r="F76" s="46">
        <f>IF(55&lt;=LoanIOMonths,D76,$B$17)</f>
        <v/>
      </c>
      <c r="G76" s="46">
        <f>B76-E76</f>
        <v/>
      </c>
    </row>
    <row r="77">
      <c r="A77" s="45" t="n">
        <v>56</v>
      </c>
      <c r="B77" s="46">
        <f>G76</f>
        <v/>
      </c>
      <c r="C77" s="47">
        <f>LoanRate</f>
        <v/>
      </c>
      <c r="D77" s="46">
        <f>B77*C77/12</f>
        <v/>
      </c>
      <c r="E77" s="46">
        <f>IF(56&lt;=LoanIOMonths,0,F77-D77)</f>
        <v/>
      </c>
      <c r="F77" s="46">
        <f>IF(56&lt;=LoanIOMonths,D77,$B$17)</f>
        <v/>
      </c>
      <c r="G77" s="46">
        <f>B77-E77</f>
        <v/>
      </c>
    </row>
    <row r="78">
      <c r="A78" s="45" t="n">
        <v>57</v>
      </c>
      <c r="B78" s="46">
        <f>G77</f>
        <v/>
      </c>
      <c r="C78" s="47">
        <f>LoanRate</f>
        <v/>
      </c>
      <c r="D78" s="46">
        <f>B78*C78/12</f>
        <v/>
      </c>
      <c r="E78" s="46">
        <f>IF(57&lt;=LoanIOMonths,0,F78-D78)</f>
        <v/>
      </c>
      <c r="F78" s="46">
        <f>IF(57&lt;=LoanIOMonths,D78,$B$17)</f>
        <v/>
      </c>
      <c r="G78" s="46">
        <f>B78-E78</f>
        <v/>
      </c>
    </row>
    <row r="79">
      <c r="A79" s="45" t="n">
        <v>58</v>
      </c>
      <c r="B79" s="46">
        <f>G78</f>
        <v/>
      </c>
      <c r="C79" s="47">
        <f>LoanRate</f>
        <v/>
      </c>
      <c r="D79" s="46">
        <f>B79*C79/12</f>
        <v/>
      </c>
      <c r="E79" s="46">
        <f>IF(58&lt;=LoanIOMonths,0,F79-D79)</f>
        <v/>
      </c>
      <c r="F79" s="46">
        <f>IF(58&lt;=LoanIOMonths,D79,$B$17)</f>
        <v/>
      </c>
      <c r="G79" s="46">
        <f>B79-E79</f>
        <v/>
      </c>
    </row>
    <row r="80">
      <c r="A80" s="45" t="n">
        <v>59</v>
      </c>
      <c r="B80" s="46">
        <f>G79</f>
        <v/>
      </c>
      <c r="C80" s="47">
        <f>LoanRate</f>
        <v/>
      </c>
      <c r="D80" s="46">
        <f>B80*C80/12</f>
        <v/>
      </c>
      <c r="E80" s="46">
        <f>IF(59&lt;=LoanIOMonths,0,F80-D80)</f>
        <v/>
      </c>
      <c r="F80" s="46">
        <f>IF(59&lt;=LoanIOMonths,D80,$B$17)</f>
        <v/>
      </c>
      <c r="G80" s="46">
        <f>B80-E80</f>
        <v/>
      </c>
    </row>
    <row r="81">
      <c r="A81" s="45" t="n">
        <v>60</v>
      </c>
      <c r="B81" s="46">
        <f>G80</f>
        <v/>
      </c>
      <c r="C81" s="47">
        <f>LoanRate</f>
        <v/>
      </c>
      <c r="D81" s="46">
        <f>B81*C81/12</f>
        <v/>
      </c>
      <c r="E81" s="46">
        <f>IF(60&lt;=LoanIOMonths,0,F81-D81)</f>
        <v/>
      </c>
      <c r="F81" s="46">
        <f>IF(60&lt;=LoanIOMonths,D81,$B$17)</f>
        <v/>
      </c>
      <c r="G81" s="46">
        <f>B81-E81</f>
        <v/>
      </c>
    </row>
    <row r="83">
      <c r="A83" s="14" t="inlineStr">
        <is>
          <t>Loan Payoff at Maturity (Month 60)</t>
        </is>
      </c>
      <c r="B83" s="15">
        <f>G81</f>
        <v/>
      </c>
    </row>
    <row r="85">
      <c r="A85" s="2" t="inlineStr">
        <is>
          <t>FY AGGREGATES (for Annual CF linkage)</t>
        </is>
      </c>
    </row>
    <row r="86">
      <c r="A86" s="2" t="inlineStr">
        <is>
          <t>Fiscal Year</t>
        </is>
      </c>
      <c r="B86" s="2" t="inlineStr">
        <is>
          <t>FY Interest</t>
        </is>
      </c>
      <c r="C86" s="2" t="inlineStr">
        <is>
          <t>FY Principal</t>
        </is>
      </c>
      <c r="D86" s="2" t="inlineStr">
        <is>
          <t>FY Debt Service</t>
        </is>
      </c>
      <c r="E86" s="2" t="inlineStr">
        <is>
          <t>EoY Balance</t>
        </is>
      </c>
    </row>
    <row r="87">
      <c r="A87" t="inlineStr">
        <is>
          <t>FY27</t>
        </is>
      </c>
      <c r="B87" s="48">
        <f>-SUM(D22:D33)</f>
        <v/>
      </c>
      <c r="C87" s="48">
        <f>-SUM(E22:E33)</f>
        <v/>
      </c>
      <c r="D87" s="48">
        <f>B87+C87</f>
        <v/>
      </c>
      <c r="E87" s="48">
        <f>G33</f>
        <v/>
      </c>
    </row>
    <row r="88">
      <c r="A88" t="inlineStr">
        <is>
          <t>FY28</t>
        </is>
      </c>
      <c r="B88" s="48">
        <f>-SUM(D34:D45)</f>
        <v/>
      </c>
      <c r="C88" s="48">
        <f>-SUM(E34:E45)</f>
        <v/>
      </c>
      <c r="D88" s="48">
        <f>B88+C88</f>
        <v/>
      </c>
      <c r="E88" s="48">
        <f>G45</f>
        <v/>
      </c>
    </row>
    <row r="89">
      <c r="A89" t="inlineStr">
        <is>
          <t>FY29</t>
        </is>
      </c>
      <c r="B89" s="48">
        <f>-SUM(D46:D57)</f>
        <v/>
      </c>
      <c r="C89" s="48">
        <f>-SUM(E46:E57)</f>
        <v/>
      </c>
      <c r="D89" s="48">
        <f>B89+C89</f>
        <v/>
      </c>
      <c r="E89" s="48">
        <f>G57</f>
        <v/>
      </c>
    </row>
    <row r="90">
      <c r="A90" t="inlineStr">
        <is>
          <t>FY30</t>
        </is>
      </c>
      <c r="B90" s="48">
        <f>-SUM(D58:D69)</f>
        <v/>
      </c>
      <c r="C90" s="48">
        <f>-SUM(E58:E69)</f>
        <v/>
      </c>
      <c r="D90" s="48">
        <f>B90+C90</f>
        <v/>
      </c>
      <c r="E90" s="48">
        <f>G69</f>
        <v/>
      </c>
    </row>
    <row r="91">
      <c r="A91" t="inlineStr">
        <is>
          <t>FY31</t>
        </is>
      </c>
      <c r="B91" s="48">
        <f>-SUM(D70:D81)</f>
        <v/>
      </c>
      <c r="C91" s="48">
        <f>-SUM(E70:E81)</f>
        <v/>
      </c>
      <c r="D91" s="48">
        <f>B91+C91</f>
        <v/>
      </c>
      <c r="E91" s="48">
        <f>G81</f>
        <v/>
      </c>
    </row>
    <row r="92">
      <c r="A92" t="inlineStr">
        <is>
          <t>FY32</t>
        </is>
      </c>
      <c r="B92" s="48" t="n">
        <v>0</v>
      </c>
      <c r="C92" s="48" t="n">
        <v>0</v>
      </c>
      <c r="D92" s="48" t="n">
        <v>0</v>
      </c>
      <c r="E92" s="48" t="n">
        <v>0</v>
      </c>
    </row>
    <row r="93">
      <c r="A93" t="inlineStr">
        <is>
          <t>FY33</t>
        </is>
      </c>
      <c r="B93" s="48" t="n">
        <v>0</v>
      </c>
      <c r="C93" s="48" t="n">
        <v>0</v>
      </c>
      <c r="D93" s="48" t="n">
        <v>0</v>
      </c>
      <c r="E93" s="48" t="n">
        <v>0</v>
      </c>
    </row>
    <row r="94">
      <c r="A94" t="inlineStr">
        <is>
          <t>FY34</t>
        </is>
      </c>
      <c r="B94" s="48" t="n">
        <v>0</v>
      </c>
      <c r="C94" s="48" t="n">
        <v>0</v>
      </c>
      <c r="D94" s="48" t="n">
        <v>0</v>
      </c>
      <c r="E94" s="48" t="n">
        <v>0</v>
      </c>
    </row>
    <row r="95">
      <c r="A95" t="inlineStr">
        <is>
          <t>FY35</t>
        </is>
      </c>
      <c r="B95" s="48" t="n">
        <v>0</v>
      </c>
      <c r="C95" s="48" t="n">
        <v>0</v>
      </c>
      <c r="D95" s="48" t="n">
        <v>0</v>
      </c>
      <c r="E95" s="48" t="n">
        <v>0</v>
      </c>
    </row>
    <row r="96">
      <c r="A96" t="inlineStr">
        <is>
          <t>FY36</t>
        </is>
      </c>
      <c r="B96" s="48" t="n">
        <v>0</v>
      </c>
      <c r="C96" s="48" t="n">
        <v>0</v>
      </c>
      <c r="D96" s="48" t="n">
        <v>0</v>
      </c>
      <c r="E96" s="48" t="n">
        <v>0</v>
      </c>
    </row>
    <row r="97">
      <c r="A97" t="inlineStr">
        <is>
          <t>FY37</t>
        </is>
      </c>
      <c r="B97" s="48" t="n">
        <v>0</v>
      </c>
      <c r="C97" s="48" t="n">
        <v>0</v>
      </c>
      <c r="D97" s="48" t="n">
        <v>0</v>
      </c>
      <c r="E97" s="48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</cols>
  <sheetData>
    <row r="1">
      <c r="A1" s="1" t="inlineStr">
        <is>
          <t>CARROLLTON — ANNUAL CASH FLOW (FY Ending April 30)</t>
        </is>
      </c>
    </row>
    <row r="3">
      <c r="B3" s="42" t="inlineStr">
        <is>
          <t>FY27</t>
        </is>
      </c>
      <c r="C3" s="42" t="inlineStr">
        <is>
          <t>FY28</t>
        </is>
      </c>
      <c r="D3" s="42" t="inlineStr">
        <is>
          <t>FY29</t>
        </is>
      </c>
      <c r="E3" s="42" t="inlineStr">
        <is>
          <t>FY30</t>
        </is>
      </c>
      <c r="F3" s="42" t="inlineStr">
        <is>
          <t>FY31</t>
        </is>
      </c>
      <c r="G3" s="42" t="inlineStr">
        <is>
          <t>FY32</t>
        </is>
      </c>
      <c r="H3" s="42" t="inlineStr">
        <is>
          <t>FY33</t>
        </is>
      </c>
      <c r="I3" s="42" t="inlineStr">
        <is>
          <t>FY34</t>
        </is>
      </c>
      <c r="J3" s="42" t="inlineStr">
        <is>
          <t>FY35</t>
        </is>
      </c>
      <c r="K3" s="42" t="inlineStr">
        <is>
          <t>FY36</t>
        </is>
      </c>
      <c r="L3" s="42" t="inlineStr">
        <is>
          <t>FY37</t>
        </is>
      </c>
      <c r="M3" s="2" t="inlineStr">
        <is>
          <t>Total</t>
        </is>
      </c>
    </row>
    <row r="4">
      <c r="A4" s="3" t="inlineStr">
        <is>
          <t>Property SF</t>
        </is>
      </c>
      <c r="B4" s="4">
        <f>'Property Data'!B4</f>
        <v/>
      </c>
      <c r="D4" s="3" t="inlineStr">
        <is>
          <t>Allocated Price</t>
        </is>
      </c>
      <c r="E4" s="5">
        <f>'Property Data'!B30</f>
        <v/>
      </c>
      <c r="G4" s="3" t="inlineStr">
        <is>
          <t>Implied Cap</t>
        </is>
      </c>
      <c r="H4" s="9">
        <f>'Property Data'!B31</f>
        <v/>
      </c>
      <c r="J4" s="3" t="inlineStr">
        <is>
          <t>Implied $/SF</t>
        </is>
      </c>
      <c r="K4" s="10">
        <f>'Property Data'!B32</f>
        <v/>
      </c>
    </row>
    <row r="6">
      <c r="A6" s="13" t="inlineStr">
        <is>
          <t>REVENUE</t>
        </is>
      </c>
    </row>
    <row r="7">
      <c r="A7" s="3" t="inlineStr">
        <is>
          <t>Gross Potential Rent</t>
        </is>
      </c>
      <c r="B7" s="5">
        <f>SUMIFS('Rent Roll'!N5:N166,'Rent Roll'!$A$5:$A$166,"Carrollton")</f>
        <v/>
      </c>
      <c r="C7" s="5">
        <f>SUMIFS('Rent Roll'!O5:O166,'Rent Roll'!$A$5:$A$166,"Carrollton")</f>
        <v/>
      </c>
      <c r="D7" s="5">
        <f>SUMIFS('Rent Roll'!P5:P166,'Rent Roll'!$A$5:$A$166,"Carrollton")</f>
        <v/>
      </c>
      <c r="E7" s="5">
        <f>SUMIFS('Rent Roll'!Q5:Q166,'Rent Roll'!$A$5:$A$166,"Carrollton")</f>
        <v/>
      </c>
      <c r="F7" s="5">
        <f>SUMIFS('Rent Roll'!R5:R166,'Rent Roll'!$A$5:$A$166,"Carrollton")</f>
        <v/>
      </c>
      <c r="G7" s="5">
        <f>SUMIFS('Rent Roll'!S5:S166,'Rent Roll'!$A$5:$A$166,"Carrollton")</f>
        <v/>
      </c>
      <c r="H7" s="5">
        <f>SUMIFS('Rent Roll'!T5:T166,'Rent Roll'!$A$5:$A$166,"Carrollton")</f>
        <v/>
      </c>
      <c r="I7" s="5">
        <f>SUMIFS('Rent Roll'!U5:U166,'Rent Roll'!$A$5:$A$166,"Carrollton")</f>
        <v/>
      </c>
      <c r="J7" s="5">
        <f>SUMIFS('Rent Roll'!V5:V166,'Rent Roll'!$A$5:$A$166,"Carrollton")</f>
        <v/>
      </c>
      <c r="K7" s="5">
        <f>SUMIFS('Rent Roll'!W5:W166,'Rent Roll'!$A$5:$A$166,"Carrollton")</f>
        <v/>
      </c>
      <c r="L7" s="5">
        <f>SUMIFS('Rent Roll'!X5:X166,'Rent Roll'!$A$5:$A$166,"Carrollton")</f>
        <v/>
      </c>
      <c r="M7" s="5">
        <f>SUM(B7:L7)</f>
        <v/>
      </c>
    </row>
    <row r="8">
      <c r="A8" s="3" t="inlineStr">
        <is>
          <t>Less: Vacancy &amp; Credit Loss</t>
        </is>
      </c>
      <c r="B8" s="5">
        <f>-B7*(GeneralVacancy+CreditLoss)</f>
        <v/>
      </c>
      <c r="C8" s="5">
        <f>-C7*(GeneralVacancy+CreditLoss)</f>
        <v/>
      </c>
      <c r="D8" s="5">
        <f>-D7*(GeneralVacancy+CreditLoss)</f>
        <v/>
      </c>
      <c r="E8" s="5">
        <f>-E7*(GeneralVacancy+CreditLoss)</f>
        <v/>
      </c>
      <c r="F8" s="5">
        <f>-F7*(GeneralVacancy+CreditLoss)</f>
        <v/>
      </c>
      <c r="G8" s="5">
        <f>-G7*(GeneralVacancy+CreditLoss)</f>
        <v/>
      </c>
      <c r="H8" s="5">
        <f>-H7*(GeneralVacancy+CreditLoss)</f>
        <v/>
      </c>
      <c r="I8" s="5">
        <f>-I7*(GeneralVacancy+CreditLoss)</f>
        <v/>
      </c>
      <c r="J8" s="5">
        <f>-J7*(GeneralVacancy+CreditLoss)</f>
        <v/>
      </c>
      <c r="K8" s="5">
        <f>-K7*(GeneralVacancy+CreditLoss)</f>
        <v/>
      </c>
      <c r="L8" s="5">
        <f>-L7*(GeneralVacancy+CreditLoss)</f>
        <v/>
      </c>
      <c r="M8" s="5">
        <f>SUM(B8:L8)</f>
        <v/>
      </c>
    </row>
    <row r="9">
      <c r="A9" s="3" t="inlineStr">
        <is>
          <t>Expense Recoveries (NNN, excl. mgmt fee)</t>
        </is>
      </c>
      <c r="B9" s="5">
        <f>-(B15+B16+B18+B19)*RecoveryPct</f>
        <v/>
      </c>
      <c r="C9" s="5">
        <f>-(C15+C16+C18+C19)*RecoveryPct</f>
        <v/>
      </c>
      <c r="D9" s="5">
        <f>-(D15+D16+D18+D19)*RecoveryPct</f>
        <v/>
      </c>
      <c r="E9" s="5">
        <f>-(E15+E16+E18+E19)*RecoveryPct</f>
        <v/>
      </c>
      <c r="F9" s="5">
        <f>-(F15+F16+F18+F19)*RecoveryPct</f>
        <v/>
      </c>
      <c r="G9" s="5">
        <f>-(G15+G16+G18+G19)*RecoveryPct</f>
        <v/>
      </c>
      <c r="H9" s="5">
        <f>-(H15+H16+H18+H19)*RecoveryPct</f>
        <v/>
      </c>
      <c r="I9" s="5">
        <f>-(I15+I16+I18+I19)*RecoveryPct</f>
        <v/>
      </c>
      <c r="J9" s="5">
        <f>-(J15+J16+J18+J19)*RecoveryPct</f>
        <v/>
      </c>
      <c r="K9" s="5">
        <f>-(K15+K16+K18+K19)*RecoveryPct</f>
        <v/>
      </c>
      <c r="L9" s="5">
        <f>-(L15+L16+L18+L19)*RecoveryPct</f>
        <v/>
      </c>
      <c r="M9" s="5">
        <f>SUM(B9:L9)</f>
        <v/>
      </c>
    </row>
    <row r="10">
      <c r="A10" s="3" t="inlineStr">
        <is>
          <t>Tenant Upgrade Rent</t>
        </is>
      </c>
      <c r="B10" s="5">
        <f>'Property Data'!B$25*(1+TURentGrowth)^0</f>
        <v/>
      </c>
      <c r="C10" s="5">
        <f>'Property Data'!B$25*(1+TURentGrowth)^1</f>
        <v/>
      </c>
      <c r="D10" s="5">
        <f>'Property Data'!B$25*(1+TURentGrowth)^2</f>
        <v/>
      </c>
      <c r="E10" s="5">
        <f>'Property Data'!B$25*(1+TURentGrowth)^3</f>
        <v/>
      </c>
      <c r="F10" s="5">
        <f>'Property Data'!B$25*(1+TURentGrowth)^4</f>
        <v/>
      </c>
      <c r="G10" s="5">
        <f>'Property Data'!B$25*(1+TURentGrowth)^5</f>
        <v/>
      </c>
      <c r="H10" s="5">
        <f>'Property Data'!B$25*(1+TURentGrowth)^6</f>
        <v/>
      </c>
      <c r="I10" s="5">
        <f>'Property Data'!B$25*(1+TURentGrowth)^7</f>
        <v/>
      </c>
      <c r="J10" s="5">
        <f>'Property Data'!B$25*(1+TURentGrowth)^8</f>
        <v/>
      </c>
      <c r="K10" s="5">
        <f>'Property Data'!B$25*(1+TURentGrowth)^9</f>
        <v/>
      </c>
      <c r="L10" s="5">
        <f>'Property Data'!B$25*(1+TURentGrowth)^10</f>
        <v/>
      </c>
      <c r="M10" s="5">
        <f>SUM(B10:L10)</f>
        <v/>
      </c>
    </row>
    <row r="11">
      <c r="A11" s="3" t="inlineStr">
        <is>
          <t>Parking Rent</t>
        </is>
      </c>
      <c r="B11" s="5">
        <f>'Property Data'!B$26*(1+GrowthOther)^0</f>
        <v/>
      </c>
      <c r="C11" s="5">
        <f>'Property Data'!B$26*(1+GrowthOther)^1</f>
        <v/>
      </c>
      <c r="D11" s="5">
        <f>'Property Data'!B$26*(1+GrowthOther)^2</f>
        <v/>
      </c>
      <c r="E11" s="5">
        <f>'Property Data'!B$26*(1+GrowthOther)^3</f>
        <v/>
      </c>
      <c r="F11" s="5">
        <f>'Property Data'!B$26*(1+GrowthOther)^4</f>
        <v/>
      </c>
      <c r="G11" s="5">
        <f>'Property Data'!B$26*(1+GrowthOther)^5</f>
        <v/>
      </c>
      <c r="H11" s="5">
        <f>'Property Data'!B$26*(1+GrowthOther)^6</f>
        <v/>
      </c>
      <c r="I11" s="5">
        <f>'Property Data'!B$26*(1+GrowthOther)^7</f>
        <v/>
      </c>
      <c r="J11" s="5">
        <f>'Property Data'!B$26*(1+GrowthOther)^8</f>
        <v/>
      </c>
      <c r="K11" s="5">
        <f>'Property Data'!B$26*(1+GrowthOther)^9</f>
        <v/>
      </c>
      <c r="L11" s="5">
        <f>'Property Data'!B$26*(1+GrowthOther)^10</f>
        <v/>
      </c>
      <c r="M11" s="5">
        <f>SUM(B11:L11)</f>
        <v/>
      </c>
    </row>
    <row r="12">
      <c r="A12" s="14" t="inlineStr">
        <is>
          <t>EFFECTIVE GROSS REVENUE</t>
        </is>
      </c>
      <c r="B12" s="15">
        <f>SUM(B7:B11)</f>
        <v/>
      </c>
      <c r="C12" s="15">
        <f>SUM(C7:C11)</f>
        <v/>
      </c>
      <c r="D12" s="15">
        <f>SUM(D7:D11)</f>
        <v/>
      </c>
      <c r="E12" s="15">
        <f>SUM(E7:E11)</f>
        <v/>
      </c>
      <c r="F12" s="15">
        <f>SUM(F7:F11)</f>
        <v/>
      </c>
      <c r="G12" s="15">
        <f>SUM(G7:G11)</f>
        <v/>
      </c>
      <c r="H12" s="15">
        <f>SUM(H7:H11)</f>
        <v/>
      </c>
      <c r="I12" s="15">
        <f>SUM(I7:I11)</f>
        <v/>
      </c>
      <c r="J12" s="15">
        <f>SUM(J7:J11)</f>
        <v/>
      </c>
      <c r="K12" s="15">
        <f>SUM(K7:K11)</f>
        <v/>
      </c>
      <c r="L12" s="15">
        <f>SUM(L7:L11)</f>
        <v/>
      </c>
      <c r="M12" s="15">
        <f>SUM(B12:L12)</f>
        <v/>
      </c>
    </row>
    <row r="14">
      <c r="A14" s="13" t="inlineStr">
        <is>
          <t>OPERATING EXPENSES</t>
        </is>
      </c>
    </row>
    <row r="15">
      <c r="A15" s="3" t="inlineStr">
        <is>
          <t>CAM</t>
        </is>
      </c>
      <c r="B15" s="5">
        <f>-'Property Data'!B$20*(1+GrowthOpEx)^0</f>
        <v/>
      </c>
      <c r="C15" s="5">
        <f>-'Property Data'!B$20*(1+GrowthOpEx)^1</f>
        <v/>
      </c>
      <c r="D15" s="5">
        <f>-'Property Data'!B$20*(1+GrowthOpEx)^2</f>
        <v/>
      </c>
      <c r="E15" s="5">
        <f>-'Property Data'!B$20*(1+GrowthOpEx)^3</f>
        <v/>
      </c>
      <c r="F15" s="5">
        <f>-'Property Data'!B$20*(1+GrowthOpEx)^4</f>
        <v/>
      </c>
      <c r="G15" s="5">
        <f>-'Property Data'!B$20*(1+GrowthOpEx)^5</f>
        <v/>
      </c>
      <c r="H15" s="5">
        <f>-'Property Data'!B$20*(1+GrowthOpEx)^6</f>
        <v/>
      </c>
      <c r="I15" s="5">
        <f>-'Property Data'!B$20*(1+GrowthOpEx)^7</f>
        <v/>
      </c>
      <c r="J15" s="5">
        <f>-'Property Data'!B$20*(1+GrowthOpEx)^8</f>
        <v/>
      </c>
      <c r="K15" s="5">
        <f>-'Property Data'!B$20*(1+GrowthOpEx)^9</f>
        <v/>
      </c>
      <c r="L15" s="5">
        <f>-'Property Data'!B$20*(1+GrowthOpEx)^10</f>
        <v/>
      </c>
      <c r="M15" s="5">
        <f>SUM(B15:L15)</f>
        <v/>
      </c>
    </row>
    <row r="16">
      <c r="A16" s="3" t="inlineStr">
        <is>
          <t>Utilities</t>
        </is>
      </c>
      <c r="B16" s="5">
        <f>-'Property Data'!B$21*(1+GrowthOpEx)^0</f>
        <v/>
      </c>
      <c r="C16" s="5">
        <f>-'Property Data'!B$21*(1+GrowthOpEx)^1</f>
        <v/>
      </c>
      <c r="D16" s="5">
        <f>-'Property Data'!B$21*(1+GrowthOpEx)^2</f>
        <v/>
      </c>
      <c r="E16" s="5">
        <f>-'Property Data'!B$21*(1+GrowthOpEx)^3</f>
        <v/>
      </c>
      <c r="F16" s="5">
        <f>-'Property Data'!B$21*(1+GrowthOpEx)^4</f>
        <v/>
      </c>
      <c r="G16" s="5">
        <f>-'Property Data'!B$21*(1+GrowthOpEx)^5</f>
        <v/>
      </c>
      <c r="H16" s="5">
        <f>-'Property Data'!B$21*(1+GrowthOpEx)^6</f>
        <v/>
      </c>
      <c r="I16" s="5">
        <f>-'Property Data'!B$21*(1+GrowthOpEx)^7</f>
        <v/>
      </c>
      <c r="J16" s="5">
        <f>-'Property Data'!B$21*(1+GrowthOpEx)^8</f>
        <v/>
      </c>
      <c r="K16" s="5">
        <f>-'Property Data'!B$21*(1+GrowthOpEx)^9</f>
        <v/>
      </c>
      <c r="L16" s="5">
        <f>-'Property Data'!B$21*(1+GrowthOpEx)^10</f>
        <v/>
      </c>
      <c r="M16" s="5">
        <f>SUM(B16:L16)</f>
        <v/>
      </c>
    </row>
    <row r="17">
      <c r="A17" s="3" t="inlineStr">
        <is>
          <t>Management Fee (% of EGR)</t>
        </is>
      </c>
      <c r="B17" s="5">
        <f>-B12*MgmtFeePct</f>
        <v/>
      </c>
      <c r="C17" s="5">
        <f>-C12*MgmtFeePct</f>
        <v/>
      </c>
      <c r="D17" s="5">
        <f>-D12*MgmtFeePct</f>
        <v/>
      </c>
      <c r="E17" s="5">
        <f>-E12*MgmtFeePct</f>
        <v/>
      </c>
      <c r="F17" s="5">
        <f>-F12*MgmtFeePct</f>
        <v/>
      </c>
      <c r="G17" s="5">
        <f>-G12*MgmtFeePct</f>
        <v/>
      </c>
      <c r="H17" s="5">
        <f>-H12*MgmtFeePct</f>
        <v/>
      </c>
      <c r="I17" s="5">
        <f>-I12*MgmtFeePct</f>
        <v/>
      </c>
      <c r="J17" s="5">
        <f>-J12*MgmtFeePct</f>
        <v/>
      </c>
      <c r="K17" s="5">
        <f>-K12*MgmtFeePct</f>
        <v/>
      </c>
      <c r="L17" s="5">
        <f>-L12*MgmtFeePct</f>
        <v/>
      </c>
      <c r="M17" s="5">
        <f>SUM(B17:L17)</f>
        <v/>
      </c>
    </row>
    <row r="18">
      <c r="A18" s="3" t="inlineStr">
        <is>
          <t>Insurance</t>
        </is>
      </c>
      <c r="B18" s="5">
        <f>-'Property Data'!B$23*(1+GrowthOpEx)^0</f>
        <v/>
      </c>
      <c r="C18" s="5">
        <f>-'Property Data'!B$23*(1+GrowthOpEx)^1</f>
        <v/>
      </c>
      <c r="D18" s="5">
        <f>-'Property Data'!B$23*(1+GrowthOpEx)^2</f>
        <v/>
      </c>
      <c r="E18" s="5">
        <f>-'Property Data'!B$23*(1+GrowthOpEx)^3</f>
        <v/>
      </c>
      <c r="F18" s="5">
        <f>-'Property Data'!B$23*(1+GrowthOpEx)^4</f>
        <v/>
      </c>
      <c r="G18" s="5">
        <f>-'Property Data'!B$23*(1+GrowthOpEx)^5</f>
        <v/>
      </c>
      <c r="H18" s="5">
        <f>-'Property Data'!B$23*(1+GrowthOpEx)^6</f>
        <v/>
      </c>
      <c r="I18" s="5">
        <f>-'Property Data'!B$23*(1+GrowthOpEx)^7</f>
        <v/>
      </c>
      <c r="J18" s="5">
        <f>-'Property Data'!B$23*(1+GrowthOpEx)^8</f>
        <v/>
      </c>
      <c r="K18" s="5">
        <f>-'Property Data'!B$23*(1+GrowthOpEx)^9</f>
        <v/>
      </c>
      <c r="L18" s="5">
        <f>-'Property Data'!B$23*(1+GrowthOpEx)^10</f>
        <v/>
      </c>
      <c r="M18" s="5">
        <f>SUM(B18:L18)</f>
        <v/>
      </c>
    </row>
    <row r="19">
      <c r="A19" s="3" t="inlineStr">
        <is>
          <t>RE Taxes</t>
        </is>
      </c>
      <c r="B19" s="5">
        <f>IF(ReassessTaxes,-'Property Data'!B$30*'Property Data'!B$16*(1+GrowthRETax)^0,-'Property Data'!B$24*(1+GrowthRETax)^0)</f>
        <v/>
      </c>
      <c r="C19" s="5">
        <f>IF(ReassessTaxes,-'Property Data'!B$30*'Property Data'!B$16*(1+GrowthRETax)^1,-'Property Data'!B$24*(1+GrowthRETax)^1)</f>
        <v/>
      </c>
      <c r="D19" s="5">
        <f>IF(ReassessTaxes,-'Property Data'!B$30*'Property Data'!B$16*(1+GrowthRETax)^2,-'Property Data'!B$24*(1+GrowthRETax)^2)</f>
        <v/>
      </c>
      <c r="E19" s="5">
        <f>IF(ReassessTaxes,-'Property Data'!B$30*'Property Data'!B$16*(1+GrowthRETax)^3,-'Property Data'!B$24*(1+GrowthRETax)^3)</f>
        <v/>
      </c>
      <c r="F19" s="5">
        <f>IF(ReassessTaxes,-'Property Data'!B$30*'Property Data'!B$16*(1+GrowthRETax)^4,-'Property Data'!B$24*(1+GrowthRETax)^4)</f>
        <v/>
      </c>
      <c r="G19" s="5">
        <f>IF(ReassessTaxes,-'Property Data'!B$30*'Property Data'!B$16*(1+GrowthRETax)^5,-'Property Data'!B$24*(1+GrowthRETax)^5)</f>
        <v/>
      </c>
      <c r="H19" s="5">
        <f>IF(ReassessTaxes,-'Property Data'!B$30*'Property Data'!B$16*(1+GrowthRETax)^6,-'Property Data'!B$24*(1+GrowthRETax)^6)</f>
        <v/>
      </c>
      <c r="I19" s="5">
        <f>IF(ReassessTaxes,-'Property Data'!B$30*'Property Data'!B$16*(1+GrowthRETax)^7,-'Property Data'!B$24*(1+GrowthRETax)^7)</f>
        <v/>
      </c>
      <c r="J19" s="5">
        <f>IF(ReassessTaxes,-'Property Data'!B$30*'Property Data'!B$16*(1+GrowthRETax)^8,-'Property Data'!B$24*(1+GrowthRETax)^8)</f>
        <v/>
      </c>
      <c r="K19" s="5">
        <f>IF(ReassessTaxes,-'Property Data'!B$30*'Property Data'!B$16*(1+GrowthRETax)^9,-'Property Data'!B$24*(1+GrowthRETax)^9)</f>
        <v/>
      </c>
      <c r="L19" s="5">
        <f>IF(ReassessTaxes,-'Property Data'!B$30*'Property Data'!B$16*(1+GrowthRETax)^10,-'Property Data'!B$24*(1+GrowthRETax)^10)</f>
        <v/>
      </c>
      <c r="M19" s="5">
        <f>SUM(B19:L19)</f>
        <v/>
      </c>
    </row>
    <row r="20">
      <c r="A20" s="14" t="inlineStr">
        <is>
          <t>TOTAL OPERATING EXPENSES</t>
        </is>
      </c>
      <c r="B20" s="15">
        <f>SUM(B15:B19)</f>
        <v/>
      </c>
      <c r="C20" s="15">
        <f>SUM(C15:C19)</f>
        <v/>
      </c>
      <c r="D20" s="15">
        <f>SUM(D15:D19)</f>
        <v/>
      </c>
      <c r="E20" s="15">
        <f>SUM(E15:E19)</f>
        <v/>
      </c>
      <c r="F20" s="15">
        <f>SUM(F15:F19)</f>
        <v/>
      </c>
      <c r="G20" s="15">
        <f>SUM(G15:G19)</f>
        <v/>
      </c>
      <c r="H20" s="15">
        <f>SUM(H15:H19)</f>
        <v/>
      </c>
      <c r="I20" s="15">
        <f>SUM(I15:I19)</f>
        <v/>
      </c>
      <c r="J20" s="15">
        <f>SUM(J15:J19)</f>
        <v/>
      </c>
      <c r="K20" s="15">
        <f>SUM(K15:K19)</f>
        <v/>
      </c>
      <c r="L20" s="15">
        <f>SUM(L15:L19)</f>
        <v/>
      </c>
      <c r="M20" s="15">
        <f>SUM(B20:L20)</f>
        <v/>
      </c>
    </row>
    <row r="22">
      <c r="A22" s="14" t="inlineStr">
        <is>
          <t>NET OPERATING INCOME (NOI)</t>
        </is>
      </c>
      <c r="B22" s="8">
        <f>B12+B20</f>
        <v/>
      </c>
      <c r="C22" s="8">
        <f>C12+C20</f>
        <v/>
      </c>
      <c r="D22" s="8">
        <f>D12+D20</f>
        <v/>
      </c>
      <c r="E22" s="8">
        <f>E12+E20</f>
        <v/>
      </c>
      <c r="F22" s="8">
        <f>F12+F20</f>
        <v/>
      </c>
      <c r="G22" s="8">
        <f>G12+G20</f>
        <v/>
      </c>
      <c r="H22" s="8">
        <f>H12+H20</f>
        <v/>
      </c>
      <c r="I22" s="8">
        <f>I12+I20</f>
        <v/>
      </c>
      <c r="J22" s="8">
        <f>J12+J20</f>
        <v/>
      </c>
      <c r="K22" s="8">
        <f>K12+K20</f>
        <v/>
      </c>
      <c r="L22" s="8">
        <f>L12+L20</f>
        <v/>
      </c>
      <c r="M22" s="15">
        <f>SUM(B22:L22)</f>
        <v/>
      </c>
    </row>
    <row r="24">
      <c r="A24" s="3" t="inlineStr">
        <is>
          <t>Implied Cap Rate (NOI / Allocated Price)</t>
        </is>
      </c>
      <c r="B24" s="9">
        <f>IFERROR(B22/'Property Data'!B$30,0)</f>
        <v/>
      </c>
      <c r="C24" s="9">
        <f>IFERROR(C22/'Property Data'!B$30,0)</f>
        <v/>
      </c>
      <c r="D24" s="9">
        <f>IFERROR(D22/'Property Data'!B$30,0)</f>
        <v/>
      </c>
      <c r="E24" s="9">
        <f>IFERROR(E22/'Property Data'!B$30,0)</f>
        <v/>
      </c>
      <c r="F24" s="9">
        <f>IFERROR(F22/'Property Data'!B$30,0)</f>
        <v/>
      </c>
      <c r="G24" s="9">
        <f>IFERROR(G22/'Property Data'!B$30,0)</f>
        <v/>
      </c>
      <c r="H24" s="9">
        <f>IFERROR(H22/'Property Data'!B$30,0)</f>
        <v/>
      </c>
      <c r="I24" s="9">
        <f>IFERROR(I22/'Property Data'!B$30,0)</f>
        <v/>
      </c>
      <c r="J24" s="9">
        <f>IFERROR(J22/'Property Data'!B$30,0)</f>
        <v/>
      </c>
      <c r="K24" s="9">
        <f>IFERROR(K22/'Property Data'!B$30,0)</f>
        <v/>
      </c>
      <c r="L24" s="9">
        <f>IFERROR(L22/'Property Data'!B$30,0)</f>
        <v/>
      </c>
    </row>
    <row r="26">
      <c r="A26" s="13" t="inlineStr">
        <is>
          <t>CAPITAL COSTS</t>
        </is>
      </c>
    </row>
    <row r="27">
      <c r="A27" s="3" t="inlineStr">
        <is>
          <t>Tenant Improvements &amp; Leasing Commissions</t>
        </is>
      </c>
      <c r="B27" s="5">
        <f>-SUMIFS('Rent Roll'!Y5:Y166,'Rent Roll'!$A$5:$A$166,"Carrollton")</f>
        <v/>
      </c>
      <c r="C27" s="5">
        <f>-SUMIFS('Rent Roll'!Z5:Z166,'Rent Roll'!$A$5:$A$166,"Carrollton")</f>
        <v/>
      </c>
      <c r="D27" s="5">
        <f>-SUMIFS('Rent Roll'!AA5:AA166,'Rent Roll'!$A$5:$A$166,"Carrollton")</f>
        <v/>
      </c>
      <c r="E27" s="5">
        <f>-SUMIFS('Rent Roll'!AB5:AB166,'Rent Roll'!$A$5:$A$166,"Carrollton")</f>
        <v/>
      </c>
      <c r="F27" s="5">
        <f>-SUMIFS('Rent Roll'!AC5:AC166,'Rent Roll'!$A$5:$A$166,"Carrollton")</f>
        <v/>
      </c>
      <c r="G27" s="5">
        <f>-SUMIFS('Rent Roll'!AD5:AD166,'Rent Roll'!$A$5:$A$166,"Carrollton")</f>
        <v/>
      </c>
      <c r="H27" s="5">
        <f>-SUMIFS('Rent Roll'!AE5:AE166,'Rent Roll'!$A$5:$A$166,"Carrollton")</f>
        <v/>
      </c>
      <c r="I27" s="5">
        <f>-SUMIFS('Rent Roll'!AF5:AF166,'Rent Roll'!$A$5:$A$166,"Carrollton")</f>
        <v/>
      </c>
      <c r="J27" s="5">
        <f>-SUMIFS('Rent Roll'!AG5:AG166,'Rent Roll'!$A$5:$A$166,"Carrollton")</f>
        <v/>
      </c>
      <c r="K27" s="5">
        <f>-SUMIFS('Rent Roll'!AH5:AH166,'Rent Roll'!$A$5:$A$166,"Carrollton")</f>
        <v/>
      </c>
      <c r="L27" s="5">
        <f>-SUMIFS('Rent Roll'!AI5:AI166,'Rent Roll'!$A$5:$A$166,"Carrollton")</f>
        <v/>
      </c>
      <c r="M27" s="5">
        <f>SUM(B27:L27)</f>
        <v/>
      </c>
    </row>
    <row r="28">
      <c r="A28" s="3" t="inlineStr">
        <is>
          <t>Capital Reserves</t>
        </is>
      </c>
      <c r="B28" s="5">
        <f>-ReservesPSF*'Property Data'!B$4*(1+CPI)^0</f>
        <v/>
      </c>
      <c r="C28" s="5">
        <f>-ReservesPSF*'Property Data'!B$4*(1+CPI)^1</f>
        <v/>
      </c>
      <c r="D28" s="5">
        <f>-ReservesPSF*'Property Data'!B$4*(1+CPI)^2</f>
        <v/>
      </c>
      <c r="E28" s="5">
        <f>-ReservesPSF*'Property Data'!B$4*(1+CPI)^3</f>
        <v/>
      </c>
      <c r="F28" s="5">
        <f>-ReservesPSF*'Property Data'!B$4*(1+CPI)^4</f>
        <v/>
      </c>
      <c r="G28" s="5">
        <f>-ReservesPSF*'Property Data'!B$4*(1+CPI)^5</f>
        <v/>
      </c>
      <c r="H28" s="5">
        <f>-ReservesPSF*'Property Data'!B$4*(1+CPI)^6</f>
        <v/>
      </c>
      <c r="I28" s="5">
        <f>-ReservesPSF*'Property Data'!B$4*(1+CPI)^7</f>
        <v/>
      </c>
      <c r="J28" s="5">
        <f>-ReservesPSF*'Property Data'!B$4*(1+CPI)^8</f>
        <v/>
      </c>
      <c r="K28" s="5">
        <f>-ReservesPSF*'Property Data'!B$4*(1+CPI)^9</f>
        <v/>
      </c>
      <c r="L28" s="5">
        <f>-ReservesPSF*'Property Data'!B$4*(1+CPI)^10</f>
        <v/>
      </c>
      <c r="M28" s="5">
        <f>SUM(B28:L28)</f>
        <v/>
      </c>
    </row>
    <row r="29">
      <c r="A29" s="14" t="inlineStr">
        <is>
          <t>TOTAL CAPITAL</t>
        </is>
      </c>
      <c r="B29" s="15">
        <f>SUM(B27:B28)</f>
        <v/>
      </c>
      <c r="C29" s="15">
        <f>SUM(C27:C28)</f>
        <v/>
      </c>
      <c r="D29" s="15">
        <f>SUM(D27:D28)</f>
        <v/>
      </c>
      <c r="E29" s="15">
        <f>SUM(E27:E28)</f>
        <v/>
      </c>
      <c r="F29" s="15">
        <f>SUM(F27:F28)</f>
        <v/>
      </c>
      <c r="G29" s="15">
        <f>SUM(G27:G28)</f>
        <v/>
      </c>
      <c r="H29" s="15">
        <f>SUM(H27:H28)</f>
        <v/>
      </c>
      <c r="I29" s="15">
        <f>SUM(I27:I28)</f>
        <v/>
      </c>
      <c r="J29" s="15">
        <f>SUM(J27:J28)</f>
        <v/>
      </c>
      <c r="K29" s="15">
        <f>SUM(K27:K28)</f>
        <v/>
      </c>
      <c r="L29" s="15">
        <f>SUM(L27:L28)</f>
        <v/>
      </c>
      <c r="M29" s="15">
        <f>SUM(B29:L29)</f>
        <v/>
      </c>
    </row>
    <row r="31">
      <c r="A31" s="14" t="inlineStr">
        <is>
          <t>UNLEVERED CASH FLOW</t>
        </is>
      </c>
      <c r="B31" s="8">
        <f>B22+B29</f>
        <v/>
      </c>
      <c r="C31" s="8">
        <f>C22+C29</f>
        <v/>
      </c>
      <c r="D31" s="8">
        <f>D22+D29</f>
        <v/>
      </c>
      <c r="E31" s="8">
        <f>E22+E29</f>
        <v/>
      </c>
      <c r="F31" s="8">
        <f>F22+F29</f>
        <v/>
      </c>
      <c r="G31" s="8">
        <f>G22+G29</f>
        <v/>
      </c>
      <c r="H31" s="8">
        <f>H22+H29</f>
        <v/>
      </c>
      <c r="I31" s="8">
        <f>I22+I29</f>
        <v/>
      </c>
      <c r="J31" s="8">
        <f>J22+J29</f>
        <v/>
      </c>
      <c r="K31" s="8">
        <f>K22+K29</f>
        <v/>
      </c>
      <c r="L31" s="8">
        <f>L22+L29</f>
        <v/>
      </c>
      <c r="M31" s="15">
        <f>SUM(B31:L31)</f>
        <v/>
      </c>
    </row>
    <row r="33">
      <c r="A33" s="13" t="inlineStr">
        <is>
          <t>EXIT</t>
        </is>
      </c>
    </row>
    <row r="34">
      <c r="A34" s="3" t="inlineStr">
        <is>
          <t>Exit Year NOI (next-year method)</t>
        </is>
      </c>
      <c r="B34" s="5">
        <f>INDEX(B22:L22,MIN(11,INT((HoldMonths-1)/12)+2))</f>
        <v/>
      </c>
    </row>
    <row r="35">
      <c r="A35" s="3" t="inlineStr">
        <is>
          <t>Exit Value (Gross)</t>
        </is>
      </c>
      <c r="B35" s="5">
        <f>B34/ExitCap</f>
        <v/>
      </c>
    </row>
    <row r="36">
      <c r="A36" s="3" t="inlineStr">
        <is>
          <t>Exit Value (Net of 2% disp costs)</t>
        </is>
      </c>
      <c r="B36" s="8">
        <f>B35*(1-DispCostPct)</f>
        <v/>
      </c>
    </row>
    <row r="37">
      <c r="A37" s="3" t="inlineStr">
        <is>
          <t>Profit (Net Exit − Allocated Price)</t>
        </is>
      </c>
      <c r="B37" s="8">
        <f>B36-'Property Data'!B30</f>
        <v/>
      </c>
    </row>
    <row r="38">
      <c r="A38" s="3" t="inlineStr">
        <is>
          <t>Exit $/SF</t>
        </is>
      </c>
      <c r="B38" s="10">
        <f>B35/'Property Data'!B4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</cols>
  <sheetData>
    <row r="1">
      <c r="A1" s="1" t="inlineStr">
        <is>
          <t>FRISCO — ANNUAL CASH FLOW (FY Ending April 30)</t>
        </is>
      </c>
    </row>
    <row r="3">
      <c r="B3" s="42" t="inlineStr">
        <is>
          <t>FY27</t>
        </is>
      </c>
      <c r="C3" s="42" t="inlineStr">
        <is>
          <t>FY28</t>
        </is>
      </c>
      <c r="D3" s="42" t="inlineStr">
        <is>
          <t>FY29</t>
        </is>
      </c>
      <c r="E3" s="42" t="inlineStr">
        <is>
          <t>FY30</t>
        </is>
      </c>
      <c r="F3" s="42" t="inlineStr">
        <is>
          <t>FY31</t>
        </is>
      </c>
      <c r="G3" s="42" t="inlineStr">
        <is>
          <t>FY32</t>
        </is>
      </c>
      <c r="H3" s="42" t="inlineStr">
        <is>
          <t>FY33</t>
        </is>
      </c>
      <c r="I3" s="42" t="inlineStr">
        <is>
          <t>FY34</t>
        </is>
      </c>
      <c r="J3" s="42" t="inlineStr">
        <is>
          <t>FY35</t>
        </is>
      </c>
      <c r="K3" s="42" t="inlineStr">
        <is>
          <t>FY36</t>
        </is>
      </c>
      <c r="L3" s="42" t="inlineStr">
        <is>
          <t>FY37</t>
        </is>
      </c>
      <c r="M3" s="2" t="inlineStr">
        <is>
          <t>Total</t>
        </is>
      </c>
    </row>
    <row r="4">
      <c r="A4" s="3" t="inlineStr">
        <is>
          <t>Property SF</t>
        </is>
      </c>
      <c r="B4" s="4">
        <f>'Property Data'!C4</f>
        <v/>
      </c>
      <c r="D4" s="3" t="inlineStr">
        <is>
          <t>Allocated Price</t>
        </is>
      </c>
      <c r="E4" s="5">
        <f>'Property Data'!C30</f>
        <v/>
      </c>
      <c r="G4" s="3" t="inlineStr">
        <is>
          <t>Implied Cap</t>
        </is>
      </c>
      <c r="H4" s="9">
        <f>'Property Data'!C31</f>
        <v/>
      </c>
      <c r="J4" s="3" t="inlineStr">
        <is>
          <t>Implied $/SF</t>
        </is>
      </c>
      <c r="K4" s="10">
        <f>'Property Data'!C32</f>
        <v/>
      </c>
    </row>
    <row r="6">
      <c r="A6" s="13" t="inlineStr">
        <is>
          <t>REVENUE</t>
        </is>
      </c>
    </row>
    <row r="7">
      <c r="A7" s="3" t="inlineStr">
        <is>
          <t>Gross Potential Rent</t>
        </is>
      </c>
      <c r="B7" s="5">
        <f>SUMIFS('Rent Roll'!N5:N166,'Rent Roll'!$A$5:$A$166,"Frisco")</f>
        <v/>
      </c>
      <c r="C7" s="5">
        <f>SUMIFS('Rent Roll'!O5:O166,'Rent Roll'!$A$5:$A$166,"Frisco")</f>
        <v/>
      </c>
      <c r="D7" s="5">
        <f>SUMIFS('Rent Roll'!P5:P166,'Rent Roll'!$A$5:$A$166,"Frisco")</f>
        <v/>
      </c>
      <c r="E7" s="5">
        <f>SUMIFS('Rent Roll'!Q5:Q166,'Rent Roll'!$A$5:$A$166,"Frisco")</f>
        <v/>
      </c>
      <c r="F7" s="5">
        <f>SUMIFS('Rent Roll'!R5:R166,'Rent Roll'!$A$5:$A$166,"Frisco")</f>
        <v/>
      </c>
      <c r="G7" s="5">
        <f>SUMIFS('Rent Roll'!S5:S166,'Rent Roll'!$A$5:$A$166,"Frisco")</f>
        <v/>
      </c>
      <c r="H7" s="5">
        <f>SUMIFS('Rent Roll'!T5:T166,'Rent Roll'!$A$5:$A$166,"Frisco")</f>
        <v/>
      </c>
      <c r="I7" s="5">
        <f>SUMIFS('Rent Roll'!U5:U166,'Rent Roll'!$A$5:$A$166,"Frisco")</f>
        <v/>
      </c>
      <c r="J7" s="5">
        <f>SUMIFS('Rent Roll'!V5:V166,'Rent Roll'!$A$5:$A$166,"Frisco")</f>
        <v/>
      </c>
      <c r="K7" s="5">
        <f>SUMIFS('Rent Roll'!W5:W166,'Rent Roll'!$A$5:$A$166,"Frisco")</f>
        <v/>
      </c>
      <c r="L7" s="5">
        <f>SUMIFS('Rent Roll'!X5:X166,'Rent Roll'!$A$5:$A$166,"Frisco")</f>
        <v/>
      </c>
      <c r="M7" s="5">
        <f>SUM(B7:L7)</f>
        <v/>
      </c>
    </row>
    <row r="8">
      <c r="A8" s="3" t="inlineStr">
        <is>
          <t>Less: Vacancy &amp; Credit Loss</t>
        </is>
      </c>
      <c r="B8" s="5">
        <f>-B7*(GeneralVacancy+CreditLoss)</f>
        <v/>
      </c>
      <c r="C8" s="5">
        <f>-C7*(GeneralVacancy+CreditLoss)</f>
        <v/>
      </c>
      <c r="D8" s="5">
        <f>-D7*(GeneralVacancy+CreditLoss)</f>
        <v/>
      </c>
      <c r="E8" s="5">
        <f>-E7*(GeneralVacancy+CreditLoss)</f>
        <v/>
      </c>
      <c r="F8" s="5">
        <f>-F7*(GeneralVacancy+CreditLoss)</f>
        <v/>
      </c>
      <c r="G8" s="5">
        <f>-G7*(GeneralVacancy+CreditLoss)</f>
        <v/>
      </c>
      <c r="H8" s="5">
        <f>-H7*(GeneralVacancy+CreditLoss)</f>
        <v/>
      </c>
      <c r="I8" s="5">
        <f>-I7*(GeneralVacancy+CreditLoss)</f>
        <v/>
      </c>
      <c r="J8" s="5">
        <f>-J7*(GeneralVacancy+CreditLoss)</f>
        <v/>
      </c>
      <c r="K8" s="5">
        <f>-K7*(GeneralVacancy+CreditLoss)</f>
        <v/>
      </c>
      <c r="L8" s="5">
        <f>-L7*(GeneralVacancy+CreditLoss)</f>
        <v/>
      </c>
      <c r="M8" s="5">
        <f>SUM(B8:L8)</f>
        <v/>
      </c>
    </row>
    <row r="9">
      <c r="A9" s="3" t="inlineStr">
        <is>
          <t>Expense Recoveries (NNN, excl. mgmt fee)</t>
        </is>
      </c>
      <c r="B9" s="5">
        <f>-(B15+B16+B18+B19)*RecoveryPct</f>
        <v/>
      </c>
      <c r="C9" s="5">
        <f>-(C15+C16+C18+C19)*RecoveryPct</f>
        <v/>
      </c>
      <c r="D9" s="5">
        <f>-(D15+D16+D18+D19)*RecoveryPct</f>
        <v/>
      </c>
      <c r="E9" s="5">
        <f>-(E15+E16+E18+E19)*RecoveryPct</f>
        <v/>
      </c>
      <c r="F9" s="5">
        <f>-(F15+F16+F18+F19)*RecoveryPct</f>
        <v/>
      </c>
      <c r="G9" s="5">
        <f>-(G15+G16+G18+G19)*RecoveryPct</f>
        <v/>
      </c>
      <c r="H9" s="5">
        <f>-(H15+H16+H18+H19)*RecoveryPct</f>
        <v/>
      </c>
      <c r="I9" s="5">
        <f>-(I15+I16+I18+I19)*RecoveryPct</f>
        <v/>
      </c>
      <c r="J9" s="5">
        <f>-(J15+J16+J18+J19)*RecoveryPct</f>
        <v/>
      </c>
      <c r="K9" s="5">
        <f>-(K15+K16+K18+K19)*RecoveryPct</f>
        <v/>
      </c>
      <c r="L9" s="5">
        <f>-(L15+L16+L18+L19)*RecoveryPct</f>
        <v/>
      </c>
      <c r="M9" s="5">
        <f>SUM(B9:L9)</f>
        <v/>
      </c>
    </row>
    <row r="10">
      <c r="A10" s="3" t="inlineStr">
        <is>
          <t>Tenant Upgrade Rent</t>
        </is>
      </c>
      <c r="B10" s="5">
        <f>'Property Data'!C$25*(1+TURentGrowth)^0</f>
        <v/>
      </c>
      <c r="C10" s="5">
        <f>'Property Data'!C$25*(1+TURentGrowth)^1</f>
        <v/>
      </c>
      <c r="D10" s="5">
        <f>'Property Data'!C$25*(1+TURentGrowth)^2</f>
        <v/>
      </c>
      <c r="E10" s="5">
        <f>'Property Data'!C$25*(1+TURentGrowth)^3</f>
        <v/>
      </c>
      <c r="F10" s="5">
        <f>'Property Data'!C$25*(1+TURentGrowth)^4</f>
        <v/>
      </c>
      <c r="G10" s="5">
        <f>'Property Data'!C$25*(1+TURentGrowth)^5</f>
        <v/>
      </c>
      <c r="H10" s="5">
        <f>'Property Data'!C$25*(1+TURentGrowth)^6</f>
        <v/>
      </c>
      <c r="I10" s="5">
        <f>'Property Data'!C$25*(1+TURentGrowth)^7</f>
        <v/>
      </c>
      <c r="J10" s="5">
        <f>'Property Data'!C$25*(1+TURentGrowth)^8</f>
        <v/>
      </c>
      <c r="K10" s="5">
        <f>'Property Data'!C$25*(1+TURentGrowth)^9</f>
        <v/>
      </c>
      <c r="L10" s="5">
        <f>'Property Data'!C$25*(1+TURentGrowth)^10</f>
        <v/>
      </c>
      <c r="M10" s="5">
        <f>SUM(B10:L10)</f>
        <v/>
      </c>
    </row>
    <row r="11">
      <c r="A11" s="3" t="inlineStr">
        <is>
          <t>Parking Rent</t>
        </is>
      </c>
      <c r="B11" s="5">
        <f>'Property Data'!C$26*(1+GrowthOther)^0</f>
        <v/>
      </c>
      <c r="C11" s="5">
        <f>'Property Data'!C$26*(1+GrowthOther)^1</f>
        <v/>
      </c>
      <c r="D11" s="5">
        <f>'Property Data'!C$26*(1+GrowthOther)^2</f>
        <v/>
      </c>
      <c r="E11" s="5">
        <f>'Property Data'!C$26*(1+GrowthOther)^3</f>
        <v/>
      </c>
      <c r="F11" s="5">
        <f>'Property Data'!C$26*(1+GrowthOther)^4</f>
        <v/>
      </c>
      <c r="G11" s="5">
        <f>'Property Data'!C$26*(1+GrowthOther)^5</f>
        <v/>
      </c>
      <c r="H11" s="5">
        <f>'Property Data'!C$26*(1+GrowthOther)^6</f>
        <v/>
      </c>
      <c r="I11" s="5">
        <f>'Property Data'!C$26*(1+GrowthOther)^7</f>
        <v/>
      </c>
      <c r="J11" s="5">
        <f>'Property Data'!C$26*(1+GrowthOther)^8</f>
        <v/>
      </c>
      <c r="K11" s="5">
        <f>'Property Data'!C$26*(1+GrowthOther)^9</f>
        <v/>
      </c>
      <c r="L11" s="5">
        <f>'Property Data'!C$26*(1+GrowthOther)^10</f>
        <v/>
      </c>
      <c r="M11" s="5">
        <f>SUM(B11:L11)</f>
        <v/>
      </c>
    </row>
    <row r="12">
      <c r="A12" s="14" t="inlineStr">
        <is>
          <t>EFFECTIVE GROSS REVENUE</t>
        </is>
      </c>
      <c r="B12" s="15">
        <f>SUM(B7:B11)</f>
        <v/>
      </c>
      <c r="C12" s="15">
        <f>SUM(C7:C11)</f>
        <v/>
      </c>
      <c r="D12" s="15">
        <f>SUM(D7:D11)</f>
        <v/>
      </c>
      <c r="E12" s="15">
        <f>SUM(E7:E11)</f>
        <v/>
      </c>
      <c r="F12" s="15">
        <f>SUM(F7:F11)</f>
        <v/>
      </c>
      <c r="G12" s="15">
        <f>SUM(G7:G11)</f>
        <v/>
      </c>
      <c r="H12" s="15">
        <f>SUM(H7:H11)</f>
        <v/>
      </c>
      <c r="I12" s="15">
        <f>SUM(I7:I11)</f>
        <v/>
      </c>
      <c r="J12" s="15">
        <f>SUM(J7:J11)</f>
        <v/>
      </c>
      <c r="K12" s="15">
        <f>SUM(K7:K11)</f>
        <v/>
      </c>
      <c r="L12" s="15">
        <f>SUM(L7:L11)</f>
        <v/>
      </c>
      <c r="M12" s="15">
        <f>SUM(B12:L12)</f>
        <v/>
      </c>
    </row>
    <row r="14">
      <c r="A14" s="13" t="inlineStr">
        <is>
          <t>OPERATING EXPENSES</t>
        </is>
      </c>
    </row>
    <row r="15">
      <c r="A15" s="3" t="inlineStr">
        <is>
          <t>CAM</t>
        </is>
      </c>
      <c r="B15" s="5">
        <f>-'Property Data'!C$20*(1+GrowthOpEx)^0</f>
        <v/>
      </c>
      <c r="C15" s="5">
        <f>-'Property Data'!C$20*(1+GrowthOpEx)^1</f>
        <v/>
      </c>
      <c r="D15" s="5">
        <f>-'Property Data'!C$20*(1+GrowthOpEx)^2</f>
        <v/>
      </c>
      <c r="E15" s="5">
        <f>-'Property Data'!C$20*(1+GrowthOpEx)^3</f>
        <v/>
      </c>
      <c r="F15" s="5">
        <f>-'Property Data'!C$20*(1+GrowthOpEx)^4</f>
        <v/>
      </c>
      <c r="G15" s="5">
        <f>-'Property Data'!C$20*(1+GrowthOpEx)^5</f>
        <v/>
      </c>
      <c r="H15" s="5">
        <f>-'Property Data'!C$20*(1+GrowthOpEx)^6</f>
        <v/>
      </c>
      <c r="I15" s="5">
        <f>-'Property Data'!C$20*(1+GrowthOpEx)^7</f>
        <v/>
      </c>
      <c r="J15" s="5">
        <f>-'Property Data'!C$20*(1+GrowthOpEx)^8</f>
        <v/>
      </c>
      <c r="K15" s="5">
        <f>-'Property Data'!C$20*(1+GrowthOpEx)^9</f>
        <v/>
      </c>
      <c r="L15" s="5">
        <f>-'Property Data'!C$20*(1+GrowthOpEx)^10</f>
        <v/>
      </c>
      <c r="M15" s="5">
        <f>SUM(B15:L15)</f>
        <v/>
      </c>
    </row>
    <row r="16">
      <c r="A16" s="3" t="inlineStr">
        <is>
          <t>Utilities</t>
        </is>
      </c>
      <c r="B16" s="5">
        <f>-'Property Data'!C$21*(1+GrowthOpEx)^0</f>
        <v/>
      </c>
      <c r="C16" s="5">
        <f>-'Property Data'!C$21*(1+GrowthOpEx)^1</f>
        <v/>
      </c>
      <c r="D16" s="5">
        <f>-'Property Data'!C$21*(1+GrowthOpEx)^2</f>
        <v/>
      </c>
      <c r="E16" s="5">
        <f>-'Property Data'!C$21*(1+GrowthOpEx)^3</f>
        <v/>
      </c>
      <c r="F16" s="5">
        <f>-'Property Data'!C$21*(1+GrowthOpEx)^4</f>
        <v/>
      </c>
      <c r="G16" s="5">
        <f>-'Property Data'!C$21*(1+GrowthOpEx)^5</f>
        <v/>
      </c>
      <c r="H16" s="5">
        <f>-'Property Data'!C$21*(1+GrowthOpEx)^6</f>
        <v/>
      </c>
      <c r="I16" s="5">
        <f>-'Property Data'!C$21*(1+GrowthOpEx)^7</f>
        <v/>
      </c>
      <c r="J16" s="5">
        <f>-'Property Data'!C$21*(1+GrowthOpEx)^8</f>
        <v/>
      </c>
      <c r="K16" s="5">
        <f>-'Property Data'!C$21*(1+GrowthOpEx)^9</f>
        <v/>
      </c>
      <c r="L16" s="5">
        <f>-'Property Data'!C$21*(1+GrowthOpEx)^10</f>
        <v/>
      </c>
      <c r="M16" s="5">
        <f>SUM(B16:L16)</f>
        <v/>
      </c>
    </row>
    <row r="17">
      <c r="A17" s="3" t="inlineStr">
        <is>
          <t>Management Fee (% of EGR)</t>
        </is>
      </c>
      <c r="B17" s="5">
        <f>-B12*MgmtFeePct</f>
        <v/>
      </c>
      <c r="C17" s="5">
        <f>-C12*MgmtFeePct</f>
        <v/>
      </c>
      <c r="D17" s="5">
        <f>-D12*MgmtFeePct</f>
        <v/>
      </c>
      <c r="E17" s="5">
        <f>-E12*MgmtFeePct</f>
        <v/>
      </c>
      <c r="F17" s="5">
        <f>-F12*MgmtFeePct</f>
        <v/>
      </c>
      <c r="G17" s="5">
        <f>-G12*MgmtFeePct</f>
        <v/>
      </c>
      <c r="H17" s="5">
        <f>-H12*MgmtFeePct</f>
        <v/>
      </c>
      <c r="I17" s="5">
        <f>-I12*MgmtFeePct</f>
        <v/>
      </c>
      <c r="J17" s="5">
        <f>-J12*MgmtFeePct</f>
        <v/>
      </c>
      <c r="K17" s="5">
        <f>-K12*MgmtFeePct</f>
        <v/>
      </c>
      <c r="L17" s="5">
        <f>-L12*MgmtFeePct</f>
        <v/>
      </c>
      <c r="M17" s="5">
        <f>SUM(B17:L17)</f>
        <v/>
      </c>
    </row>
    <row r="18">
      <c r="A18" s="3" t="inlineStr">
        <is>
          <t>Insurance</t>
        </is>
      </c>
      <c r="B18" s="5">
        <f>-'Property Data'!C$23*(1+GrowthOpEx)^0</f>
        <v/>
      </c>
      <c r="C18" s="5">
        <f>-'Property Data'!C$23*(1+GrowthOpEx)^1</f>
        <v/>
      </c>
      <c r="D18" s="5">
        <f>-'Property Data'!C$23*(1+GrowthOpEx)^2</f>
        <v/>
      </c>
      <c r="E18" s="5">
        <f>-'Property Data'!C$23*(1+GrowthOpEx)^3</f>
        <v/>
      </c>
      <c r="F18" s="5">
        <f>-'Property Data'!C$23*(1+GrowthOpEx)^4</f>
        <v/>
      </c>
      <c r="G18" s="5">
        <f>-'Property Data'!C$23*(1+GrowthOpEx)^5</f>
        <v/>
      </c>
      <c r="H18" s="5">
        <f>-'Property Data'!C$23*(1+GrowthOpEx)^6</f>
        <v/>
      </c>
      <c r="I18" s="5">
        <f>-'Property Data'!C$23*(1+GrowthOpEx)^7</f>
        <v/>
      </c>
      <c r="J18" s="5">
        <f>-'Property Data'!C$23*(1+GrowthOpEx)^8</f>
        <v/>
      </c>
      <c r="K18" s="5">
        <f>-'Property Data'!C$23*(1+GrowthOpEx)^9</f>
        <v/>
      </c>
      <c r="L18" s="5">
        <f>-'Property Data'!C$23*(1+GrowthOpEx)^10</f>
        <v/>
      </c>
      <c r="M18" s="5">
        <f>SUM(B18:L18)</f>
        <v/>
      </c>
    </row>
    <row r="19">
      <c r="A19" s="3" t="inlineStr">
        <is>
          <t>RE Taxes</t>
        </is>
      </c>
      <c r="B19" s="5">
        <f>IF(ReassessTaxes,-'Property Data'!C$30*'Property Data'!C$16*(1+GrowthRETax)^0,-'Property Data'!C$24*(1+GrowthRETax)^0)</f>
        <v/>
      </c>
      <c r="C19" s="5">
        <f>IF(ReassessTaxes,-'Property Data'!C$30*'Property Data'!C$16*(1+GrowthRETax)^1,-'Property Data'!C$24*(1+GrowthRETax)^1)</f>
        <v/>
      </c>
      <c r="D19" s="5">
        <f>IF(ReassessTaxes,-'Property Data'!C$30*'Property Data'!C$16*(1+GrowthRETax)^2,-'Property Data'!C$24*(1+GrowthRETax)^2)</f>
        <v/>
      </c>
      <c r="E19" s="5">
        <f>IF(ReassessTaxes,-'Property Data'!C$30*'Property Data'!C$16*(1+GrowthRETax)^3,-'Property Data'!C$24*(1+GrowthRETax)^3)</f>
        <v/>
      </c>
      <c r="F19" s="5">
        <f>IF(ReassessTaxes,-'Property Data'!C$30*'Property Data'!C$16*(1+GrowthRETax)^4,-'Property Data'!C$24*(1+GrowthRETax)^4)</f>
        <v/>
      </c>
      <c r="G19" s="5">
        <f>IF(ReassessTaxes,-'Property Data'!C$30*'Property Data'!C$16*(1+GrowthRETax)^5,-'Property Data'!C$24*(1+GrowthRETax)^5)</f>
        <v/>
      </c>
      <c r="H19" s="5">
        <f>IF(ReassessTaxes,-'Property Data'!C$30*'Property Data'!C$16*(1+GrowthRETax)^6,-'Property Data'!C$24*(1+GrowthRETax)^6)</f>
        <v/>
      </c>
      <c r="I19" s="5">
        <f>IF(ReassessTaxes,-'Property Data'!C$30*'Property Data'!C$16*(1+GrowthRETax)^7,-'Property Data'!C$24*(1+GrowthRETax)^7)</f>
        <v/>
      </c>
      <c r="J19" s="5">
        <f>IF(ReassessTaxes,-'Property Data'!C$30*'Property Data'!C$16*(1+GrowthRETax)^8,-'Property Data'!C$24*(1+GrowthRETax)^8)</f>
        <v/>
      </c>
      <c r="K19" s="5">
        <f>IF(ReassessTaxes,-'Property Data'!C$30*'Property Data'!C$16*(1+GrowthRETax)^9,-'Property Data'!C$24*(1+GrowthRETax)^9)</f>
        <v/>
      </c>
      <c r="L19" s="5">
        <f>IF(ReassessTaxes,-'Property Data'!C$30*'Property Data'!C$16*(1+GrowthRETax)^10,-'Property Data'!C$24*(1+GrowthRETax)^10)</f>
        <v/>
      </c>
      <c r="M19" s="5">
        <f>SUM(B19:L19)</f>
        <v/>
      </c>
    </row>
    <row r="20">
      <c r="A20" s="14" t="inlineStr">
        <is>
          <t>TOTAL OPERATING EXPENSES</t>
        </is>
      </c>
      <c r="B20" s="15">
        <f>SUM(B15:B19)</f>
        <v/>
      </c>
      <c r="C20" s="15">
        <f>SUM(C15:C19)</f>
        <v/>
      </c>
      <c r="D20" s="15">
        <f>SUM(D15:D19)</f>
        <v/>
      </c>
      <c r="E20" s="15">
        <f>SUM(E15:E19)</f>
        <v/>
      </c>
      <c r="F20" s="15">
        <f>SUM(F15:F19)</f>
        <v/>
      </c>
      <c r="G20" s="15">
        <f>SUM(G15:G19)</f>
        <v/>
      </c>
      <c r="H20" s="15">
        <f>SUM(H15:H19)</f>
        <v/>
      </c>
      <c r="I20" s="15">
        <f>SUM(I15:I19)</f>
        <v/>
      </c>
      <c r="J20" s="15">
        <f>SUM(J15:J19)</f>
        <v/>
      </c>
      <c r="K20" s="15">
        <f>SUM(K15:K19)</f>
        <v/>
      </c>
      <c r="L20" s="15">
        <f>SUM(L15:L19)</f>
        <v/>
      </c>
      <c r="M20" s="15">
        <f>SUM(B20:L20)</f>
        <v/>
      </c>
    </row>
    <row r="22">
      <c r="A22" s="14" t="inlineStr">
        <is>
          <t>NET OPERATING INCOME (NOI)</t>
        </is>
      </c>
      <c r="B22" s="8">
        <f>B12+B20</f>
        <v/>
      </c>
      <c r="C22" s="8">
        <f>C12+C20</f>
        <v/>
      </c>
      <c r="D22" s="8">
        <f>D12+D20</f>
        <v/>
      </c>
      <c r="E22" s="8">
        <f>E12+E20</f>
        <v/>
      </c>
      <c r="F22" s="8">
        <f>F12+F20</f>
        <v/>
      </c>
      <c r="G22" s="8">
        <f>G12+G20</f>
        <v/>
      </c>
      <c r="H22" s="8">
        <f>H12+H20</f>
        <v/>
      </c>
      <c r="I22" s="8">
        <f>I12+I20</f>
        <v/>
      </c>
      <c r="J22" s="8">
        <f>J12+J20</f>
        <v/>
      </c>
      <c r="K22" s="8">
        <f>K12+K20</f>
        <v/>
      </c>
      <c r="L22" s="8">
        <f>L12+L20</f>
        <v/>
      </c>
      <c r="M22" s="15">
        <f>SUM(B22:L22)</f>
        <v/>
      </c>
    </row>
    <row r="24">
      <c r="A24" s="3" t="inlineStr">
        <is>
          <t>Implied Cap Rate (NOI / Allocated Price)</t>
        </is>
      </c>
      <c r="B24" s="9">
        <f>IFERROR(B22/'Property Data'!C$30,0)</f>
        <v/>
      </c>
      <c r="C24" s="9">
        <f>IFERROR(C22/'Property Data'!C$30,0)</f>
        <v/>
      </c>
      <c r="D24" s="9">
        <f>IFERROR(D22/'Property Data'!C$30,0)</f>
        <v/>
      </c>
      <c r="E24" s="9">
        <f>IFERROR(E22/'Property Data'!C$30,0)</f>
        <v/>
      </c>
      <c r="F24" s="9">
        <f>IFERROR(F22/'Property Data'!C$30,0)</f>
        <v/>
      </c>
      <c r="G24" s="9">
        <f>IFERROR(G22/'Property Data'!C$30,0)</f>
        <v/>
      </c>
      <c r="H24" s="9">
        <f>IFERROR(H22/'Property Data'!C$30,0)</f>
        <v/>
      </c>
      <c r="I24" s="9">
        <f>IFERROR(I22/'Property Data'!C$30,0)</f>
        <v/>
      </c>
      <c r="J24" s="9">
        <f>IFERROR(J22/'Property Data'!C$30,0)</f>
        <v/>
      </c>
      <c r="K24" s="9">
        <f>IFERROR(K22/'Property Data'!C$30,0)</f>
        <v/>
      </c>
      <c r="L24" s="9">
        <f>IFERROR(L22/'Property Data'!C$30,0)</f>
        <v/>
      </c>
    </row>
    <row r="26">
      <c r="A26" s="13" t="inlineStr">
        <is>
          <t>CAPITAL COSTS</t>
        </is>
      </c>
    </row>
    <row r="27">
      <c r="A27" s="3" t="inlineStr">
        <is>
          <t>Tenant Improvements &amp; Leasing Commissions</t>
        </is>
      </c>
      <c r="B27" s="5">
        <f>-SUMIFS('Rent Roll'!Y5:Y166,'Rent Roll'!$A$5:$A$166,"Frisco")</f>
        <v/>
      </c>
      <c r="C27" s="5">
        <f>-SUMIFS('Rent Roll'!Z5:Z166,'Rent Roll'!$A$5:$A$166,"Frisco")</f>
        <v/>
      </c>
      <c r="D27" s="5">
        <f>-SUMIFS('Rent Roll'!AA5:AA166,'Rent Roll'!$A$5:$A$166,"Frisco")</f>
        <v/>
      </c>
      <c r="E27" s="5">
        <f>-SUMIFS('Rent Roll'!AB5:AB166,'Rent Roll'!$A$5:$A$166,"Frisco")</f>
        <v/>
      </c>
      <c r="F27" s="5">
        <f>-SUMIFS('Rent Roll'!AC5:AC166,'Rent Roll'!$A$5:$A$166,"Frisco")</f>
        <v/>
      </c>
      <c r="G27" s="5">
        <f>-SUMIFS('Rent Roll'!AD5:AD166,'Rent Roll'!$A$5:$A$166,"Frisco")</f>
        <v/>
      </c>
      <c r="H27" s="5">
        <f>-SUMIFS('Rent Roll'!AE5:AE166,'Rent Roll'!$A$5:$A$166,"Frisco")</f>
        <v/>
      </c>
      <c r="I27" s="5">
        <f>-SUMIFS('Rent Roll'!AF5:AF166,'Rent Roll'!$A$5:$A$166,"Frisco")</f>
        <v/>
      </c>
      <c r="J27" s="5">
        <f>-SUMIFS('Rent Roll'!AG5:AG166,'Rent Roll'!$A$5:$A$166,"Frisco")</f>
        <v/>
      </c>
      <c r="K27" s="5">
        <f>-SUMIFS('Rent Roll'!AH5:AH166,'Rent Roll'!$A$5:$A$166,"Frisco")</f>
        <v/>
      </c>
      <c r="L27" s="5">
        <f>-SUMIFS('Rent Roll'!AI5:AI166,'Rent Roll'!$A$5:$A$166,"Frisco")</f>
        <v/>
      </c>
      <c r="M27" s="5">
        <f>SUM(B27:L27)</f>
        <v/>
      </c>
    </row>
    <row r="28">
      <c r="A28" s="3" t="inlineStr">
        <is>
          <t>Capital Reserves</t>
        </is>
      </c>
      <c r="B28" s="5">
        <f>-ReservesPSF*'Property Data'!C$4*(1+CPI)^0</f>
        <v/>
      </c>
      <c r="C28" s="5">
        <f>-ReservesPSF*'Property Data'!C$4*(1+CPI)^1</f>
        <v/>
      </c>
      <c r="D28" s="5">
        <f>-ReservesPSF*'Property Data'!C$4*(1+CPI)^2</f>
        <v/>
      </c>
      <c r="E28" s="5">
        <f>-ReservesPSF*'Property Data'!C$4*(1+CPI)^3</f>
        <v/>
      </c>
      <c r="F28" s="5">
        <f>-ReservesPSF*'Property Data'!C$4*(1+CPI)^4</f>
        <v/>
      </c>
      <c r="G28" s="5">
        <f>-ReservesPSF*'Property Data'!C$4*(1+CPI)^5</f>
        <v/>
      </c>
      <c r="H28" s="5">
        <f>-ReservesPSF*'Property Data'!C$4*(1+CPI)^6</f>
        <v/>
      </c>
      <c r="I28" s="5">
        <f>-ReservesPSF*'Property Data'!C$4*(1+CPI)^7</f>
        <v/>
      </c>
      <c r="J28" s="5">
        <f>-ReservesPSF*'Property Data'!C$4*(1+CPI)^8</f>
        <v/>
      </c>
      <c r="K28" s="5">
        <f>-ReservesPSF*'Property Data'!C$4*(1+CPI)^9</f>
        <v/>
      </c>
      <c r="L28" s="5">
        <f>-ReservesPSF*'Property Data'!C$4*(1+CPI)^10</f>
        <v/>
      </c>
      <c r="M28" s="5">
        <f>SUM(B28:L28)</f>
        <v/>
      </c>
    </row>
    <row r="29">
      <c r="A29" s="14" t="inlineStr">
        <is>
          <t>TOTAL CAPITAL</t>
        </is>
      </c>
      <c r="B29" s="15">
        <f>SUM(B27:B28)</f>
        <v/>
      </c>
      <c r="C29" s="15">
        <f>SUM(C27:C28)</f>
        <v/>
      </c>
      <c r="D29" s="15">
        <f>SUM(D27:D28)</f>
        <v/>
      </c>
      <c r="E29" s="15">
        <f>SUM(E27:E28)</f>
        <v/>
      </c>
      <c r="F29" s="15">
        <f>SUM(F27:F28)</f>
        <v/>
      </c>
      <c r="G29" s="15">
        <f>SUM(G27:G28)</f>
        <v/>
      </c>
      <c r="H29" s="15">
        <f>SUM(H27:H28)</f>
        <v/>
      </c>
      <c r="I29" s="15">
        <f>SUM(I27:I28)</f>
        <v/>
      </c>
      <c r="J29" s="15">
        <f>SUM(J27:J28)</f>
        <v/>
      </c>
      <c r="K29" s="15">
        <f>SUM(K27:K28)</f>
        <v/>
      </c>
      <c r="L29" s="15">
        <f>SUM(L27:L28)</f>
        <v/>
      </c>
      <c r="M29" s="15">
        <f>SUM(B29:L29)</f>
        <v/>
      </c>
    </row>
    <row r="31">
      <c r="A31" s="14" t="inlineStr">
        <is>
          <t>UNLEVERED CASH FLOW</t>
        </is>
      </c>
      <c r="B31" s="8">
        <f>B22+B29</f>
        <v/>
      </c>
      <c r="C31" s="8">
        <f>C22+C29</f>
        <v/>
      </c>
      <c r="D31" s="8">
        <f>D22+D29</f>
        <v/>
      </c>
      <c r="E31" s="8">
        <f>E22+E29</f>
        <v/>
      </c>
      <c r="F31" s="8">
        <f>F22+F29</f>
        <v/>
      </c>
      <c r="G31" s="8">
        <f>G22+G29</f>
        <v/>
      </c>
      <c r="H31" s="8">
        <f>H22+H29</f>
        <v/>
      </c>
      <c r="I31" s="8">
        <f>I22+I29</f>
        <v/>
      </c>
      <c r="J31" s="8">
        <f>J22+J29</f>
        <v/>
      </c>
      <c r="K31" s="8">
        <f>K22+K29</f>
        <v/>
      </c>
      <c r="L31" s="8">
        <f>L22+L29</f>
        <v/>
      </c>
      <c r="M31" s="15">
        <f>SUM(B31:L31)</f>
        <v/>
      </c>
    </row>
    <row r="33">
      <c r="A33" s="13" t="inlineStr">
        <is>
          <t>EXIT</t>
        </is>
      </c>
    </row>
    <row r="34">
      <c r="A34" s="3" t="inlineStr">
        <is>
          <t>Exit Year NOI (next-year method)</t>
        </is>
      </c>
      <c r="B34" s="5">
        <f>INDEX(B22:L22,MIN(11,INT((HoldMonths-1)/12)+2))</f>
        <v/>
      </c>
    </row>
    <row r="35">
      <c r="A35" s="3" t="inlineStr">
        <is>
          <t>Exit Value (Gross)</t>
        </is>
      </c>
      <c r="B35" s="5">
        <f>B34/ExitCap</f>
        <v/>
      </c>
    </row>
    <row r="36">
      <c r="A36" s="3" t="inlineStr">
        <is>
          <t>Exit Value (Net of 2% disp costs)</t>
        </is>
      </c>
      <c r="B36" s="8">
        <f>B35*(1-DispCostPct)</f>
        <v/>
      </c>
    </row>
    <row r="37">
      <c r="A37" s="3" t="inlineStr">
        <is>
          <t>Profit (Net Exit − Allocated Price)</t>
        </is>
      </c>
      <c r="B37" s="8">
        <f>B36-'Property Data'!C30</f>
        <v/>
      </c>
    </row>
    <row r="38">
      <c r="A38" s="3" t="inlineStr">
        <is>
          <t>Exit $/SF</t>
        </is>
      </c>
      <c r="B38" s="10">
        <f>B35/'Property Data'!C4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</cols>
  <sheetData>
    <row r="1">
      <c r="A1" s="1" t="inlineStr">
        <is>
          <t>LEWISVILLE — ANNUAL CASH FLOW (FY Ending April 30)</t>
        </is>
      </c>
    </row>
    <row r="3">
      <c r="B3" s="42" t="inlineStr">
        <is>
          <t>FY27</t>
        </is>
      </c>
      <c r="C3" s="42" t="inlineStr">
        <is>
          <t>FY28</t>
        </is>
      </c>
      <c r="D3" s="42" t="inlineStr">
        <is>
          <t>FY29</t>
        </is>
      </c>
      <c r="E3" s="42" t="inlineStr">
        <is>
          <t>FY30</t>
        </is>
      </c>
      <c r="F3" s="42" t="inlineStr">
        <is>
          <t>FY31</t>
        </is>
      </c>
      <c r="G3" s="42" t="inlineStr">
        <is>
          <t>FY32</t>
        </is>
      </c>
      <c r="H3" s="42" t="inlineStr">
        <is>
          <t>FY33</t>
        </is>
      </c>
      <c r="I3" s="42" t="inlineStr">
        <is>
          <t>FY34</t>
        </is>
      </c>
      <c r="J3" s="42" t="inlineStr">
        <is>
          <t>FY35</t>
        </is>
      </c>
      <c r="K3" s="42" t="inlineStr">
        <is>
          <t>FY36</t>
        </is>
      </c>
      <c r="L3" s="42" t="inlineStr">
        <is>
          <t>FY37</t>
        </is>
      </c>
      <c r="M3" s="2" t="inlineStr">
        <is>
          <t>Total</t>
        </is>
      </c>
    </row>
    <row r="4">
      <c r="A4" s="3" t="inlineStr">
        <is>
          <t>Property SF</t>
        </is>
      </c>
      <c r="B4" s="4">
        <f>'Property Data'!D4</f>
        <v/>
      </c>
      <c r="D4" s="3" t="inlineStr">
        <is>
          <t>Allocated Price</t>
        </is>
      </c>
      <c r="E4" s="5">
        <f>'Property Data'!D30</f>
        <v/>
      </c>
      <c r="G4" s="3" t="inlineStr">
        <is>
          <t>Implied Cap</t>
        </is>
      </c>
      <c r="H4" s="9">
        <f>'Property Data'!D31</f>
        <v/>
      </c>
      <c r="J4" s="3" t="inlineStr">
        <is>
          <t>Implied $/SF</t>
        </is>
      </c>
      <c r="K4" s="10">
        <f>'Property Data'!D32</f>
        <v/>
      </c>
    </row>
    <row r="6">
      <c r="A6" s="13" t="inlineStr">
        <is>
          <t>REVENUE</t>
        </is>
      </c>
    </row>
    <row r="7">
      <c r="A7" s="3" t="inlineStr">
        <is>
          <t>Gross Potential Rent</t>
        </is>
      </c>
      <c r="B7" s="5">
        <f>SUMIFS('Rent Roll'!N5:N166,'Rent Roll'!$A$5:$A$166,"Lewisville")</f>
        <v/>
      </c>
      <c r="C7" s="5">
        <f>SUMIFS('Rent Roll'!O5:O166,'Rent Roll'!$A$5:$A$166,"Lewisville")</f>
        <v/>
      </c>
      <c r="D7" s="5">
        <f>SUMIFS('Rent Roll'!P5:P166,'Rent Roll'!$A$5:$A$166,"Lewisville")</f>
        <v/>
      </c>
      <c r="E7" s="5">
        <f>SUMIFS('Rent Roll'!Q5:Q166,'Rent Roll'!$A$5:$A$166,"Lewisville")</f>
        <v/>
      </c>
      <c r="F7" s="5">
        <f>SUMIFS('Rent Roll'!R5:R166,'Rent Roll'!$A$5:$A$166,"Lewisville")</f>
        <v/>
      </c>
      <c r="G7" s="5">
        <f>SUMIFS('Rent Roll'!S5:S166,'Rent Roll'!$A$5:$A$166,"Lewisville")</f>
        <v/>
      </c>
      <c r="H7" s="5">
        <f>SUMIFS('Rent Roll'!T5:T166,'Rent Roll'!$A$5:$A$166,"Lewisville")</f>
        <v/>
      </c>
      <c r="I7" s="5">
        <f>SUMIFS('Rent Roll'!U5:U166,'Rent Roll'!$A$5:$A$166,"Lewisville")</f>
        <v/>
      </c>
      <c r="J7" s="5">
        <f>SUMIFS('Rent Roll'!V5:V166,'Rent Roll'!$A$5:$A$166,"Lewisville")</f>
        <v/>
      </c>
      <c r="K7" s="5">
        <f>SUMIFS('Rent Roll'!W5:W166,'Rent Roll'!$A$5:$A$166,"Lewisville")</f>
        <v/>
      </c>
      <c r="L7" s="5">
        <f>SUMIFS('Rent Roll'!X5:X166,'Rent Roll'!$A$5:$A$166,"Lewisville")</f>
        <v/>
      </c>
      <c r="M7" s="5">
        <f>SUM(B7:L7)</f>
        <v/>
      </c>
    </row>
    <row r="8">
      <c r="A8" s="3" t="inlineStr">
        <is>
          <t>Less: Vacancy &amp; Credit Loss</t>
        </is>
      </c>
      <c r="B8" s="5">
        <f>-B7*(GeneralVacancy+CreditLoss)</f>
        <v/>
      </c>
      <c r="C8" s="5">
        <f>-C7*(GeneralVacancy+CreditLoss)</f>
        <v/>
      </c>
      <c r="D8" s="5">
        <f>-D7*(GeneralVacancy+CreditLoss)</f>
        <v/>
      </c>
      <c r="E8" s="5">
        <f>-E7*(GeneralVacancy+CreditLoss)</f>
        <v/>
      </c>
      <c r="F8" s="5">
        <f>-F7*(GeneralVacancy+CreditLoss)</f>
        <v/>
      </c>
      <c r="G8" s="5">
        <f>-G7*(GeneralVacancy+CreditLoss)</f>
        <v/>
      </c>
      <c r="H8" s="5">
        <f>-H7*(GeneralVacancy+CreditLoss)</f>
        <v/>
      </c>
      <c r="I8" s="5">
        <f>-I7*(GeneralVacancy+CreditLoss)</f>
        <v/>
      </c>
      <c r="J8" s="5">
        <f>-J7*(GeneralVacancy+CreditLoss)</f>
        <v/>
      </c>
      <c r="K8" s="5">
        <f>-K7*(GeneralVacancy+CreditLoss)</f>
        <v/>
      </c>
      <c r="L8" s="5">
        <f>-L7*(GeneralVacancy+CreditLoss)</f>
        <v/>
      </c>
      <c r="M8" s="5">
        <f>SUM(B8:L8)</f>
        <v/>
      </c>
    </row>
    <row r="9">
      <c r="A9" s="3" t="inlineStr">
        <is>
          <t>Expense Recoveries (NNN, excl. mgmt fee)</t>
        </is>
      </c>
      <c r="B9" s="5">
        <f>-(B15+B16+B18+B19)*RecoveryPct</f>
        <v/>
      </c>
      <c r="C9" s="5">
        <f>-(C15+C16+C18+C19)*RecoveryPct</f>
        <v/>
      </c>
      <c r="D9" s="5">
        <f>-(D15+D16+D18+D19)*RecoveryPct</f>
        <v/>
      </c>
      <c r="E9" s="5">
        <f>-(E15+E16+E18+E19)*RecoveryPct</f>
        <v/>
      </c>
      <c r="F9" s="5">
        <f>-(F15+F16+F18+F19)*RecoveryPct</f>
        <v/>
      </c>
      <c r="G9" s="5">
        <f>-(G15+G16+G18+G19)*RecoveryPct</f>
        <v/>
      </c>
      <c r="H9" s="5">
        <f>-(H15+H16+H18+H19)*RecoveryPct</f>
        <v/>
      </c>
      <c r="I9" s="5">
        <f>-(I15+I16+I18+I19)*RecoveryPct</f>
        <v/>
      </c>
      <c r="J9" s="5">
        <f>-(J15+J16+J18+J19)*RecoveryPct</f>
        <v/>
      </c>
      <c r="K9" s="5">
        <f>-(K15+K16+K18+K19)*RecoveryPct</f>
        <v/>
      </c>
      <c r="L9" s="5">
        <f>-(L15+L16+L18+L19)*RecoveryPct</f>
        <v/>
      </c>
      <c r="M9" s="5">
        <f>SUM(B9:L9)</f>
        <v/>
      </c>
    </row>
    <row r="10">
      <c r="A10" s="3" t="inlineStr">
        <is>
          <t>Tenant Upgrade Rent</t>
        </is>
      </c>
      <c r="B10" s="5">
        <f>'Property Data'!D$25*(1+TURentGrowth)^0</f>
        <v/>
      </c>
      <c r="C10" s="5">
        <f>'Property Data'!D$25*(1+TURentGrowth)^1</f>
        <v/>
      </c>
      <c r="D10" s="5">
        <f>'Property Data'!D$25*(1+TURentGrowth)^2</f>
        <v/>
      </c>
      <c r="E10" s="5">
        <f>'Property Data'!D$25*(1+TURentGrowth)^3</f>
        <v/>
      </c>
      <c r="F10" s="5">
        <f>'Property Data'!D$25*(1+TURentGrowth)^4</f>
        <v/>
      </c>
      <c r="G10" s="5">
        <f>'Property Data'!D$25*(1+TURentGrowth)^5</f>
        <v/>
      </c>
      <c r="H10" s="5">
        <f>'Property Data'!D$25*(1+TURentGrowth)^6</f>
        <v/>
      </c>
      <c r="I10" s="5">
        <f>'Property Data'!D$25*(1+TURentGrowth)^7</f>
        <v/>
      </c>
      <c r="J10" s="5">
        <f>'Property Data'!D$25*(1+TURentGrowth)^8</f>
        <v/>
      </c>
      <c r="K10" s="5">
        <f>'Property Data'!D$25*(1+TURentGrowth)^9</f>
        <v/>
      </c>
      <c r="L10" s="5">
        <f>'Property Data'!D$25*(1+TURentGrowth)^10</f>
        <v/>
      </c>
      <c r="M10" s="5">
        <f>SUM(B10:L10)</f>
        <v/>
      </c>
    </row>
    <row r="11">
      <c r="A11" s="3" t="inlineStr">
        <is>
          <t>Parking Rent</t>
        </is>
      </c>
      <c r="B11" s="5">
        <f>'Property Data'!D$26*(1+GrowthOther)^0</f>
        <v/>
      </c>
      <c r="C11" s="5">
        <f>'Property Data'!D$26*(1+GrowthOther)^1</f>
        <v/>
      </c>
      <c r="D11" s="5">
        <f>'Property Data'!D$26*(1+GrowthOther)^2</f>
        <v/>
      </c>
      <c r="E11" s="5">
        <f>'Property Data'!D$26*(1+GrowthOther)^3</f>
        <v/>
      </c>
      <c r="F11" s="5">
        <f>'Property Data'!D$26*(1+GrowthOther)^4</f>
        <v/>
      </c>
      <c r="G11" s="5">
        <f>'Property Data'!D$26*(1+GrowthOther)^5</f>
        <v/>
      </c>
      <c r="H11" s="5">
        <f>'Property Data'!D$26*(1+GrowthOther)^6</f>
        <v/>
      </c>
      <c r="I11" s="5">
        <f>'Property Data'!D$26*(1+GrowthOther)^7</f>
        <v/>
      </c>
      <c r="J11" s="5">
        <f>'Property Data'!D$26*(1+GrowthOther)^8</f>
        <v/>
      </c>
      <c r="K11" s="5">
        <f>'Property Data'!D$26*(1+GrowthOther)^9</f>
        <v/>
      </c>
      <c r="L11" s="5">
        <f>'Property Data'!D$26*(1+GrowthOther)^10</f>
        <v/>
      </c>
      <c r="M11" s="5">
        <f>SUM(B11:L11)</f>
        <v/>
      </c>
    </row>
    <row r="12">
      <c r="A12" s="14" t="inlineStr">
        <is>
          <t>EFFECTIVE GROSS REVENUE</t>
        </is>
      </c>
      <c r="B12" s="15">
        <f>SUM(B7:B11)</f>
        <v/>
      </c>
      <c r="C12" s="15">
        <f>SUM(C7:C11)</f>
        <v/>
      </c>
      <c r="D12" s="15">
        <f>SUM(D7:D11)</f>
        <v/>
      </c>
      <c r="E12" s="15">
        <f>SUM(E7:E11)</f>
        <v/>
      </c>
      <c r="F12" s="15">
        <f>SUM(F7:F11)</f>
        <v/>
      </c>
      <c r="G12" s="15">
        <f>SUM(G7:G11)</f>
        <v/>
      </c>
      <c r="H12" s="15">
        <f>SUM(H7:H11)</f>
        <v/>
      </c>
      <c r="I12" s="15">
        <f>SUM(I7:I11)</f>
        <v/>
      </c>
      <c r="J12" s="15">
        <f>SUM(J7:J11)</f>
        <v/>
      </c>
      <c r="K12" s="15">
        <f>SUM(K7:K11)</f>
        <v/>
      </c>
      <c r="L12" s="15">
        <f>SUM(L7:L11)</f>
        <v/>
      </c>
      <c r="M12" s="15">
        <f>SUM(B12:L12)</f>
        <v/>
      </c>
    </row>
    <row r="14">
      <c r="A14" s="13" t="inlineStr">
        <is>
          <t>OPERATING EXPENSES</t>
        </is>
      </c>
    </row>
    <row r="15">
      <c r="A15" s="3" t="inlineStr">
        <is>
          <t>CAM</t>
        </is>
      </c>
      <c r="B15" s="5">
        <f>-'Property Data'!D$20*(1+GrowthOpEx)^0</f>
        <v/>
      </c>
      <c r="C15" s="5">
        <f>-'Property Data'!D$20*(1+GrowthOpEx)^1</f>
        <v/>
      </c>
      <c r="D15" s="5">
        <f>-'Property Data'!D$20*(1+GrowthOpEx)^2</f>
        <v/>
      </c>
      <c r="E15" s="5">
        <f>-'Property Data'!D$20*(1+GrowthOpEx)^3</f>
        <v/>
      </c>
      <c r="F15" s="5">
        <f>-'Property Data'!D$20*(1+GrowthOpEx)^4</f>
        <v/>
      </c>
      <c r="G15" s="5">
        <f>-'Property Data'!D$20*(1+GrowthOpEx)^5</f>
        <v/>
      </c>
      <c r="H15" s="5">
        <f>-'Property Data'!D$20*(1+GrowthOpEx)^6</f>
        <v/>
      </c>
      <c r="I15" s="5">
        <f>-'Property Data'!D$20*(1+GrowthOpEx)^7</f>
        <v/>
      </c>
      <c r="J15" s="5">
        <f>-'Property Data'!D$20*(1+GrowthOpEx)^8</f>
        <v/>
      </c>
      <c r="K15" s="5">
        <f>-'Property Data'!D$20*(1+GrowthOpEx)^9</f>
        <v/>
      </c>
      <c r="L15" s="5">
        <f>-'Property Data'!D$20*(1+GrowthOpEx)^10</f>
        <v/>
      </c>
      <c r="M15" s="5">
        <f>SUM(B15:L15)</f>
        <v/>
      </c>
    </row>
    <row r="16">
      <c r="A16" s="3" t="inlineStr">
        <is>
          <t>Utilities</t>
        </is>
      </c>
      <c r="B16" s="5">
        <f>-'Property Data'!D$21*(1+GrowthOpEx)^0</f>
        <v/>
      </c>
      <c r="C16" s="5">
        <f>-'Property Data'!D$21*(1+GrowthOpEx)^1</f>
        <v/>
      </c>
      <c r="D16" s="5">
        <f>-'Property Data'!D$21*(1+GrowthOpEx)^2</f>
        <v/>
      </c>
      <c r="E16" s="5">
        <f>-'Property Data'!D$21*(1+GrowthOpEx)^3</f>
        <v/>
      </c>
      <c r="F16" s="5">
        <f>-'Property Data'!D$21*(1+GrowthOpEx)^4</f>
        <v/>
      </c>
      <c r="G16" s="5">
        <f>-'Property Data'!D$21*(1+GrowthOpEx)^5</f>
        <v/>
      </c>
      <c r="H16" s="5">
        <f>-'Property Data'!D$21*(1+GrowthOpEx)^6</f>
        <v/>
      </c>
      <c r="I16" s="5">
        <f>-'Property Data'!D$21*(1+GrowthOpEx)^7</f>
        <v/>
      </c>
      <c r="J16" s="5">
        <f>-'Property Data'!D$21*(1+GrowthOpEx)^8</f>
        <v/>
      </c>
      <c r="K16" s="5">
        <f>-'Property Data'!D$21*(1+GrowthOpEx)^9</f>
        <v/>
      </c>
      <c r="L16" s="5">
        <f>-'Property Data'!D$21*(1+GrowthOpEx)^10</f>
        <v/>
      </c>
      <c r="M16" s="5">
        <f>SUM(B16:L16)</f>
        <v/>
      </c>
    </row>
    <row r="17">
      <c r="A17" s="3" t="inlineStr">
        <is>
          <t>Management Fee (% of EGR)</t>
        </is>
      </c>
      <c r="B17" s="5">
        <f>-B12*MgmtFeePct</f>
        <v/>
      </c>
      <c r="C17" s="5">
        <f>-C12*MgmtFeePct</f>
        <v/>
      </c>
      <c r="D17" s="5">
        <f>-D12*MgmtFeePct</f>
        <v/>
      </c>
      <c r="E17" s="5">
        <f>-E12*MgmtFeePct</f>
        <v/>
      </c>
      <c r="F17" s="5">
        <f>-F12*MgmtFeePct</f>
        <v/>
      </c>
      <c r="G17" s="5">
        <f>-G12*MgmtFeePct</f>
        <v/>
      </c>
      <c r="H17" s="5">
        <f>-H12*MgmtFeePct</f>
        <v/>
      </c>
      <c r="I17" s="5">
        <f>-I12*MgmtFeePct</f>
        <v/>
      </c>
      <c r="J17" s="5">
        <f>-J12*MgmtFeePct</f>
        <v/>
      </c>
      <c r="K17" s="5">
        <f>-K12*MgmtFeePct</f>
        <v/>
      </c>
      <c r="L17" s="5">
        <f>-L12*MgmtFeePct</f>
        <v/>
      </c>
      <c r="M17" s="5">
        <f>SUM(B17:L17)</f>
        <v/>
      </c>
    </row>
    <row r="18">
      <c r="A18" s="3" t="inlineStr">
        <is>
          <t>Insurance</t>
        </is>
      </c>
      <c r="B18" s="5">
        <f>-'Property Data'!D$23*(1+GrowthOpEx)^0</f>
        <v/>
      </c>
      <c r="C18" s="5">
        <f>-'Property Data'!D$23*(1+GrowthOpEx)^1</f>
        <v/>
      </c>
      <c r="D18" s="5">
        <f>-'Property Data'!D$23*(1+GrowthOpEx)^2</f>
        <v/>
      </c>
      <c r="E18" s="5">
        <f>-'Property Data'!D$23*(1+GrowthOpEx)^3</f>
        <v/>
      </c>
      <c r="F18" s="5">
        <f>-'Property Data'!D$23*(1+GrowthOpEx)^4</f>
        <v/>
      </c>
      <c r="G18" s="5">
        <f>-'Property Data'!D$23*(1+GrowthOpEx)^5</f>
        <v/>
      </c>
      <c r="H18" s="5">
        <f>-'Property Data'!D$23*(1+GrowthOpEx)^6</f>
        <v/>
      </c>
      <c r="I18" s="5">
        <f>-'Property Data'!D$23*(1+GrowthOpEx)^7</f>
        <v/>
      </c>
      <c r="J18" s="5">
        <f>-'Property Data'!D$23*(1+GrowthOpEx)^8</f>
        <v/>
      </c>
      <c r="K18" s="5">
        <f>-'Property Data'!D$23*(1+GrowthOpEx)^9</f>
        <v/>
      </c>
      <c r="L18" s="5">
        <f>-'Property Data'!D$23*(1+GrowthOpEx)^10</f>
        <v/>
      </c>
      <c r="M18" s="5">
        <f>SUM(B18:L18)</f>
        <v/>
      </c>
    </row>
    <row r="19">
      <c r="A19" s="3" t="inlineStr">
        <is>
          <t>RE Taxes</t>
        </is>
      </c>
      <c r="B19" s="5">
        <f>IF(ReassessTaxes,-'Property Data'!D$30*'Property Data'!D$16*(1+GrowthRETax)^0,-'Property Data'!D$24*(1+GrowthRETax)^0)</f>
        <v/>
      </c>
      <c r="C19" s="5">
        <f>IF(ReassessTaxes,-'Property Data'!D$30*'Property Data'!D$16*(1+GrowthRETax)^1,-'Property Data'!D$24*(1+GrowthRETax)^1)</f>
        <v/>
      </c>
      <c r="D19" s="5">
        <f>IF(ReassessTaxes,-'Property Data'!D$30*'Property Data'!D$16*(1+GrowthRETax)^2,-'Property Data'!D$24*(1+GrowthRETax)^2)</f>
        <v/>
      </c>
      <c r="E19" s="5">
        <f>IF(ReassessTaxes,-'Property Data'!D$30*'Property Data'!D$16*(1+GrowthRETax)^3,-'Property Data'!D$24*(1+GrowthRETax)^3)</f>
        <v/>
      </c>
      <c r="F19" s="5">
        <f>IF(ReassessTaxes,-'Property Data'!D$30*'Property Data'!D$16*(1+GrowthRETax)^4,-'Property Data'!D$24*(1+GrowthRETax)^4)</f>
        <v/>
      </c>
      <c r="G19" s="5">
        <f>IF(ReassessTaxes,-'Property Data'!D$30*'Property Data'!D$16*(1+GrowthRETax)^5,-'Property Data'!D$24*(1+GrowthRETax)^5)</f>
        <v/>
      </c>
      <c r="H19" s="5">
        <f>IF(ReassessTaxes,-'Property Data'!D$30*'Property Data'!D$16*(1+GrowthRETax)^6,-'Property Data'!D$24*(1+GrowthRETax)^6)</f>
        <v/>
      </c>
      <c r="I19" s="5">
        <f>IF(ReassessTaxes,-'Property Data'!D$30*'Property Data'!D$16*(1+GrowthRETax)^7,-'Property Data'!D$24*(1+GrowthRETax)^7)</f>
        <v/>
      </c>
      <c r="J19" s="5">
        <f>IF(ReassessTaxes,-'Property Data'!D$30*'Property Data'!D$16*(1+GrowthRETax)^8,-'Property Data'!D$24*(1+GrowthRETax)^8)</f>
        <v/>
      </c>
      <c r="K19" s="5">
        <f>IF(ReassessTaxes,-'Property Data'!D$30*'Property Data'!D$16*(1+GrowthRETax)^9,-'Property Data'!D$24*(1+GrowthRETax)^9)</f>
        <v/>
      </c>
      <c r="L19" s="5">
        <f>IF(ReassessTaxes,-'Property Data'!D$30*'Property Data'!D$16*(1+GrowthRETax)^10,-'Property Data'!D$24*(1+GrowthRETax)^10)</f>
        <v/>
      </c>
      <c r="M19" s="5">
        <f>SUM(B19:L19)</f>
        <v/>
      </c>
    </row>
    <row r="20">
      <c r="A20" s="14" t="inlineStr">
        <is>
          <t>TOTAL OPERATING EXPENSES</t>
        </is>
      </c>
      <c r="B20" s="15">
        <f>SUM(B15:B19)</f>
        <v/>
      </c>
      <c r="C20" s="15">
        <f>SUM(C15:C19)</f>
        <v/>
      </c>
      <c r="D20" s="15">
        <f>SUM(D15:D19)</f>
        <v/>
      </c>
      <c r="E20" s="15">
        <f>SUM(E15:E19)</f>
        <v/>
      </c>
      <c r="F20" s="15">
        <f>SUM(F15:F19)</f>
        <v/>
      </c>
      <c r="G20" s="15">
        <f>SUM(G15:G19)</f>
        <v/>
      </c>
      <c r="H20" s="15">
        <f>SUM(H15:H19)</f>
        <v/>
      </c>
      <c r="I20" s="15">
        <f>SUM(I15:I19)</f>
        <v/>
      </c>
      <c r="J20" s="15">
        <f>SUM(J15:J19)</f>
        <v/>
      </c>
      <c r="K20" s="15">
        <f>SUM(K15:K19)</f>
        <v/>
      </c>
      <c r="L20" s="15">
        <f>SUM(L15:L19)</f>
        <v/>
      </c>
      <c r="M20" s="15">
        <f>SUM(B20:L20)</f>
        <v/>
      </c>
    </row>
    <row r="22">
      <c r="A22" s="14" t="inlineStr">
        <is>
          <t>NET OPERATING INCOME (NOI)</t>
        </is>
      </c>
      <c r="B22" s="8">
        <f>B12+B20</f>
        <v/>
      </c>
      <c r="C22" s="8">
        <f>C12+C20</f>
        <v/>
      </c>
      <c r="D22" s="8">
        <f>D12+D20</f>
        <v/>
      </c>
      <c r="E22" s="8">
        <f>E12+E20</f>
        <v/>
      </c>
      <c r="F22" s="8">
        <f>F12+F20</f>
        <v/>
      </c>
      <c r="G22" s="8">
        <f>G12+G20</f>
        <v/>
      </c>
      <c r="H22" s="8">
        <f>H12+H20</f>
        <v/>
      </c>
      <c r="I22" s="8">
        <f>I12+I20</f>
        <v/>
      </c>
      <c r="J22" s="8">
        <f>J12+J20</f>
        <v/>
      </c>
      <c r="K22" s="8">
        <f>K12+K20</f>
        <v/>
      </c>
      <c r="L22" s="8">
        <f>L12+L20</f>
        <v/>
      </c>
      <c r="M22" s="15">
        <f>SUM(B22:L22)</f>
        <v/>
      </c>
    </row>
    <row r="24">
      <c r="A24" s="3" t="inlineStr">
        <is>
          <t>Implied Cap Rate (NOI / Allocated Price)</t>
        </is>
      </c>
      <c r="B24" s="9">
        <f>IFERROR(B22/'Property Data'!D$30,0)</f>
        <v/>
      </c>
      <c r="C24" s="9">
        <f>IFERROR(C22/'Property Data'!D$30,0)</f>
        <v/>
      </c>
      <c r="D24" s="9">
        <f>IFERROR(D22/'Property Data'!D$30,0)</f>
        <v/>
      </c>
      <c r="E24" s="9">
        <f>IFERROR(E22/'Property Data'!D$30,0)</f>
        <v/>
      </c>
      <c r="F24" s="9">
        <f>IFERROR(F22/'Property Data'!D$30,0)</f>
        <v/>
      </c>
      <c r="G24" s="9">
        <f>IFERROR(G22/'Property Data'!D$30,0)</f>
        <v/>
      </c>
      <c r="H24" s="9">
        <f>IFERROR(H22/'Property Data'!D$30,0)</f>
        <v/>
      </c>
      <c r="I24" s="9">
        <f>IFERROR(I22/'Property Data'!D$30,0)</f>
        <v/>
      </c>
      <c r="J24" s="9">
        <f>IFERROR(J22/'Property Data'!D$30,0)</f>
        <v/>
      </c>
      <c r="K24" s="9">
        <f>IFERROR(K22/'Property Data'!D$30,0)</f>
        <v/>
      </c>
      <c r="L24" s="9">
        <f>IFERROR(L22/'Property Data'!D$30,0)</f>
        <v/>
      </c>
    </row>
    <row r="26">
      <c r="A26" s="13" t="inlineStr">
        <is>
          <t>CAPITAL COSTS</t>
        </is>
      </c>
    </row>
    <row r="27">
      <c r="A27" s="3" t="inlineStr">
        <is>
          <t>Tenant Improvements &amp; Leasing Commissions</t>
        </is>
      </c>
      <c r="B27" s="5">
        <f>-SUMIFS('Rent Roll'!Y5:Y166,'Rent Roll'!$A$5:$A$166,"Lewisville")</f>
        <v/>
      </c>
      <c r="C27" s="5">
        <f>-SUMIFS('Rent Roll'!Z5:Z166,'Rent Roll'!$A$5:$A$166,"Lewisville")</f>
        <v/>
      </c>
      <c r="D27" s="5">
        <f>-SUMIFS('Rent Roll'!AA5:AA166,'Rent Roll'!$A$5:$A$166,"Lewisville")</f>
        <v/>
      </c>
      <c r="E27" s="5">
        <f>-SUMIFS('Rent Roll'!AB5:AB166,'Rent Roll'!$A$5:$A$166,"Lewisville")</f>
        <v/>
      </c>
      <c r="F27" s="5">
        <f>-SUMIFS('Rent Roll'!AC5:AC166,'Rent Roll'!$A$5:$A$166,"Lewisville")</f>
        <v/>
      </c>
      <c r="G27" s="5">
        <f>-SUMIFS('Rent Roll'!AD5:AD166,'Rent Roll'!$A$5:$A$166,"Lewisville")</f>
        <v/>
      </c>
      <c r="H27" s="5">
        <f>-SUMIFS('Rent Roll'!AE5:AE166,'Rent Roll'!$A$5:$A$166,"Lewisville")</f>
        <v/>
      </c>
      <c r="I27" s="5">
        <f>-SUMIFS('Rent Roll'!AF5:AF166,'Rent Roll'!$A$5:$A$166,"Lewisville")</f>
        <v/>
      </c>
      <c r="J27" s="5">
        <f>-SUMIFS('Rent Roll'!AG5:AG166,'Rent Roll'!$A$5:$A$166,"Lewisville")</f>
        <v/>
      </c>
      <c r="K27" s="5">
        <f>-SUMIFS('Rent Roll'!AH5:AH166,'Rent Roll'!$A$5:$A$166,"Lewisville")</f>
        <v/>
      </c>
      <c r="L27" s="5">
        <f>-SUMIFS('Rent Roll'!AI5:AI166,'Rent Roll'!$A$5:$A$166,"Lewisville")</f>
        <v/>
      </c>
      <c r="M27" s="5">
        <f>SUM(B27:L27)</f>
        <v/>
      </c>
    </row>
    <row r="28">
      <c r="A28" s="3" t="inlineStr">
        <is>
          <t>Capital Reserves</t>
        </is>
      </c>
      <c r="B28" s="5">
        <f>-ReservesPSF*'Property Data'!D$4*(1+CPI)^0</f>
        <v/>
      </c>
      <c r="C28" s="5">
        <f>-ReservesPSF*'Property Data'!D$4*(1+CPI)^1</f>
        <v/>
      </c>
      <c r="D28" s="5">
        <f>-ReservesPSF*'Property Data'!D$4*(1+CPI)^2</f>
        <v/>
      </c>
      <c r="E28" s="5">
        <f>-ReservesPSF*'Property Data'!D$4*(1+CPI)^3</f>
        <v/>
      </c>
      <c r="F28" s="5">
        <f>-ReservesPSF*'Property Data'!D$4*(1+CPI)^4</f>
        <v/>
      </c>
      <c r="G28" s="5">
        <f>-ReservesPSF*'Property Data'!D$4*(1+CPI)^5</f>
        <v/>
      </c>
      <c r="H28" s="5">
        <f>-ReservesPSF*'Property Data'!D$4*(1+CPI)^6</f>
        <v/>
      </c>
      <c r="I28" s="5">
        <f>-ReservesPSF*'Property Data'!D$4*(1+CPI)^7</f>
        <v/>
      </c>
      <c r="J28" s="5">
        <f>-ReservesPSF*'Property Data'!D$4*(1+CPI)^8</f>
        <v/>
      </c>
      <c r="K28" s="5">
        <f>-ReservesPSF*'Property Data'!D$4*(1+CPI)^9</f>
        <v/>
      </c>
      <c r="L28" s="5">
        <f>-ReservesPSF*'Property Data'!D$4*(1+CPI)^10</f>
        <v/>
      </c>
      <c r="M28" s="5">
        <f>SUM(B28:L28)</f>
        <v/>
      </c>
    </row>
    <row r="29">
      <c r="A29" s="14" t="inlineStr">
        <is>
          <t>TOTAL CAPITAL</t>
        </is>
      </c>
      <c r="B29" s="15">
        <f>SUM(B27:B28)</f>
        <v/>
      </c>
      <c r="C29" s="15">
        <f>SUM(C27:C28)</f>
        <v/>
      </c>
      <c r="D29" s="15">
        <f>SUM(D27:D28)</f>
        <v/>
      </c>
      <c r="E29" s="15">
        <f>SUM(E27:E28)</f>
        <v/>
      </c>
      <c r="F29" s="15">
        <f>SUM(F27:F28)</f>
        <v/>
      </c>
      <c r="G29" s="15">
        <f>SUM(G27:G28)</f>
        <v/>
      </c>
      <c r="H29" s="15">
        <f>SUM(H27:H28)</f>
        <v/>
      </c>
      <c r="I29" s="15">
        <f>SUM(I27:I28)</f>
        <v/>
      </c>
      <c r="J29" s="15">
        <f>SUM(J27:J28)</f>
        <v/>
      </c>
      <c r="K29" s="15">
        <f>SUM(K27:K28)</f>
        <v/>
      </c>
      <c r="L29" s="15">
        <f>SUM(L27:L28)</f>
        <v/>
      </c>
      <c r="M29" s="15">
        <f>SUM(B29:L29)</f>
        <v/>
      </c>
    </row>
    <row r="31">
      <c r="A31" s="14" t="inlineStr">
        <is>
          <t>UNLEVERED CASH FLOW</t>
        </is>
      </c>
      <c r="B31" s="8">
        <f>B22+B29</f>
        <v/>
      </c>
      <c r="C31" s="8">
        <f>C22+C29</f>
        <v/>
      </c>
      <c r="D31" s="8">
        <f>D22+D29</f>
        <v/>
      </c>
      <c r="E31" s="8">
        <f>E22+E29</f>
        <v/>
      </c>
      <c r="F31" s="8">
        <f>F22+F29</f>
        <v/>
      </c>
      <c r="G31" s="8">
        <f>G22+G29</f>
        <v/>
      </c>
      <c r="H31" s="8">
        <f>H22+H29</f>
        <v/>
      </c>
      <c r="I31" s="8">
        <f>I22+I29</f>
        <v/>
      </c>
      <c r="J31" s="8">
        <f>J22+J29</f>
        <v/>
      </c>
      <c r="K31" s="8">
        <f>K22+K29</f>
        <v/>
      </c>
      <c r="L31" s="8">
        <f>L22+L29</f>
        <v/>
      </c>
      <c r="M31" s="15">
        <f>SUM(B31:L31)</f>
        <v/>
      </c>
    </row>
    <row r="33">
      <c r="A33" s="13" t="inlineStr">
        <is>
          <t>EXIT</t>
        </is>
      </c>
    </row>
    <row r="34">
      <c r="A34" s="3" t="inlineStr">
        <is>
          <t>Exit Year NOI (next-year method)</t>
        </is>
      </c>
      <c r="B34" s="5">
        <f>INDEX(B22:L22,MIN(11,INT((HoldMonths-1)/12)+2))</f>
        <v/>
      </c>
    </row>
    <row r="35">
      <c r="A35" s="3" t="inlineStr">
        <is>
          <t>Exit Value (Gross)</t>
        </is>
      </c>
      <c r="B35" s="5">
        <f>B34/ExitCap</f>
        <v/>
      </c>
    </row>
    <row r="36">
      <c r="A36" s="3" t="inlineStr">
        <is>
          <t>Exit Value (Net of 2% disp costs)</t>
        </is>
      </c>
      <c r="B36" s="8">
        <f>B35*(1-DispCostPct)</f>
        <v/>
      </c>
    </row>
    <row r="37">
      <c r="A37" s="3" t="inlineStr">
        <is>
          <t>Profit (Net Exit − Allocated Price)</t>
        </is>
      </c>
      <c r="B37" s="8">
        <f>B36-'Property Data'!D30</f>
        <v/>
      </c>
    </row>
    <row r="38">
      <c r="A38" s="3" t="inlineStr">
        <is>
          <t>Exit $/SF</t>
        </is>
      </c>
      <c r="B38" s="10">
        <f>B35/'Property Data'!D4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</cols>
  <sheetData>
    <row r="1">
      <c r="A1" s="1" t="inlineStr">
        <is>
          <t>MESQUITE — ANNUAL CASH FLOW (FY Ending April 30)</t>
        </is>
      </c>
    </row>
    <row r="3">
      <c r="B3" s="42" t="inlineStr">
        <is>
          <t>FY27</t>
        </is>
      </c>
      <c r="C3" s="42" t="inlineStr">
        <is>
          <t>FY28</t>
        </is>
      </c>
      <c r="D3" s="42" t="inlineStr">
        <is>
          <t>FY29</t>
        </is>
      </c>
      <c r="E3" s="42" t="inlineStr">
        <is>
          <t>FY30</t>
        </is>
      </c>
      <c r="F3" s="42" t="inlineStr">
        <is>
          <t>FY31</t>
        </is>
      </c>
      <c r="G3" s="42" t="inlineStr">
        <is>
          <t>FY32</t>
        </is>
      </c>
      <c r="H3" s="42" t="inlineStr">
        <is>
          <t>FY33</t>
        </is>
      </c>
      <c r="I3" s="42" t="inlineStr">
        <is>
          <t>FY34</t>
        </is>
      </c>
      <c r="J3" s="42" t="inlineStr">
        <is>
          <t>FY35</t>
        </is>
      </c>
      <c r="K3" s="42" t="inlineStr">
        <is>
          <t>FY36</t>
        </is>
      </c>
      <c r="L3" s="42" t="inlineStr">
        <is>
          <t>FY37</t>
        </is>
      </c>
      <c r="M3" s="2" t="inlineStr">
        <is>
          <t>Total</t>
        </is>
      </c>
    </row>
    <row r="4">
      <c r="A4" s="3" t="inlineStr">
        <is>
          <t>Property SF</t>
        </is>
      </c>
      <c r="B4" s="4">
        <f>'Property Data'!E4</f>
        <v/>
      </c>
      <c r="D4" s="3" t="inlineStr">
        <is>
          <t>Allocated Price</t>
        </is>
      </c>
      <c r="E4" s="5">
        <f>'Property Data'!E30</f>
        <v/>
      </c>
      <c r="G4" s="3" t="inlineStr">
        <is>
          <t>Implied Cap</t>
        </is>
      </c>
      <c r="H4" s="9">
        <f>'Property Data'!E31</f>
        <v/>
      </c>
      <c r="J4" s="3" t="inlineStr">
        <is>
          <t>Implied $/SF</t>
        </is>
      </c>
      <c r="K4" s="10">
        <f>'Property Data'!E32</f>
        <v/>
      </c>
    </row>
    <row r="6">
      <c r="A6" s="13" t="inlineStr">
        <is>
          <t>REVENUE</t>
        </is>
      </c>
    </row>
    <row r="7">
      <c r="A7" s="3" t="inlineStr">
        <is>
          <t>Gross Potential Rent</t>
        </is>
      </c>
      <c r="B7" s="5">
        <f>SUMIFS('Rent Roll'!N5:N166,'Rent Roll'!$A$5:$A$166,"Mesquite")</f>
        <v/>
      </c>
      <c r="C7" s="5">
        <f>SUMIFS('Rent Roll'!O5:O166,'Rent Roll'!$A$5:$A$166,"Mesquite")</f>
        <v/>
      </c>
      <c r="D7" s="5">
        <f>SUMIFS('Rent Roll'!P5:P166,'Rent Roll'!$A$5:$A$166,"Mesquite")</f>
        <v/>
      </c>
      <c r="E7" s="5">
        <f>SUMIFS('Rent Roll'!Q5:Q166,'Rent Roll'!$A$5:$A$166,"Mesquite")</f>
        <v/>
      </c>
      <c r="F7" s="5">
        <f>SUMIFS('Rent Roll'!R5:R166,'Rent Roll'!$A$5:$A$166,"Mesquite")</f>
        <v/>
      </c>
      <c r="G7" s="5">
        <f>SUMIFS('Rent Roll'!S5:S166,'Rent Roll'!$A$5:$A$166,"Mesquite")</f>
        <v/>
      </c>
      <c r="H7" s="5">
        <f>SUMIFS('Rent Roll'!T5:T166,'Rent Roll'!$A$5:$A$166,"Mesquite")</f>
        <v/>
      </c>
      <c r="I7" s="5">
        <f>SUMIFS('Rent Roll'!U5:U166,'Rent Roll'!$A$5:$A$166,"Mesquite")</f>
        <v/>
      </c>
      <c r="J7" s="5">
        <f>SUMIFS('Rent Roll'!V5:V166,'Rent Roll'!$A$5:$A$166,"Mesquite")</f>
        <v/>
      </c>
      <c r="K7" s="5">
        <f>SUMIFS('Rent Roll'!W5:W166,'Rent Roll'!$A$5:$A$166,"Mesquite")</f>
        <v/>
      </c>
      <c r="L7" s="5">
        <f>SUMIFS('Rent Roll'!X5:X166,'Rent Roll'!$A$5:$A$166,"Mesquite")</f>
        <v/>
      </c>
      <c r="M7" s="5">
        <f>SUM(B7:L7)</f>
        <v/>
      </c>
    </row>
    <row r="8">
      <c r="A8" s="3" t="inlineStr">
        <is>
          <t>Less: Vacancy &amp; Credit Loss</t>
        </is>
      </c>
      <c r="B8" s="5">
        <f>-B7*(GeneralVacancy+CreditLoss)</f>
        <v/>
      </c>
      <c r="C8" s="5">
        <f>-C7*(GeneralVacancy+CreditLoss)</f>
        <v/>
      </c>
      <c r="D8" s="5">
        <f>-D7*(GeneralVacancy+CreditLoss)</f>
        <v/>
      </c>
      <c r="E8" s="5">
        <f>-E7*(GeneralVacancy+CreditLoss)</f>
        <v/>
      </c>
      <c r="F8" s="5">
        <f>-F7*(GeneralVacancy+CreditLoss)</f>
        <v/>
      </c>
      <c r="G8" s="5">
        <f>-G7*(GeneralVacancy+CreditLoss)</f>
        <v/>
      </c>
      <c r="H8" s="5">
        <f>-H7*(GeneralVacancy+CreditLoss)</f>
        <v/>
      </c>
      <c r="I8" s="5">
        <f>-I7*(GeneralVacancy+CreditLoss)</f>
        <v/>
      </c>
      <c r="J8" s="5">
        <f>-J7*(GeneralVacancy+CreditLoss)</f>
        <v/>
      </c>
      <c r="K8" s="5">
        <f>-K7*(GeneralVacancy+CreditLoss)</f>
        <v/>
      </c>
      <c r="L8" s="5">
        <f>-L7*(GeneralVacancy+CreditLoss)</f>
        <v/>
      </c>
      <c r="M8" s="5">
        <f>SUM(B8:L8)</f>
        <v/>
      </c>
    </row>
    <row r="9">
      <c r="A9" s="3" t="inlineStr">
        <is>
          <t>Expense Recoveries (NNN, excl. mgmt fee)</t>
        </is>
      </c>
      <c r="B9" s="5">
        <f>-(B15+B16+B18+B19)*RecoveryPct</f>
        <v/>
      </c>
      <c r="C9" s="5">
        <f>-(C15+C16+C18+C19)*RecoveryPct</f>
        <v/>
      </c>
      <c r="D9" s="5">
        <f>-(D15+D16+D18+D19)*RecoveryPct</f>
        <v/>
      </c>
      <c r="E9" s="5">
        <f>-(E15+E16+E18+E19)*RecoveryPct</f>
        <v/>
      </c>
      <c r="F9" s="5">
        <f>-(F15+F16+F18+F19)*RecoveryPct</f>
        <v/>
      </c>
      <c r="G9" s="5">
        <f>-(G15+G16+G18+G19)*RecoveryPct</f>
        <v/>
      </c>
      <c r="H9" s="5">
        <f>-(H15+H16+H18+H19)*RecoveryPct</f>
        <v/>
      </c>
      <c r="I9" s="5">
        <f>-(I15+I16+I18+I19)*RecoveryPct</f>
        <v/>
      </c>
      <c r="J9" s="5">
        <f>-(J15+J16+J18+J19)*RecoveryPct</f>
        <v/>
      </c>
      <c r="K9" s="5">
        <f>-(K15+K16+K18+K19)*RecoveryPct</f>
        <v/>
      </c>
      <c r="L9" s="5">
        <f>-(L15+L16+L18+L19)*RecoveryPct</f>
        <v/>
      </c>
      <c r="M9" s="5">
        <f>SUM(B9:L9)</f>
        <v/>
      </c>
    </row>
    <row r="10">
      <c r="A10" s="3" t="inlineStr">
        <is>
          <t>Tenant Upgrade Rent</t>
        </is>
      </c>
      <c r="B10" s="5">
        <f>'Property Data'!E$25*(1+TURentGrowth)^0</f>
        <v/>
      </c>
      <c r="C10" s="5">
        <f>'Property Data'!E$25*(1+TURentGrowth)^1</f>
        <v/>
      </c>
      <c r="D10" s="5">
        <f>'Property Data'!E$25*(1+TURentGrowth)^2</f>
        <v/>
      </c>
      <c r="E10" s="5">
        <f>'Property Data'!E$25*(1+TURentGrowth)^3</f>
        <v/>
      </c>
      <c r="F10" s="5">
        <f>'Property Data'!E$25*(1+TURentGrowth)^4</f>
        <v/>
      </c>
      <c r="G10" s="5">
        <f>'Property Data'!E$25*(1+TURentGrowth)^5</f>
        <v/>
      </c>
      <c r="H10" s="5">
        <f>'Property Data'!E$25*(1+TURentGrowth)^6</f>
        <v/>
      </c>
      <c r="I10" s="5">
        <f>'Property Data'!E$25*(1+TURentGrowth)^7</f>
        <v/>
      </c>
      <c r="J10" s="5">
        <f>'Property Data'!E$25*(1+TURentGrowth)^8</f>
        <v/>
      </c>
      <c r="K10" s="5">
        <f>'Property Data'!E$25*(1+TURentGrowth)^9</f>
        <v/>
      </c>
      <c r="L10" s="5">
        <f>'Property Data'!E$25*(1+TURentGrowth)^10</f>
        <v/>
      </c>
      <c r="M10" s="5">
        <f>SUM(B10:L10)</f>
        <v/>
      </c>
    </row>
    <row r="11">
      <c r="A11" s="3" t="inlineStr">
        <is>
          <t>Parking Rent</t>
        </is>
      </c>
      <c r="B11" s="5">
        <f>'Property Data'!E$26*(1+GrowthOther)^0</f>
        <v/>
      </c>
      <c r="C11" s="5">
        <f>'Property Data'!E$26*(1+GrowthOther)^1</f>
        <v/>
      </c>
      <c r="D11" s="5">
        <f>'Property Data'!E$26*(1+GrowthOther)^2</f>
        <v/>
      </c>
      <c r="E11" s="5">
        <f>'Property Data'!E$26*(1+GrowthOther)^3</f>
        <v/>
      </c>
      <c r="F11" s="5">
        <f>'Property Data'!E$26*(1+GrowthOther)^4</f>
        <v/>
      </c>
      <c r="G11" s="5">
        <f>'Property Data'!E$26*(1+GrowthOther)^5</f>
        <v/>
      </c>
      <c r="H11" s="5">
        <f>'Property Data'!E$26*(1+GrowthOther)^6</f>
        <v/>
      </c>
      <c r="I11" s="5">
        <f>'Property Data'!E$26*(1+GrowthOther)^7</f>
        <v/>
      </c>
      <c r="J11" s="5">
        <f>'Property Data'!E$26*(1+GrowthOther)^8</f>
        <v/>
      </c>
      <c r="K11" s="5">
        <f>'Property Data'!E$26*(1+GrowthOther)^9</f>
        <v/>
      </c>
      <c r="L11" s="5">
        <f>'Property Data'!E$26*(1+GrowthOther)^10</f>
        <v/>
      </c>
      <c r="M11" s="5">
        <f>SUM(B11:L11)</f>
        <v/>
      </c>
    </row>
    <row r="12">
      <c r="A12" s="14" t="inlineStr">
        <is>
          <t>EFFECTIVE GROSS REVENUE</t>
        </is>
      </c>
      <c r="B12" s="15">
        <f>SUM(B7:B11)</f>
        <v/>
      </c>
      <c r="C12" s="15">
        <f>SUM(C7:C11)</f>
        <v/>
      </c>
      <c r="D12" s="15">
        <f>SUM(D7:D11)</f>
        <v/>
      </c>
      <c r="E12" s="15">
        <f>SUM(E7:E11)</f>
        <v/>
      </c>
      <c r="F12" s="15">
        <f>SUM(F7:F11)</f>
        <v/>
      </c>
      <c r="G12" s="15">
        <f>SUM(G7:G11)</f>
        <v/>
      </c>
      <c r="H12" s="15">
        <f>SUM(H7:H11)</f>
        <v/>
      </c>
      <c r="I12" s="15">
        <f>SUM(I7:I11)</f>
        <v/>
      </c>
      <c r="J12" s="15">
        <f>SUM(J7:J11)</f>
        <v/>
      </c>
      <c r="K12" s="15">
        <f>SUM(K7:K11)</f>
        <v/>
      </c>
      <c r="L12" s="15">
        <f>SUM(L7:L11)</f>
        <v/>
      </c>
      <c r="M12" s="15">
        <f>SUM(B12:L12)</f>
        <v/>
      </c>
    </row>
    <row r="14">
      <c r="A14" s="13" t="inlineStr">
        <is>
          <t>OPERATING EXPENSES</t>
        </is>
      </c>
    </row>
    <row r="15">
      <c r="A15" s="3" t="inlineStr">
        <is>
          <t>CAM</t>
        </is>
      </c>
      <c r="B15" s="5">
        <f>-'Property Data'!E$20*(1+GrowthOpEx)^0</f>
        <v/>
      </c>
      <c r="C15" s="5">
        <f>-'Property Data'!E$20*(1+GrowthOpEx)^1</f>
        <v/>
      </c>
      <c r="D15" s="5">
        <f>-'Property Data'!E$20*(1+GrowthOpEx)^2</f>
        <v/>
      </c>
      <c r="E15" s="5">
        <f>-'Property Data'!E$20*(1+GrowthOpEx)^3</f>
        <v/>
      </c>
      <c r="F15" s="5">
        <f>-'Property Data'!E$20*(1+GrowthOpEx)^4</f>
        <v/>
      </c>
      <c r="G15" s="5">
        <f>-'Property Data'!E$20*(1+GrowthOpEx)^5</f>
        <v/>
      </c>
      <c r="H15" s="5">
        <f>-'Property Data'!E$20*(1+GrowthOpEx)^6</f>
        <v/>
      </c>
      <c r="I15" s="5">
        <f>-'Property Data'!E$20*(1+GrowthOpEx)^7</f>
        <v/>
      </c>
      <c r="J15" s="5">
        <f>-'Property Data'!E$20*(1+GrowthOpEx)^8</f>
        <v/>
      </c>
      <c r="K15" s="5">
        <f>-'Property Data'!E$20*(1+GrowthOpEx)^9</f>
        <v/>
      </c>
      <c r="L15" s="5">
        <f>-'Property Data'!E$20*(1+GrowthOpEx)^10</f>
        <v/>
      </c>
      <c r="M15" s="5">
        <f>SUM(B15:L15)</f>
        <v/>
      </c>
    </row>
    <row r="16">
      <c r="A16" s="3" t="inlineStr">
        <is>
          <t>Utilities</t>
        </is>
      </c>
      <c r="B16" s="5">
        <f>-'Property Data'!E$21*(1+GrowthOpEx)^0</f>
        <v/>
      </c>
      <c r="C16" s="5">
        <f>-'Property Data'!E$21*(1+GrowthOpEx)^1</f>
        <v/>
      </c>
      <c r="D16" s="5">
        <f>-'Property Data'!E$21*(1+GrowthOpEx)^2</f>
        <v/>
      </c>
      <c r="E16" s="5">
        <f>-'Property Data'!E$21*(1+GrowthOpEx)^3</f>
        <v/>
      </c>
      <c r="F16" s="5">
        <f>-'Property Data'!E$21*(1+GrowthOpEx)^4</f>
        <v/>
      </c>
      <c r="G16" s="5">
        <f>-'Property Data'!E$21*(1+GrowthOpEx)^5</f>
        <v/>
      </c>
      <c r="H16" s="5">
        <f>-'Property Data'!E$21*(1+GrowthOpEx)^6</f>
        <v/>
      </c>
      <c r="I16" s="5">
        <f>-'Property Data'!E$21*(1+GrowthOpEx)^7</f>
        <v/>
      </c>
      <c r="J16" s="5">
        <f>-'Property Data'!E$21*(1+GrowthOpEx)^8</f>
        <v/>
      </c>
      <c r="K16" s="5">
        <f>-'Property Data'!E$21*(1+GrowthOpEx)^9</f>
        <v/>
      </c>
      <c r="L16" s="5">
        <f>-'Property Data'!E$21*(1+GrowthOpEx)^10</f>
        <v/>
      </c>
      <c r="M16" s="5">
        <f>SUM(B16:L16)</f>
        <v/>
      </c>
    </row>
    <row r="17">
      <c r="A17" s="3" t="inlineStr">
        <is>
          <t>Management Fee (% of EGR)</t>
        </is>
      </c>
      <c r="B17" s="5">
        <f>-B12*MgmtFeePct</f>
        <v/>
      </c>
      <c r="C17" s="5">
        <f>-C12*MgmtFeePct</f>
        <v/>
      </c>
      <c r="D17" s="5">
        <f>-D12*MgmtFeePct</f>
        <v/>
      </c>
      <c r="E17" s="5">
        <f>-E12*MgmtFeePct</f>
        <v/>
      </c>
      <c r="F17" s="5">
        <f>-F12*MgmtFeePct</f>
        <v/>
      </c>
      <c r="G17" s="5">
        <f>-G12*MgmtFeePct</f>
        <v/>
      </c>
      <c r="H17" s="5">
        <f>-H12*MgmtFeePct</f>
        <v/>
      </c>
      <c r="I17" s="5">
        <f>-I12*MgmtFeePct</f>
        <v/>
      </c>
      <c r="J17" s="5">
        <f>-J12*MgmtFeePct</f>
        <v/>
      </c>
      <c r="K17" s="5">
        <f>-K12*MgmtFeePct</f>
        <v/>
      </c>
      <c r="L17" s="5">
        <f>-L12*MgmtFeePct</f>
        <v/>
      </c>
      <c r="M17" s="5">
        <f>SUM(B17:L17)</f>
        <v/>
      </c>
    </row>
    <row r="18">
      <c r="A18" s="3" t="inlineStr">
        <is>
          <t>Insurance</t>
        </is>
      </c>
      <c r="B18" s="5">
        <f>-'Property Data'!E$23*(1+GrowthOpEx)^0</f>
        <v/>
      </c>
      <c r="C18" s="5">
        <f>-'Property Data'!E$23*(1+GrowthOpEx)^1</f>
        <v/>
      </c>
      <c r="D18" s="5">
        <f>-'Property Data'!E$23*(1+GrowthOpEx)^2</f>
        <v/>
      </c>
      <c r="E18" s="5">
        <f>-'Property Data'!E$23*(1+GrowthOpEx)^3</f>
        <v/>
      </c>
      <c r="F18" s="5">
        <f>-'Property Data'!E$23*(1+GrowthOpEx)^4</f>
        <v/>
      </c>
      <c r="G18" s="5">
        <f>-'Property Data'!E$23*(1+GrowthOpEx)^5</f>
        <v/>
      </c>
      <c r="H18" s="5">
        <f>-'Property Data'!E$23*(1+GrowthOpEx)^6</f>
        <v/>
      </c>
      <c r="I18" s="5">
        <f>-'Property Data'!E$23*(1+GrowthOpEx)^7</f>
        <v/>
      </c>
      <c r="J18" s="5">
        <f>-'Property Data'!E$23*(1+GrowthOpEx)^8</f>
        <v/>
      </c>
      <c r="K18" s="5">
        <f>-'Property Data'!E$23*(1+GrowthOpEx)^9</f>
        <v/>
      </c>
      <c r="L18" s="5">
        <f>-'Property Data'!E$23*(1+GrowthOpEx)^10</f>
        <v/>
      </c>
      <c r="M18" s="5">
        <f>SUM(B18:L18)</f>
        <v/>
      </c>
    </row>
    <row r="19">
      <c r="A19" s="3" t="inlineStr">
        <is>
          <t>RE Taxes</t>
        </is>
      </c>
      <c r="B19" s="5">
        <f>IF(ReassessTaxes,-'Property Data'!E$30*'Property Data'!E$16*(1+GrowthRETax)^0,-'Property Data'!E$24*(1+GrowthRETax)^0)</f>
        <v/>
      </c>
      <c r="C19" s="5">
        <f>IF(ReassessTaxes,-'Property Data'!E$30*'Property Data'!E$16*(1+GrowthRETax)^1,-'Property Data'!E$24*(1+GrowthRETax)^1)</f>
        <v/>
      </c>
      <c r="D19" s="5">
        <f>IF(ReassessTaxes,-'Property Data'!E$30*'Property Data'!E$16*(1+GrowthRETax)^2,-'Property Data'!E$24*(1+GrowthRETax)^2)</f>
        <v/>
      </c>
      <c r="E19" s="5">
        <f>IF(ReassessTaxes,-'Property Data'!E$30*'Property Data'!E$16*(1+GrowthRETax)^3,-'Property Data'!E$24*(1+GrowthRETax)^3)</f>
        <v/>
      </c>
      <c r="F19" s="5">
        <f>IF(ReassessTaxes,-'Property Data'!E$30*'Property Data'!E$16*(1+GrowthRETax)^4,-'Property Data'!E$24*(1+GrowthRETax)^4)</f>
        <v/>
      </c>
      <c r="G19" s="5">
        <f>IF(ReassessTaxes,-'Property Data'!E$30*'Property Data'!E$16*(1+GrowthRETax)^5,-'Property Data'!E$24*(1+GrowthRETax)^5)</f>
        <v/>
      </c>
      <c r="H19" s="5">
        <f>IF(ReassessTaxes,-'Property Data'!E$30*'Property Data'!E$16*(1+GrowthRETax)^6,-'Property Data'!E$24*(1+GrowthRETax)^6)</f>
        <v/>
      </c>
      <c r="I19" s="5">
        <f>IF(ReassessTaxes,-'Property Data'!E$30*'Property Data'!E$16*(1+GrowthRETax)^7,-'Property Data'!E$24*(1+GrowthRETax)^7)</f>
        <v/>
      </c>
      <c r="J19" s="5">
        <f>IF(ReassessTaxes,-'Property Data'!E$30*'Property Data'!E$16*(1+GrowthRETax)^8,-'Property Data'!E$24*(1+GrowthRETax)^8)</f>
        <v/>
      </c>
      <c r="K19" s="5">
        <f>IF(ReassessTaxes,-'Property Data'!E$30*'Property Data'!E$16*(1+GrowthRETax)^9,-'Property Data'!E$24*(1+GrowthRETax)^9)</f>
        <v/>
      </c>
      <c r="L19" s="5">
        <f>IF(ReassessTaxes,-'Property Data'!E$30*'Property Data'!E$16*(1+GrowthRETax)^10,-'Property Data'!E$24*(1+GrowthRETax)^10)</f>
        <v/>
      </c>
      <c r="M19" s="5">
        <f>SUM(B19:L19)</f>
        <v/>
      </c>
    </row>
    <row r="20">
      <c r="A20" s="14" t="inlineStr">
        <is>
          <t>TOTAL OPERATING EXPENSES</t>
        </is>
      </c>
      <c r="B20" s="15">
        <f>SUM(B15:B19)</f>
        <v/>
      </c>
      <c r="C20" s="15">
        <f>SUM(C15:C19)</f>
        <v/>
      </c>
      <c r="D20" s="15">
        <f>SUM(D15:D19)</f>
        <v/>
      </c>
      <c r="E20" s="15">
        <f>SUM(E15:E19)</f>
        <v/>
      </c>
      <c r="F20" s="15">
        <f>SUM(F15:F19)</f>
        <v/>
      </c>
      <c r="G20" s="15">
        <f>SUM(G15:G19)</f>
        <v/>
      </c>
      <c r="H20" s="15">
        <f>SUM(H15:H19)</f>
        <v/>
      </c>
      <c r="I20" s="15">
        <f>SUM(I15:I19)</f>
        <v/>
      </c>
      <c r="J20" s="15">
        <f>SUM(J15:J19)</f>
        <v/>
      </c>
      <c r="K20" s="15">
        <f>SUM(K15:K19)</f>
        <v/>
      </c>
      <c r="L20" s="15">
        <f>SUM(L15:L19)</f>
        <v/>
      </c>
      <c r="M20" s="15">
        <f>SUM(B20:L20)</f>
        <v/>
      </c>
    </row>
    <row r="22">
      <c r="A22" s="14" t="inlineStr">
        <is>
          <t>NET OPERATING INCOME (NOI)</t>
        </is>
      </c>
      <c r="B22" s="8">
        <f>B12+B20</f>
        <v/>
      </c>
      <c r="C22" s="8">
        <f>C12+C20</f>
        <v/>
      </c>
      <c r="D22" s="8">
        <f>D12+D20</f>
        <v/>
      </c>
      <c r="E22" s="8">
        <f>E12+E20</f>
        <v/>
      </c>
      <c r="F22" s="8">
        <f>F12+F20</f>
        <v/>
      </c>
      <c r="G22" s="8">
        <f>G12+G20</f>
        <v/>
      </c>
      <c r="H22" s="8">
        <f>H12+H20</f>
        <v/>
      </c>
      <c r="I22" s="8">
        <f>I12+I20</f>
        <v/>
      </c>
      <c r="J22" s="8">
        <f>J12+J20</f>
        <v/>
      </c>
      <c r="K22" s="8">
        <f>K12+K20</f>
        <v/>
      </c>
      <c r="L22" s="8">
        <f>L12+L20</f>
        <v/>
      </c>
      <c r="M22" s="15">
        <f>SUM(B22:L22)</f>
        <v/>
      </c>
    </row>
    <row r="24">
      <c r="A24" s="3" t="inlineStr">
        <is>
          <t>Implied Cap Rate (NOI / Allocated Price)</t>
        </is>
      </c>
      <c r="B24" s="9">
        <f>IFERROR(B22/'Property Data'!E$30,0)</f>
        <v/>
      </c>
      <c r="C24" s="9">
        <f>IFERROR(C22/'Property Data'!E$30,0)</f>
        <v/>
      </c>
      <c r="D24" s="9">
        <f>IFERROR(D22/'Property Data'!E$30,0)</f>
        <v/>
      </c>
      <c r="E24" s="9">
        <f>IFERROR(E22/'Property Data'!E$30,0)</f>
        <v/>
      </c>
      <c r="F24" s="9">
        <f>IFERROR(F22/'Property Data'!E$30,0)</f>
        <v/>
      </c>
      <c r="G24" s="9">
        <f>IFERROR(G22/'Property Data'!E$30,0)</f>
        <v/>
      </c>
      <c r="H24" s="9">
        <f>IFERROR(H22/'Property Data'!E$30,0)</f>
        <v/>
      </c>
      <c r="I24" s="9">
        <f>IFERROR(I22/'Property Data'!E$30,0)</f>
        <v/>
      </c>
      <c r="J24" s="9">
        <f>IFERROR(J22/'Property Data'!E$30,0)</f>
        <v/>
      </c>
      <c r="K24" s="9">
        <f>IFERROR(K22/'Property Data'!E$30,0)</f>
        <v/>
      </c>
      <c r="L24" s="9">
        <f>IFERROR(L22/'Property Data'!E$30,0)</f>
        <v/>
      </c>
    </row>
    <row r="26">
      <c r="A26" s="13" t="inlineStr">
        <is>
          <t>CAPITAL COSTS</t>
        </is>
      </c>
    </row>
    <row r="27">
      <c r="A27" s="3" t="inlineStr">
        <is>
          <t>Tenant Improvements &amp; Leasing Commissions</t>
        </is>
      </c>
      <c r="B27" s="5">
        <f>-SUMIFS('Rent Roll'!Y5:Y166,'Rent Roll'!$A$5:$A$166,"Mesquite")</f>
        <v/>
      </c>
      <c r="C27" s="5">
        <f>-SUMIFS('Rent Roll'!Z5:Z166,'Rent Roll'!$A$5:$A$166,"Mesquite")</f>
        <v/>
      </c>
      <c r="D27" s="5">
        <f>-SUMIFS('Rent Roll'!AA5:AA166,'Rent Roll'!$A$5:$A$166,"Mesquite")</f>
        <v/>
      </c>
      <c r="E27" s="5">
        <f>-SUMIFS('Rent Roll'!AB5:AB166,'Rent Roll'!$A$5:$A$166,"Mesquite")</f>
        <v/>
      </c>
      <c r="F27" s="5">
        <f>-SUMIFS('Rent Roll'!AC5:AC166,'Rent Roll'!$A$5:$A$166,"Mesquite")</f>
        <v/>
      </c>
      <c r="G27" s="5">
        <f>-SUMIFS('Rent Roll'!AD5:AD166,'Rent Roll'!$A$5:$A$166,"Mesquite")</f>
        <v/>
      </c>
      <c r="H27" s="5">
        <f>-SUMIFS('Rent Roll'!AE5:AE166,'Rent Roll'!$A$5:$A$166,"Mesquite")</f>
        <v/>
      </c>
      <c r="I27" s="5">
        <f>-SUMIFS('Rent Roll'!AF5:AF166,'Rent Roll'!$A$5:$A$166,"Mesquite")</f>
        <v/>
      </c>
      <c r="J27" s="5">
        <f>-SUMIFS('Rent Roll'!AG5:AG166,'Rent Roll'!$A$5:$A$166,"Mesquite")</f>
        <v/>
      </c>
      <c r="K27" s="5">
        <f>-SUMIFS('Rent Roll'!AH5:AH166,'Rent Roll'!$A$5:$A$166,"Mesquite")</f>
        <v/>
      </c>
      <c r="L27" s="5">
        <f>-SUMIFS('Rent Roll'!AI5:AI166,'Rent Roll'!$A$5:$A$166,"Mesquite")</f>
        <v/>
      </c>
      <c r="M27" s="5">
        <f>SUM(B27:L27)</f>
        <v/>
      </c>
    </row>
    <row r="28">
      <c r="A28" s="3" t="inlineStr">
        <is>
          <t>Capital Reserves</t>
        </is>
      </c>
      <c r="B28" s="5">
        <f>-ReservesPSF*'Property Data'!E$4*(1+CPI)^0</f>
        <v/>
      </c>
      <c r="C28" s="5">
        <f>-ReservesPSF*'Property Data'!E$4*(1+CPI)^1</f>
        <v/>
      </c>
      <c r="D28" s="5">
        <f>-ReservesPSF*'Property Data'!E$4*(1+CPI)^2</f>
        <v/>
      </c>
      <c r="E28" s="5">
        <f>-ReservesPSF*'Property Data'!E$4*(1+CPI)^3</f>
        <v/>
      </c>
      <c r="F28" s="5">
        <f>-ReservesPSF*'Property Data'!E$4*(1+CPI)^4</f>
        <v/>
      </c>
      <c r="G28" s="5">
        <f>-ReservesPSF*'Property Data'!E$4*(1+CPI)^5</f>
        <v/>
      </c>
      <c r="H28" s="5">
        <f>-ReservesPSF*'Property Data'!E$4*(1+CPI)^6</f>
        <v/>
      </c>
      <c r="I28" s="5">
        <f>-ReservesPSF*'Property Data'!E$4*(1+CPI)^7</f>
        <v/>
      </c>
      <c r="J28" s="5">
        <f>-ReservesPSF*'Property Data'!E$4*(1+CPI)^8</f>
        <v/>
      </c>
      <c r="K28" s="5">
        <f>-ReservesPSF*'Property Data'!E$4*(1+CPI)^9</f>
        <v/>
      </c>
      <c r="L28" s="5">
        <f>-ReservesPSF*'Property Data'!E$4*(1+CPI)^10</f>
        <v/>
      </c>
      <c r="M28" s="5">
        <f>SUM(B28:L28)</f>
        <v/>
      </c>
    </row>
    <row r="29">
      <c r="A29" s="14" t="inlineStr">
        <is>
          <t>TOTAL CAPITAL</t>
        </is>
      </c>
      <c r="B29" s="15">
        <f>SUM(B27:B28)</f>
        <v/>
      </c>
      <c r="C29" s="15">
        <f>SUM(C27:C28)</f>
        <v/>
      </c>
      <c r="D29" s="15">
        <f>SUM(D27:D28)</f>
        <v/>
      </c>
      <c r="E29" s="15">
        <f>SUM(E27:E28)</f>
        <v/>
      </c>
      <c r="F29" s="15">
        <f>SUM(F27:F28)</f>
        <v/>
      </c>
      <c r="G29" s="15">
        <f>SUM(G27:G28)</f>
        <v/>
      </c>
      <c r="H29" s="15">
        <f>SUM(H27:H28)</f>
        <v/>
      </c>
      <c r="I29" s="15">
        <f>SUM(I27:I28)</f>
        <v/>
      </c>
      <c r="J29" s="15">
        <f>SUM(J27:J28)</f>
        <v/>
      </c>
      <c r="K29" s="15">
        <f>SUM(K27:K28)</f>
        <v/>
      </c>
      <c r="L29" s="15">
        <f>SUM(L27:L28)</f>
        <v/>
      </c>
      <c r="M29" s="15">
        <f>SUM(B29:L29)</f>
        <v/>
      </c>
    </row>
    <row r="31">
      <c r="A31" s="14" t="inlineStr">
        <is>
          <t>UNLEVERED CASH FLOW</t>
        </is>
      </c>
      <c r="B31" s="8">
        <f>B22+B29</f>
        <v/>
      </c>
      <c r="C31" s="8">
        <f>C22+C29</f>
        <v/>
      </c>
      <c r="D31" s="8">
        <f>D22+D29</f>
        <v/>
      </c>
      <c r="E31" s="8">
        <f>E22+E29</f>
        <v/>
      </c>
      <c r="F31" s="8">
        <f>F22+F29</f>
        <v/>
      </c>
      <c r="G31" s="8">
        <f>G22+G29</f>
        <v/>
      </c>
      <c r="H31" s="8">
        <f>H22+H29</f>
        <v/>
      </c>
      <c r="I31" s="8">
        <f>I22+I29</f>
        <v/>
      </c>
      <c r="J31" s="8">
        <f>J22+J29</f>
        <v/>
      </c>
      <c r="K31" s="8">
        <f>K22+K29</f>
        <v/>
      </c>
      <c r="L31" s="8">
        <f>L22+L29</f>
        <v/>
      </c>
      <c r="M31" s="15">
        <f>SUM(B31:L31)</f>
        <v/>
      </c>
    </row>
    <row r="33">
      <c r="A33" s="13" t="inlineStr">
        <is>
          <t>EXIT</t>
        </is>
      </c>
    </row>
    <row r="34">
      <c r="A34" s="3" t="inlineStr">
        <is>
          <t>Exit Year NOI (next-year method)</t>
        </is>
      </c>
      <c r="B34" s="5">
        <f>INDEX(B22:L22,MIN(11,INT((HoldMonths-1)/12)+2))</f>
        <v/>
      </c>
    </row>
    <row r="35">
      <c r="A35" s="3" t="inlineStr">
        <is>
          <t>Exit Value (Gross)</t>
        </is>
      </c>
      <c r="B35" s="5">
        <f>B34/ExitCap</f>
        <v/>
      </c>
    </row>
    <row r="36">
      <c r="A36" s="3" t="inlineStr">
        <is>
          <t>Exit Value (Net of 2% disp costs)</t>
        </is>
      </c>
      <c r="B36" s="8">
        <f>B35*(1-DispCostPct)</f>
        <v/>
      </c>
    </row>
    <row r="37">
      <c r="A37" s="3" t="inlineStr">
        <is>
          <t>Profit (Net Exit − Allocated Price)</t>
        </is>
      </c>
      <c r="B37" s="8">
        <f>B36-'Property Data'!E30</f>
        <v/>
      </c>
    </row>
    <row r="38">
      <c r="A38" s="3" t="inlineStr">
        <is>
          <t>Exit $/SF</t>
        </is>
      </c>
      <c r="B38" s="10">
        <f>B35/'Property Data'!E4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</cols>
  <sheetData>
    <row r="1">
      <c r="A1" s="1" t="inlineStr">
        <is>
          <t>PLANO — ANNUAL CASH FLOW (FY Ending April 30)</t>
        </is>
      </c>
    </row>
    <row r="3">
      <c r="B3" s="42" t="inlineStr">
        <is>
          <t>FY27</t>
        </is>
      </c>
      <c r="C3" s="42" t="inlineStr">
        <is>
          <t>FY28</t>
        </is>
      </c>
      <c r="D3" s="42" t="inlineStr">
        <is>
          <t>FY29</t>
        </is>
      </c>
      <c r="E3" s="42" t="inlineStr">
        <is>
          <t>FY30</t>
        </is>
      </c>
      <c r="F3" s="42" t="inlineStr">
        <is>
          <t>FY31</t>
        </is>
      </c>
      <c r="G3" s="42" t="inlineStr">
        <is>
          <t>FY32</t>
        </is>
      </c>
      <c r="H3" s="42" t="inlineStr">
        <is>
          <t>FY33</t>
        </is>
      </c>
      <c r="I3" s="42" t="inlineStr">
        <is>
          <t>FY34</t>
        </is>
      </c>
      <c r="J3" s="42" t="inlineStr">
        <is>
          <t>FY35</t>
        </is>
      </c>
      <c r="K3" s="42" t="inlineStr">
        <is>
          <t>FY36</t>
        </is>
      </c>
      <c r="L3" s="42" t="inlineStr">
        <is>
          <t>FY37</t>
        </is>
      </c>
      <c r="M3" s="2" t="inlineStr">
        <is>
          <t>Total</t>
        </is>
      </c>
    </row>
    <row r="4">
      <c r="A4" s="3" t="inlineStr">
        <is>
          <t>Property SF</t>
        </is>
      </c>
      <c r="B4" s="4">
        <f>'Property Data'!F4</f>
        <v/>
      </c>
      <c r="D4" s="3" t="inlineStr">
        <is>
          <t>Allocated Price</t>
        </is>
      </c>
      <c r="E4" s="5">
        <f>'Property Data'!F30</f>
        <v/>
      </c>
      <c r="G4" s="3" t="inlineStr">
        <is>
          <t>Implied Cap</t>
        </is>
      </c>
      <c r="H4" s="9">
        <f>'Property Data'!F31</f>
        <v/>
      </c>
      <c r="J4" s="3" t="inlineStr">
        <is>
          <t>Implied $/SF</t>
        </is>
      </c>
      <c r="K4" s="10">
        <f>'Property Data'!F32</f>
        <v/>
      </c>
    </row>
    <row r="6">
      <c r="A6" s="13" t="inlineStr">
        <is>
          <t>REVENUE</t>
        </is>
      </c>
    </row>
    <row r="7">
      <c r="A7" s="3" t="inlineStr">
        <is>
          <t>Gross Potential Rent</t>
        </is>
      </c>
      <c r="B7" s="5">
        <f>SUMIFS('Rent Roll'!N5:N166,'Rent Roll'!$A$5:$A$166,"Plano")</f>
        <v/>
      </c>
      <c r="C7" s="5">
        <f>SUMIFS('Rent Roll'!O5:O166,'Rent Roll'!$A$5:$A$166,"Plano")</f>
        <v/>
      </c>
      <c r="D7" s="5">
        <f>SUMIFS('Rent Roll'!P5:P166,'Rent Roll'!$A$5:$A$166,"Plano")</f>
        <v/>
      </c>
      <c r="E7" s="5">
        <f>SUMIFS('Rent Roll'!Q5:Q166,'Rent Roll'!$A$5:$A$166,"Plano")</f>
        <v/>
      </c>
      <c r="F7" s="5">
        <f>SUMIFS('Rent Roll'!R5:R166,'Rent Roll'!$A$5:$A$166,"Plano")</f>
        <v/>
      </c>
      <c r="G7" s="5">
        <f>SUMIFS('Rent Roll'!S5:S166,'Rent Roll'!$A$5:$A$166,"Plano")</f>
        <v/>
      </c>
      <c r="H7" s="5">
        <f>SUMIFS('Rent Roll'!T5:T166,'Rent Roll'!$A$5:$A$166,"Plano")</f>
        <v/>
      </c>
      <c r="I7" s="5">
        <f>SUMIFS('Rent Roll'!U5:U166,'Rent Roll'!$A$5:$A$166,"Plano")</f>
        <v/>
      </c>
      <c r="J7" s="5">
        <f>SUMIFS('Rent Roll'!V5:V166,'Rent Roll'!$A$5:$A$166,"Plano")</f>
        <v/>
      </c>
      <c r="K7" s="5">
        <f>SUMIFS('Rent Roll'!W5:W166,'Rent Roll'!$A$5:$A$166,"Plano")</f>
        <v/>
      </c>
      <c r="L7" s="5">
        <f>SUMIFS('Rent Roll'!X5:X166,'Rent Roll'!$A$5:$A$166,"Plano")</f>
        <v/>
      </c>
      <c r="M7" s="5">
        <f>SUM(B7:L7)</f>
        <v/>
      </c>
    </row>
    <row r="8">
      <c r="A8" s="3" t="inlineStr">
        <is>
          <t>Less: Vacancy &amp; Credit Loss</t>
        </is>
      </c>
      <c r="B8" s="5">
        <f>-B7*(GeneralVacancy+CreditLoss)</f>
        <v/>
      </c>
      <c r="C8" s="5">
        <f>-C7*(GeneralVacancy+CreditLoss)</f>
        <v/>
      </c>
      <c r="D8" s="5">
        <f>-D7*(GeneralVacancy+CreditLoss)</f>
        <v/>
      </c>
      <c r="E8" s="5">
        <f>-E7*(GeneralVacancy+CreditLoss)</f>
        <v/>
      </c>
      <c r="F8" s="5">
        <f>-F7*(GeneralVacancy+CreditLoss)</f>
        <v/>
      </c>
      <c r="G8" s="5">
        <f>-G7*(GeneralVacancy+CreditLoss)</f>
        <v/>
      </c>
      <c r="H8" s="5">
        <f>-H7*(GeneralVacancy+CreditLoss)</f>
        <v/>
      </c>
      <c r="I8" s="5">
        <f>-I7*(GeneralVacancy+CreditLoss)</f>
        <v/>
      </c>
      <c r="J8" s="5">
        <f>-J7*(GeneralVacancy+CreditLoss)</f>
        <v/>
      </c>
      <c r="K8" s="5">
        <f>-K7*(GeneralVacancy+CreditLoss)</f>
        <v/>
      </c>
      <c r="L8" s="5">
        <f>-L7*(GeneralVacancy+CreditLoss)</f>
        <v/>
      </c>
      <c r="M8" s="5">
        <f>SUM(B8:L8)</f>
        <v/>
      </c>
    </row>
    <row r="9">
      <c r="A9" s="3" t="inlineStr">
        <is>
          <t>Expense Recoveries (NNN, excl. mgmt fee)</t>
        </is>
      </c>
      <c r="B9" s="5">
        <f>-(B15+B16+B18+B19)*RecoveryPct</f>
        <v/>
      </c>
      <c r="C9" s="5">
        <f>-(C15+C16+C18+C19)*RecoveryPct</f>
        <v/>
      </c>
      <c r="D9" s="5">
        <f>-(D15+D16+D18+D19)*RecoveryPct</f>
        <v/>
      </c>
      <c r="E9" s="5">
        <f>-(E15+E16+E18+E19)*RecoveryPct</f>
        <v/>
      </c>
      <c r="F9" s="5">
        <f>-(F15+F16+F18+F19)*RecoveryPct</f>
        <v/>
      </c>
      <c r="G9" s="5">
        <f>-(G15+G16+G18+G19)*RecoveryPct</f>
        <v/>
      </c>
      <c r="H9" s="5">
        <f>-(H15+H16+H18+H19)*RecoveryPct</f>
        <v/>
      </c>
      <c r="I9" s="5">
        <f>-(I15+I16+I18+I19)*RecoveryPct</f>
        <v/>
      </c>
      <c r="J9" s="5">
        <f>-(J15+J16+J18+J19)*RecoveryPct</f>
        <v/>
      </c>
      <c r="K9" s="5">
        <f>-(K15+K16+K18+K19)*RecoveryPct</f>
        <v/>
      </c>
      <c r="L9" s="5">
        <f>-(L15+L16+L18+L19)*RecoveryPct</f>
        <v/>
      </c>
      <c r="M9" s="5">
        <f>SUM(B9:L9)</f>
        <v/>
      </c>
    </row>
    <row r="10">
      <c r="A10" s="3" t="inlineStr">
        <is>
          <t>Tenant Upgrade Rent</t>
        </is>
      </c>
      <c r="B10" s="5">
        <f>'Property Data'!F$25*(1+TURentGrowth)^0</f>
        <v/>
      </c>
      <c r="C10" s="5">
        <f>'Property Data'!F$25*(1+TURentGrowth)^1</f>
        <v/>
      </c>
      <c r="D10" s="5">
        <f>'Property Data'!F$25*(1+TURentGrowth)^2</f>
        <v/>
      </c>
      <c r="E10" s="5">
        <f>'Property Data'!F$25*(1+TURentGrowth)^3</f>
        <v/>
      </c>
      <c r="F10" s="5">
        <f>'Property Data'!F$25*(1+TURentGrowth)^4</f>
        <v/>
      </c>
      <c r="G10" s="5">
        <f>'Property Data'!F$25*(1+TURentGrowth)^5</f>
        <v/>
      </c>
      <c r="H10" s="5">
        <f>'Property Data'!F$25*(1+TURentGrowth)^6</f>
        <v/>
      </c>
      <c r="I10" s="5">
        <f>'Property Data'!F$25*(1+TURentGrowth)^7</f>
        <v/>
      </c>
      <c r="J10" s="5">
        <f>'Property Data'!F$25*(1+TURentGrowth)^8</f>
        <v/>
      </c>
      <c r="K10" s="5">
        <f>'Property Data'!F$25*(1+TURentGrowth)^9</f>
        <v/>
      </c>
      <c r="L10" s="5">
        <f>'Property Data'!F$25*(1+TURentGrowth)^10</f>
        <v/>
      </c>
      <c r="M10" s="5">
        <f>SUM(B10:L10)</f>
        <v/>
      </c>
    </row>
    <row r="11">
      <c r="A11" s="3" t="inlineStr">
        <is>
          <t>Parking Rent</t>
        </is>
      </c>
      <c r="B11" s="5">
        <f>'Property Data'!F$26*(1+GrowthOther)^0</f>
        <v/>
      </c>
      <c r="C11" s="5">
        <f>'Property Data'!F$26*(1+GrowthOther)^1</f>
        <v/>
      </c>
      <c r="D11" s="5">
        <f>'Property Data'!F$26*(1+GrowthOther)^2</f>
        <v/>
      </c>
      <c r="E11" s="5">
        <f>'Property Data'!F$26*(1+GrowthOther)^3</f>
        <v/>
      </c>
      <c r="F11" s="5">
        <f>'Property Data'!F$26*(1+GrowthOther)^4</f>
        <v/>
      </c>
      <c r="G11" s="5">
        <f>'Property Data'!F$26*(1+GrowthOther)^5</f>
        <v/>
      </c>
      <c r="H11" s="5">
        <f>'Property Data'!F$26*(1+GrowthOther)^6</f>
        <v/>
      </c>
      <c r="I11" s="5">
        <f>'Property Data'!F$26*(1+GrowthOther)^7</f>
        <v/>
      </c>
      <c r="J11" s="5">
        <f>'Property Data'!F$26*(1+GrowthOther)^8</f>
        <v/>
      </c>
      <c r="K11" s="5">
        <f>'Property Data'!F$26*(1+GrowthOther)^9</f>
        <v/>
      </c>
      <c r="L11" s="5">
        <f>'Property Data'!F$26*(1+GrowthOther)^10</f>
        <v/>
      </c>
      <c r="M11" s="5">
        <f>SUM(B11:L11)</f>
        <v/>
      </c>
    </row>
    <row r="12">
      <c r="A12" s="14" t="inlineStr">
        <is>
          <t>EFFECTIVE GROSS REVENUE</t>
        </is>
      </c>
      <c r="B12" s="15">
        <f>SUM(B7:B11)</f>
        <v/>
      </c>
      <c r="C12" s="15">
        <f>SUM(C7:C11)</f>
        <v/>
      </c>
      <c r="D12" s="15">
        <f>SUM(D7:D11)</f>
        <v/>
      </c>
      <c r="E12" s="15">
        <f>SUM(E7:E11)</f>
        <v/>
      </c>
      <c r="F12" s="15">
        <f>SUM(F7:F11)</f>
        <v/>
      </c>
      <c r="G12" s="15">
        <f>SUM(G7:G11)</f>
        <v/>
      </c>
      <c r="H12" s="15">
        <f>SUM(H7:H11)</f>
        <v/>
      </c>
      <c r="I12" s="15">
        <f>SUM(I7:I11)</f>
        <v/>
      </c>
      <c r="J12" s="15">
        <f>SUM(J7:J11)</f>
        <v/>
      </c>
      <c r="K12" s="15">
        <f>SUM(K7:K11)</f>
        <v/>
      </c>
      <c r="L12" s="15">
        <f>SUM(L7:L11)</f>
        <v/>
      </c>
      <c r="M12" s="15">
        <f>SUM(B12:L12)</f>
        <v/>
      </c>
    </row>
    <row r="14">
      <c r="A14" s="13" t="inlineStr">
        <is>
          <t>OPERATING EXPENSES</t>
        </is>
      </c>
    </row>
    <row r="15">
      <c r="A15" s="3" t="inlineStr">
        <is>
          <t>CAM</t>
        </is>
      </c>
      <c r="B15" s="5">
        <f>-'Property Data'!F$20*(1+GrowthOpEx)^0</f>
        <v/>
      </c>
      <c r="C15" s="5">
        <f>-'Property Data'!F$20*(1+GrowthOpEx)^1</f>
        <v/>
      </c>
      <c r="D15" s="5">
        <f>-'Property Data'!F$20*(1+GrowthOpEx)^2</f>
        <v/>
      </c>
      <c r="E15" s="5">
        <f>-'Property Data'!F$20*(1+GrowthOpEx)^3</f>
        <v/>
      </c>
      <c r="F15" s="5">
        <f>-'Property Data'!F$20*(1+GrowthOpEx)^4</f>
        <v/>
      </c>
      <c r="G15" s="5">
        <f>-'Property Data'!F$20*(1+GrowthOpEx)^5</f>
        <v/>
      </c>
      <c r="H15" s="5">
        <f>-'Property Data'!F$20*(1+GrowthOpEx)^6</f>
        <v/>
      </c>
      <c r="I15" s="5">
        <f>-'Property Data'!F$20*(1+GrowthOpEx)^7</f>
        <v/>
      </c>
      <c r="J15" s="5">
        <f>-'Property Data'!F$20*(1+GrowthOpEx)^8</f>
        <v/>
      </c>
      <c r="K15" s="5">
        <f>-'Property Data'!F$20*(1+GrowthOpEx)^9</f>
        <v/>
      </c>
      <c r="L15" s="5">
        <f>-'Property Data'!F$20*(1+GrowthOpEx)^10</f>
        <v/>
      </c>
      <c r="M15" s="5">
        <f>SUM(B15:L15)</f>
        <v/>
      </c>
    </row>
    <row r="16">
      <c r="A16" s="3" t="inlineStr">
        <is>
          <t>Utilities</t>
        </is>
      </c>
      <c r="B16" s="5">
        <f>-'Property Data'!F$21*(1+GrowthOpEx)^0</f>
        <v/>
      </c>
      <c r="C16" s="5">
        <f>-'Property Data'!F$21*(1+GrowthOpEx)^1</f>
        <v/>
      </c>
      <c r="D16" s="5">
        <f>-'Property Data'!F$21*(1+GrowthOpEx)^2</f>
        <v/>
      </c>
      <c r="E16" s="5">
        <f>-'Property Data'!F$21*(1+GrowthOpEx)^3</f>
        <v/>
      </c>
      <c r="F16" s="5">
        <f>-'Property Data'!F$21*(1+GrowthOpEx)^4</f>
        <v/>
      </c>
      <c r="G16" s="5">
        <f>-'Property Data'!F$21*(1+GrowthOpEx)^5</f>
        <v/>
      </c>
      <c r="H16" s="5">
        <f>-'Property Data'!F$21*(1+GrowthOpEx)^6</f>
        <v/>
      </c>
      <c r="I16" s="5">
        <f>-'Property Data'!F$21*(1+GrowthOpEx)^7</f>
        <v/>
      </c>
      <c r="J16" s="5">
        <f>-'Property Data'!F$21*(1+GrowthOpEx)^8</f>
        <v/>
      </c>
      <c r="K16" s="5">
        <f>-'Property Data'!F$21*(1+GrowthOpEx)^9</f>
        <v/>
      </c>
      <c r="L16" s="5">
        <f>-'Property Data'!F$21*(1+GrowthOpEx)^10</f>
        <v/>
      </c>
      <c r="M16" s="5">
        <f>SUM(B16:L16)</f>
        <v/>
      </c>
    </row>
    <row r="17">
      <c r="A17" s="3" t="inlineStr">
        <is>
          <t>Management Fee (% of EGR)</t>
        </is>
      </c>
      <c r="B17" s="5">
        <f>-B12*MgmtFeePct</f>
        <v/>
      </c>
      <c r="C17" s="5">
        <f>-C12*MgmtFeePct</f>
        <v/>
      </c>
      <c r="D17" s="5">
        <f>-D12*MgmtFeePct</f>
        <v/>
      </c>
      <c r="E17" s="5">
        <f>-E12*MgmtFeePct</f>
        <v/>
      </c>
      <c r="F17" s="5">
        <f>-F12*MgmtFeePct</f>
        <v/>
      </c>
      <c r="G17" s="5">
        <f>-G12*MgmtFeePct</f>
        <v/>
      </c>
      <c r="H17" s="5">
        <f>-H12*MgmtFeePct</f>
        <v/>
      </c>
      <c r="I17" s="5">
        <f>-I12*MgmtFeePct</f>
        <v/>
      </c>
      <c r="J17" s="5">
        <f>-J12*MgmtFeePct</f>
        <v/>
      </c>
      <c r="K17" s="5">
        <f>-K12*MgmtFeePct</f>
        <v/>
      </c>
      <c r="L17" s="5">
        <f>-L12*MgmtFeePct</f>
        <v/>
      </c>
      <c r="M17" s="5">
        <f>SUM(B17:L17)</f>
        <v/>
      </c>
    </row>
    <row r="18">
      <c r="A18" s="3" t="inlineStr">
        <is>
          <t>Insurance</t>
        </is>
      </c>
      <c r="B18" s="5">
        <f>-'Property Data'!F$23*(1+GrowthOpEx)^0</f>
        <v/>
      </c>
      <c r="C18" s="5">
        <f>-'Property Data'!F$23*(1+GrowthOpEx)^1</f>
        <v/>
      </c>
      <c r="D18" s="5">
        <f>-'Property Data'!F$23*(1+GrowthOpEx)^2</f>
        <v/>
      </c>
      <c r="E18" s="5">
        <f>-'Property Data'!F$23*(1+GrowthOpEx)^3</f>
        <v/>
      </c>
      <c r="F18" s="5">
        <f>-'Property Data'!F$23*(1+GrowthOpEx)^4</f>
        <v/>
      </c>
      <c r="G18" s="5">
        <f>-'Property Data'!F$23*(1+GrowthOpEx)^5</f>
        <v/>
      </c>
      <c r="H18" s="5">
        <f>-'Property Data'!F$23*(1+GrowthOpEx)^6</f>
        <v/>
      </c>
      <c r="I18" s="5">
        <f>-'Property Data'!F$23*(1+GrowthOpEx)^7</f>
        <v/>
      </c>
      <c r="J18" s="5">
        <f>-'Property Data'!F$23*(1+GrowthOpEx)^8</f>
        <v/>
      </c>
      <c r="K18" s="5">
        <f>-'Property Data'!F$23*(1+GrowthOpEx)^9</f>
        <v/>
      </c>
      <c r="L18" s="5">
        <f>-'Property Data'!F$23*(1+GrowthOpEx)^10</f>
        <v/>
      </c>
      <c r="M18" s="5">
        <f>SUM(B18:L18)</f>
        <v/>
      </c>
    </row>
    <row r="19">
      <c r="A19" s="3" t="inlineStr">
        <is>
          <t>RE Taxes</t>
        </is>
      </c>
      <c r="B19" s="5">
        <f>IF(ReassessTaxes,-'Property Data'!F$30*'Property Data'!F$16*(1+GrowthRETax)^0,-'Property Data'!F$24*(1+GrowthRETax)^0)</f>
        <v/>
      </c>
      <c r="C19" s="5">
        <f>IF(ReassessTaxes,-'Property Data'!F$30*'Property Data'!F$16*(1+GrowthRETax)^1,-'Property Data'!F$24*(1+GrowthRETax)^1)</f>
        <v/>
      </c>
      <c r="D19" s="5">
        <f>IF(ReassessTaxes,-'Property Data'!F$30*'Property Data'!F$16*(1+GrowthRETax)^2,-'Property Data'!F$24*(1+GrowthRETax)^2)</f>
        <v/>
      </c>
      <c r="E19" s="5">
        <f>IF(ReassessTaxes,-'Property Data'!F$30*'Property Data'!F$16*(1+GrowthRETax)^3,-'Property Data'!F$24*(1+GrowthRETax)^3)</f>
        <v/>
      </c>
      <c r="F19" s="5">
        <f>IF(ReassessTaxes,-'Property Data'!F$30*'Property Data'!F$16*(1+GrowthRETax)^4,-'Property Data'!F$24*(1+GrowthRETax)^4)</f>
        <v/>
      </c>
      <c r="G19" s="5">
        <f>IF(ReassessTaxes,-'Property Data'!F$30*'Property Data'!F$16*(1+GrowthRETax)^5,-'Property Data'!F$24*(1+GrowthRETax)^5)</f>
        <v/>
      </c>
      <c r="H19" s="5">
        <f>IF(ReassessTaxes,-'Property Data'!F$30*'Property Data'!F$16*(1+GrowthRETax)^6,-'Property Data'!F$24*(1+GrowthRETax)^6)</f>
        <v/>
      </c>
      <c r="I19" s="5">
        <f>IF(ReassessTaxes,-'Property Data'!F$30*'Property Data'!F$16*(1+GrowthRETax)^7,-'Property Data'!F$24*(1+GrowthRETax)^7)</f>
        <v/>
      </c>
      <c r="J19" s="5">
        <f>IF(ReassessTaxes,-'Property Data'!F$30*'Property Data'!F$16*(1+GrowthRETax)^8,-'Property Data'!F$24*(1+GrowthRETax)^8)</f>
        <v/>
      </c>
      <c r="K19" s="5">
        <f>IF(ReassessTaxes,-'Property Data'!F$30*'Property Data'!F$16*(1+GrowthRETax)^9,-'Property Data'!F$24*(1+GrowthRETax)^9)</f>
        <v/>
      </c>
      <c r="L19" s="5">
        <f>IF(ReassessTaxes,-'Property Data'!F$30*'Property Data'!F$16*(1+GrowthRETax)^10,-'Property Data'!F$24*(1+GrowthRETax)^10)</f>
        <v/>
      </c>
      <c r="M19" s="5">
        <f>SUM(B19:L19)</f>
        <v/>
      </c>
    </row>
    <row r="20">
      <c r="A20" s="14" t="inlineStr">
        <is>
          <t>TOTAL OPERATING EXPENSES</t>
        </is>
      </c>
      <c r="B20" s="15">
        <f>SUM(B15:B19)</f>
        <v/>
      </c>
      <c r="C20" s="15">
        <f>SUM(C15:C19)</f>
        <v/>
      </c>
      <c r="D20" s="15">
        <f>SUM(D15:D19)</f>
        <v/>
      </c>
      <c r="E20" s="15">
        <f>SUM(E15:E19)</f>
        <v/>
      </c>
      <c r="F20" s="15">
        <f>SUM(F15:F19)</f>
        <v/>
      </c>
      <c r="G20" s="15">
        <f>SUM(G15:G19)</f>
        <v/>
      </c>
      <c r="H20" s="15">
        <f>SUM(H15:H19)</f>
        <v/>
      </c>
      <c r="I20" s="15">
        <f>SUM(I15:I19)</f>
        <v/>
      </c>
      <c r="J20" s="15">
        <f>SUM(J15:J19)</f>
        <v/>
      </c>
      <c r="K20" s="15">
        <f>SUM(K15:K19)</f>
        <v/>
      </c>
      <c r="L20" s="15">
        <f>SUM(L15:L19)</f>
        <v/>
      </c>
      <c r="M20" s="15">
        <f>SUM(B20:L20)</f>
        <v/>
      </c>
    </row>
    <row r="22">
      <c r="A22" s="14" t="inlineStr">
        <is>
          <t>NET OPERATING INCOME (NOI)</t>
        </is>
      </c>
      <c r="B22" s="8">
        <f>B12+B20</f>
        <v/>
      </c>
      <c r="C22" s="8">
        <f>C12+C20</f>
        <v/>
      </c>
      <c r="D22" s="8">
        <f>D12+D20</f>
        <v/>
      </c>
      <c r="E22" s="8">
        <f>E12+E20</f>
        <v/>
      </c>
      <c r="F22" s="8">
        <f>F12+F20</f>
        <v/>
      </c>
      <c r="G22" s="8">
        <f>G12+G20</f>
        <v/>
      </c>
      <c r="H22" s="8">
        <f>H12+H20</f>
        <v/>
      </c>
      <c r="I22" s="8">
        <f>I12+I20</f>
        <v/>
      </c>
      <c r="J22" s="8">
        <f>J12+J20</f>
        <v/>
      </c>
      <c r="K22" s="8">
        <f>K12+K20</f>
        <v/>
      </c>
      <c r="L22" s="8">
        <f>L12+L20</f>
        <v/>
      </c>
      <c r="M22" s="15">
        <f>SUM(B22:L22)</f>
        <v/>
      </c>
    </row>
    <row r="24">
      <c r="A24" s="3" t="inlineStr">
        <is>
          <t>Implied Cap Rate (NOI / Allocated Price)</t>
        </is>
      </c>
      <c r="B24" s="9">
        <f>IFERROR(B22/'Property Data'!F$30,0)</f>
        <v/>
      </c>
      <c r="C24" s="9">
        <f>IFERROR(C22/'Property Data'!F$30,0)</f>
        <v/>
      </c>
      <c r="D24" s="9">
        <f>IFERROR(D22/'Property Data'!F$30,0)</f>
        <v/>
      </c>
      <c r="E24" s="9">
        <f>IFERROR(E22/'Property Data'!F$30,0)</f>
        <v/>
      </c>
      <c r="F24" s="9">
        <f>IFERROR(F22/'Property Data'!F$30,0)</f>
        <v/>
      </c>
      <c r="G24" s="9">
        <f>IFERROR(G22/'Property Data'!F$30,0)</f>
        <v/>
      </c>
      <c r="H24" s="9">
        <f>IFERROR(H22/'Property Data'!F$30,0)</f>
        <v/>
      </c>
      <c r="I24" s="9">
        <f>IFERROR(I22/'Property Data'!F$30,0)</f>
        <v/>
      </c>
      <c r="J24" s="9">
        <f>IFERROR(J22/'Property Data'!F$30,0)</f>
        <v/>
      </c>
      <c r="K24" s="9">
        <f>IFERROR(K22/'Property Data'!F$30,0)</f>
        <v/>
      </c>
      <c r="L24" s="9">
        <f>IFERROR(L22/'Property Data'!F$30,0)</f>
        <v/>
      </c>
    </row>
    <row r="26">
      <c r="A26" s="13" t="inlineStr">
        <is>
          <t>CAPITAL COSTS</t>
        </is>
      </c>
    </row>
    <row r="27">
      <c r="A27" s="3" t="inlineStr">
        <is>
          <t>Tenant Improvements &amp; Leasing Commissions</t>
        </is>
      </c>
      <c r="B27" s="5">
        <f>-SUMIFS('Rent Roll'!Y5:Y166,'Rent Roll'!$A$5:$A$166,"Plano")</f>
        <v/>
      </c>
      <c r="C27" s="5">
        <f>-SUMIFS('Rent Roll'!Z5:Z166,'Rent Roll'!$A$5:$A$166,"Plano")</f>
        <v/>
      </c>
      <c r="D27" s="5">
        <f>-SUMIFS('Rent Roll'!AA5:AA166,'Rent Roll'!$A$5:$A$166,"Plano")</f>
        <v/>
      </c>
      <c r="E27" s="5">
        <f>-SUMIFS('Rent Roll'!AB5:AB166,'Rent Roll'!$A$5:$A$166,"Plano")</f>
        <v/>
      </c>
      <c r="F27" s="5">
        <f>-SUMIFS('Rent Roll'!AC5:AC166,'Rent Roll'!$A$5:$A$166,"Plano")</f>
        <v/>
      </c>
      <c r="G27" s="5">
        <f>-SUMIFS('Rent Roll'!AD5:AD166,'Rent Roll'!$A$5:$A$166,"Plano")</f>
        <v/>
      </c>
      <c r="H27" s="5">
        <f>-SUMIFS('Rent Roll'!AE5:AE166,'Rent Roll'!$A$5:$A$166,"Plano")</f>
        <v/>
      </c>
      <c r="I27" s="5">
        <f>-SUMIFS('Rent Roll'!AF5:AF166,'Rent Roll'!$A$5:$A$166,"Plano")</f>
        <v/>
      </c>
      <c r="J27" s="5">
        <f>-SUMIFS('Rent Roll'!AG5:AG166,'Rent Roll'!$A$5:$A$166,"Plano")</f>
        <v/>
      </c>
      <c r="K27" s="5">
        <f>-SUMIFS('Rent Roll'!AH5:AH166,'Rent Roll'!$A$5:$A$166,"Plano")</f>
        <v/>
      </c>
      <c r="L27" s="5">
        <f>-SUMIFS('Rent Roll'!AI5:AI166,'Rent Roll'!$A$5:$A$166,"Plano")</f>
        <v/>
      </c>
      <c r="M27" s="5">
        <f>SUM(B27:L27)</f>
        <v/>
      </c>
    </row>
    <row r="28">
      <c r="A28" s="3" t="inlineStr">
        <is>
          <t>Capital Reserves</t>
        </is>
      </c>
      <c r="B28" s="5">
        <f>-ReservesPSF*'Property Data'!F$4*(1+CPI)^0</f>
        <v/>
      </c>
      <c r="C28" s="5">
        <f>-ReservesPSF*'Property Data'!F$4*(1+CPI)^1</f>
        <v/>
      </c>
      <c r="D28" s="5">
        <f>-ReservesPSF*'Property Data'!F$4*(1+CPI)^2</f>
        <v/>
      </c>
      <c r="E28" s="5">
        <f>-ReservesPSF*'Property Data'!F$4*(1+CPI)^3</f>
        <v/>
      </c>
      <c r="F28" s="5">
        <f>-ReservesPSF*'Property Data'!F$4*(1+CPI)^4</f>
        <v/>
      </c>
      <c r="G28" s="5">
        <f>-ReservesPSF*'Property Data'!F$4*(1+CPI)^5</f>
        <v/>
      </c>
      <c r="H28" s="5">
        <f>-ReservesPSF*'Property Data'!F$4*(1+CPI)^6</f>
        <v/>
      </c>
      <c r="I28" s="5">
        <f>-ReservesPSF*'Property Data'!F$4*(1+CPI)^7</f>
        <v/>
      </c>
      <c r="J28" s="5">
        <f>-ReservesPSF*'Property Data'!F$4*(1+CPI)^8</f>
        <v/>
      </c>
      <c r="K28" s="5">
        <f>-ReservesPSF*'Property Data'!F$4*(1+CPI)^9</f>
        <v/>
      </c>
      <c r="L28" s="5">
        <f>-ReservesPSF*'Property Data'!F$4*(1+CPI)^10</f>
        <v/>
      </c>
      <c r="M28" s="5">
        <f>SUM(B28:L28)</f>
        <v/>
      </c>
    </row>
    <row r="29">
      <c r="A29" s="14" t="inlineStr">
        <is>
          <t>TOTAL CAPITAL</t>
        </is>
      </c>
      <c r="B29" s="15">
        <f>SUM(B27:B28)</f>
        <v/>
      </c>
      <c r="C29" s="15">
        <f>SUM(C27:C28)</f>
        <v/>
      </c>
      <c r="D29" s="15">
        <f>SUM(D27:D28)</f>
        <v/>
      </c>
      <c r="E29" s="15">
        <f>SUM(E27:E28)</f>
        <v/>
      </c>
      <c r="F29" s="15">
        <f>SUM(F27:F28)</f>
        <v/>
      </c>
      <c r="G29" s="15">
        <f>SUM(G27:G28)</f>
        <v/>
      </c>
      <c r="H29" s="15">
        <f>SUM(H27:H28)</f>
        <v/>
      </c>
      <c r="I29" s="15">
        <f>SUM(I27:I28)</f>
        <v/>
      </c>
      <c r="J29" s="15">
        <f>SUM(J27:J28)</f>
        <v/>
      </c>
      <c r="K29" s="15">
        <f>SUM(K27:K28)</f>
        <v/>
      </c>
      <c r="L29" s="15">
        <f>SUM(L27:L28)</f>
        <v/>
      </c>
      <c r="M29" s="15">
        <f>SUM(B29:L29)</f>
        <v/>
      </c>
    </row>
    <row r="31">
      <c r="A31" s="14" t="inlineStr">
        <is>
          <t>UNLEVERED CASH FLOW</t>
        </is>
      </c>
      <c r="B31" s="8">
        <f>B22+B29</f>
        <v/>
      </c>
      <c r="C31" s="8">
        <f>C22+C29</f>
        <v/>
      </c>
      <c r="D31" s="8">
        <f>D22+D29</f>
        <v/>
      </c>
      <c r="E31" s="8">
        <f>E22+E29</f>
        <v/>
      </c>
      <c r="F31" s="8">
        <f>F22+F29</f>
        <v/>
      </c>
      <c r="G31" s="8">
        <f>G22+G29</f>
        <v/>
      </c>
      <c r="H31" s="8">
        <f>H22+H29</f>
        <v/>
      </c>
      <c r="I31" s="8">
        <f>I22+I29</f>
        <v/>
      </c>
      <c r="J31" s="8">
        <f>J22+J29</f>
        <v/>
      </c>
      <c r="K31" s="8">
        <f>K22+K29</f>
        <v/>
      </c>
      <c r="L31" s="8">
        <f>L22+L29</f>
        <v/>
      </c>
      <c r="M31" s="15">
        <f>SUM(B31:L31)</f>
        <v/>
      </c>
    </row>
    <row r="33">
      <c r="A33" s="13" t="inlineStr">
        <is>
          <t>EXIT</t>
        </is>
      </c>
    </row>
    <row r="34">
      <c r="A34" s="3" t="inlineStr">
        <is>
          <t>Exit Year NOI (next-year method)</t>
        </is>
      </c>
      <c r="B34" s="5">
        <f>INDEX(B22:L22,MIN(11,INT((HoldMonths-1)/12)+2))</f>
        <v/>
      </c>
    </row>
    <row r="35">
      <c r="A35" s="3" t="inlineStr">
        <is>
          <t>Exit Value (Gross)</t>
        </is>
      </c>
      <c r="B35" s="5">
        <f>B34/ExitCap</f>
        <v/>
      </c>
    </row>
    <row r="36">
      <c r="A36" s="3" t="inlineStr">
        <is>
          <t>Exit Value (Net of 2% disp costs)</t>
        </is>
      </c>
      <c r="B36" s="8">
        <f>B35*(1-DispCostPct)</f>
        <v/>
      </c>
    </row>
    <row r="37">
      <c r="A37" s="3" t="inlineStr">
        <is>
          <t>Profit (Net Exit − Allocated Price)</t>
        </is>
      </c>
      <c r="B37" s="8">
        <f>B36-'Property Data'!F30</f>
        <v/>
      </c>
    </row>
    <row r="38">
      <c r="A38" s="3" t="inlineStr">
        <is>
          <t>Exit $/SF</t>
        </is>
      </c>
      <c r="B38" s="10">
        <f>B35/'Property Data'!F4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</cols>
  <sheetData>
    <row r="1">
      <c r="A1" s="1" t="inlineStr">
        <is>
          <t>ROANOKE — ANNUAL CASH FLOW (FY Ending April 30)</t>
        </is>
      </c>
    </row>
    <row r="3">
      <c r="B3" s="42" t="inlineStr">
        <is>
          <t>FY27</t>
        </is>
      </c>
      <c r="C3" s="42" t="inlineStr">
        <is>
          <t>FY28</t>
        </is>
      </c>
      <c r="D3" s="42" t="inlineStr">
        <is>
          <t>FY29</t>
        </is>
      </c>
      <c r="E3" s="42" t="inlineStr">
        <is>
          <t>FY30</t>
        </is>
      </c>
      <c r="F3" s="42" t="inlineStr">
        <is>
          <t>FY31</t>
        </is>
      </c>
      <c r="G3" s="42" t="inlineStr">
        <is>
          <t>FY32</t>
        </is>
      </c>
      <c r="H3" s="42" t="inlineStr">
        <is>
          <t>FY33</t>
        </is>
      </c>
      <c r="I3" s="42" t="inlineStr">
        <is>
          <t>FY34</t>
        </is>
      </c>
      <c r="J3" s="42" t="inlineStr">
        <is>
          <t>FY35</t>
        </is>
      </c>
      <c r="K3" s="42" t="inlineStr">
        <is>
          <t>FY36</t>
        </is>
      </c>
      <c r="L3" s="42" t="inlineStr">
        <is>
          <t>FY37</t>
        </is>
      </c>
      <c r="M3" s="2" t="inlineStr">
        <is>
          <t>Total</t>
        </is>
      </c>
    </row>
    <row r="4">
      <c r="A4" s="3" t="inlineStr">
        <is>
          <t>Property SF</t>
        </is>
      </c>
      <c r="B4" s="4">
        <f>'Property Data'!G4</f>
        <v/>
      </c>
      <c r="D4" s="3" t="inlineStr">
        <is>
          <t>Allocated Price</t>
        </is>
      </c>
      <c r="E4" s="5">
        <f>'Property Data'!G30</f>
        <v/>
      </c>
      <c r="G4" s="3" t="inlineStr">
        <is>
          <t>Implied Cap</t>
        </is>
      </c>
      <c r="H4" s="9">
        <f>'Property Data'!G31</f>
        <v/>
      </c>
      <c r="J4" s="3" t="inlineStr">
        <is>
          <t>Implied $/SF</t>
        </is>
      </c>
      <c r="K4" s="10">
        <f>'Property Data'!G32</f>
        <v/>
      </c>
    </row>
    <row r="6">
      <c r="A6" s="13" t="inlineStr">
        <is>
          <t>REVENUE</t>
        </is>
      </c>
    </row>
    <row r="7">
      <c r="A7" s="3" t="inlineStr">
        <is>
          <t>Gross Potential Rent</t>
        </is>
      </c>
      <c r="B7" s="5">
        <f>SUMIFS('Rent Roll'!N5:N166,'Rent Roll'!$A$5:$A$166,"Roanoke")</f>
        <v/>
      </c>
      <c r="C7" s="5">
        <f>SUMIFS('Rent Roll'!O5:O166,'Rent Roll'!$A$5:$A$166,"Roanoke")</f>
        <v/>
      </c>
      <c r="D7" s="5">
        <f>SUMIFS('Rent Roll'!P5:P166,'Rent Roll'!$A$5:$A$166,"Roanoke")</f>
        <v/>
      </c>
      <c r="E7" s="5">
        <f>SUMIFS('Rent Roll'!Q5:Q166,'Rent Roll'!$A$5:$A$166,"Roanoke")</f>
        <v/>
      </c>
      <c r="F7" s="5">
        <f>SUMIFS('Rent Roll'!R5:R166,'Rent Roll'!$A$5:$A$166,"Roanoke")</f>
        <v/>
      </c>
      <c r="G7" s="5">
        <f>SUMIFS('Rent Roll'!S5:S166,'Rent Roll'!$A$5:$A$166,"Roanoke")</f>
        <v/>
      </c>
      <c r="H7" s="5">
        <f>SUMIFS('Rent Roll'!T5:T166,'Rent Roll'!$A$5:$A$166,"Roanoke")</f>
        <v/>
      </c>
      <c r="I7" s="5">
        <f>SUMIFS('Rent Roll'!U5:U166,'Rent Roll'!$A$5:$A$166,"Roanoke")</f>
        <v/>
      </c>
      <c r="J7" s="5">
        <f>SUMIFS('Rent Roll'!V5:V166,'Rent Roll'!$A$5:$A$166,"Roanoke")</f>
        <v/>
      </c>
      <c r="K7" s="5">
        <f>SUMIFS('Rent Roll'!W5:W166,'Rent Roll'!$A$5:$A$166,"Roanoke")</f>
        <v/>
      </c>
      <c r="L7" s="5">
        <f>SUMIFS('Rent Roll'!X5:X166,'Rent Roll'!$A$5:$A$166,"Roanoke")</f>
        <v/>
      </c>
      <c r="M7" s="5">
        <f>SUM(B7:L7)</f>
        <v/>
      </c>
    </row>
    <row r="8">
      <c r="A8" s="3" t="inlineStr">
        <is>
          <t>Less: Vacancy &amp; Credit Loss</t>
        </is>
      </c>
      <c r="B8" s="5">
        <f>-B7*(GeneralVacancy+CreditLoss)</f>
        <v/>
      </c>
      <c r="C8" s="5">
        <f>-C7*(GeneralVacancy+CreditLoss)</f>
        <v/>
      </c>
      <c r="D8" s="5">
        <f>-D7*(GeneralVacancy+CreditLoss)</f>
        <v/>
      </c>
      <c r="E8" s="5">
        <f>-E7*(GeneralVacancy+CreditLoss)</f>
        <v/>
      </c>
      <c r="F8" s="5">
        <f>-F7*(GeneralVacancy+CreditLoss)</f>
        <v/>
      </c>
      <c r="G8" s="5">
        <f>-G7*(GeneralVacancy+CreditLoss)</f>
        <v/>
      </c>
      <c r="H8" s="5">
        <f>-H7*(GeneralVacancy+CreditLoss)</f>
        <v/>
      </c>
      <c r="I8" s="5">
        <f>-I7*(GeneralVacancy+CreditLoss)</f>
        <v/>
      </c>
      <c r="J8" s="5">
        <f>-J7*(GeneralVacancy+CreditLoss)</f>
        <v/>
      </c>
      <c r="K8" s="5">
        <f>-K7*(GeneralVacancy+CreditLoss)</f>
        <v/>
      </c>
      <c r="L8" s="5">
        <f>-L7*(GeneralVacancy+CreditLoss)</f>
        <v/>
      </c>
      <c r="M8" s="5">
        <f>SUM(B8:L8)</f>
        <v/>
      </c>
    </row>
    <row r="9">
      <c r="A9" s="3" t="inlineStr">
        <is>
          <t>Expense Recoveries (NNN, excl. mgmt fee)</t>
        </is>
      </c>
      <c r="B9" s="5">
        <f>-(B15+B16+B18+B19)*RecoveryPct</f>
        <v/>
      </c>
      <c r="C9" s="5">
        <f>-(C15+C16+C18+C19)*RecoveryPct</f>
        <v/>
      </c>
      <c r="D9" s="5">
        <f>-(D15+D16+D18+D19)*RecoveryPct</f>
        <v/>
      </c>
      <c r="E9" s="5">
        <f>-(E15+E16+E18+E19)*RecoveryPct</f>
        <v/>
      </c>
      <c r="F9" s="5">
        <f>-(F15+F16+F18+F19)*RecoveryPct</f>
        <v/>
      </c>
      <c r="G9" s="5">
        <f>-(G15+G16+G18+G19)*RecoveryPct</f>
        <v/>
      </c>
      <c r="H9" s="5">
        <f>-(H15+H16+H18+H19)*RecoveryPct</f>
        <v/>
      </c>
      <c r="I9" s="5">
        <f>-(I15+I16+I18+I19)*RecoveryPct</f>
        <v/>
      </c>
      <c r="J9" s="5">
        <f>-(J15+J16+J18+J19)*RecoveryPct</f>
        <v/>
      </c>
      <c r="K9" s="5">
        <f>-(K15+K16+K18+K19)*RecoveryPct</f>
        <v/>
      </c>
      <c r="L9" s="5">
        <f>-(L15+L16+L18+L19)*RecoveryPct</f>
        <v/>
      </c>
      <c r="M9" s="5">
        <f>SUM(B9:L9)</f>
        <v/>
      </c>
    </row>
    <row r="10">
      <c r="A10" s="3" t="inlineStr">
        <is>
          <t>Tenant Upgrade Rent</t>
        </is>
      </c>
      <c r="B10" s="5">
        <f>'Property Data'!G$25*(1+TURentGrowth)^0</f>
        <v/>
      </c>
      <c r="C10" s="5">
        <f>'Property Data'!G$25*(1+TURentGrowth)^1</f>
        <v/>
      </c>
      <c r="D10" s="5">
        <f>'Property Data'!G$25*(1+TURentGrowth)^2</f>
        <v/>
      </c>
      <c r="E10" s="5">
        <f>'Property Data'!G$25*(1+TURentGrowth)^3</f>
        <v/>
      </c>
      <c r="F10" s="5">
        <f>'Property Data'!G$25*(1+TURentGrowth)^4</f>
        <v/>
      </c>
      <c r="G10" s="5">
        <f>'Property Data'!G$25*(1+TURentGrowth)^5</f>
        <v/>
      </c>
      <c r="H10" s="5">
        <f>'Property Data'!G$25*(1+TURentGrowth)^6</f>
        <v/>
      </c>
      <c r="I10" s="5">
        <f>'Property Data'!G$25*(1+TURentGrowth)^7</f>
        <v/>
      </c>
      <c r="J10" s="5">
        <f>'Property Data'!G$25*(1+TURentGrowth)^8</f>
        <v/>
      </c>
      <c r="K10" s="5">
        <f>'Property Data'!G$25*(1+TURentGrowth)^9</f>
        <v/>
      </c>
      <c r="L10" s="5">
        <f>'Property Data'!G$25*(1+TURentGrowth)^10</f>
        <v/>
      </c>
      <c r="M10" s="5">
        <f>SUM(B10:L10)</f>
        <v/>
      </c>
    </row>
    <row r="11">
      <c r="A11" s="3" t="inlineStr">
        <is>
          <t>Parking Rent</t>
        </is>
      </c>
      <c r="B11" s="5">
        <f>'Property Data'!G$26*(1+GrowthOther)^0</f>
        <v/>
      </c>
      <c r="C11" s="5">
        <f>'Property Data'!G$26*(1+GrowthOther)^1</f>
        <v/>
      </c>
      <c r="D11" s="5">
        <f>'Property Data'!G$26*(1+GrowthOther)^2</f>
        <v/>
      </c>
      <c r="E11" s="5">
        <f>'Property Data'!G$26*(1+GrowthOther)^3</f>
        <v/>
      </c>
      <c r="F11" s="5">
        <f>'Property Data'!G$26*(1+GrowthOther)^4</f>
        <v/>
      </c>
      <c r="G11" s="5">
        <f>'Property Data'!G$26*(1+GrowthOther)^5</f>
        <v/>
      </c>
      <c r="H11" s="5">
        <f>'Property Data'!G$26*(1+GrowthOther)^6</f>
        <v/>
      </c>
      <c r="I11" s="5">
        <f>'Property Data'!G$26*(1+GrowthOther)^7</f>
        <v/>
      </c>
      <c r="J11" s="5">
        <f>'Property Data'!G$26*(1+GrowthOther)^8</f>
        <v/>
      </c>
      <c r="K11" s="5">
        <f>'Property Data'!G$26*(1+GrowthOther)^9</f>
        <v/>
      </c>
      <c r="L11" s="5">
        <f>'Property Data'!G$26*(1+GrowthOther)^10</f>
        <v/>
      </c>
      <c r="M11" s="5">
        <f>SUM(B11:L11)</f>
        <v/>
      </c>
    </row>
    <row r="12">
      <c r="A12" s="14" t="inlineStr">
        <is>
          <t>EFFECTIVE GROSS REVENUE</t>
        </is>
      </c>
      <c r="B12" s="15">
        <f>SUM(B7:B11)</f>
        <v/>
      </c>
      <c r="C12" s="15">
        <f>SUM(C7:C11)</f>
        <v/>
      </c>
      <c r="D12" s="15">
        <f>SUM(D7:D11)</f>
        <v/>
      </c>
      <c r="E12" s="15">
        <f>SUM(E7:E11)</f>
        <v/>
      </c>
      <c r="F12" s="15">
        <f>SUM(F7:F11)</f>
        <v/>
      </c>
      <c r="G12" s="15">
        <f>SUM(G7:G11)</f>
        <v/>
      </c>
      <c r="H12" s="15">
        <f>SUM(H7:H11)</f>
        <v/>
      </c>
      <c r="I12" s="15">
        <f>SUM(I7:I11)</f>
        <v/>
      </c>
      <c r="J12" s="15">
        <f>SUM(J7:J11)</f>
        <v/>
      </c>
      <c r="K12" s="15">
        <f>SUM(K7:K11)</f>
        <v/>
      </c>
      <c r="L12" s="15">
        <f>SUM(L7:L11)</f>
        <v/>
      </c>
      <c r="M12" s="15">
        <f>SUM(B12:L12)</f>
        <v/>
      </c>
    </row>
    <row r="14">
      <c r="A14" s="13" t="inlineStr">
        <is>
          <t>OPERATING EXPENSES</t>
        </is>
      </c>
    </row>
    <row r="15">
      <c r="A15" s="3" t="inlineStr">
        <is>
          <t>CAM</t>
        </is>
      </c>
      <c r="B15" s="5">
        <f>-'Property Data'!G$20*(1+GrowthOpEx)^0</f>
        <v/>
      </c>
      <c r="C15" s="5">
        <f>-'Property Data'!G$20*(1+GrowthOpEx)^1</f>
        <v/>
      </c>
      <c r="D15" s="5">
        <f>-'Property Data'!G$20*(1+GrowthOpEx)^2</f>
        <v/>
      </c>
      <c r="E15" s="5">
        <f>-'Property Data'!G$20*(1+GrowthOpEx)^3</f>
        <v/>
      </c>
      <c r="F15" s="5">
        <f>-'Property Data'!G$20*(1+GrowthOpEx)^4</f>
        <v/>
      </c>
      <c r="G15" s="5">
        <f>-'Property Data'!G$20*(1+GrowthOpEx)^5</f>
        <v/>
      </c>
      <c r="H15" s="5">
        <f>-'Property Data'!G$20*(1+GrowthOpEx)^6</f>
        <v/>
      </c>
      <c r="I15" s="5">
        <f>-'Property Data'!G$20*(1+GrowthOpEx)^7</f>
        <v/>
      </c>
      <c r="J15" s="5">
        <f>-'Property Data'!G$20*(1+GrowthOpEx)^8</f>
        <v/>
      </c>
      <c r="K15" s="5">
        <f>-'Property Data'!G$20*(1+GrowthOpEx)^9</f>
        <v/>
      </c>
      <c r="L15" s="5">
        <f>-'Property Data'!G$20*(1+GrowthOpEx)^10</f>
        <v/>
      </c>
      <c r="M15" s="5">
        <f>SUM(B15:L15)</f>
        <v/>
      </c>
    </row>
    <row r="16">
      <c r="A16" s="3" t="inlineStr">
        <is>
          <t>Utilities</t>
        </is>
      </c>
      <c r="B16" s="5">
        <f>-'Property Data'!G$21*(1+GrowthOpEx)^0</f>
        <v/>
      </c>
      <c r="C16" s="5">
        <f>-'Property Data'!G$21*(1+GrowthOpEx)^1</f>
        <v/>
      </c>
      <c r="D16" s="5">
        <f>-'Property Data'!G$21*(1+GrowthOpEx)^2</f>
        <v/>
      </c>
      <c r="E16" s="5">
        <f>-'Property Data'!G$21*(1+GrowthOpEx)^3</f>
        <v/>
      </c>
      <c r="F16" s="5">
        <f>-'Property Data'!G$21*(1+GrowthOpEx)^4</f>
        <v/>
      </c>
      <c r="G16" s="5">
        <f>-'Property Data'!G$21*(1+GrowthOpEx)^5</f>
        <v/>
      </c>
      <c r="H16" s="5">
        <f>-'Property Data'!G$21*(1+GrowthOpEx)^6</f>
        <v/>
      </c>
      <c r="I16" s="5">
        <f>-'Property Data'!G$21*(1+GrowthOpEx)^7</f>
        <v/>
      </c>
      <c r="J16" s="5">
        <f>-'Property Data'!G$21*(1+GrowthOpEx)^8</f>
        <v/>
      </c>
      <c r="K16" s="5">
        <f>-'Property Data'!G$21*(1+GrowthOpEx)^9</f>
        <v/>
      </c>
      <c r="L16" s="5">
        <f>-'Property Data'!G$21*(1+GrowthOpEx)^10</f>
        <v/>
      </c>
      <c r="M16" s="5">
        <f>SUM(B16:L16)</f>
        <v/>
      </c>
    </row>
    <row r="17">
      <c r="A17" s="3" t="inlineStr">
        <is>
          <t>Management Fee (% of EGR)</t>
        </is>
      </c>
      <c r="B17" s="5">
        <f>-B12*MgmtFeePct</f>
        <v/>
      </c>
      <c r="C17" s="5">
        <f>-C12*MgmtFeePct</f>
        <v/>
      </c>
      <c r="D17" s="5">
        <f>-D12*MgmtFeePct</f>
        <v/>
      </c>
      <c r="E17" s="5">
        <f>-E12*MgmtFeePct</f>
        <v/>
      </c>
      <c r="F17" s="5">
        <f>-F12*MgmtFeePct</f>
        <v/>
      </c>
      <c r="G17" s="5">
        <f>-G12*MgmtFeePct</f>
        <v/>
      </c>
      <c r="H17" s="5">
        <f>-H12*MgmtFeePct</f>
        <v/>
      </c>
      <c r="I17" s="5">
        <f>-I12*MgmtFeePct</f>
        <v/>
      </c>
      <c r="J17" s="5">
        <f>-J12*MgmtFeePct</f>
        <v/>
      </c>
      <c r="K17" s="5">
        <f>-K12*MgmtFeePct</f>
        <v/>
      </c>
      <c r="L17" s="5">
        <f>-L12*MgmtFeePct</f>
        <v/>
      </c>
      <c r="M17" s="5">
        <f>SUM(B17:L17)</f>
        <v/>
      </c>
    </row>
    <row r="18">
      <c r="A18" s="3" t="inlineStr">
        <is>
          <t>Insurance</t>
        </is>
      </c>
      <c r="B18" s="5">
        <f>-'Property Data'!G$23*(1+GrowthOpEx)^0</f>
        <v/>
      </c>
      <c r="C18" s="5">
        <f>-'Property Data'!G$23*(1+GrowthOpEx)^1</f>
        <v/>
      </c>
      <c r="D18" s="5">
        <f>-'Property Data'!G$23*(1+GrowthOpEx)^2</f>
        <v/>
      </c>
      <c r="E18" s="5">
        <f>-'Property Data'!G$23*(1+GrowthOpEx)^3</f>
        <v/>
      </c>
      <c r="F18" s="5">
        <f>-'Property Data'!G$23*(1+GrowthOpEx)^4</f>
        <v/>
      </c>
      <c r="G18" s="5">
        <f>-'Property Data'!G$23*(1+GrowthOpEx)^5</f>
        <v/>
      </c>
      <c r="H18" s="5">
        <f>-'Property Data'!G$23*(1+GrowthOpEx)^6</f>
        <v/>
      </c>
      <c r="I18" s="5">
        <f>-'Property Data'!G$23*(1+GrowthOpEx)^7</f>
        <v/>
      </c>
      <c r="J18" s="5">
        <f>-'Property Data'!G$23*(1+GrowthOpEx)^8</f>
        <v/>
      </c>
      <c r="K18" s="5">
        <f>-'Property Data'!G$23*(1+GrowthOpEx)^9</f>
        <v/>
      </c>
      <c r="L18" s="5">
        <f>-'Property Data'!G$23*(1+GrowthOpEx)^10</f>
        <v/>
      </c>
      <c r="M18" s="5">
        <f>SUM(B18:L18)</f>
        <v/>
      </c>
    </row>
    <row r="19">
      <c r="A19" s="3" t="inlineStr">
        <is>
          <t>RE Taxes</t>
        </is>
      </c>
      <c r="B19" s="5">
        <f>IF(ReassessTaxes,-'Property Data'!G$30*'Property Data'!G$16*(1+GrowthRETax)^0,-'Property Data'!G$24*(1+GrowthRETax)^0)</f>
        <v/>
      </c>
      <c r="C19" s="5">
        <f>IF(ReassessTaxes,-'Property Data'!G$30*'Property Data'!G$16*(1+GrowthRETax)^1,-'Property Data'!G$24*(1+GrowthRETax)^1)</f>
        <v/>
      </c>
      <c r="D19" s="5">
        <f>IF(ReassessTaxes,-'Property Data'!G$30*'Property Data'!G$16*(1+GrowthRETax)^2,-'Property Data'!G$24*(1+GrowthRETax)^2)</f>
        <v/>
      </c>
      <c r="E19" s="5">
        <f>IF(ReassessTaxes,-'Property Data'!G$30*'Property Data'!G$16*(1+GrowthRETax)^3,-'Property Data'!G$24*(1+GrowthRETax)^3)</f>
        <v/>
      </c>
      <c r="F19" s="5">
        <f>IF(ReassessTaxes,-'Property Data'!G$30*'Property Data'!G$16*(1+GrowthRETax)^4,-'Property Data'!G$24*(1+GrowthRETax)^4)</f>
        <v/>
      </c>
      <c r="G19" s="5">
        <f>IF(ReassessTaxes,-'Property Data'!G$30*'Property Data'!G$16*(1+GrowthRETax)^5,-'Property Data'!G$24*(1+GrowthRETax)^5)</f>
        <v/>
      </c>
      <c r="H19" s="5">
        <f>IF(ReassessTaxes,-'Property Data'!G$30*'Property Data'!G$16*(1+GrowthRETax)^6,-'Property Data'!G$24*(1+GrowthRETax)^6)</f>
        <v/>
      </c>
      <c r="I19" s="5">
        <f>IF(ReassessTaxes,-'Property Data'!G$30*'Property Data'!G$16*(1+GrowthRETax)^7,-'Property Data'!G$24*(1+GrowthRETax)^7)</f>
        <v/>
      </c>
      <c r="J19" s="5">
        <f>IF(ReassessTaxes,-'Property Data'!G$30*'Property Data'!G$16*(1+GrowthRETax)^8,-'Property Data'!G$24*(1+GrowthRETax)^8)</f>
        <v/>
      </c>
      <c r="K19" s="5">
        <f>IF(ReassessTaxes,-'Property Data'!G$30*'Property Data'!G$16*(1+GrowthRETax)^9,-'Property Data'!G$24*(1+GrowthRETax)^9)</f>
        <v/>
      </c>
      <c r="L19" s="5">
        <f>IF(ReassessTaxes,-'Property Data'!G$30*'Property Data'!G$16*(1+GrowthRETax)^10,-'Property Data'!G$24*(1+GrowthRETax)^10)</f>
        <v/>
      </c>
      <c r="M19" s="5">
        <f>SUM(B19:L19)</f>
        <v/>
      </c>
    </row>
    <row r="20">
      <c r="A20" s="14" t="inlineStr">
        <is>
          <t>TOTAL OPERATING EXPENSES</t>
        </is>
      </c>
      <c r="B20" s="15">
        <f>SUM(B15:B19)</f>
        <v/>
      </c>
      <c r="C20" s="15">
        <f>SUM(C15:C19)</f>
        <v/>
      </c>
      <c r="D20" s="15">
        <f>SUM(D15:D19)</f>
        <v/>
      </c>
      <c r="E20" s="15">
        <f>SUM(E15:E19)</f>
        <v/>
      </c>
      <c r="F20" s="15">
        <f>SUM(F15:F19)</f>
        <v/>
      </c>
      <c r="G20" s="15">
        <f>SUM(G15:G19)</f>
        <v/>
      </c>
      <c r="H20" s="15">
        <f>SUM(H15:H19)</f>
        <v/>
      </c>
      <c r="I20" s="15">
        <f>SUM(I15:I19)</f>
        <v/>
      </c>
      <c r="J20" s="15">
        <f>SUM(J15:J19)</f>
        <v/>
      </c>
      <c r="K20" s="15">
        <f>SUM(K15:K19)</f>
        <v/>
      </c>
      <c r="L20" s="15">
        <f>SUM(L15:L19)</f>
        <v/>
      </c>
      <c r="M20" s="15">
        <f>SUM(B20:L20)</f>
        <v/>
      </c>
    </row>
    <row r="22">
      <c r="A22" s="14" t="inlineStr">
        <is>
          <t>NET OPERATING INCOME (NOI)</t>
        </is>
      </c>
      <c r="B22" s="8">
        <f>B12+B20</f>
        <v/>
      </c>
      <c r="C22" s="8">
        <f>C12+C20</f>
        <v/>
      </c>
      <c r="D22" s="8">
        <f>D12+D20</f>
        <v/>
      </c>
      <c r="E22" s="8">
        <f>E12+E20</f>
        <v/>
      </c>
      <c r="F22" s="8">
        <f>F12+F20</f>
        <v/>
      </c>
      <c r="G22" s="8">
        <f>G12+G20</f>
        <v/>
      </c>
      <c r="H22" s="8">
        <f>H12+H20</f>
        <v/>
      </c>
      <c r="I22" s="8">
        <f>I12+I20</f>
        <v/>
      </c>
      <c r="J22" s="8">
        <f>J12+J20</f>
        <v/>
      </c>
      <c r="K22" s="8">
        <f>K12+K20</f>
        <v/>
      </c>
      <c r="L22" s="8">
        <f>L12+L20</f>
        <v/>
      </c>
      <c r="M22" s="15">
        <f>SUM(B22:L22)</f>
        <v/>
      </c>
    </row>
    <row r="24">
      <c r="A24" s="3" t="inlineStr">
        <is>
          <t>Implied Cap Rate (NOI / Allocated Price)</t>
        </is>
      </c>
      <c r="B24" s="9">
        <f>IFERROR(B22/'Property Data'!G$30,0)</f>
        <v/>
      </c>
      <c r="C24" s="9">
        <f>IFERROR(C22/'Property Data'!G$30,0)</f>
        <v/>
      </c>
      <c r="D24" s="9">
        <f>IFERROR(D22/'Property Data'!G$30,0)</f>
        <v/>
      </c>
      <c r="E24" s="9">
        <f>IFERROR(E22/'Property Data'!G$30,0)</f>
        <v/>
      </c>
      <c r="F24" s="9">
        <f>IFERROR(F22/'Property Data'!G$30,0)</f>
        <v/>
      </c>
      <c r="G24" s="9">
        <f>IFERROR(G22/'Property Data'!G$30,0)</f>
        <v/>
      </c>
      <c r="H24" s="9">
        <f>IFERROR(H22/'Property Data'!G$30,0)</f>
        <v/>
      </c>
      <c r="I24" s="9">
        <f>IFERROR(I22/'Property Data'!G$30,0)</f>
        <v/>
      </c>
      <c r="J24" s="9">
        <f>IFERROR(J22/'Property Data'!G$30,0)</f>
        <v/>
      </c>
      <c r="K24" s="9">
        <f>IFERROR(K22/'Property Data'!G$30,0)</f>
        <v/>
      </c>
      <c r="L24" s="9">
        <f>IFERROR(L22/'Property Data'!G$30,0)</f>
        <v/>
      </c>
    </row>
    <row r="26">
      <c r="A26" s="13" t="inlineStr">
        <is>
          <t>CAPITAL COSTS</t>
        </is>
      </c>
    </row>
    <row r="27">
      <c r="A27" s="3" t="inlineStr">
        <is>
          <t>Tenant Improvements &amp; Leasing Commissions</t>
        </is>
      </c>
      <c r="B27" s="5">
        <f>-SUMIFS('Rent Roll'!Y5:Y166,'Rent Roll'!$A$5:$A$166,"Roanoke")</f>
        <v/>
      </c>
      <c r="C27" s="5">
        <f>-SUMIFS('Rent Roll'!Z5:Z166,'Rent Roll'!$A$5:$A$166,"Roanoke")</f>
        <v/>
      </c>
      <c r="D27" s="5">
        <f>-SUMIFS('Rent Roll'!AA5:AA166,'Rent Roll'!$A$5:$A$166,"Roanoke")</f>
        <v/>
      </c>
      <c r="E27" s="5">
        <f>-SUMIFS('Rent Roll'!AB5:AB166,'Rent Roll'!$A$5:$A$166,"Roanoke")</f>
        <v/>
      </c>
      <c r="F27" s="5">
        <f>-SUMIFS('Rent Roll'!AC5:AC166,'Rent Roll'!$A$5:$A$166,"Roanoke")</f>
        <v/>
      </c>
      <c r="G27" s="5">
        <f>-SUMIFS('Rent Roll'!AD5:AD166,'Rent Roll'!$A$5:$A$166,"Roanoke")</f>
        <v/>
      </c>
      <c r="H27" s="5">
        <f>-SUMIFS('Rent Roll'!AE5:AE166,'Rent Roll'!$A$5:$A$166,"Roanoke")</f>
        <v/>
      </c>
      <c r="I27" s="5">
        <f>-SUMIFS('Rent Roll'!AF5:AF166,'Rent Roll'!$A$5:$A$166,"Roanoke")</f>
        <v/>
      </c>
      <c r="J27" s="5">
        <f>-SUMIFS('Rent Roll'!AG5:AG166,'Rent Roll'!$A$5:$A$166,"Roanoke")</f>
        <v/>
      </c>
      <c r="K27" s="5">
        <f>-SUMIFS('Rent Roll'!AH5:AH166,'Rent Roll'!$A$5:$A$166,"Roanoke")</f>
        <v/>
      </c>
      <c r="L27" s="5">
        <f>-SUMIFS('Rent Roll'!AI5:AI166,'Rent Roll'!$A$5:$A$166,"Roanoke")</f>
        <v/>
      </c>
      <c r="M27" s="5">
        <f>SUM(B27:L27)</f>
        <v/>
      </c>
    </row>
    <row r="28">
      <c r="A28" s="3" t="inlineStr">
        <is>
          <t>Capital Reserves</t>
        </is>
      </c>
      <c r="B28" s="5">
        <f>-ReservesPSF*'Property Data'!G$4*(1+CPI)^0</f>
        <v/>
      </c>
      <c r="C28" s="5">
        <f>-ReservesPSF*'Property Data'!G$4*(1+CPI)^1</f>
        <v/>
      </c>
      <c r="D28" s="5">
        <f>-ReservesPSF*'Property Data'!G$4*(1+CPI)^2</f>
        <v/>
      </c>
      <c r="E28" s="5">
        <f>-ReservesPSF*'Property Data'!G$4*(1+CPI)^3</f>
        <v/>
      </c>
      <c r="F28" s="5">
        <f>-ReservesPSF*'Property Data'!G$4*(1+CPI)^4</f>
        <v/>
      </c>
      <c r="G28" s="5">
        <f>-ReservesPSF*'Property Data'!G$4*(1+CPI)^5</f>
        <v/>
      </c>
      <c r="H28" s="5">
        <f>-ReservesPSF*'Property Data'!G$4*(1+CPI)^6</f>
        <v/>
      </c>
      <c r="I28" s="5">
        <f>-ReservesPSF*'Property Data'!G$4*(1+CPI)^7</f>
        <v/>
      </c>
      <c r="J28" s="5">
        <f>-ReservesPSF*'Property Data'!G$4*(1+CPI)^8</f>
        <v/>
      </c>
      <c r="K28" s="5">
        <f>-ReservesPSF*'Property Data'!G$4*(1+CPI)^9</f>
        <v/>
      </c>
      <c r="L28" s="5">
        <f>-ReservesPSF*'Property Data'!G$4*(1+CPI)^10</f>
        <v/>
      </c>
      <c r="M28" s="5">
        <f>SUM(B28:L28)</f>
        <v/>
      </c>
    </row>
    <row r="29">
      <c r="A29" s="14" t="inlineStr">
        <is>
          <t>TOTAL CAPITAL</t>
        </is>
      </c>
      <c r="B29" s="15">
        <f>SUM(B27:B28)</f>
        <v/>
      </c>
      <c r="C29" s="15">
        <f>SUM(C27:C28)</f>
        <v/>
      </c>
      <c r="D29" s="15">
        <f>SUM(D27:D28)</f>
        <v/>
      </c>
      <c r="E29" s="15">
        <f>SUM(E27:E28)</f>
        <v/>
      </c>
      <c r="F29" s="15">
        <f>SUM(F27:F28)</f>
        <v/>
      </c>
      <c r="G29" s="15">
        <f>SUM(G27:G28)</f>
        <v/>
      </c>
      <c r="H29" s="15">
        <f>SUM(H27:H28)</f>
        <v/>
      </c>
      <c r="I29" s="15">
        <f>SUM(I27:I28)</f>
        <v/>
      </c>
      <c r="J29" s="15">
        <f>SUM(J27:J28)</f>
        <v/>
      </c>
      <c r="K29" s="15">
        <f>SUM(K27:K28)</f>
        <v/>
      </c>
      <c r="L29" s="15">
        <f>SUM(L27:L28)</f>
        <v/>
      </c>
      <c r="M29" s="15">
        <f>SUM(B29:L29)</f>
        <v/>
      </c>
    </row>
    <row r="31">
      <c r="A31" s="14" t="inlineStr">
        <is>
          <t>UNLEVERED CASH FLOW</t>
        </is>
      </c>
      <c r="B31" s="8">
        <f>B22+B29</f>
        <v/>
      </c>
      <c r="C31" s="8">
        <f>C22+C29</f>
        <v/>
      </c>
      <c r="D31" s="8">
        <f>D22+D29</f>
        <v/>
      </c>
      <c r="E31" s="8">
        <f>E22+E29</f>
        <v/>
      </c>
      <c r="F31" s="8">
        <f>F22+F29</f>
        <v/>
      </c>
      <c r="G31" s="8">
        <f>G22+G29</f>
        <v/>
      </c>
      <c r="H31" s="8">
        <f>H22+H29</f>
        <v/>
      </c>
      <c r="I31" s="8">
        <f>I22+I29</f>
        <v/>
      </c>
      <c r="J31" s="8">
        <f>J22+J29</f>
        <v/>
      </c>
      <c r="K31" s="8">
        <f>K22+K29</f>
        <v/>
      </c>
      <c r="L31" s="8">
        <f>L22+L29</f>
        <v/>
      </c>
      <c r="M31" s="15">
        <f>SUM(B31:L31)</f>
        <v/>
      </c>
    </row>
    <row r="33">
      <c r="A33" s="13" t="inlineStr">
        <is>
          <t>EXIT</t>
        </is>
      </c>
    </row>
    <row r="34">
      <c r="A34" s="3" t="inlineStr">
        <is>
          <t>Exit Year NOI (next-year method)</t>
        </is>
      </c>
      <c r="B34" s="5">
        <f>INDEX(B22:L22,MIN(11,INT((HoldMonths-1)/12)+2))</f>
        <v/>
      </c>
    </row>
    <row r="35">
      <c r="A35" s="3" t="inlineStr">
        <is>
          <t>Exit Value (Gross)</t>
        </is>
      </c>
      <c r="B35" s="5">
        <f>B34/ExitCap</f>
        <v/>
      </c>
    </row>
    <row r="36">
      <c r="A36" s="3" t="inlineStr">
        <is>
          <t>Exit Value (Net of 2% disp costs)</t>
        </is>
      </c>
      <c r="B36" s="8">
        <f>B35*(1-DispCostPct)</f>
        <v/>
      </c>
    </row>
    <row r="37">
      <c r="A37" s="3" t="inlineStr">
        <is>
          <t>Profit (Net Exit − Allocated Price)</t>
        </is>
      </c>
      <c r="B37" s="8">
        <f>B36-'Property Data'!G30</f>
        <v/>
      </c>
    </row>
    <row r="38">
      <c r="A38" s="3" t="inlineStr">
        <is>
          <t>Exit $/SF</t>
        </is>
      </c>
      <c r="B38" s="10">
        <f>B35/'Property Data'!G4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2026-04-14T21:20:54Z</dcterms:created>
  <dcterms:modified xsi:type="dcterms:W3CDTF">2026-04-14T21:20:54Z</dcterms:modified>
</cp:coreProperties>
</file>