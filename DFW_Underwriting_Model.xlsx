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Property Data" sheetId="2" state="visible" r:id="rId2"/>
    <sheet name="MLA" sheetId="3" state="visible" r:id="rId3"/>
    <sheet name="Rent Roll" sheetId="4" state="visible" r:id="rId4"/>
    <sheet name="Annual CF" sheetId="5" state="visible" r:id="rId5"/>
    <sheet name="Debt" sheetId="6" state="visible" r:id="rId6"/>
    <sheet name="Monthly CF" sheetId="7" state="visible" r:id="rId7"/>
    <sheet name="Summary" sheetId="8" state="visible" r:id="rId8"/>
  </sheets>
  <definedNames>
    <definedName name="AnalysisStart">'Assumptions'!$B5</definedName>
    <definedName name="HoldMonths">'Assumptions'!$B6</definedName>
    <definedName name="ProjMonths">'Assumptions'!$B7</definedName>
    <definedName name="FYEndMonth">'Assumptions'!$B8</definedName>
    <definedName name="GrowthMarketRent">'Assumptions'!$B10</definedName>
    <definedName name="EscalatorInLease">'Assumptions'!$B11</definedName>
    <definedName name="GrowthOpEx">'Assumptions'!$B12</definedName>
    <definedName name="GrowthRETax">'Assumptions'!$B13</definedName>
    <definedName name="CPI">'Assumptions'!$B14</definedName>
    <definedName name="GrowthOther">'Assumptions'!$B15</definedName>
    <definedName name="Retention">'Assumptions'!$B17</definedName>
    <definedName name="LeaseTermMonths">'Assumptions'!$B18</definedName>
    <definedName name="TINew">'Assumptions'!$B19</definedName>
    <definedName name="TIRenewal">'Assumptions'!$B20</definedName>
    <definedName name="LCNew">'Assumptions'!$B21</definedName>
    <definedName name="LCRenewal">'Assumptions'!$B22</definedName>
    <definedName name="DowntimeNew">'Assumptions'!$B23</definedName>
    <definedName name="DowntimeRenewal">'Assumptions'!$B24</definedName>
    <definedName name="FreeRentNew">'Assumptions'!$B25</definedName>
    <definedName name="FreeRentRenewal">'Assumptions'!$B26</definedName>
    <definedName name="GeneralVacancy">'Assumptions'!$B28</definedName>
    <definedName name="CreditLoss">'Assumptions'!$B29</definedName>
    <definedName name="RecoveryPct">'Assumptions'!$B31</definedName>
    <definedName name="MgmtFeePct">'Assumptions'!$B32</definedName>
    <definedName name="ReservesPSF">'Assumptions'!$B33</definedName>
    <definedName name="ReassessTaxes">'Assumptions'!$B35</definedName>
    <definedName name="ParkingRentMonthly">'Assumptions'!$B37</definedName>
    <definedName name="ParkingUtilStab">'Assumptions'!$B38</definedName>
    <definedName name="TURentGrowth">'Assumptions'!$B39</definedName>
    <definedName name="PricingMode">'Assumptions'!$B41</definedName>
    <definedName name="PricePerSF">'Assumptions'!$B42</definedName>
    <definedName name="TargetCap">'Assumptions'!$B43</definedName>
    <definedName name="PricePriceDirect">'Assumptions'!$B44</definedName>
    <definedName name="ExitCap">'Assumptions'!$B45</definedName>
    <definedName name="AcqCostPct">'Assumptions'!$B47</definedName>
    <definedName name="DispCostPct">'Assumptions'!$B48</definedName>
    <definedName name="LTV">'Assumptions'!$B50</definedName>
    <definedName name="SOFR">'Assumptions'!$B51</definedName>
    <definedName name="LoanSpreadBps">'Assumptions'!$B52</definedName>
    <definedName name="LoanRate">'Assumptions'!$B53</definedName>
    <definedName name="LoanTermMonths">'Assumptions'!$B54</definedName>
    <definedName name="LoanIOMonths">'Assumptions'!$B55</definedName>
    <definedName name="LoanAmortMonths">'Assumptions'!$B56</definedName>
    <definedName name="LoanOrigFeePct">'Assumptions'!$B57</definedName>
    <definedName name="WaterfallOn">'Assumptions'!$B59</definedName>
    <definedName name="PrefReturn">'Assumptions'!$B60</definedName>
    <definedName name="Tier1GPSplit">'Assumptions'!$B61</definedName>
    <definedName name="Tier1Hurdle">'Assumptions'!$B62</definedName>
    <definedName name="Tier2GPSplit">'Assumptions'!$B63</definedName>
    <definedName name="Tier2Hurdle">'Assumptions'!$B64</definedName>
    <definedName name="Tier3GPSplit">'Assumptions'!$B65</definedName>
    <definedName name="InPlaceNOI">'Assumptions'!$B67</definedName>
    <definedName name="PortfolioSF">'Assumptions'!$B68</definedName>
    <definedName name="PurchasePrice">'Assumptions'!$B69</definedName>
    <definedName name="PricePerSFImplied">'Assumptions'!$B70</definedName>
    <definedName name="CapInPlace">'Assumptions'!$B71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"/>
    <numFmt numFmtId="165" formatCode="mmm-yyyy"/>
    <numFmt numFmtId="166" formatCode="0.00%;(0.00%);-"/>
    <numFmt numFmtId="167" formatCode="_-$* #,##0.00_-;-$* #,##0.00_-;_-$* &quot;-&quot;??_-;_-@_-"/>
    <numFmt numFmtId="168" formatCode="_-$* #,##0_-;-$* #,##0_-;_-$* &quot;-&quot;_-;_-@_-"/>
    <numFmt numFmtId="169" formatCode="#,##0;(#,##0);-"/>
    <numFmt numFmtId="170" formatCode="#,##0.00;(#,##0.00);-"/>
  </numFmts>
  <fonts count="9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i val="1"/>
      <color rgb="00808080"/>
      <sz val="9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color rgb="000070C0"/>
      <sz val="10"/>
    </font>
    <font>
      <i val="1"/>
      <color rgb="00606060"/>
      <sz val="9"/>
    </font>
    <font>
      <name val="Calibri"/>
      <b val="1"/>
      <color rgb="001F3864"/>
      <sz val="10"/>
    </font>
    <font>
      <name val="Calibri"/>
      <b val="1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4E1"/>
      </patternFill>
    </fill>
    <fill>
      <patternFill patternType="solid">
        <fgColor rgb="00FFFFFF"/>
      </patternFill>
    </fill>
    <fill>
      <patternFill patternType="solid">
        <fgColor rgb="00BDD7EE"/>
      </patternFill>
    </fill>
    <fill>
      <patternFill patternType="solid">
        <fgColor rgb="00FFE69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0" borderId="0" pivotButton="0" quotePrefix="0" xfId="0"/>
    <xf numFmtId="165" fontId="5" fillId="3" borderId="1" pivotButton="0" quotePrefix="0" xfId="0"/>
    <xf numFmtId="0" fontId="6" fillId="0" borderId="0" pivotButton="0" quotePrefix="0" xfId="0"/>
    <xf numFmtId="1" fontId="5" fillId="3" borderId="1" pivotButton="0" quotePrefix="0" xfId="0"/>
    <xf numFmtId="166" fontId="5" fillId="3" borderId="1" pivotButton="0" quotePrefix="0" xfId="0"/>
    <xf numFmtId="167" fontId="5" fillId="3" borderId="1" pivotButton="0" quotePrefix="0" xfId="0"/>
    <xf numFmtId="0" fontId="5" fillId="3" borderId="1" pivotButton="0" quotePrefix="0" xfId="0"/>
    <xf numFmtId="168" fontId="5" fillId="3" borderId="1" pivotButton="0" quotePrefix="0" xfId="0"/>
    <xf numFmtId="166" fontId="4" fillId="4" borderId="1" pivotButton="0" quotePrefix="0" xfId="0"/>
    <xf numFmtId="168" fontId="4" fillId="4" borderId="1" pivotButton="0" quotePrefix="0" xfId="0"/>
    <xf numFmtId="169" fontId="4" fillId="4" borderId="1" pivotButton="0" quotePrefix="0" xfId="0"/>
    <xf numFmtId="167" fontId="4" fillId="4" borderId="1" pivotButton="0" quotePrefix="0" xfId="0"/>
    <xf numFmtId="0" fontId="7" fillId="5" borderId="1" pivotButton="0" quotePrefix="0" xfId="0"/>
    <xf numFmtId="0" fontId="4" fillId="4" borderId="1" pivotButton="0" quotePrefix="0" xfId="0"/>
    <xf numFmtId="169" fontId="8" fillId="7" borderId="1" pivotButton="0" quotePrefix="0" xfId="0"/>
    <xf numFmtId="170" fontId="4" fillId="4" borderId="1" pivotButton="0" quotePrefix="0" xfId="0"/>
    <xf numFmtId="170" fontId="5" fillId="6" borderId="1" pivotButton="0" quotePrefix="0" xfId="0"/>
    <xf numFmtId="170" fontId="8" fillId="7" borderId="1" pivotButton="0" quotePrefix="0" xfId="0"/>
    <xf numFmtId="1" fontId="4" fillId="4" borderId="1" pivotButton="0" quotePrefix="0" xfId="0"/>
    <xf numFmtId="1" fontId="8" fillId="7" borderId="1" pivotButton="0" quotePrefix="0" xfId="0"/>
    <xf numFmtId="1" fontId="5" fillId="6" borderId="1" pivotButton="0" quotePrefix="0" xfId="0"/>
    <xf numFmtId="167" fontId="8" fillId="7" borderId="1" pivotButton="0" quotePrefix="0" xfId="0"/>
    <xf numFmtId="168" fontId="5" fillId="6" borderId="1" pivotButton="0" quotePrefix="0" xfId="0"/>
    <xf numFmtId="168" fontId="8" fillId="7" borderId="1" pivotButton="0" quotePrefix="0" xfId="0"/>
    <xf numFmtId="166" fontId="5" fillId="6" borderId="1" pivotButton="0" quotePrefix="0" xfId="0"/>
    <xf numFmtId="0" fontId="5" fillId="6" borderId="1" pivotButton="0" quotePrefix="0" xfId="0"/>
    <xf numFmtId="0" fontId="7" fillId="5" borderId="1" applyAlignment="1" pivotButton="0" quotePrefix="0" xfId="0">
      <alignment horizontal="center" wrapText="1"/>
    </xf>
    <xf numFmtId="169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model</author>
  </authors>
  <commentList>
    <comment ref="A1" authorId="0" shapeId="0">
      <text>
        <t>MLA data rows 5 to 11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48" customWidth="1" min="3" max="3"/>
  </cols>
  <sheetData>
    <row r="1">
      <c r="A1" s="1" t="inlineStr">
        <is>
          <t>DFW MODERN MULTI-TENANT PORTFOLIO — UNDERWRITING ASSUMPTIONS</t>
        </is>
      </c>
    </row>
    <row r="2">
      <c r="A2" s="2" t="inlineStr">
        <is>
          <t>All yellow cells are user inputs. Orange = estimated (Plano OM incomplete).</t>
        </is>
      </c>
    </row>
    <row r="4">
      <c r="A4" s="3" t="inlineStr">
        <is>
          <t>MODEL TIMING</t>
        </is>
      </c>
      <c r="B4" s="4" t="n"/>
      <c r="C4" s="4" t="n"/>
    </row>
    <row r="5">
      <c r="A5" s="5" t="inlineStr">
        <is>
          <t>Analysis Start Date</t>
        </is>
      </c>
      <c r="B5" s="6" t="n">
        <v>46143</v>
      </c>
      <c r="C5" s="7" t="inlineStr">
        <is>
          <t>May 1, 2026 — matches OM</t>
        </is>
      </c>
    </row>
    <row r="6">
      <c r="A6" s="5" t="inlineStr">
        <is>
          <t>Hold Period (months)</t>
        </is>
      </c>
      <c r="B6" s="8" t="n">
        <v>60</v>
      </c>
      <c r="C6" s="7" t="inlineStr">
        <is>
          <t>5-year hold (matches loan term)</t>
        </is>
      </c>
    </row>
    <row r="7">
      <c r="A7" s="5" t="inlineStr">
        <is>
          <t>Projection Period (months)</t>
        </is>
      </c>
      <c r="B7" s="8" t="n">
        <v>120</v>
      </c>
      <c r="C7" s="7" t="inlineStr">
        <is>
          <t>Always project 10 yrs for exit cap / reversion math</t>
        </is>
      </c>
    </row>
    <row r="8">
      <c r="A8" s="5" t="inlineStr">
        <is>
          <t>Fiscal Year End Month</t>
        </is>
      </c>
      <c r="B8" s="8" t="n">
        <v>4</v>
      </c>
      <c r="C8" s="7" t="inlineStr">
        <is>
          <t>April (matches OM Argus FYE 4/30)</t>
        </is>
      </c>
    </row>
    <row r="9">
      <c r="A9" s="3" t="inlineStr">
        <is>
          <t>GROWTH RATES</t>
        </is>
      </c>
      <c r="B9" s="4" t="n"/>
      <c r="C9" s="4" t="n"/>
    </row>
    <row r="10">
      <c r="A10" s="5" t="inlineStr">
        <is>
          <t>Market Rent Growth</t>
        </is>
      </c>
      <c r="B10" s="9" t="n">
        <v>0.03</v>
      </c>
      <c r="C10" s="7" t="inlineStr">
        <is>
          <t>CBRE/Argus assumption</t>
        </is>
      </c>
    </row>
    <row r="11">
      <c r="A11" s="5" t="inlineStr">
        <is>
          <t>In-Lease Rent Escalator</t>
        </is>
      </c>
      <c r="B11" s="9" t="n">
        <v>0.025</v>
      </c>
      <c r="C11" s="7" t="inlineStr">
        <is>
          <t>Typical 2.5% annual bumps</t>
        </is>
      </c>
    </row>
    <row r="12">
      <c r="A12" s="5" t="inlineStr">
        <is>
          <t>Operating Expense Growth</t>
        </is>
      </c>
      <c r="B12" s="9" t="n">
        <v>0.03</v>
      </c>
      <c r="C12" s="7" t="inlineStr"/>
    </row>
    <row r="13">
      <c r="A13" s="5" t="inlineStr">
        <is>
          <t>RE Tax Growth</t>
        </is>
      </c>
      <c r="B13" s="9" t="n">
        <v>0.03</v>
      </c>
      <c r="C13" s="7" t="inlineStr">
        <is>
          <t>Applied to reassessed base</t>
        </is>
      </c>
    </row>
    <row r="14">
      <c r="A14" s="5" t="inlineStr">
        <is>
          <t>CPI</t>
        </is>
      </c>
      <c r="B14" s="9" t="n">
        <v>0.03</v>
      </c>
      <c r="C14" s="7" t="inlineStr"/>
    </row>
    <row r="15">
      <c r="A15" s="5" t="inlineStr">
        <is>
          <t>Other Revenue Growth</t>
        </is>
      </c>
      <c r="B15" s="9" t="n">
        <v>0.03</v>
      </c>
      <c r="C15" s="7" t="inlineStr">
        <is>
          <t>Ancillary income</t>
        </is>
      </c>
    </row>
    <row r="16">
      <c r="A16" s="3" t="inlineStr">
        <is>
          <t>LEASING ASSUMPTIONS (PORTFOLIO DEFAULTS — overrideable on MLA tab)</t>
        </is>
      </c>
      <c r="B16" s="4" t="n"/>
      <c r="C16" s="4" t="n"/>
    </row>
    <row r="17">
      <c r="A17" s="5" t="inlineStr">
        <is>
          <t>Renewal Probability (Retention)</t>
        </is>
      </c>
      <c r="B17" s="9" t="n">
        <v>0.75</v>
      </c>
      <c r="C17" s="7" t="inlineStr">
        <is>
          <t>CBRE default 75%</t>
        </is>
      </c>
    </row>
    <row r="18">
      <c r="A18" s="5" t="inlineStr">
        <is>
          <t>New Lease Term (months)</t>
        </is>
      </c>
      <c r="B18" s="8" t="n">
        <v>42</v>
      </c>
      <c r="C18" s="7" t="inlineStr">
        <is>
          <t>3 yrs 6 months</t>
        </is>
      </c>
    </row>
    <row r="19">
      <c r="A19" s="5" t="inlineStr">
        <is>
          <t>TI — New ($/SF)</t>
        </is>
      </c>
      <c r="B19" s="10" t="n">
        <v>1.5</v>
      </c>
      <c r="C19" s="7" t="inlineStr"/>
    </row>
    <row r="20">
      <c r="A20" s="5" t="inlineStr">
        <is>
          <t>TI — Renewal ($/SF)</t>
        </is>
      </c>
      <c r="B20" s="10" t="n">
        <v>0</v>
      </c>
      <c r="C20" s="7" t="inlineStr"/>
    </row>
    <row r="21">
      <c r="A21" s="5" t="inlineStr">
        <is>
          <t>LC — New (% of base rent)</t>
        </is>
      </c>
      <c r="B21" s="9" t="n">
        <v>0.0675</v>
      </c>
      <c r="C21" s="7" t="inlineStr"/>
    </row>
    <row r="22">
      <c r="A22" s="5" t="inlineStr">
        <is>
          <t>LC — Renewal (%)</t>
        </is>
      </c>
      <c r="B22" s="9" t="n">
        <v>0.0325</v>
      </c>
      <c r="C22" s="7" t="inlineStr"/>
    </row>
    <row r="23">
      <c r="A23" s="5" t="inlineStr">
        <is>
          <t>Downtime — New (months)</t>
        </is>
      </c>
      <c r="B23" s="8" t="n">
        <v>3</v>
      </c>
      <c r="C23" s="7" t="inlineStr"/>
    </row>
    <row r="24">
      <c r="A24" s="5" t="inlineStr">
        <is>
          <t>Downtime — Renewal (months)</t>
        </is>
      </c>
      <c r="B24" s="8" t="n">
        <v>0</v>
      </c>
      <c r="C24" s="7" t="inlineStr">
        <is>
          <t>Typically zero</t>
        </is>
      </c>
    </row>
    <row r="25">
      <c r="A25" s="5" t="inlineStr">
        <is>
          <t>Free Rent — New (months)</t>
        </is>
      </c>
      <c r="B25" s="8" t="n">
        <v>0</v>
      </c>
      <c r="C25" s="7" t="inlineStr"/>
    </row>
    <row r="26">
      <c r="A26" s="5" t="inlineStr">
        <is>
          <t>Free Rent — Renewal (months)</t>
        </is>
      </c>
      <c r="B26" s="8" t="n">
        <v>0</v>
      </c>
      <c r="C26" s="7" t="inlineStr"/>
    </row>
    <row r="27">
      <c r="A27" s="3" t="inlineStr">
        <is>
          <t>VACANCY &amp; CREDIT</t>
        </is>
      </c>
      <c r="B27" s="4" t="n"/>
      <c r="C27" s="4" t="n"/>
    </row>
    <row r="28">
      <c r="A28" s="5" t="inlineStr">
        <is>
          <t>General Vacancy</t>
        </is>
      </c>
      <c r="B28" s="9" t="n">
        <v>0.02</v>
      </c>
      <c r="C28" s="7" t="inlineStr">
        <is>
          <t>Beyond lease-up vacancy</t>
        </is>
      </c>
    </row>
    <row r="29">
      <c r="A29" s="5" t="inlineStr">
        <is>
          <t>Credit Loss</t>
        </is>
      </c>
      <c r="B29" s="9" t="n">
        <v>0.01</v>
      </c>
      <c r="C29" s="7" t="inlineStr"/>
    </row>
    <row r="30">
      <c r="A30" s="3" t="inlineStr">
        <is>
          <t>REIMBURSEMENTS &amp; MANAGEMENT</t>
        </is>
      </c>
      <c r="B30" s="4" t="n"/>
      <c r="C30" s="4" t="n"/>
    </row>
    <row r="31">
      <c r="A31" s="5" t="inlineStr">
        <is>
          <t>Recovery % (NNN Pass-through)</t>
        </is>
      </c>
      <c r="B31" s="9" t="n">
        <v>1</v>
      </c>
      <c r="C31" s="7" t="inlineStr">
        <is>
          <t>100% NNN all leases</t>
        </is>
      </c>
    </row>
    <row r="32">
      <c r="A32" s="5" t="inlineStr">
        <is>
          <t>Management Fee (% of EGR)</t>
        </is>
      </c>
      <c r="B32" s="9" t="n">
        <v>0.04</v>
      </c>
      <c r="C32" s="7" t="inlineStr">
        <is>
          <t>4% per OM; 5% cap per lease</t>
        </is>
      </c>
    </row>
    <row r="33">
      <c r="A33" s="5" t="inlineStr">
        <is>
          <t>Capital Reserves ($/SF)</t>
        </is>
      </c>
      <c r="B33" s="10" t="n">
        <v>0.2</v>
      </c>
      <c r="C33" s="7" t="inlineStr"/>
    </row>
    <row r="34">
      <c r="A34" s="3" t="inlineStr">
        <is>
          <t>REAL ESTATE TAXES</t>
        </is>
      </c>
      <c r="B34" s="4" t="n"/>
      <c r="C34" s="4" t="n"/>
    </row>
    <row r="35">
      <c r="A35" s="5" t="inlineStr">
        <is>
          <t>Reassess Taxes at Purchase?</t>
        </is>
      </c>
      <c r="B35" s="11" t="b">
        <v>1</v>
      </c>
      <c r="C35" s="7" t="inlineStr">
        <is>
          <t>TRUE = taxes reset to Purchase Price × millage</t>
        </is>
      </c>
    </row>
    <row r="36">
      <c r="A36" s="3" t="inlineStr">
        <is>
          <t>ANCILLARY INCOME</t>
        </is>
      </c>
      <c r="B36" s="4" t="n"/>
      <c r="C36" s="4" t="n"/>
    </row>
    <row r="37">
      <c r="A37" s="5" t="inlineStr">
        <is>
          <t>Parking Rent $/Stall/Month (new)</t>
        </is>
      </c>
      <c r="B37" s="12" t="n">
        <v>165</v>
      </c>
      <c r="C37" s="7" t="inlineStr">
        <is>
          <t>Secured parking</t>
        </is>
      </c>
    </row>
    <row r="38">
      <c r="A38" s="5" t="inlineStr">
        <is>
          <t>Parking Stabilized Utilization</t>
        </is>
      </c>
      <c r="B38" s="9" t="n">
        <v>0.9</v>
      </c>
      <c r="C38" s="7" t="inlineStr">
        <is>
          <t>Target year 3+</t>
        </is>
      </c>
    </row>
    <row r="39">
      <c r="A39" s="5" t="inlineStr">
        <is>
          <t>Tenant Upgrade Rent Growth</t>
        </is>
      </c>
      <c r="B39" s="9" t="n">
        <v>0.025</v>
      </c>
      <c r="C39" s="7" t="inlineStr"/>
    </row>
    <row r="40">
      <c r="A40" s="3" t="inlineStr">
        <is>
          <t>PRICING</t>
        </is>
      </c>
      <c r="B40" s="4" t="n"/>
      <c r="C40" s="4" t="n"/>
    </row>
    <row r="41">
      <c r="A41" s="5" t="inlineStr">
        <is>
          <t>Pricing Mode</t>
        </is>
      </c>
      <c r="B41" s="11" t="inlineStr">
        <is>
          <t>price_psf</t>
        </is>
      </c>
      <c r="C41" s="7" t="inlineStr">
        <is>
          <t>price_psf | cap_on_inplace | cap_on_y1 | price_direct</t>
        </is>
      </c>
    </row>
    <row r="42">
      <c r="A42" s="5" t="inlineStr">
        <is>
          <t>Price per SF (Mode: price_psf)</t>
        </is>
      </c>
      <c r="B42" s="10" t="n">
        <v>250</v>
      </c>
      <c r="C42" s="7" t="inlineStr">
        <is>
          <t>Broker guidance $250/SF</t>
        </is>
      </c>
    </row>
    <row r="43">
      <c r="A43" s="5" t="inlineStr">
        <is>
          <t>Going-In Cap Rate (Mode: cap_on_*)</t>
        </is>
      </c>
      <c r="B43" s="9" t="n">
        <v>0.08</v>
      </c>
      <c r="C43" s="7" t="inlineStr">
        <is>
          <t>User spec: 8% on in-place NOI</t>
        </is>
      </c>
    </row>
    <row r="44">
      <c r="A44" s="5" t="inlineStr">
        <is>
          <t>Purchase Price Direct Input</t>
        </is>
      </c>
      <c r="B44" s="12" t="n">
        <v>107637500</v>
      </c>
      <c r="C44" s="7" t="inlineStr">
        <is>
          <t>Only used if Mode = price_direct</t>
        </is>
      </c>
    </row>
    <row r="45">
      <c r="A45" s="5" t="inlineStr">
        <is>
          <t>Exit Cap Rate</t>
        </is>
      </c>
      <c r="B45" s="9" t="n">
        <v>0.065</v>
      </c>
      <c r="C45" s="7" t="inlineStr">
        <is>
          <t>User spec: 6.5%</t>
        </is>
      </c>
    </row>
    <row r="46">
      <c r="A46" s="3" t="inlineStr">
        <is>
          <t>TRANSACTION COSTS</t>
        </is>
      </c>
      <c r="B46" s="4" t="n"/>
      <c r="C46" s="4" t="n"/>
    </row>
    <row r="47">
      <c r="A47" s="5" t="inlineStr">
        <is>
          <t>Acquisition Closing Costs %</t>
        </is>
      </c>
      <c r="B47" s="9" t="n">
        <v>0.02</v>
      </c>
      <c r="C47" s="7" t="inlineStr">
        <is>
          <t>User spec: 2%</t>
        </is>
      </c>
    </row>
    <row r="48">
      <c r="A48" s="5" t="inlineStr">
        <is>
          <t>Disposition Closing Costs %</t>
        </is>
      </c>
      <c r="B48" s="9" t="n">
        <v>0.02</v>
      </c>
      <c r="C48" s="7" t="inlineStr">
        <is>
          <t>User spec: 2%</t>
        </is>
      </c>
    </row>
    <row r="49">
      <c r="A49" s="3" t="inlineStr">
        <is>
          <t>DEBT (BANK FLOATING — USER SPEC)</t>
        </is>
      </c>
      <c r="B49" s="4" t="n"/>
      <c r="C49" s="4" t="n"/>
    </row>
    <row r="50">
      <c r="A50" s="5" t="inlineStr">
        <is>
          <t>Loan-to-Value (LTV)</t>
        </is>
      </c>
      <c r="B50" s="9" t="n">
        <v>0.7</v>
      </c>
      <c r="C50" s="7" t="inlineStr">
        <is>
          <t>70% per user</t>
        </is>
      </c>
    </row>
    <row r="51">
      <c r="A51" s="5" t="inlineStr">
        <is>
          <t>SOFR Rate</t>
        </is>
      </c>
      <c r="B51" s="9" t="n">
        <v>0.043</v>
      </c>
      <c r="C51" s="7" t="inlineStr">
        <is>
          <t>Editable — current ~4.3%</t>
        </is>
      </c>
    </row>
    <row r="52">
      <c r="A52" s="5" t="inlineStr">
        <is>
          <t>Loan Spread (bps)</t>
        </is>
      </c>
      <c r="B52" s="8" t="n">
        <v>300</v>
      </c>
      <c r="C52" s="7" t="inlineStr">
        <is>
          <t>300 bps per user</t>
        </is>
      </c>
    </row>
    <row r="53">
      <c r="A53" s="5" t="inlineStr">
        <is>
          <t>All-In Loan Rate</t>
        </is>
      </c>
      <c r="B53" s="13">
        <f>SOFR+LoanSpreadBps/10000</f>
        <v/>
      </c>
      <c r="C53" s="7">
        <f> SOFR + Spread</f>
        <v/>
      </c>
    </row>
    <row r="54">
      <c r="A54" s="5" t="inlineStr">
        <is>
          <t>Loan Term (months)</t>
        </is>
      </c>
      <c r="B54" s="8" t="n">
        <v>60</v>
      </c>
      <c r="C54" s="7" t="inlineStr">
        <is>
          <t>60 months (5-yr)</t>
        </is>
      </c>
    </row>
    <row r="55">
      <c r="A55" s="5" t="inlineStr">
        <is>
          <t>Interest-Only Period (months)</t>
        </is>
      </c>
      <c r="B55" s="8" t="n">
        <v>24</v>
      </c>
      <c r="C55" s="7" t="inlineStr"/>
    </row>
    <row r="56">
      <c r="A56" s="5" t="inlineStr">
        <is>
          <t>Amortization (months)</t>
        </is>
      </c>
      <c r="B56" s="8" t="n">
        <v>360</v>
      </c>
      <c r="C56" s="7" t="inlineStr">
        <is>
          <t>30-yr amort</t>
        </is>
      </c>
    </row>
    <row r="57">
      <c r="A57" s="5" t="inlineStr">
        <is>
          <t>Origination Fee %</t>
        </is>
      </c>
      <c r="B57" s="9" t="n">
        <v>0.0075</v>
      </c>
      <c r="C57" s="7" t="inlineStr">
        <is>
          <t>75 bps typical bank</t>
        </is>
      </c>
    </row>
    <row r="58">
      <c r="A58" s="3" t="inlineStr">
        <is>
          <t>WATERFALL (RESERVED — enable later)</t>
        </is>
      </c>
      <c r="B58" s="4" t="n"/>
      <c r="C58" s="4" t="n"/>
    </row>
    <row r="59">
      <c r="A59" s="5" t="inlineStr">
        <is>
          <t>Waterfall Enabled?</t>
        </is>
      </c>
      <c r="B59" s="11" t="b">
        <v>0</v>
      </c>
      <c r="C59" s="7" t="inlineStr">
        <is>
          <t>Deal-level returns only for now</t>
        </is>
      </c>
    </row>
    <row r="60">
      <c r="A60" s="5" t="inlineStr">
        <is>
          <t>Preferred Return</t>
        </is>
      </c>
      <c r="B60" s="9" t="n">
        <v>0.08</v>
      </c>
      <c r="C60" s="7" t="inlineStr"/>
    </row>
    <row r="61">
      <c r="A61" s="5" t="inlineStr">
        <is>
          <t>Tier 1 GP Split (to 15% IRR)</t>
        </is>
      </c>
      <c r="B61" s="9" t="n">
        <v>0.2</v>
      </c>
      <c r="C61" s="7" t="inlineStr"/>
    </row>
    <row r="62">
      <c r="A62" s="5" t="inlineStr">
        <is>
          <t>Tier 1 IRR Hurdle</t>
        </is>
      </c>
      <c r="B62" s="9" t="n">
        <v>0.15</v>
      </c>
      <c r="C62" s="7" t="inlineStr"/>
    </row>
    <row r="63">
      <c r="A63" s="5" t="inlineStr">
        <is>
          <t>Tier 2 GP Split (to 20% IRR)</t>
        </is>
      </c>
      <c r="B63" s="9" t="n">
        <v>0.3</v>
      </c>
      <c r="C63" s="7" t="inlineStr"/>
    </row>
    <row r="64">
      <c r="A64" s="5" t="inlineStr">
        <is>
          <t>Tier 2 IRR Hurdle</t>
        </is>
      </c>
      <c r="B64" s="9" t="n">
        <v>0.2</v>
      </c>
      <c r="C64" s="7" t="inlineStr"/>
    </row>
    <row r="65">
      <c r="A65" s="5" t="inlineStr">
        <is>
          <t>Tier 3 GP Split (above)</t>
        </is>
      </c>
      <c r="B65" s="9" t="n">
        <v>0.4</v>
      </c>
      <c r="C65" s="7" t="inlineStr"/>
    </row>
    <row r="66">
      <c r="A66" s="3" t="inlineStr">
        <is>
          <t>DERIVED PRICING (calculated)</t>
        </is>
      </c>
      <c r="B66" s="4" t="n"/>
      <c r="C66" s="4" t="n"/>
    </row>
    <row r="67">
      <c r="A67" s="5" t="inlineStr">
        <is>
          <t>In-Place NOI (Portfolio)</t>
        </is>
      </c>
      <c r="B67" s="14">
        <f>SUM('Property Data'!B18:G18)</f>
        <v/>
      </c>
      <c r="C67" s="7" t="inlineStr">
        <is>
          <t>Sum across 6 properties</t>
        </is>
      </c>
    </row>
    <row r="68">
      <c r="A68" s="5" t="inlineStr">
        <is>
          <t>Portfolio SF</t>
        </is>
      </c>
      <c r="B68" s="15">
        <f>SUM('Property Data'!B4:G4)</f>
        <v/>
      </c>
      <c r="C68" s="7" t="inlineStr"/>
    </row>
    <row r="69">
      <c r="A69" s="5" t="inlineStr">
        <is>
          <t>Purchase Price</t>
        </is>
      </c>
      <c r="B69" s="14">
        <f>IF(PricingMode="price_psf",PricePerSF*PortfolioSF,IF(PricingMode="cap_on_inplace",InPlaceNOI/TargetCap,IF(PricingMode="cap_on_y1",'Annual CF'!C24/TargetCap,PricePriceDirect)))</f>
        <v/>
      </c>
      <c r="C69" s="7" t="inlineStr">
        <is>
          <t>Resolves based on Pricing Mode</t>
        </is>
      </c>
    </row>
    <row r="70">
      <c r="A70" s="5" t="inlineStr">
        <is>
          <t>Price per SF (implied)</t>
        </is>
      </c>
      <c r="B70" s="16">
        <f>PurchasePrice/PortfolioSF</f>
        <v/>
      </c>
      <c r="C70" s="7" t="inlineStr"/>
    </row>
    <row r="71">
      <c r="A71" s="5" t="inlineStr">
        <is>
          <t>Going-In Cap (on In-Place NOI)</t>
        </is>
      </c>
      <c r="B71" s="13">
        <f>InPlaceNOI/PurchasePrice</f>
        <v/>
      </c>
      <c r="C71" s="7" t="inlineStr"/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</cols>
  <sheetData>
    <row r="1">
      <c r="A1" s="1" t="inlineStr">
        <is>
          <t>PROPERTY DATA</t>
        </is>
      </c>
    </row>
    <row r="2">
      <c r="B2" s="17" t="inlineStr">
        <is>
          <t>Carrollton</t>
        </is>
      </c>
      <c r="C2" s="17" t="inlineStr">
        <is>
          <t>Frisco</t>
        </is>
      </c>
      <c r="D2" s="17" t="inlineStr">
        <is>
          <t>Lewisville</t>
        </is>
      </c>
      <c r="E2" s="17" t="inlineStr">
        <is>
          <t>Mesquite</t>
        </is>
      </c>
      <c r="F2" s="17" t="inlineStr">
        <is>
          <t>Plano</t>
        </is>
      </c>
      <c r="G2" s="17" t="inlineStr">
        <is>
          <t>Roanoke</t>
        </is>
      </c>
      <c r="H2" s="17" t="inlineStr">
        <is>
          <t>Portfolio</t>
        </is>
      </c>
    </row>
    <row r="3">
      <c r="A3" s="5" t="inlineStr">
        <is>
          <t>Property ID</t>
        </is>
      </c>
      <c r="B3" s="18" t="inlineStr">
        <is>
          <t>CAR</t>
        </is>
      </c>
      <c r="C3" s="18" t="inlineStr">
        <is>
          <t>FRI</t>
        </is>
      </c>
      <c r="D3" s="18" t="inlineStr">
        <is>
          <t>LEW</t>
        </is>
      </c>
      <c r="E3" s="18" t="inlineStr">
        <is>
          <t>MES</t>
        </is>
      </c>
      <c r="F3" s="18" t="inlineStr">
        <is>
          <t>PLA</t>
        </is>
      </c>
      <c r="G3" s="18" t="inlineStr">
        <is>
          <t>ROA</t>
        </is>
      </c>
    </row>
    <row r="4">
      <c r="A4" s="5" t="inlineStr">
        <is>
          <t>Total SF</t>
        </is>
      </c>
      <c r="B4" s="15" t="n">
        <v>101855</v>
      </c>
      <c r="C4" s="15" t="n">
        <v>74600</v>
      </c>
      <c r="D4" s="15" t="n">
        <v>69500</v>
      </c>
      <c r="E4" s="15" t="n">
        <v>50750</v>
      </c>
      <c r="F4" s="15" t="n">
        <v>82250</v>
      </c>
      <c r="G4" s="15" t="n">
        <v>51595</v>
      </c>
      <c r="H4" s="19">
        <f>SUM(B4:G4)</f>
        <v/>
      </c>
    </row>
    <row r="5">
      <c r="A5" s="5" t="inlineStr">
        <is>
          <t>Office SF</t>
        </is>
      </c>
      <c r="B5" s="15" t="n">
        <v>43046</v>
      </c>
      <c r="C5" s="15" t="n">
        <v>37300</v>
      </c>
      <c r="D5" s="15" t="n">
        <v>31960</v>
      </c>
      <c r="E5" s="15" t="n">
        <v>21225</v>
      </c>
      <c r="F5" s="15" t="n">
        <v>41125</v>
      </c>
      <c r="G5" s="15" t="n">
        <v>18465</v>
      </c>
      <c r="H5" s="19">
        <f>SUM(B5:G5)</f>
        <v/>
      </c>
    </row>
    <row r="6">
      <c r="A6" s="5" t="inlineStr">
        <is>
          <t>Office %</t>
        </is>
      </c>
      <c r="B6" s="13" t="n">
        <v>0.42</v>
      </c>
      <c r="C6" s="13" t="n">
        <v>0.5</v>
      </c>
      <c r="D6" s="13" t="n">
        <v>0.46</v>
      </c>
      <c r="E6" s="13" t="n">
        <v>0.42</v>
      </c>
      <c r="F6" s="13" t="n">
        <v>0.5</v>
      </c>
      <c r="G6" s="13" t="n">
        <v>0.36</v>
      </c>
    </row>
    <row r="7">
      <c r="A7" s="5" t="inlineStr">
        <is>
          <t>Land Acres</t>
        </is>
      </c>
      <c r="B7" s="20" t="n">
        <v>7.47</v>
      </c>
      <c r="C7" s="20" t="n">
        <v>5.16</v>
      </c>
      <c r="D7" s="20" t="n">
        <v>4.5</v>
      </c>
      <c r="E7" s="20" t="n">
        <v>3.45</v>
      </c>
      <c r="F7" s="21" t="n">
        <v>5.5</v>
      </c>
      <c r="G7" s="20" t="n">
        <v>3.25</v>
      </c>
      <c r="H7" s="22">
        <f>SUM(B7:G7)</f>
        <v/>
      </c>
    </row>
    <row r="8">
      <c r="A8" s="5" t="inlineStr">
        <is>
          <t># Buildings</t>
        </is>
      </c>
      <c r="B8" s="23" t="n">
        <v>4</v>
      </c>
      <c r="C8" s="23" t="n">
        <v>3</v>
      </c>
      <c r="D8" s="23" t="n">
        <v>3</v>
      </c>
      <c r="E8" s="23" t="n">
        <v>2</v>
      </c>
      <c r="F8" s="23" t="n">
        <v>3</v>
      </c>
      <c r="G8" s="23" t="n">
        <v>2</v>
      </c>
      <c r="H8" s="24">
        <f>SUM(B8:G8)</f>
        <v/>
      </c>
    </row>
    <row r="9">
      <c r="A9" s="5" t="inlineStr">
        <is>
          <t># Units</t>
        </is>
      </c>
      <c r="B9" s="23" t="n">
        <v>36</v>
      </c>
      <c r="C9" s="23" t="n">
        <v>28</v>
      </c>
      <c r="D9" s="23" t="n">
        <v>28</v>
      </c>
      <c r="E9" s="23" t="n">
        <v>22</v>
      </c>
      <c r="F9" s="23" t="n">
        <v>30</v>
      </c>
      <c r="G9" s="23" t="n">
        <v>18</v>
      </c>
      <c r="H9" s="24">
        <f>SUM(B9:G9)</f>
        <v/>
      </c>
    </row>
    <row r="10">
      <c r="A10" s="5" t="inlineStr">
        <is>
          <t>Year Built</t>
        </is>
      </c>
      <c r="B10" s="23" t="n">
        <v>2023</v>
      </c>
      <c r="C10" s="23" t="n">
        <v>2024</v>
      </c>
      <c r="D10" s="23" t="n">
        <v>2023</v>
      </c>
      <c r="E10" s="23" t="n">
        <v>2022</v>
      </c>
      <c r="F10" s="23" t="n">
        <v>2023</v>
      </c>
      <c r="G10" s="23" t="n">
        <v>2025</v>
      </c>
      <c r="H10" s="24">
        <f>SUM(B10:G10)</f>
        <v/>
      </c>
    </row>
    <row r="11">
      <c r="A11" s="5" t="inlineStr">
        <is>
          <t>Parking Spaces</t>
        </is>
      </c>
      <c r="B11" s="23" t="n">
        <v>192</v>
      </c>
      <c r="C11" s="23" t="n">
        <v>161</v>
      </c>
      <c r="D11" s="23" t="n">
        <v>127</v>
      </c>
      <c r="E11" s="23" t="n">
        <v>138</v>
      </c>
      <c r="F11" s="25" t="n">
        <v>178</v>
      </c>
      <c r="G11" s="23" t="n">
        <v>131</v>
      </c>
      <c r="H11" s="24">
        <f>SUM(B11:G11)</f>
        <v/>
      </c>
    </row>
    <row r="12">
      <c r="A12" s="5" t="inlineStr">
        <is>
          <t>Secured Parking</t>
        </is>
      </c>
      <c r="B12" s="23" t="n">
        <v>41</v>
      </c>
      <c r="C12" s="23" t="n">
        <v>25</v>
      </c>
      <c r="D12" s="23" t="n">
        <v>25</v>
      </c>
      <c r="E12" s="23" t="n">
        <v>32</v>
      </c>
      <c r="F12" s="25" t="n">
        <v>30</v>
      </c>
      <c r="G12" s="23" t="n">
        <v>22</v>
      </c>
      <c r="H12" s="24">
        <f>SUM(B12:G12)</f>
        <v/>
      </c>
    </row>
    <row r="13">
      <c r="A13" s="5" t="inlineStr">
        <is>
          <t>Market Rent — Shop ($/SF)</t>
        </is>
      </c>
      <c r="B13" s="10" t="n">
        <v>18</v>
      </c>
      <c r="C13" s="10" t="n">
        <v>19</v>
      </c>
      <c r="D13" s="10" t="n">
        <v>18</v>
      </c>
      <c r="E13" s="10" t="n">
        <v>16</v>
      </c>
      <c r="F13" s="10" t="n">
        <v>19</v>
      </c>
      <c r="G13" s="10" t="n">
        <v>17</v>
      </c>
      <c r="H13" s="26">
        <f>SUM(B13:G13)</f>
        <v/>
      </c>
    </row>
    <row r="14">
      <c r="A14" s="5" t="inlineStr">
        <is>
          <t>Market Rent — Studio ($/SF)</t>
        </is>
      </c>
      <c r="B14" s="10" t="n">
        <v>16</v>
      </c>
      <c r="C14" s="10" t="n">
        <v>19</v>
      </c>
      <c r="D14" s="10" t="n">
        <v>18</v>
      </c>
      <c r="E14" s="10" t="n">
        <v>16</v>
      </c>
      <c r="F14" s="10" t="n">
        <v>19</v>
      </c>
      <c r="G14" s="10" t="n">
        <v>17</v>
      </c>
      <c r="H14" s="26">
        <f>SUM(B14:G14)</f>
        <v/>
      </c>
    </row>
    <row r="15">
      <c r="A15" s="5" t="inlineStr">
        <is>
          <t>2025 Assessed Value</t>
        </is>
      </c>
      <c r="B15" s="12" t="n">
        <v>17500000</v>
      </c>
      <c r="C15" s="12" t="n">
        <v>13174536</v>
      </c>
      <c r="D15" s="12" t="n">
        <v>10800000</v>
      </c>
      <c r="E15" s="12" t="n">
        <v>6168340</v>
      </c>
      <c r="F15" s="27" t="n">
        <v>14500000</v>
      </c>
      <c r="G15" s="12" t="n">
        <v>8839548</v>
      </c>
      <c r="H15" s="28">
        <f>SUM(B15:G15)</f>
        <v/>
      </c>
    </row>
    <row r="16">
      <c r="A16" s="5" t="inlineStr">
        <is>
          <t>Millage Rate</t>
        </is>
      </c>
      <c r="B16" s="9" t="n">
        <v>0.02059675</v>
      </c>
      <c r="C16" s="9" t="n">
        <v>0.0167548</v>
      </c>
      <c r="D16" s="9" t="n">
        <v>0.01722747</v>
      </c>
      <c r="E16" s="9" t="n">
        <v>0.02345667</v>
      </c>
      <c r="F16" s="29" t="n">
        <v>0.02</v>
      </c>
      <c r="G16" s="9" t="n">
        <v>0.0159622</v>
      </c>
    </row>
    <row r="17">
      <c r="A17" s="5" t="inlineStr">
        <is>
          <t>Parcel</t>
        </is>
      </c>
      <c r="B17" s="18" t="inlineStr">
        <is>
          <t>Dallas CAD #140067300A01R0000</t>
        </is>
      </c>
      <c r="C17" s="18" t="inlineStr">
        <is>
          <t>Collin CAD #2761885</t>
        </is>
      </c>
      <c r="D17" s="18" t="inlineStr">
        <is>
          <t>Denton CAD #983656</t>
        </is>
      </c>
      <c r="E17" s="18" t="inlineStr">
        <is>
          <t>Dallas CAD #380215100D0060000</t>
        </is>
      </c>
      <c r="F17" s="30" t="inlineStr">
        <is>
          <t>ESTIMATED — confirm with seller</t>
        </is>
      </c>
      <c r="G17" s="18" t="inlineStr">
        <is>
          <t>Denton CAD #742232, #742233, #742235</t>
        </is>
      </c>
    </row>
    <row r="18">
      <c r="A18" s="5" t="inlineStr">
        <is>
          <t>In-Place NOI (OM)</t>
        </is>
      </c>
      <c r="B18" s="12" t="n">
        <v>1581944</v>
      </c>
      <c r="C18" s="12" t="n">
        <v>1365615</v>
      </c>
      <c r="D18" s="12" t="n">
        <v>1189505</v>
      </c>
      <c r="E18" s="12" t="n">
        <v>455529</v>
      </c>
      <c r="F18" s="27" t="n">
        <v>1318936</v>
      </c>
      <c r="G18" s="12" t="n">
        <v>366683</v>
      </c>
      <c r="H18" s="28">
        <f>SUM(B18:G18)</f>
        <v/>
      </c>
    </row>
    <row r="19">
      <c r="A19" s="5" t="inlineStr">
        <is>
          <t>FY27 NOI (OM Proforma)</t>
        </is>
      </c>
      <c r="B19" s="14" t="n">
        <v>1723687</v>
      </c>
      <c r="C19" s="14" t="n">
        <v>1376978</v>
      </c>
      <c r="D19" s="14" t="n">
        <v>1187939</v>
      </c>
      <c r="E19" s="14" t="n">
        <v>682764</v>
      </c>
      <c r="F19" s="27" t="n">
        <v>1400000</v>
      </c>
      <c r="G19" s="14" t="n">
        <v>803301</v>
      </c>
      <c r="H19" s="28">
        <f>SUM(B19:G19)</f>
        <v/>
      </c>
    </row>
    <row r="20">
      <c r="A20" s="5" t="inlineStr">
        <is>
          <t>FY27 CAM</t>
        </is>
      </c>
      <c r="B20" s="12" t="n">
        <v>238800</v>
      </c>
      <c r="C20" s="12" t="n">
        <v>169748</v>
      </c>
      <c r="D20" s="12" t="n">
        <v>166856</v>
      </c>
      <c r="E20" s="12" t="n">
        <v>127914</v>
      </c>
      <c r="F20" s="27" t="n">
        <v>187130</v>
      </c>
      <c r="G20" s="12" t="n">
        <v>110358</v>
      </c>
      <c r="H20" s="28">
        <f>SUM(B20:G20)</f>
        <v/>
      </c>
    </row>
    <row r="21">
      <c r="A21" s="5" t="inlineStr">
        <is>
          <t>FY27 Utilities</t>
        </is>
      </c>
      <c r="B21" s="12" t="n">
        <v>118489</v>
      </c>
      <c r="C21" s="12" t="n">
        <v>81730</v>
      </c>
      <c r="D21" s="12" t="n">
        <v>91790</v>
      </c>
      <c r="E21" s="12" t="n">
        <v>46757</v>
      </c>
      <c r="F21" s="27" t="n">
        <v>90000</v>
      </c>
      <c r="G21" s="12" t="n">
        <v>103125</v>
      </c>
      <c r="H21" s="28">
        <f>SUM(B21:G21)</f>
        <v/>
      </c>
    </row>
    <row r="22">
      <c r="A22" s="5" t="inlineStr">
        <is>
          <t>FY27 Management Fee</t>
        </is>
      </c>
      <c r="B22" s="12" t="n">
        <v>105166</v>
      </c>
      <c r="C22" s="12" t="n">
        <v>80187</v>
      </c>
      <c r="D22" s="12" t="n">
        <v>70523</v>
      </c>
      <c r="E22" s="12" t="n">
        <v>43482</v>
      </c>
      <c r="F22" s="27" t="n">
        <v>88000</v>
      </c>
      <c r="G22" s="12" t="n">
        <v>50335</v>
      </c>
      <c r="H22" s="28">
        <f>SUM(B22:G22)</f>
        <v/>
      </c>
    </row>
    <row r="23">
      <c r="A23" s="5" t="inlineStr">
        <is>
          <t>FY27 Insurance</t>
        </is>
      </c>
      <c r="B23" s="12" t="n">
        <v>78963</v>
      </c>
      <c r="C23" s="12" t="n">
        <v>73087</v>
      </c>
      <c r="D23" s="12" t="n">
        <v>58043</v>
      </c>
      <c r="E23" s="12" t="n">
        <v>39986</v>
      </c>
      <c r="F23" s="27" t="n">
        <v>80650</v>
      </c>
      <c r="G23" s="12" t="n">
        <v>48744</v>
      </c>
      <c r="H23" s="28">
        <f>SUM(B23:G23)</f>
        <v/>
      </c>
    </row>
    <row r="24">
      <c r="A24" s="5" t="inlineStr">
        <is>
          <t>FY27 RE Taxes</t>
        </is>
      </c>
      <c r="B24" s="12" t="n">
        <v>364047</v>
      </c>
      <c r="C24" s="12" t="n">
        <v>222944</v>
      </c>
      <c r="D24" s="12" t="n">
        <v>187918</v>
      </c>
      <c r="E24" s="12" t="n">
        <v>146136</v>
      </c>
      <c r="F24" s="27" t="n">
        <v>290000</v>
      </c>
      <c r="G24" s="12" t="n">
        <v>142510</v>
      </c>
      <c r="H24" s="28">
        <f>SUM(B24:G24)</f>
        <v/>
      </c>
    </row>
    <row r="25">
      <c r="A25" s="5" t="inlineStr">
        <is>
          <t>FY27 Tenant Upgrade Rent</t>
        </is>
      </c>
      <c r="B25" s="12" t="n">
        <v>108444</v>
      </c>
      <c r="C25" s="12" t="n">
        <v>54160</v>
      </c>
      <c r="D25" s="12" t="n">
        <v>116942</v>
      </c>
      <c r="E25" s="12" t="n">
        <v>50992</v>
      </c>
      <c r="F25" s="27" t="n">
        <v>80000</v>
      </c>
      <c r="G25" s="12" t="n">
        <v>47411</v>
      </c>
      <c r="H25" s="28">
        <f>SUM(B25:G25)</f>
        <v/>
      </c>
    </row>
    <row r="26">
      <c r="A26" s="5" t="inlineStr">
        <is>
          <t>FY27 Parking Rent</t>
        </is>
      </c>
      <c r="B26" s="12" t="n">
        <v>89347</v>
      </c>
      <c r="C26" s="12" t="n">
        <v>32227</v>
      </c>
      <c r="D26" s="12" t="n">
        <v>26438</v>
      </c>
      <c r="E26" s="12" t="n">
        <v>5664</v>
      </c>
      <c r="F26" s="27" t="n">
        <v>35000</v>
      </c>
      <c r="G26" s="12" t="n">
        <v>15169</v>
      </c>
      <c r="H26" s="28">
        <f>SUM(B26:G26)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MARKET LEASING ASSUMPTIONS</t>
        </is>
      </c>
    </row>
    <row r="2">
      <c r="A2" s="2" t="inlineStr">
        <is>
          <t>Defaults to OM values. Edit per property/unit type to override global assumptions.</t>
        </is>
      </c>
    </row>
    <row r="4">
      <c r="A4" s="31" t="inlineStr">
        <is>
          <t>Property / Unit Type</t>
        </is>
      </c>
      <c r="B4" s="31" t="inlineStr">
        <is>
          <t>Unit Type</t>
        </is>
      </c>
      <c r="C4" s="31" t="inlineStr">
        <is>
          <t>Market Rent ($/SF)</t>
        </is>
      </c>
      <c r="D4" s="31" t="inlineStr">
        <is>
          <t>Rent Growth</t>
        </is>
      </c>
      <c r="E4" s="31" t="inlineStr">
        <is>
          <t>In-Lease Escalator</t>
        </is>
      </c>
      <c r="F4" s="31" t="inlineStr">
        <is>
          <t>Lease Term (mo)</t>
        </is>
      </c>
      <c r="G4" s="31" t="inlineStr">
        <is>
          <t>TI New $/SF</t>
        </is>
      </c>
      <c r="H4" s="31" t="inlineStr">
        <is>
          <t>TI Renewal $/SF</t>
        </is>
      </c>
      <c r="I4" s="31" t="inlineStr">
        <is>
          <t>LC New %</t>
        </is>
      </c>
      <c r="J4" s="31" t="inlineStr">
        <is>
          <t>LC Renewal %</t>
        </is>
      </c>
      <c r="K4" s="31" t="inlineStr">
        <is>
          <t>Downtime New (mo)</t>
        </is>
      </c>
      <c r="L4" s="31" t="inlineStr">
        <is>
          <t>Retention %</t>
        </is>
      </c>
    </row>
    <row r="5">
      <c r="A5" s="5" t="inlineStr">
        <is>
          <t>Carrollton — Shop</t>
        </is>
      </c>
      <c r="B5" s="5" t="inlineStr">
        <is>
          <t>Shop</t>
        </is>
      </c>
      <c r="C5" s="10" t="n">
        <v>18</v>
      </c>
      <c r="D5" s="13">
        <f>GrowthMarketRent</f>
        <v/>
      </c>
      <c r="E5" s="13">
        <f>EscalatorInLease</f>
        <v/>
      </c>
      <c r="F5" s="23">
        <f>LeaseTermMonths</f>
        <v/>
      </c>
      <c r="G5" s="16">
        <f>TINew</f>
        <v/>
      </c>
      <c r="H5" s="16">
        <f>TIRenewal</f>
        <v/>
      </c>
      <c r="I5" s="13">
        <f>LCNew</f>
        <v/>
      </c>
      <c r="J5" s="13">
        <f>LCRenewal</f>
        <v/>
      </c>
      <c r="K5" s="23">
        <f>DowntimeNew</f>
        <v/>
      </c>
      <c r="L5" s="13">
        <f>Retention</f>
        <v/>
      </c>
    </row>
    <row r="6">
      <c r="A6" s="5" t="inlineStr">
        <is>
          <t>Carrollton — Studio</t>
        </is>
      </c>
      <c r="B6" s="5" t="inlineStr">
        <is>
          <t>Studio</t>
        </is>
      </c>
      <c r="C6" s="10" t="n">
        <v>16</v>
      </c>
      <c r="D6" s="13">
        <f>GrowthMarketRent</f>
        <v/>
      </c>
      <c r="E6" s="13">
        <f>EscalatorInLease</f>
        <v/>
      </c>
      <c r="F6" s="23">
        <f>LeaseTermMonths</f>
        <v/>
      </c>
      <c r="G6" s="16">
        <f>TINew</f>
        <v/>
      </c>
      <c r="H6" s="16">
        <f>TIRenewal</f>
        <v/>
      </c>
      <c r="I6" s="13">
        <f>LCNew</f>
        <v/>
      </c>
      <c r="J6" s="13">
        <f>LCRenewal</f>
        <v/>
      </c>
      <c r="K6" s="23">
        <f>DowntimeNew</f>
        <v/>
      </c>
      <c r="L6" s="13">
        <f>Retention</f>
        <v/>
      </c>
    </row>
    <row r="7">
      <c r="A7" s="5" t="inlineStr">
        <is>
          <t>Frisco</t>
        </is>
      </c>
      <c r="B7" s="5" t="inlineStr">
        <is>
          <t>All</t>
        </is>
      </c>
      <c r="C7" s="10" t="n">
        <v>19</v>
      </c>
      <c r="D7" s="13">
        <f>GrowthMarketRent</f>
        <v/>
      </c>
      <c r="E7" s="13">
        <f>EscalatorInLease</f>
        <v/>
      </c>
      <c r="F7" s="23">
        <f>LeaseTermMonths</f>
        <v/>
      </c>
      <c r="G7" s="16">
        <f>TINew</f>
        <v/>
      </c>
      <c r="H7" s="16">
        <f>TIRenewal</f>
        <v/>
      </c>
      <c r="I7" s="13">
        <f>LCNew</f>
        <v/>
      </c>
      <c r="J7" s="13">
        <f>LCRenewal</f>
        <v/>
      </c>
      <c r="K7" s="23">
        <f>DowntimeNew</f>
        <v/>
      </c>
      <c r="L7" s="13">
        <f>Retention</f>
        <v/>
      </c>
    </row>
    <row r="8">
      <c r="A8" s="5" t="inlineStr">
        <is>
          <t>Lewisville</t>
        </is>
      </c>
      <c r="B8" s="5" t="inlineStr">
        <is>
          <t>All</t>
        </is>
      </c>
      <c r="C8" s="10" t="n">
        <v>18</v>
      </c>
      <c r="D8" s="13">
        <f>GrowthMarketRent</f>
        <v/>
      </c>
      <c r="E8" s="13">
        <f>EscalatorInLease</f>
        <v/>
      </c>
      <c r="F8" s="23">
        <f>LeaseTermMonths</f>
        <v/>
      </c>
      <c r="G8" s="16">
        <f>TINew</f>
        <v/>
      </c>
      <c r="H8" s="16">
        <f>TIRenewal</f>
        <v/>
      </c>
      <c r="I8" s="13">
        <f>LCNew</f>
        <v/>
      </c>
      <c r="J8" s="13">
        <f>LCRenewal</f>
        <v/>
      </c>
      <c r="K8" s="23">
        <f>DowntimeNew</f>
        <v/>
      </c>
      <c r="L8" s="13">
        <f>Retention</f>
        <v/>
      </c>
    </row>
    <row r="9">
      <c r="A9" s="5" t="inlineStr">
        <is>
          <t>Mesquite</t>
        </is>
      </c>
      <c r="B9" s="5" t="inlineStr">
        <is>
          <t>All</t>
        </is>
      </c>
      <c r="C9" s="10" t="n">
        <v>16</v>
      </c>
      <c r="D9" s="13">
        <f>GrowthMarketRent</f>
        <v/>
      </c>
      <c r="E9" s="13">
        <f>EscalatorInLease</f>
        <v/>
      </c>
      <c r="F9" s="23">
        <f>LeaseTermMonths</f>
        <v/>
      </c>
      <c r="G9" s="16">
        <f>TINew</f>
        <v/>
      </c>
      <c r="H9" s="16">
        <f>TIRenewal</f>
        <v/>
      </c>
      <c r="I9" s="13">
        <f>LCNew</f>
        <v/>
      </c>
      <c r="J9" s="13">
        <f>LCRenewal</f>
        <v/>
      </c>
      <c r="K9" s="23">
        <f>DowntimeNew</f>
        <v/>
      </c>
      <c r="L9" s="13">
        <f>Retention</f>
        <v/>
      </c>
    </row>
    <row r="10">
      <c r="A10" s="5" t="inlineStr">
        <is>
          <t>Plano</t>
        </is>
      </c>
      <c r="B10" s="5" t="inlineStr">
        <is>
          <t>All</t>
        </is>
      </c>
      <c r="C10" s="10" t="n">
        <v>19</v>
      </c>
      <c r="D10" s="13">
        <f>GrowthMarketRent</f>
        <v/>
      </c>
      <c r="E10" s="13">
        <f>EscalatorInLease</f>
        <v/>
      </c>
      <c r="F10" s="23">
        <f>LeaseTermMonths</f>
        <v/>
      </c>
      <c r="G10" s="16">
        <f>TINew</f>
        <v/>
      </c>
      <c r="H10" s="16">
        <f>TIRenewal</f>
        <v/>
      </c>
      <c r="I10" s="13">
        <f>LCNew</f>
        <v/>
      </c>
      <c r="J10" s="13">
        <f>LCRenewal</f>
        <v/>
      </c>
      <c r="K10" s="23">
        <f>DowntimeNew</f>
        <v/>
      </c>
      <c r="L10" s="13">
        <f>Retention</f>
        <v/>
      </c>
    </row>
    <row r="11">
      <c r="A11" s="5" t="inlineStr">
        <is>
          <t>Roanoke</t>
        </is>
      </c>
      <c r="B11" s="5" t="inlineStr">
        <is>
          <t>All</t>
        </is>
      </c>
      <c r="C11" s="10" t="n">
        <v>17</v>
      </c>
      <c r="D11" s="13">
        <f>GrowthMarketRent</f>
        <v/>
      </c>
      <c r="E11" s="13">
        <f>EscalatorInLease</f>
        <v/>
      </c>
      <c r="F11" s="23">
        <f>LeaseTermMonths</f>
        <v/>
      </c>
      <c r="G11" s="16">
        <f>TINew</f>
        <v/>
      </c>
      <c r="H11" s="16">
        <f>TIRenewal</f>
        <v/>
      </c>
      <c r="I11" s="13">
        <f>LCNew</f>
        <v/>
      </c>
      <c r="J11" s="13">
        <f>LCRenewal</f>
        <v/>
      </c>
      <c r="K11" s="23">
        <f>DowntimeNew</f>
        <v/>
      </c>
      <c r="L11" s="13">
        <f>Retention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167"/>
  <sheetViews>
    <sheetView workbookViewId="0">
      <pane xSplit="13" ySplit="4" topLeftCell="N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8" customWidth="1" min="2" max="2"/>
    <col width="34" customWidth="1" min="3" max="3"/>
    <col width="8" customWidth="1" min="4" max="4"/>
    <col width="12" customWidth="1" min="5" max="5"/>
    <col width="12" customWidth="1" min="6" max="6"/>
    <col width="10" customWidth="1" min="7" max="7"/>
    <col width="10" customWidth="1" min="8" max="8"/>
    <col width="11" customWidth="1" min="9" max="9"/>
    <col width="9" customWidth="1" min="10" max="10"/>
    <col width="10" customWidth="1" min="11" max="11"/>
    <col width="40" customWidth="1" min="12" max="12"/>
    <col width="10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</cols>
  <sheetData>
    <row r="1">
      <c r="A1" s="1" t="inlineStr">
        <is>
          <t>RENT ROLL (162 tenant-suites) — FY27–FY37 dynamic base rent &amp; capital</t>
        </is>
      </c>
    </row>
    <row r="2">
      <c r="A2" s="2" t="inlineStr">
        <is>
          <t>Formulas apply Treatment flag (Market/Option/Vacate/LeaseUp) per tenant. Market Rent PSF (col H) is looked up from MLA tab. Edit Treatment col to switch scenarios.</t>
        </is>
      </c>
    </row>
    <row r="4">
      <c r="A4" s="17" t="inlineStr">
        <is>
          <t>Property</t>
        </is>
      </c>
      <c r="B4" s="17" t="inlineStr">
        <is>
          <t>Suite</t>
        </is>
      </c>
      <c r="C4" s="17" t="inlineStr">
        <is>
          <t>Tenant</t>
        </is>
      </c>
      <c r="D4" s="17" t="inlineStr">
        <is>
          <t>SF</t>
        </is>
      </c>
      <c r="E4" s="17" t="inlineStr">
        <is>
          <t>Lease Start</t>
        </is>
      </c>
      <c r="F4" s="17" t="inlineStr">
        <is>
          <t>Lease End</t>
        </is>
      </c>
      <c r="G4" s="17" t="inlineStr">
        <is>
          <t>In-Place PSF</t>
        </is>
      </c>
      <c r="H4" s="17" t="inlineStr">
        <is>
          <t>Market PSF</t>
        </is>
      </c>
      <c r="I4" s="17" t="inlineStr">
        <is>
          <t>Treatment</t>
        </is>
      </c>
      <c r="J4" s="17" t="inlineStr">
        <is>
          <t>Unit Type</t>
        </is>
      </c>
      <c r="K4" s="17" t="inlineStr">
        <is>
          <t>Status</t>
        </is>
      </c>
      <c r="L4" s="17" t="inlineStr">
        <is>
          <t>Notes</t>
        </is>
      </c>
      <c r="M4" s="17" t="inlineStr">
        <is>
          <t>YrsAtStart</t>
        </is>
      </c>
      <c r="N4" s="31" t="inlineStr">
        <is>
          <t>BaseRent FY27</t>
        </is>
      </c>
      <c r="O4" s="31" t="inlineStr">
        <is>
          <t>BaseRent FY28</t>
        </is>
      </c>
      <c r="P4" s="31" t="inlineStr">
        <is>
          <t>BaseRent FY29</t>
        </is>
      </c>
      <c r="Q4" s="31" t="inlineStr">
        <is>
          <t>BaseRent FY30</t>
        </is>
      </c>
      <c r="R4" s="31" t="inlineStr">
        <is>
          <t>BaseRent FY31</t>
        </is>
      </c>
      <c r="S4" s="31" t="inlineStr">
        <is>
          <t>BaseRent FY32</t>
        </is>
      </c>
      <c r="T4" s="31" t="inlineStr">
        <is>
          <t>BaseRent FY33</t>
        </is>
      </c>
      <c r="U4" s="31" t="inlineStr">
        <is>
          <t>BaseRent FY34</t>
        </is>
      </c>
      <c r="V4" s="31" t="inlineStr">
        <is>
          <t>BaseRent FY35</t>
        </is>
      </c>
      <c r="W4" s="31" t="inlineStr">
        <is>
          <t>BaseRent FY36</t>
        </is>
      </c>
      <c r="X4" s="31" t="inlineStr">
        <is>
          <t>BaseRent FY37</t>
        </is>
      </c>
      <c r="Y4" s="31" t="inlineStr">
        <is>
          <t>Capital FY27</t>
        </is>
      </c>
      <c r="Z4" s="31" t="inlineStr">
        <is>
          <t>Capital FY28</t>
        </is>
      </c>
      <c r="AA4" s="31" t="inlineStr">
        <is>
          <t>Capital FY29</t>
        </is>
      </c>
      <c r="AB4" s="31" t="inlineStr">
        <is>
          <t>Capital FY30</t>
        </is>
      </c>
      <c r="AC4" s="31" t="inlineStr">
        <is>
          <t>Capital FY31</t>
        </is>
      </c>
      <c r="AD4" s="31" t="inlineStr">
        <is>
          <t>Capital FY32</t>
        </is>
      </c>
      <c r="AE4" s="31" t="inlineStr">
        <is>
          <t>Capital FY33</t>
        </is>
      </c>
      <c r="AF4" s="31" t="inlineStr">
        <is>
          <t>Capital FY34</t>
        </is>
      </c>
      <c r="AG4" s="31" t="inlineStr">
        <is>
          <t>Capital FY35</t>
        </is>
      </c>
      <c r="AH4" s="31" t="inlineStr">
        <is>
          <t>Capital FY36</t>
        </is>
      </c>
      <c r="AI4" s="31" t="inlineStr">
        <is>
          <t>Capital FY37</t>
        </is>
      </c>
      <c r="AJ4" s="31" t="inlineStr">
        <is>
          <t>Downtime FY27</t>
        </is>
      </c>
      <c r="AK4" s="31" t="inlineStr">
        <is>
          <t>Downtime FY28</t>
        </is>
      </c>
      <c r="AL4" s="31" t="inlineStr">
        <is>
          <t>Downtime FY29</t>
        </is>
      </c>
      <c r="AM4" s="31" t="inlineStr">
        <is>
          <t>Downtime FY30</t>
        </is>
      </c>
      <c r="AN4" s="31" t="inlineStr">
        <is>
          <t>Downtime FY31</t>
        </is>
      </c>
      <c r="AO4" s="31" t="inlineStr">
        <is>
          <t>Downtime FY32</t>
        </is>
      </c>
      <c r="AP4" s="31" t="inlineStr">
        <is>
          <t>Downtime FY33</t>
        </is>
      </c>
      <c r="AQ4" s="31" t="inlineStr">
        <is>
          <t>Downtime FY34</t>
        </is>
      </c>
      <c r="AR4" s="31" t="inlineStr">
        <is>
          <t>Downtime FY35</t>
        </is>
      </c>
      <c r="AS4" s="31" t="inlineStr">
        <is>
          <t>Downtime FY36</t>
        </is>
      </c>
      <c r="AT4" s="31" t="inlineStr">
        <is>
          <t>Downtime FY37</t>
        </is>
      </c>
    </row>
    <row r="5">
      <c r="A5" t="inlineStr">
        <is>
          <t>Carrollton</t>
        </is>
      </c>
      <c r="B5" t="inlineStr">
        <is>
          <t>100</t>
        </is>
      </c>
      <c r="C5" t="inlineStr">
        <is>
          <t>Titan Glass LLC</t>
        </is>
      </c>
      <c r="D5" s="32" t="n">
        <v>2600</v>
      </c>
      <c r="E5" s="33" t="n">
        <v>45200</v>
      </c>
      <c r="F5" s="33" t="n">
        <v>46447</v>
      </c>
      <c r="G5" s="34" t="n">
        <v>14.9715384615385</v>
      </c>
      <c r="H5" s="16">
        <f>VLOOKUP("Carrollton — "&amp;J5,MLA!$A$5:$L$11,3,FALSE)</f>
        <v/>
      </c>
      <c r="I5" s="11" t="inlineStr">
        <is>
          <t>Market</t>
        </is>
      </c>
      <c r="J5" t="inlineStr">
        <is>
          <t>Shop</t>
        </is>
      </c>
      <c r="K5" t="inlineStr">
        <is>
          <t>Occupied</t>
        </is>
      </c>
      <c r="L5" t="inlineStr">
        <is>
          <t>Shop; Guarantor: Adren Savitch</t>
        </is>
      </c>
      <c r="M5" s="20">
        <f>IF(E5="",0,(AnalysisStart-E5)/365.25)</f>
        <v/>
      </c>
      <c r="N5" s="14">
        <f>IFERROR(IF(I5="LeaseUp",H5*D5*(1+GrowthMarketRent)^0*IF(0=0,(12-DowntimeNew)/12,1),IF(F5="",0,IF(F5&gt;=DATE(2027+0,4,30),G5*D5*(1+EscalatorInLease)^(0+M5),IF(F5&lt;DATE(2026+0,5,1),IF(I5="Vacate",H5*D5*(1+GrowthMarketRent)^0*IF(INT((DATE(2026+0,10,31)-F5)/365.25)=0,(12-DowntimeNew)/12,1),IF(I5="Option",G5*D5*1.025*(1+EscalatorInLease)^0,IF(I5="Market",Retention*G5*D5*(1+EscalatorInLease)^(0+M5)+(1-Retention)*H5*D5*(1+GrowthMarketRent)^0*IF(INT((DATE(2026+0,10,31)-F5)/365.25)=0,(12-DowntimeNew)/12,1),IF(I5="LeaseUp",H5*D5*(1+GrowthMarketRent)^0*IF(0=0,(12-DowntimeNew)/12,1),0)))),((F5-DATE(2026+0,5,1))/365.25)*G5*D5*(1+EscalatorInLease)^(0+M5)+((DATE(2027+0,4,30)-F5)/365.25)*IF(I5="Vacate",H5*D5*(1+GrowthMarketRent)^0*IF(INT((DATE(2026+0,10,31)-F5)/365.25)=0,(12-DowntimeNew)/12,1),IF(I5="Option",G5*D5*1.025*(1+EscalatorInLease)^0,IF(I5="Market",Retention*G5*D5*(1+EscalatorInLease)^(0+M5)+(1-Retention)*H5*D5*(1+GrowthMarketRent)^0*IF(INT((DATE(2026+0,10,31)-F5)/365.25)=0,(12-DowntimeNew)/12,1),IF(I5="LeaseUp",H5*D5*(1+GrowthMarketRent)^0*IF(0=0,(12-DowntimeNew)/12,1),0)))))))),0)</f>
        <v/>
      </c>
      <c r="O5" s="14">
        <f>IFERROR(IF(I5="LeaseUp",H5*D5*(1+GrowthMarketRent)^1*IF(1=0,(12-DowntimeNew)/12,1),IF(F5="",0,IF(F5&gt;=DATE(2027+1,4,30),G5*D5*(1+EscalatorInLease)^(1+M5),IF(F5&lt;DATE(2026+1,5,1),IF(I5="Vacate",H5*D5*(1+GrowthMarketRent)^1*IF(INT((DATE(2026+1,10,31)-F5)/365.25)=0,(12-DowntimeNew)/12,1),IF(I5="Option",G5*D5*1.025*(1+EscalatorInLease)^1,IF(I5="Market",Retention*G5*D5*(1+EscalatorInLease)^(1+M5)+(1-Retention)*H5*D5*(1+GrowthMarketRent)^1*IF(INT((DATE(2026+1,10,31)-F5)/365.25)=0,(12-DowntimeNew)/12,1),IF(I5="LeaseUp",H5*D5*(1+GrowthMarketRent)^1*IF(1=0,(12-DowntimeNew)/12,1),0)))),((F5-DATE(2026+1,5,1))/365.25)*G5*D5*(1+EscalatorInLease)^(1+M5)+((DATE(2027+1,4,30)-F5)/365.25)*IF(I5="Vacate",H5*D5*(1+GrowthMarketRent)^1*IF(INT((DATE(2026+1,10,31)-F5)/365.25)=0,(12-DowntimeNew)/12,1),IF(I5="Option",G5*D5*1.025*(1+EscalatorInLease)^1,IF(I5="Market",Retention*G5*D5*(1+EscalatorInLease)^(1+M5)+(1-Retention)*H5*D5*(1+GrowthMarketRent)^1*IF(INT((DATE(2026+1,10,31)-F5)/365.25)=0,(12-DowntimeNew)/12,1),IF(I5="LeaseUp",H5*D5*(1+GrowthMarketRent)^1*IF(1=0,(12-DowntimeNew)/12,1),0)))))))),0)</f>
        <v/>
      </c>
      <c r="P5" s="14">
        <f>IFERROR(IF(I5="LeaseUp",H5*D5*(1+GrowthMarketRent)^2*IF(2=0,(12-DowntimeNew)/12,1),IF(F5="",0,IF(F5&gt;=DATE(2027+2,4,30),G5*D5*(1+EscalatorInLease)^(2+M5),IF(F5&lt;DATE(2026+2,5,1),IF(I5="Vacate",H5*D5*(1+GrowthMarketRent)^2*IF(INT((DATE(2026+2,10,31)-F5)/365.25)=0,(12-DowntimeNew)/12,1),IF(I5="Option",G5*D5*1.025*(1+EscalatorInLease)^2,IF(I5="Market",Retention*G5*D5*(1+EscalatorInLease)^(2+M5)+(1-Retention)*H5*D5*(1+GrowthMarketRent)^2*IF(INT((DATE(2026+2,10,31)-F5)/365.25)=0,(12-DowntimeNew)/12,1),IF(I5="LeaseUp",H5*D5*(1+GrowthMarketRent)^2*IF(2=0,(12-DowntimeNew)/12,1),0)))),((F5-DATE(2026+2,5,1))/365.25)*G5*D5*(1+EscalatorInLease)^(2+M5)+((DATE(2027+2,4,30)-F5)/365.25)*IF(I5="Vacate",H5*D5*(1+GrowthMarketRent)^2*IF(INT((DATE(2026+2,10,31)-F5)/365.25)=0,(12-DowntimeNew)/12,1),IF(I5="Option",G5*D5*1.025*(1+EscalatorInLease)^2,IF(I5="Market",Retention*G5*D5*(1+EscalatorInLease)^(2+M5)+(1-Retention)*H5*D5*(1+GrowthMarketRent)^2*IF(INT((DATE(2026+2,10,31)-F5)/365.25)=0,(12-DowntimeNew)/12,1),IF(I5="LeaseUp",H5*D5*(1+GrowthMarketRent)^2*IF(2=0,(12-DowntimeNew)/12,1),0)))))))),0)</f>
        <v/>
      </c>
      <c r="Q5" s="14">
        <f>IFERROR(IF(I5="LeaseUp",H5*D5*(1+GrowthMarketRent)^3*IF(3=0,(12-DowntimeNew)/12,1),IF(F5="",0,IF(F5&gt;=DATE(2027+3,4,30),G5*D5*(1+EscalatorInLease)^(3+M5),IF(F5&lt;DATE(2026+3,5,1),IF(I5="Vacate",H5*D5*(1+GrowthMarketRent)^3*IF(INT((DATE(2026+3,10,31)-F5)/365.25)=0,(12-DowntimeNew)/12,1),IF(I5="Option",G5*D5*1.025*(1+EscalatorInLease)^3,IF(I5="Market",Retention*G5*D5*(1+EscalatorInLease)^(3+M5)+(1-Retention)*H5*D5*(1+GrowthMarketRent)^3*IF(INT((DATE(2026+3,10,31)-F5)/365.25)=0,(12-DowntimeNew)/12,1),IF(I5="LeaseUp",H5*D5*(1+GrowthMarketRent)^3*IF(3=0,(12-DowntimeNew)/12,1),0)))),((F5-DATE(2026+3,5,1))/365.25)*G5*D5*(1+EscalatorInLease)^(3+M5)+((DATE(2027+3,4,30)-F5)/365.25)*IF(I5="Vacate",H5*D5*(1+GrowthMarketRent)^3*IF(INT((DATE(2026+3,10,31)-F5)/365.25)=0,(12-DowntimeNew)/12,1),IF(I5="Option",G5*D5*1.025*(1+EscalatorInLease)^3,IF(I5="Market",Retention*G5*D5*(1+EscalatorInLease)^(3+M5)+(1-Retention)*H5*D5*(1+GrowthMarketRent)^3*IF(INT((DATE(2026+3,10,31)-F5)/365.25)=0,(12-DowntimeNew)/12,1),IF(I5="LeaseUp",H5*D5*(1+GrowthMarketRent)^3*IF(3=0,(12-DowntimeNew)/12,1),0)))))))),0)</f>
        <v/>
      </c>
      <c r="R5" s="14">
        <f>IFERROR(IF(I5="LeaseUp",H5*D5*(1+GrowthMarketRent)^4*IF(4=0,(12-DowntimeNew)/12,1),IF(F5="",0,IF(F5&gt;=DATE(2027+4,4,30),G5*D5*(1+EscalatorInLease)^(4+M5),IF(F5&lt;DATE(2026+4,5,1),IF(I5="Vacate",H5*D5*(1+GrowthMarketRent)^4*IF(INT((DATE(2026+4,10,31)-F5)/365.25)=0,(12-DowntimeNew)/12,1),IF(I5="Option",G5*D5*1.025*(1+EscalatorInLease)^4,IF(I5="Market",Retention*G5*D5*(1+EscalatorInLease)^(4+M5)+(1-Retention)*H5*D5*(1+GrowthMarketRent)^4*IF(INT((DATE(2026+4,10,31)-F5)/365.25)=0,(12-DowntimeNew)/12,1),IF(I5="LeaseUp",H5*D5*(1+GrowthMarketRent)^4*IF(4=0,(12-DowntimeNew)/12,1),0)))),((F5-DATE(2026+4,5,1))/365.25)*G5*D5*(1+EscalatorInLease)^(4+M5)+((DATE(2027+4,4,30)-F5)/365.25)*IF(I5="Vacate",H5*D5*(1+GrowthMarketRent)^4*IF(INT((DATE(2026+4,10,31)-F5)/365.25)=0,(12-DowntimeNew)/12,1),IF(I5="Option",G5*D5*1.025*(1+EscalatorInLease)^4,IF(I5="Market",Retention*G5*D5*(1+EscalatorInLease)^(4+M5)+(1-Retention)*H5*D5*(1+GrowthMarketRent)^4*IF(INT((DATE(2026+4,10,31)-F5)/365.25)=0,(12-DowntimeNew)/12,1),IF(I5="LeaseUp",H5*D5*(1+GrowthMarketRent)^4*IF(4=0,(12-DowntimeNew)/12,1),0)))))))),0)</f>
        <v/>
      </c>
      <c r="S5" s="14">
        <f>IFERROR(IF(I5="LeaseUp",H5*D5*(1+GrowthMarketRent)^5*IF(5=0,(12-DowntimeNew)/12,1),IF(F5="",0,IF(F5&gt;=DATE(2027+5,4,30),G5*D5*(1+EscalatorInLease)^(5+M5),IF(F5&lt;DATE(2026+5,5,1),IF(I5="Vacate",H5*D5*(1+GrowthMarketRent)^5*IF(INT((DATE(2026+5,10,31)-F5)/365.25)=0,(12-DowntimeNew)/12,1),IF(I5="Option",G5*D5*1.025*(1+EscalatorInLease)^5,IF(I5="Market",Retention*G5*D5*(1+EscalatorInLease)^(5+M5)+(1-Retention)*H5*D5*(1+GrowthMarketRent)^5*IF(INT((DATE(2026+5,10,31)-F5)/365.25)=0,(12-DowntimeNew)/12,1),IF(I5="LeaseUp",H5*D5*(1+GrowthMarketRent)^5*IF(5=0,(12-DowntimeNew)/12,1),0)))),((F5-DATE(2026+5,5,1))/365.25)*G5*D5*(1+EscalatorInLease)^(5+M5)+((DATE(2027+5,4,30)-F5)/365.25)*IF(I5="Vacate",H5*D5*(1+GrowthMarketRent)^5*IF(INT((DATE(2026+5,10,31)-F5)/365.25)=0,(12-DowntimeNew)/12,1),IF(I5="Option",G5*D5*1.025*(1+EscalatorInLease)^5,IF(I5="Market",Retention*G5*D5*(1+EscalatorInLease)^(5+M5)+(1-Retention)*H5*D5*(1+GrowthMarketRent)^5*IF(INT((DATE(2026+5,10,31)-F5)/365.25)=0,(12-DowntimeNew)/12,1),IF(I5="LeaseUp",H5*D5*(1+GrowthMarketRent)^5*IF(5=0,(12-DowntimeNew)/12,1),0)))))))),0)</f>
        <v/>
      </c>
      <c r="T5" s="14">
        <f>IFERROR(IF(I5="LeaseUp",H5*D5*(1+GrowthMarketRent)^6*IF(6=0,(12-DowntimeNew)/12,1),IF(F5="",0,IF(F5&gt;=DATE(2027+6,4,30),G5*D5*(1+EscalatorInLease)^(6+M5),IF(F5&lt;DATE(2026+6,5,1),IF(I5="Vacate",H5*D5*(1+GrowthMarketRent)^6*IF(INT((DATE(2026+6,10,31)-F5)/365.25)=0,(12-DowntimeNew)/12,1),IF(I5="Option",G5*D5*1.025*(1+EscalatorInLease)^6,IF(I5="Market",Retention*G5*D5*(1+EscalatorInLease)^(6+M5)+(1-Retention)*H5*D5*(1+GrowthMarketRent)^6*IF(INT((DATE(2026+6,10,31)-F5)/365.25)=0,(12-DowntimeNew)/12,1),IF(I5="LeaseUp",H5*D5*(1+GrowthMarketRent)^6*IF(6=0,(12-DowntimeNew)/12,1),0)))),((F5-DATE(2026+6,5,1))/365.25)*G5*D5*(1+EscalatorInLease)^(6+M5)+((DATE(2027+6,4,30)-F5)/365.25)*IF(I5="Vacate",H5*D5*(1+GrowthMarketRent)^6*IF(INT((DATE(2026+6,10,31)-F5)/365.25)=0,(12-DowntimeNew)/12,1),IF(I5="Option",G5*D5*1.025*(1+EscalatorInLease)^6,IF(I5="Market",Retention*G5*D5*(1+EscalatorInLease)^(6+M5)+(1-Retention)*H5*D5*(1+GrowthMarketRent)^6*IF(INT((DATE(2026+6,10,31)-F5)/365.25)=0,(12-DowntimeNew)/12,1),IF(I5="LeaseUp",H5*D5*(1+GrowthMarketRent)^6*IF(6=0,(12-DowntimeNew)/12,1),0)))))))),0)</f>
        <v/>
      </c>
      <c r="U5" s="14">
        <f>IFERROR(IF(I5="LeaseUp",H5*D5*(1+GrowthMarketRent)^7*IF(7=0,(12-DowntimeNew)/12,1),IF(F5="",0,IF(F5&gt;=DATE(2027+7,4,30),G5*D5*(1+EscalatorInLease)^(7+M5),IF(F5&lt;DATE(2026+7,5,1),IF(I5="Vacate",H5*D5*(1+GrowthMarketRent)^7*IF(INT((DATE(2026+7,10,31)-F5)/365.25)=0,(12-DowntimeNew)/12,1),IF(I5="Option",G5*D5*1.025*(1+EscalatorInLease)^7,IF(I5="Market",Retention*G5*D5*(1+EscalatorInLease)^(7+M5)+(1-Retention)*H5*D5*(1+GrowthMarketRent)^7*IF(INT((DATE(2026+7,10,31)-F5)/365.25)=0,(12-DowntimeNew)/12,1),IF(I5="LeaseUp",H5*D5*(1+GrowthMarketRent)^7*IF(7=0,(12-DowntimeNew)/12,1),0)))),((F5-DATE(2026+7,5,1))/365.25)*G5*D5*(1+EscalatorInLease)^(7+M5)+((DATE(2027+7,4,30)-F5)/365.25)*IF(I5="Vacate",H5*D5*(1+GrowthMarketRent)^7*IF(INT((DATE(2026+7,10,31)-F5)/365.25)=0,(12-DowntimeNew)/12,1),IF(I5="Option",G5*D5*1.025*(1+EscalatorInLease)^7,IF(I5="Market",Retention*G5*D5*(1+EscalatorInLease)^(7+M5)+(1-Retention)*H5*D5*(1+GrowthMarketRent)^7*IF(INT((DATE(2026+7,10,31)-F5)/365.25)=0,(12-DowntimeNew)/12,1),IF(I5="LeaseUp",H5*D5*(1+GrowthMarketRent)^7*IF(7=0,(12-DowntimeNew)/12,1),0)))))))),0)</f>
        <v/>
      </c>
      <c r="V5" s="14">
        <f>IFERROR(IF(I5="LeaseUp",H5*D5*(1+GrowthMarketRent)^8*IF(8=0,(12-DowntimeNew)/12,1),IF(F5="",0,IF(F5&gt;=DATE(2027+8,4,30),G5*D5*(1+EscalatorInLease)^(8+M5),IF(F5&lt;DATE(2026+8,5,1),IF(I5="Vacate",H5*D5*(1+GrowthMarketRent)^8*IF(INT((DATE(2026+8,10,31)-F5)/365.25)=0,(12-DowntimeNew)/12,1),IF(I5="Option",G5*D5*1.025*(1+EscalatorInLease)^8,IF(I5="Market",Retention*G5*D5*(1+EscalatorInLease)^(8+M5)+(1-Retention)*H5*D5*(1+GrowthMarketRent)^8*IF(INT((DATE(2026+8,10,31)-F5)/365.25)=0,(12-DowntimeNew)/12,1),IF(I5="LeaseUp",H5*D5*(1+GrowthMarketRent)^8*IF(8=0,(12-DowntimeNew)/12,1),0)))),((F5-DATE(2026+8,5,1))/365.25)*G5*D5*(1+EscalatorInLease)^(8+M5)+((DATE(2027+8,4,30)-F5)/365.25)*IF(I5="Vacate",H5*D5*(1+GrowthMarketRent)^8*IF(INT((DATE(2026+8,10,31)-F5)/365.25)=0,(12-DowntimeNew)/12,1),IF(I5="Option",G5*D5*1.025*(1+EscalatorInLease)^8,IF(I5="Market",Retention*G5*D5*(1+EscalatorInLease)^(8+M5)+(1-Retention)*H5*D5*(1+GrowthMarketRent)^8*IF(INT((DATE(2026+8,10,31)-F5)/365.25)=0,(12-DowntimeNew)/12,1),IF(I5="LeaseUp",H5*D5*(1+GrowthMarketRent)^8*IF(8=0,(12-DowntimeNew)/12,1),0)))))))),0)</f>
        <v/>
      </c>
      <c r="W5" s="14">
        <f>IFERROR(IF(I5="LeaseUp",H5*D5*(1+GrowthMarketRent)^9*IF(9=0,(12-DowntimeNew)/12,1),IF(F5="",0,IF(F5&gt;=DATE(2027+9,4,30),G5*D5*(1+EscalatorInLease)^(9+M5),IF(F5&lt;DATE(2026+9,5,1),IF(I5="Vacate",H5*D5*(1+GrowthMarketRent)^9*IF(INT((DATE(2026+9,10,31)-F5)/365.25)=0,(12-DowntimeNew)/12,1),IF(I5="Option",G5*D5*1.025*(1+EscalatorInLease)^9,IF(I5="Market",Retention*G5*D5*(1+EscalatorInLease)^(9+M5)+(1-Retention)*H5*D5*(1+GrowthMarketRent)^9*IF(INT((DATE(2026+9,10,31)-F5)/365.25)=0,(12-DowntimeNew)/12,1),IF(I5="LeaseUp",H5*D5*(1+GrowthMarketRent)^9*IF(9=0,(12-DowntimeNew)/12,1),0)))),((F5-DATE(2026+9,5,1))/365.25)*G5*D5*(1+EscalatorInLease)^(9+M5)+((DATE(2027+9,4,30)-F5)/365.25)*IF(I5="Vacate",H5*D5*(1+GrowthMarketRent)^9*IF(INT((DATE(2026+9,10,31)-F5)/365.25)=0,(12-DowntimeNew)/12,1),IF(I5="Option",G5*D5*1.025*(1+EscalatorInLease)^9,IF(I5="Market",Retention*G5*D5*(1+EscalatorInLease)^(9+M5)+(1-Retention)*H5*D5*(1+GrowthMarketRent)^9*IF(INT((DATE(2026+9,10,31)-F5)/365.25)=0,(12-DowntimeNew)/12,1),IF(I5="LeaseUp",H5*D5*(1+GrowthMarketRent)^9*IF(9=0,(12-DowntimeNew)/12,1),0)))))))),0)</f>
        <v/>
      </c>
      <c r="X5" s="14">
        <f>IFERROR(IF(I5="LeaseUp",H5*D5*(1+GrowthMarketRent)^10*IF(10=0,(12-DowntimeNew)/12,1),IF(F5="",0,IF(F5&gt;=DATE(2027+10,4,30),G5*D5*(1+EscalatorInLease)^(10+M5),IF(F5&lt;DATE(2026+10,5,1),IF(I5="Vacate",H5*D5*(1+GrowthMarketRent)^10*IF(INT((DATE(2026+10,10,31)-F5)/365.25)=0,(12-DowntimeNew)/12,1),IF(I5="Option",G5*D5*1.025*(1+EscalatorInLease)^10,IF(I5="Market",Retention*G5*D5*(1+EscalatorInLease)^(10+M5)+(1-Retention)*H5*D5*(1+GrowthMarketRent)^10*IF(INT((DATE(2026+10,10,31)-F5)/365.25)=0,(12-DowntimeNew)/12,1),IF(I5="LeaseUp",H5*D5*(1+GrowthMarketRent)^10*IF(10=0,(12-DowntimeNew)/12,1),0)))),((F5-DATE(2026+10,5,1))/365.25)*G5*D5*(1+EscalatorInLease)^(10+M5)+((DATE(2027+10,4,30)-F5)/365.25)*IF(I5="Vacate",H5*D5*(1+GrowthMarketRent)^10*IF(INT((DATE(2026+10,10,31)-F5)/365.25)=0,(12-DowntimeNew)/12,1),IF(I5="Option",G5*D5*1.025*(1+EscalatorInLease)^10,IF(I5="Market",Retention*G5*D5*(1+EscalatorInLease)^(10+M5)+(1-Retention)*H5*D5*(1+GrowthMarketRent)^10*IF(INT((DATE(2026+10,10,31)-F5)/365.25)=0,(12-DowntimeNew)/12,1),IF(I5="LeaseUp",H5*D5*(1+GrowthMarketRent)^10*IF(10=0,(12-DowntimeNew)/12,1),0)))))))),0)</f>
        <v/>
      </c>
      <c r="Y5" s="14">
        <f>IFERROR(IF(AND(I5="LeaseUp",0=0),(IF(I5="Vacate",TINew*D5,IF(I5="Market",Retention*TIRenewal*D5+(1-Retention)*TINew*D5,IF(I5="LeaseUp",TINew*D5,IF(I5="Option",TIRenewal*D5,0)))))+(IF(I5="Vacate",LCNew*H5*D5*(1+GrowthMarketRent)^0,IF(I5="Market",Retention*LCRenewal*H5*D5*(1+GrowthMarketRent)^0+(1-Retention)*LCNew*H5*D5*(1+GrowthMarketRent)^0,IF(I5="LeaseUp",LCNew*H5*D5*(1+GrowthMarketRent)^0,IF(I5="Option",LCRenewal*H5*D5*(1+GrowthMarketRent)^0,0))))),IF(F5="",0,IF(AND(F5&gt;=DATE(2026+0,5,1),F5&lt;=DATE(2027+0,4,30)),(IF(I5="Vacate",TINew*D5,IF(I5="Market",Retention*TIRenewal*D5+(1-Retention)*TINew*D5,IF(I5="LeaseUp",TINew*D5,IF(I5="Option",TIRenewal*D5,0)))))+(IF(I5="Vacate",LCNew*H5*D5*(1+GrowthMarketRent)^0,IF(I5="Market",Retention*LCRenewal*H5*D5*(1+GrowthMarketRent)^0+(1-Retention)*LCNew*H5*D5*(1+GrowthMarketRent)^0,IF(I5="LeaseUp",LCNew*H5*D5*(1+GrowthMarketRent)^0,IF(I5="Option",LCRenewal*H5*D5*(1+GrowthMarketRent)^0,0))))),0))),0)</f>
        <v/>
      </c>
      <c r="Z5" s="14">
        <f>IFERROR(IF(AND(I5="LeaseUp",1=0),(IF(I5="Vacate",TINew*D5,IF(I5="Market",Retention*TIRenewal*D5+(1-Retention)*TINew*D5,IF(I5="LeaseUp",TINew*D5,IF(I5="Option",TIRenewal*D5,0)))))+(IF(I5="Vacate",LCNew*H5*D5*(1+GrowthMarketRent)^1,IF(I5="Market",Retention*LCRenewal*H5*D5*(1+GrowthMarketRent)^1+(1-Retention)*LCNew*H5*D5*(1+GrowthMarketRent)^1,IF(I5="LeaseUp",LCNew*H5*D5*(1+GrowthMarketRent)^1,IF(I5="Option",LCRenewal*H5*D5*(1+GrowthMarketRent)^1,0))))),IF(F5="",0,IF(AND(F5&gt;=DATE(2026+1,5,1),F5&lt;=DATE(2027+1,4,30)),(IF(I5="Vacate",TINew*D5,IF(I5="Market",Retention*TIRenewal*D5+(1-Retention)*TINew*D5,IF(I5="LeaseUp",TINew*D5,IF(I5="Option",TIRenewal*D5,0)))))+(IF(I5="Vacate",LCNew*H5*D5*(1+GrowthMarketRent)^1,IF(I5="Market",Retention*LCRenewal*H5*D5*(1+GrowthMarketRent)^1+(1-Retention)*LCNew*H5*D5*(1+GrowthMarketRent)^1,IF(I5="LeaseUp",LCNew*H5*D5*(1+GrowthMarketRent)^1,IF(I5="Option",LCRenewal*H5*D5*(1+GrowthMarketRent)^1,0))))),0))),0)</f>
        <v/>
      </c>
      <c r="AA5" s="14">
        <f>IFERROR(IF(AND(I5="LeaseUp",2=0),(IF(I5="Vacate",TINew*D5,IF(I5="Market",Retention*TIRenewal*D5+(1-Retention)*TINew*D5,IF(I5="LeaseUp",TINew*D5,IF(I5="Option",TIRenewal*D5,0)))))+(IF(I5="Vacate",LCNew*H5*D5*(1+GrowthMarketRent)^2,IF(I5="Market",Retention*LCRenewal*H5*D5*(1+GrowthMarketRent)^2+(1-Retention)*LCNew*H5*D5*(1+GrowthMarketRent)^2,IF(I5="LeaseUp",LCNew*H5*D5*(1+GrowthMarketRent)^2,IF(I5="Option",LCRenewal*H5*D5*(1+GrowthMarketRent)^2,0))))),IF(F5="",0,IF(AND(F5&gt;=DATE(2026+2,5,1),F5&lt;=DATE(2027+2,4,30)),(IF(I5="Vacate",TINew*D5,IF(I5="Market",Retention*TIRenewal*D5+(1-Retention)*TINew*D5,IF(I5="LeaseUp",TINew*D5,IF(I5="Option",TIRenewal*D5,0)))))+(IF(I5="Vacate",LCNew*H5*D5*(1+GrowthMarketRent)^2,IF(I5="Market",Retention*LCRenewal*H5*D5*(1+GrowthMarketRent)^2+(1-Retention)*LCNew*H5*D5*(1+GrowthMarketRent)^2,IF(I5="LeaseUp",LCNew*H5*D5*(1+GrowthMarketRent)^2,IF(I5="Option",LCRenewal*H5*D5*(1+GrowthMarketRent)^2,0))))),0))),0)</f>
        <v/>
      </c>
      <c r="AB5" s="14">
        <f>IFERROR(IF(AND(I5="LeaseUp",3=0),(IF(I5="Vacate",TINew*D5,IF(I5="Market",Retention*TIRenewal*D5+(1-Retention)*TINew*D5,IF(I5="LeaseUp",TINew*D5,IF(I5="Option",TIRenewal*D5,0)))))+(IF(I5="Vacate",LCNew*H5*D5*(1+GrowthMarketRent)^3,IF(I5="Market",Retention*LCRenewal*H5*D5*(1+GrowthMarketRent)^3+(1-Retention)*LCNew*H5*D5*(1+GrowthMarketRent)^3,IF(I5="LeaseUp",LCNew*H5*D5*(1+GrowthMarketRent)^3,IF(I5="Option",LCRenewal*H5*D5*(1+GrowthMarketRent)^3,0))))),IF(F5="",0,IF(AND(F5&gt;=DATE(2026+3,5,1),F5&lt;=DATE(2027+3,4,30)),(IF(I5="Vacate",TINew*D5,IF(I5="Market",Retention*TIRenewal*D5+(1-Retention)*TINew*D5,IF(I5="LeaseUp",TINew*D5,IF(I5="Option",TIRenewal*D5,0)))))+(IF(I5="Vacate",LCNew*H5*D5*(1+GrowthMarketRent)^3,IF(I5="Market",Retention*LCRenewal*H5*D5*(1+GrowthMarketRent)^3+(1-Retention)*LCNew*H5*D5*(1+GrowthMarketRent)^3,IF(I5="LeaseUp",LCNew*H5*D5*(1+GrowthMarketRent)^3,IF(I5="Option",LCRenewal*H5*D5*(1+GrowthMarketRent)^3,0))))),0))),0)</f>
        <v/>
      </c>
      <c r="AC5" s="14">
        <f>IFERROR(IF(AND(I5="LeaseUp",4=0),(IF(I5="Vacate",TINew*D5,IF(I5="Market",Retention*TIRenewal*D5+(1-Retention)*TINew*D5,IF(I5="LeaseUp",TINew*D5,IF(I5="Option",TIRenewal*D5,0)))))+(IF(I5="Vacate",LCNew*H5*D5*(1+GrowthMarketRent)^4,IF(I5="Market",Retention*LCRenewal*H5*D5*(1+GrowthMarketRent)^4+(1-Retention)*LCNew*H5*D5*(1+GrowthMarketRent)^4,IF(I5="LeaseUp",LCNew*H5*D5*(1+GrowthMarketRent)^4,IF(I5="Option",LCRenewal*H5*D5*(1+GrowthMarketRent)^4,0))))),IF(F5="",0,IF(AND(F5&gt;=DATE(2026+4,5,1),F5&lt;=DATE(2027+4,4,30)),(IF(I5="Vacate",TINew*D5,IF(I5="Market",Retention*TIRenewal*D5+(1-Retention)*TINew*D5,IF(I5="LeaseUp",TINew*D5,IF(I5="Option",TIRenewal*D5,0)))))+(IF(I5="Vacate",LCNew*H5*D5*(1+GrowthMarketRent)^4,IF(I5="Market",Retention*LCRenewal*H5*D5*(1+GrowthMarketRent)^4+(1-Retention)*LCNew*H5*D5*(1+GrowthMarketRent)^4,IF(I5="LeaseUp",LCNew*H5*D5*(1+GrowthMarketRent)^4,IF(I5="Option",LCRenewal*H5*D5*(1+GrowthMarketRent)^4,0))))),0))),0)</f>
        <v/>
      </c>
      <c r="AD5" s="14">
        <f>IFERROR(IF(AND(I5="LeaseUp",5=0),(IF(I5="Vacate",TINew*D5,IF(I5="Market",Retention*TIRenewal*D5+(1-Retention)*TINew*D5,IF(I5="LeaseUp",TINew*D5,IF(I5="Option",TIRenewal*D5,0)))))+(IF(I5="Vacate",LCNew*H5*D5*(1+GrowthMarketRent)^5,IF(I5="Market",Retention*LCRenewal*H5*D5*(1+GrowthMarketRent)^5+(1-Retention)*LCNew*H5*D5*(1+GrowthMarketRent)^5,IF(I5="LeaseUp",LCNew*H5*D5*(1+GrowthMarketRent)^5,IF(I5="Option",LCRenewal*H5*D5*(1+GrowthMarketRent)^5,0))))),IF(F5="",0,IF(AND(F5&gt;=DATE(2026+5,5,1),F5&lt;=DATE(2027+5,4,30)),(IF(I5="Vacate",TINew*D5,IF(I5="Market",Retention*TIRenewal*D5+(1-Retention)*TINew*D5,IF(I5="LeaseUp",TINew*D5,IF(I5="Option",TIRenewal*D5,0)))))+(IF(I5="Vacate",LCNew*H5*D5*(1+GrowthMarketRent)^5,IF(I5="Market",Retention*LCRenewal*H5*D5*(1+GrowthMarketRent)^5+(1-Retention)*LCNew*H5*D5*(1+GrowthMarketRent)^5,IF(I5="LeaseUp",LCNew*H5*D5*(1+GrowthMarketRent)^5,IF(I5="Option",LCRenewal*H5*D5*(1+GrowthMarketRent)^5,0))))),0))),0)</f>
        <v/>
      </c>
      <c r="AE5" s="14">
        <f>IFERROR(IF(AND(I5="LeaseUp",6=0),(IF(I5="Vacate",TINew*D5,IF(I5="Market",Retention*TIRenewal*D5+(1-Retention)*TINew*D5,IF(I5="LeaseUp",TINew*D5,IF(I5="Option",TIRenewal*D5,0)))))+(IF(I5="Vacate",LCNew*H5*D5*(1+GrowthMarketRent)^6,IF(I5="Market",Retention*LCRenewal*H5*D5*(1+GrowthMarketRent)^6+(1-Retention)*LCNew*H5*D5*(1+GrowthMarketRent)^6,IF(I5="LeaseUp",LCNew*H5*D5*(1+GrowthMarketRent)^6,IF(I5="Option",LCRenewal*H5*D5*(1+GrowthMarketRent)^6,0))))),IF(F5="",0,IF(AND(F5&gt;=DATE(2026+6,5,1),F5&lt;=DATE(2027+6,4,30)),(IF(I5="Vacate",TINew*D5,IF(I5="Market",Retention*TIRenewal*D5+(1-Retention)*TINew*D5,IF(I5="LeaseUp",TINew*D5,IF(I5="Option",TIRenewal*D5,0)))))+(IF(I5="Vacate",LCNew*H5*D5*(1+GrowthMarketRent)^6,IF(I5="Market",Retention*LCRenewal*H5*D5*(1+GrowthMarketRent)^6+(1-Retention)*LCNew*H5*D5*(1+GrowthMarketRent)^6,IF(I5="LeaseUp",LCNew*H5*D5*(1+GrowthMarketRent)^6,IF(I5="Option",LCRenewal*H5*D5*(1+GrowthMarketRent)^6,0))))),0))),0)</f>
        <v/>
      </c>
      <c r="AF5" s="14">
        <f>IFERROR(IF(AND(I5="LeaseUp",7=0),(IF(I5="Vacate",TINew*D5,IF(I5="Market",Retention*TIRenewal*D5+(1-Retention)*TINew*D5,IF(I5="LeaseUp",TINew*D5,IF(I5="Option",TIRenewal*D5,0)))))+(IF(I5="Vacate",LCNew*H5*D5*(1+GrowthMarketRent)^7,IF(I5="Market",Retention*LCRenewal*H5*D5*(1+GrowthMarketRent)^7+(1-Retention)*LCNew*H5*D5*(1+GrowthMarketRent)^7,IF(I5="LeaseUp",LCNew*H5*D5*(1+GrowthMarketRent)^7,IF(I5="Option",LCRenewal*H5*D5*(1+GrowthMarketRent)^7,0))))),IF(F5="",0,IF(AND(F5&gt;=DATE(2026+7,5,1),F5&lt;=DATE(2027+7,4,30)),(IF(I5="Vacate",TINew*D5,IF(I5="Market",Retention*TIRenewal*D5+(1-Retention)*TINew*D5,IF(I5="LeaseUp",TINew*D5,IF(I5="Option",TIRenewal*D5,0)))))+(IF(I5="Vacate",LCNew*H5*D5*(1+GrowthMarketRent)^7,IF(I5="Market",Retention*LCRenewal*H5*D5*(1+GrowthMarketRent)^7+(1-Retention)*LCNew*H5*D5*(1+GrowthMarketRent)^7,IF(I5="LeaseUp",LCNew*H5*D5*(1+GrowthMarketRent)^7,IF(I5="Option",LCRenewal*H5*D5*(1+GrowthMarketRent)^7,0))))),0))),0)</f>
        <v/>
      </c>
      <c r="AG5" s="14">
        <f>IFERROR(IF(AND(I5="LeaseUp",8=0),(IF(I5="Vacate",TINew*D5,IF(I5="Market",Retention*TIRenewal*D5+(1-Retention)*TINew*D5,IF(I5="LeaseUp",TINew*D5,IF(I5="Option",TIRenewal*D5,0)))))+(IF(I5="Vacate",LCNew*H5*D5*(1+GrowthMarketRent)^8,IF(I5="Market",Retention*LCRenewal*H5*D5*(1+GrowthMarketRent)^8+(1-Retention)*LCNew*H5*D5*(1+GrowthMarketRent)^8,IF(I5="LeaseUp",LCNew*H5*D5*(1+GrowthMarketRent)^8,IF(I5="Option",LCRenewal*H5*D5*(1+GrowthMarketRent)^8,0))))),IF(F5="",0,IF(AND(F5&gt;=DATE(2026+8,5,1),F5&lt;=DATE(2027+8,4,30)),(IF(I5="Vacate",TINew*D5,IF(I5="Market",Retention*TIRenewal*D5+(1-Retention)*TINew*D5,IF(I5="LeaseUp",TINew*D5,IF(I5="Option",TIRenewal*D5,0)))))+(IF(I5="Vacate",LCNew*H5*D5*(1+GrowthMarketRent)^8,IF(I5="Market",Retention*LCRenewal*H5*D5*(1+GrowthMarketRent)^8+(1-Retention)*LCNew*H5*D5*(1+GrowthMarketRent)^8,IF(I5="LeaseUp",LCNew*H5*D5*(1+GrowthMarketRent)^8,IF(I5="Option",LCRenewal*H5*D5*(1+GrowthMarketRent)^8,0))))),0))),0)</f>
        <v/>
      </c>
      <c r="AH5" s="14">
        <f>IFERROR(IF(AND(I5="LeaseUp",9=0),(IF(I5="Vacate",TINew*D5,IF(I5="Market",Retention*TIRenewal*D5+(1-Retention)*TINew*D5,IF(I5="LeaseUp",TINew*D5,IF(I5="Option",TIRenewal*D5,0)))))+(IF(I5="Vacate",LCNew*H5*D5*(1+GrowthMarketRent)^9,IF(I5="Market",Retention*LCRenewal*H5*D5*(1+GrowthMarketRent)^9+(1-Retention)*LCNew*H5*D5*(1+GrowthMarketRent)^9,IF(I5="LeaseUp",LCNew*H5*D5*(1+GrowthMarketRent)^9,IF(I5="Option",LCRenewal*H5*D5*(1+GrowthMarketRent)^9,0))))),IF(F5="",0,IF(AND(F5&gt;=DATE(2026+9,5,1),F5&lt;=DATE(2027+9,4,30)),(IF(I5="Vacate",TINew*D5,IF(I5="Market",Retention*TIRenewal*D5+(1-Retention)*TINew*D5,IF(I5="LeaseUp",TINew*D5,IF(I5="Option",TIRenewal*D5,0)))))+(IF(I5="Vacate",LCNew*H5*D5*(1+GrowthMarketRent)^9,IF(I5="Market",Retention*LCRenewal*H5*D5*(1+GrowthMarketRent)^9+(1-Retention)*LCNew*H5*D5*(1+GrowthMarketRent)^9,IF(I5="LeaseUp",LCNew*H5*D5*(1+GrowthMarketRent)^9,IF(I5="Option",LCRenewal*H5*D5*(1+GrowthMarketRent)^9,0))))),0))),0)</f>
        <v/>
      </c>
      <c r="AI5" s="14">
        <f>IFERROR(IF(AND(I5="LeaseUp",10=0),(IF(I5="Vacate",TINew*D5,IF(I5="Market",Retention*TIRenewal*D5+(1-Retention)*TINew*D5,IF(I5="LeaseUp",TINew*D5,IF(I5="Option",TIRenewal*D5,0)))))+(IF(I5="Vacate",LCNew*H5*D5*(1+GrowthMarketRent)^10,IF(I5="Market",Retention*LCRenewal*H5*D5*(1+GrowthMarketRent)^10+(1-Retention)*LCNew*H5*D5*(1+GrowthMarketRent)^10,IF(I5="LeaseUp",LCNew*H5*D5*(1+GrowthMarketRent)^10,IF(I5="Option",LCRenewal*H5*D5*(1+GrowthMarketRent)^10,0))))),IF(F5="",0,IF(AND(F5&gt;=DATE(2026+10,5,1),F5&lt;=DATE(2027+10,4,30)),(IF(I5="Vacate",TINew*D5,IF(I5="Market",Retention*TIRenewal*D5+(1-Retention)*TINew*D5,IF(I5="LeaseUp",TINew*D5,IF(I5="Option",TIRenewal*D5,0)))))+(IF(I5="Vacate",LCNew*H5*D5*(1+GrowthMarketRent)^10,IF(I5="Market",Retention*LCRenewal*H5*D5*(1+GrowthMarketRent)^10+(1-Retention)*LCNew*H5*D5*(1+GrowthMarketRent)^10,IF(I5="LeaseUp",LCNew*H5*D5*(1+GrowthMarketRent)^10,IF(I5="Option",LCRenewal*H5*D5*(1+GrowthMarketRent)^10,0))))),0))),0)</f>
        <v/>
      </c>
    </row>
    <row r="6">
      <c r="A6" t="inlineStr">
        <is>
          <t>Carrollton</t>
        </is>
      </c>
      <c r="B6" t="inlineStr">
        <is>
          <t>104</t>
        </is>
      </c>
      <c r="C6" t="inlineStr">
        <is>
          <t>Fluonics Inc.</t>
        </is>
      </c>
      <c r="D6" s="32" t="n">
        <v>2600</v>
      </c>
      <c r="E6" s="33" t="n">
        <v>45566</v>
      </c>
      <c r="F6" s="33" t="n">
        <v>46813</v>
      </c>
      <c r="G6" s="34" t="n">
        <v>16.4</v>
      </c>
      <c r="H6" s="16">
        <f>VLOOKUP("Carrollton — "&amp;J6,MLA!$A$5:$L$11,3,FALSE)</f>
        <v/>
      </c>
      <c r="I6" s="11" t="inlineStr">
        <is>
          <t>Market</t>
        </is>
      </c>
      <c r="J6" t="inlineStr">
        <is>
          <t>Shop</t>
        </is>
      </c>
      <c r="K6" t="inlineStr">
        <is>
          <t>Occupied</t>
        </is>
      </c>
      <c r="L6" t="inlineStr">
        <is>
          <t>Shop; Guarantor: Fluonics Co. Ltd (Korea)</t>
        </is>
      </c>
      <c r="M6" s="20">
        <f>IF(E6="",0,(AnalysisStart-E6)/365.25)</f>
        <v/>
      </c>
      <c r="N6" s="14">
        <f>IFERROR(IF(I6="LeaseUp",H6*D6*(1+GrowthMarketRent)^0*IF(0=0,(12-DowntimeNew)/12,1),IF(F6="",0,IF(F6&gt;=DATE(2027+0,4,30),G6*D6*(1+EscalatorInLease)^(0+M6),IF(F6&lt;DATE(2026+0,5,1),IF(I6="Vacate",H6*D6*(1+GrowthMarketRent)^0*IF(INT((DATE(2026+0,10,31)-F6)/365.25)=0,(12-DowntimeNew)/12,1),IF(I6="Option",G6*D6*1.025*(1+EscalatorInLease)^0,IF(I6="Market",Retention*G6*D6*(1+EscalatorInLease)^(0+M6)+(1-Retention)*H6*D6*(1+GrowthMarketRent)^0*IF(INT((DATE(2026+0,10,31)-F6)/365.25)=0,(12-DowntimeNew)/12,1),IF(I6="LeaseUp",H6*D6*(1+GrowthMarketRent)^0*IF(0=0,(12-DowntimeNew)/12,1),0)))),((F6-DATE(2026+0,5,1))/365.25)*G6*D6*(1+EscalatorInLease)^(0+M6)+((DATE(2027+0,4,30)-F6)/365.25)*IF(I6="Vacate",H6*D6*(1+GrowthMarketRent)^0*IF(INT((DATE(2026+0,10,31)-F6)/365.25)=0,(12-DowntimeNew)/12,1),IF(I6="Option",G6*D6*1.025*(1+EscalatorInLease)^0,IF(I6="Market",Retention*G6*D6*(1+EscalatorInLease)^(0+M6)+(1-Retention)*H6*D6*(1+GrowthMarketRent)^0*IF(INT((DATE(2026+0,10,31)-F6)/365.25)=0,(12-DowntimeNew)/12,1),IF(I6="LeaseUp",H6*D6*(1+GrowthMarketRent)^0*IF(0=0,(12-DowntimeNew)/12,1),0)))))))),0)</f>
        <v/>
      </c>
      <c r="O6" s="14">
        <f>IFERROR(IF(I6="LeaseUp",H6*D6*(1+GrowthMarketRent)^1*IF(1=0,(12-DowntimeNew)/12,1),IF(F6="",0,IF(F6&gt;=DATE(2027+1,4,30),G6*D6*(1+EscalatorInLease)^(1+M6),IF(F6&lt;DATE(2026+1,5,1),IF(I6="Vacate",H6*D6*(1+GrowthMarketRent)^1*IF(INT((DATE(2026+1,10,31)-F6)/365.25)=0,(12-DowntimeNew)/12,1),IF(I6="Option",G6*D6*1.025*(1+EscalatorInLease)^1,IF(I6="Market",Retention*G6*D6*(1+EscalatorInLease)^(1+M6)+(1-Retention)*H6*D6*(1+GrowthMarketRent)^1*IF(INT((DATE(2026+1,10,31)-F6)/365.25)=0,(12-DowntimeNew)/12,1),IF(I6="LeaseUp",H6*D6*(1+GrowthMarketRent)^1*IF(1=0,(12-DowntimeNew)/12,1),0)))),((F6-DATE(2026+1,5,1))/365.25)*G6*D6*(1+EscalatorInLease)^(1+M6)+((DATE(2027+1,4,30)-F6)/365.25)*IF(I6="Vacate",H6*D6*(1+GrowthMarketRent)^1*IF(INT((DATE(2026+1,10,31)-F6)/365.25)=0,(12-DowntimeNew)/12,1),IF(I6="Option",G6*D6*1.025*(1+EscalatorInLease)^1,IF(I6="Market",Retention*G6*D6*(1+EscalatorInLease)^(1+M6)+(1-Retention)*H6*D6*(1+GrowthMarketRent)^1*IF(INT((DATE(2026+1,10,31)-F6)/365.25)=0,(12-DowntimeNew)/12,1),IF(I6="LeaseUp",H6*D6*(1+GrowthMarketRent)^1*IF(1=0,(12-DowntimeNew)/12,1),0)))))))),0)</f>
        <v/>
      </c>
      <c r="P6" s="14">
        <f>IFERROR(IF(I6="LeaseUp",H6*D6*(1+GrowthMarketRent)^2*IF(2=0,(12-DowntimeNew)/12,1),IF(F6="",0,IF(F6&gt;=DATE(2027+2,4,30),G6*D6*(1+EscalatorInLease)^(2+M6),IF(F6&lt;DATE(2026+2,5,1),IF(I6="Vacate",H6*D6*(1+GrowthMarketRent)^2*IF(INT((DATE(2026+2,10,31)-F6)/365.25)=0,(12-DowntimeNew)/12,1),IF(I6="Option",G6*D6*1.025*(1+EscalatorInLease)^2,IF(I6="Market",Retention*G6*D6*(1+EscalatorInLease)^(2+M6)+(1-Retention)*H6*D6*(1+GrowthMarketRent)^2*IF(INT((DATE(2026+2,10,31)-F6)/365.25)=0,(12-DowntimeNew)/12,1),IF(I6="LeaseUp",H6*D6*(1+GrowthMarketRent)^2*IF(2=0,(12-DowntimeNew)/12,1),0)))),((F6-DATE(2026+2,5,1))/365.25)*G6*D6*(1+EscalatorInLease)^(2+M6)+((DATE(2027+2,4,30)-F6)/365.25)*IF(I6="Vacate",H6*D6*(1+GrowthMarketRent)^2*IF(INT((DATE(2026+2,10,31)-F6)/365.25)=0,(12-DowntimeNew)/12,1),IF(I6="Option",G6*D6*1.025*(1+EscalatorInLease)^2,IF(I6="Market",Retention*G6*D6*(1+EscalatorInLease)^(2+M6)+(1-Retention)*H6*D6*(1+GrowthMarketRent)^2*IF(INT((DATE(2026+2,10,31)-F6)/365.25)=0,(12-DowntimeNew)/12,1),IF(I6="LeaseUp",H6*D6*(1+GrowthMarketRent)^2*IF(2=0,(12-DowntimeNew)/12,1),0)))))))),0)</f>
        <v/>
      </c>
      <c r="Q6" s="14">
        <f>IFERROR(IF(I6="LeaseUp",H6*D6*(1+GrowthMarketRent)^3*IF(3=0,(12-DowntimeNew)/12,1),IF(F6="",0,IF(F6&gt;=DATE(2027+3,4,30),G6*D6*(1+EscalatorInLease)^(3+M6),IF(F6&lt;DATE(2026+3,5,1),IF(I6="Vacate",H6*D6*(1+GrowthMarketRent)^3*IF(INT((DATE(2026+3,10,31)-F6)/365.25)=0,(12-DowntimeNew)/12,1),IF(I6="Option",G6*D6*1.025*(1+EscalatorInLease)^3,IF(I6="Market",Retention*G6*D6*(1+EscalatorInLease)^(3+M6)+(1-Retention)*H6*D6*(1+GrowthMarketRent)^3*IF(INT((DATE(2026+3,10,31)-F6)/365.25)=0,(12-DowntimeNew)/12,1),IF(I6="LeaseUp",H6*D6*(1+GrowthMarketRent)^3*IF(3=0,(12-DowntimeNew)/12,1),0)))),((F6-DATE(2026+3,5,1))/365.25)*G6*D6*(1+EscalatorInLease)^(3+M6)+((DATE(2027+3,4,30)-F6)/365.25)*IF(I6="Vacate",H6*D6*(1+GrowthMarketRent)^3*IF(INT((DATE(2026+3,10,31)-F6)/365.25)=0,(12-DowntimeNew)/12,1),IF(I6="Option",G6*D6*1.025*(1+EscalatorInLease)^3,IF(I6="Market",Retention*G6*D6*(1+EscalatorInLease)^(3+M6)+(1-Retention)*H6*D6*(1+GrowthMarketRent)^3*IF(INT((DATE(2026+3,10,31)-F6)/365.25)=0,(12-DowntimeNew)/12,1),IF(I6="LeaseUp",H6*D6*(1+GrowthMarketRent)^3*IF(3=0,(12-DowntimeNew)/12,1),0)))))))),0)</f>
        <v/>
      </c>
      <c r="R6" s="14">
        <f>IFERROR(IF(I6="LeaseUp",H6*D6*(1+GrowthMarketRent)^4*IF(4=0,(12-DowntimeNew)/12,1),IF(F6="",0,IF(F6&gt;=DATE(2027+4,4,30),G6*D6*(1+EscalatorInLease)^(4+M6),IF(F6&lt;DATE(2026+4,5,1),IF(I6="Vacate",H6*D6*(1+GrowthMarketRent)^4*IF(INT((DATE(2026+4,10,31)-F6)/365.25)=0,(12-DowntimeNew)/12,1),IF(I6="Option",G6*D6*1.025*(1+EscalatorInLease)^4,IF(I6="Market",Retention*G6*D6*(1+EscalatorInLease)^(4+M6)+(1-Retention)*H6*D6*(1+GrowthMarketRent)^4*IF(INT((DATE(2026+4,10,31)-F6)/365.25)=0,(12-DowntimeNew)/12,1),IF(I6="LeaseUp",H6*D6*(1+GrowthMarketRent)^4*IF(4=0,(12-DowntimeNew)/12,1),0)))),((F6-DATE(2026+4,5,1))/365.25)*G6*D6*(1+EscalatorInLease)^(4+M6)+((DATE(2027+4,4,30)-F6)/365.25)*IF(I6="Vacate",H6*D6*(1+GrowthMarketRent)^4*IF(INT((DATE(2026+4,10,31)-F6)/365.25)=0,(12-DowntimeNew)/12,1),IF(I6="Option",G6*D6*1.025*(1+EscalatorInLease)^4,IF(I6="Market",Retention*G6*D6*(1+EscalatorInLease)^(4+M6)+(1-Retention)*H6*D6*(1+GrowthMarketRent)^4*IF(INT((DATE(2026+4,10,31)-F6)/365.25)=0,(12-DowntimeNew)/12,1),IF(I6="LeaseUp",H6*D6*(1+GrowthMarketRent)^4*IF(4=0,(12-DowntimeNew)/12,1),0)))))))),0)</f>
        <v/>
      </c>
      <c r="S6" s="14">
        <f>IFERROR(IF(I6="LeaseUp",H6*D6*(1+GrowthMarketRent)^5*IF(5=0,(12-DowntimeNew)/12,1),IF(F6="",0,IF(F6&gt;=DATE(2027+5,4,30),G6*D6*(1+EscalatorInLease)^(5+M6),IF(F6&lt;DATE(2026+5,5,1),IF(I6="Vacate",H6*D6*(1+GrowthMarketRent)^5*IF(INT((DATE(2026+5,10,31)-F6)/365.25)=0,(12-DowntimeNew)/12,1),IF(I6="Option",G6*D6*1.025*(1+EscalatorInLease)^5,IF(I6="Market",Retention*G6*D6*(1+EscalatorInLease)^(5+M6)+(1-Retention)*H6*D6*(1+GrowthMarketRent)^5*IF(INT((DATE(2026+5,10,31)-F6)/365.25)=0,(12-DowntimeNew)/12,1),IF(I6="LeaseUp",H6*D6*(1+GrowthMarketRent)^5*IF(5=0,(12-DowntimeNew)/12,1),0)))),((F6-DATE(2026+5,5,1))/365.25)*G6*D6*(1+EscalatorInLease)^(5+M6)+((DATE(2027+5,4,30)-F6)/365.25)*IF(I6="Vacate",H6*D6*(1+GrowthMarketRent)^5*IF(INT((DATE(2026+5,10,31)-F6)/365.25)=0,(12-DowntimeNew)/12,1),IF(I6="Option",G6*D6*1.025*(1+EscalatorInLease)^5,IF(I6="Market",Retention*G6*D6*(1+EscalatorInLease)^(5+M6)+(1-Retention)*H6*D6*(1+GrowthMarketRent)^5*IF(INT((DATE(2026+5,10,31)-F6)/365.25)=0,(12-DowntimeNew)/12,1),IF(I6="LeaseUp",H6*D6*(1+GrowthMarketRent)^5*IF(5=0,(12-DowntimeNew)/12,1),0)))))))),0)</f>
        <v/>
      </c>
      <c r="T6" s="14">
        <f>IFERROR(IF(I6="LeaseUp",H6*D6*(1+GrowthMarketRent)^6*IF(6=0,(12-DowntimeNew)/12,1),IF(F6="",0,IF(F6&gt;=DATE(2027+6,4,30),G6*D6*(1+EscalatorInLease)^(6+M6),IF(F6&lt;DATE(2026+6,5,1),IF(I6="Vacate",H6*D6*(1+GrowthMarketRent)^6*IF(INT((DATE(2026+6,10,31)-F6)/365.25)=0,(12-DowntimeNew)/12,1),IF(I6="Option",G6*D6*1.025*(1+EscalatorInLease)^6,IF(I6="Market",Retention*G6*D6*(1+EscalatorInLease)^(6+M6)+(1-Retention)*H6*D6*(1+GrowthMarketRent)^6*IF(INT((DATE(2026+6,10,31)-F6)/365.25)=0,(12-DowntimeNew)/12,1),IF(I6="LeaseUp",H6*D6*(1+GrowthMarketRent)^6*IF(6=0,(12-DowntimeNew)/12,1),0)))),((F6-DATE(2026+6,5,1))/365.25)*G6*D6*(1+EscalatorInLease)^(6+M6)+((DATE(2027+6,4,30)-F6)/365.25)*IF(I6="Vacate",H6*D6*(1+GrowthMarketRent)^6*IF(INT((DATE(2026+6,10,31)-F6)/365.25)=0,(12-DowntimeNew)/12,1),IF(I6="Option",G6*D6*1.025*(1+EscalatorInLease)^6,IF(I6="Market",Retention*G6*D6*(1+EscalatorInLease)^(6+M6)+(1-Retention)*H6*D6*(1+GrowthMarketRent)^6*IF(INT((DATE(2026+6,10,31)-F6)/365.25)=0,(12-DowntimeNew)/12,1),IF(I6="LeaseUp",H6*D6*(1+GrowthMarketRent)^6*IF(6=0,(12-DowntimeNew)/12,1),0)))))))),0)</f>
        <v/>
      </c>
      <c r="U6" s="14">
        <f>IFERROR(IF(I6="LeaseUp",H6*D6*(1+GrowthMarketRent)^7*IF(7=0,(12-DowntimeNew)/12,1),IF(F6="",0,IF(F6&gt;=DATE(2027+7,4,30),G6*D6*(1+EscalatorInLease)^(7+M6),IF(F6&lt;DATE(2026+7,5,1),IF(I6="Vacate",H6*D6*(1+GrowthMarketRent)^7*IF(INT((DATE(2026+7,10,31)-F6)/365.25)=0,(12-DowntimeNew)/12,1),IF(I6="Option",G6*D6*1.025*(1+EscalatorInLease)^7,IF(I6="Market",Retention*G6*D6*(1+EscalatorInLease)^(7+M6)+(1-Retention)*H6*D6*(1+GrowthMarketRent)^7*IF(INT((DATE(2026+7,10,31)-F6)/365.25)=0,(12-DowntimeNew)/12,1),IF(I6="LeaseUp",H6*D6*(1+GrowthMarketRent)^7*IF(7=0,(12-DowntimeNew)/12,1),0)))),((F6-DATE(2026+7,5,1))/365.25)*G6*D6*(1+EscalatorInLease)^(7+M6)+((DATE(2027+7,4,30)-F6)/365.25)*IF(I6="Vacate",H6*D6*(1+GrowthMarketRent)^7*IF(INT((DATE(2026+7,10,31)-F6)/365.25)=0,(12-DowntimeNew)/12,1),IF(I6="Option",G6*D6*1.025*(1+EscalatorInLease)^7,IF(I6="Market",Retention*G6*D6*(1+EscalatorInLease)^(7+M6)+(1-Retention)*H6*D6*(1+GrowthMarketRent)^7*IF(INT((DATE(2026+7,10,31)-F6)/365.25)=0,(12-DowntimeNew)/12,1),IF(I6="LeaseUp",H6*D6*(1+GrowthMarketRent)^7*IF(7=0,(12-DowntimeNew)/12,1),0)))))))),0)</f>
        <v/>
      </c>
      <c r="V6" s="14">
        <f>IFERROR(IF(I6="LeaseUp",H6*D6*(1+GrowthMarketRent)^8*IF(8=0,(12-DowntimeNew)/12,1),IF(F6="",0,IF(F6&gt;=DATE(2027+8,4,30),G6*D6*(1+EscalatorInLease)^(8+M6),IF(F6&lt;DATE(2026+8,5,1),IF(I6="Vacate",H6*D6*(1+GrowthMarketRent)^8*IF(INT((DATE(2026+8,10,31)-F6)/365.25)=0,(12-DowntimeNew)/12,1),IF(I6="Option",G6*D6*1.025*(1+EscalatorInLease)^8,IF(I6="Market",Retention*G6*D6*(1+EscalatorInLease)^(8+M6)+(1-Retention)*H6*D6*(1+GrowthMarketRent)^8*IF(INT((DATE(2026+8,10,31)-F6)/365.25)=0,(12-DowntimeNew)/12,1),IF(I6="LeaseUp",H6*D6*(1+GrowthMarketRent)^8*IF(8=0,(12-DowntimeNew)/12,1),0)))),((F6-DATE(2026+8,5,1))/365.25)*G6*D6*(1+EscalatorInLease)^(8+M6)+((DATE(2027+8,4,30)-F6)/365.25)*IF(I6="Vacate",H6*D6*(1+GrowthMarketRent)^8*IF(INT((DATE(2026+8,10,31)-F6)/365.25)=0,(12-DowntimeNew)/12,1),IF(I6="Option",G6*D6*1.025*(1+EscalatorInLease)^8,IF(I6="Market",Retention*G6*D6*(1+EscalatorInLease)^(8+M6)+(1-Retention)*H6*D6*(1+GrowthMarketRent)^8*IF(INT((DATE(2026+8,10,31)-F6)/365.25)=0,(12-DowntimeNew)/12,1),IF(I6="LeaseUp",H6*D6*(1+GrowthMarketRent)^8*IF(8=0,(12-DowntimeNew)/12,1),0)))))))),0)</f>
        <v/>
      </c>
      <c r="W6" s="14">
        <f>IFERROR(IF(I6="LeaseUp",H6*D6*(1+GrowthMarketRent)^9*IF(9=0,(12-DowntimeNew)/12,1),IF(F6="",0,IF(F6&gt;=DATE(2027+9,4,30),G6*D6*(1+EscalatorInLease)^(9+M6),IF(F6&lt;DATE(2026+9,5,1),IF(I6="Vacate",H6*D6*(1+GrowthMarketRent)^9*IF(INT((DATE(2026+9,10,31)-F6)/365.25)=0,(12-DowntimeNew)/12,1),IF(I6="Option",G6*D6*1.025*(1+EscalatorInLease)^9,IF(I6="Market",Retention*G6*D6*(1+EscalatorInLease)^(9+M6)+(1-Retention)*H6*D6*(1+GrowthMarketRent)^9*IF(INT((DATE(2026+9,10,31)-F6)/365.25)=0,(12-DowntimeNew)/12,1),IF(I6="LeaseUp",H6*D6*(1+GrowthMarketRent)^9*IF(9=0,(12-DowntimeNew)/12,1),0)))),((F6-DATE(2026+9,5,1))/365.25)*G6*D6*(1+EscalatorInLease)^(9+M6)+((DATE(2027+9,4,30)-F6)/365.25)*IF(I6="Vacate",H6*D6*(1+GrowthMarketRent)^9*IF(INT((DATE(2026+9,10,31)-F6)/365.25)=0,(12-DowntimeNew)/12,1),IF(I6="Option",G6*D6*1.025*(1+EscalatorInLease)^9,IF(I6="Market",Retention*G6*D6*(1+EscalatorInLease)^(9+M6)+(1-Retention)*H6*D6*(1+GrowthMarketRent)^9*IF(INT((DATE(2026+9,10,31)-F6)/365.25)=0,(12-DowntimeNew)/12,1),IF(I6="LeaseUp",H6*D6*(1+GrowthMarketRent)^9*IF(9=0,(12-DowntimeNew)/12,1),0)))))))),0)</f>
        <v/>
      </c>
      <c r="X6" s="14">
        <f>IFERROR(IF(I6="LeaseUp",H6*D6*(1+GrowthMarketRent)^10*IF(10=0,(12-DowntimeNew)/12,1),IF(F6="",0,IF(F6&gt;=DATE(2027+10,4,30),G6*D6*(1+EscalatorInLease)^(10+M6),IF(F6&lt;DATE(2026+10,5,1),IF(I6="Vacate",H6*D6*(1+GrowthMarketRent)^10*IF(INT((DATE(2026+10,10,31)-F6)/365.25)=0,(12-DowntimeNew)/12,1),IF(I6="Option",G6*D6*1.025*(1+EscalatorInLease)^10,IF(I6="Market",Retention*G6*D6*(1+EscalatorInLease)^(10+M6)+(1-Retention)*H6*D6*(1+GrowthMarketRent)^10*IF(INT((DATE(2026+10,10,31)-F6)/365.25)=0,(12-DowntimeNew)/12,1),IF(I6="LeaseUp",H6*D6*(1+GrowthMarketRent)^10*IF(10=0,(12-DowntimeNew)/12,1),0)))),((F6-DATE(2026+10,5,1))/365.25)*G6*D6*(1+EscalatorInLease)^(10+M6)+((DATE(2027+10,4,30)-F6)/365.25)*IF(I6="Vacate",H6*D6*(1+GrowthMarketRent)^10*IF(INT((DATE(2026+10,10,31)-F6)/365.25)=0,(12-DowntimeNew)/12,1),IF(I6="Option",G6*D6*1.025*(1+EscalatorInLease)^10,IF(I6="Market",Retention*G6*D6*(1+EscalatorInLease)^(10+M6)+(1-Retention)*H6*D6*(1+GrowthMarketRent)^10*IF(INT((DATE(2026+10,10,31)-F6)/365.25)=0,(12-DowntimeNew)/12,1),IF(I6="LeaseUp",H6*D6*(1+GrowthMarketRent)^10*IF(10=0,(12-DowntimeNew)/12,1),0)))))))),0)</f>
        <v/>
      </c>
      <c r="Y6" s="14">
        <f>IFERROR(IF(AND(I6="LeaseUp",0=0),(IF(I6="Vacate",TINew*D6,IF(I6="Market",Retention*TIRenewal*D6+(1-Retention)*TINew*D6,IF(I6="LeaseUp",TINew*D6,IF(I6="Option",TIRenewal*D6,0)))))+(IF(I6="Vacate",LCNew*H6*D6*(1+GrowthMarketRent)^0,IF(I6="Market",Retention*LCRenewal*H6*D6*(1+GrowthMarketRent)^0+(1-Retention)*LCNew*H6*D6*(1+GrowthMarketRent)^0,IF(I6="LeaseUp",LCNew*H6*D6*(1+GrowthMarketRent)^0,IF(I6="Option",LCRenewal*H6*D6*(1+GrowthMarketRent)^0,0))))),IF(F6="",0,IF(AND(F6&gt;=DATE(2026+0,5,1),F6&lt;=DATE(2027+0,4,30)),(IF(I6="Vacate",TINew*D6,IF(I6="Market",Retention*TIRenewal*D6+(1-Retention)*TINew*D6,IF(I6="LeaseUp",TINew*D6,IF(I6="Option",TIRenewal*D6,0)))))+(IF(I6="Vacate",LCNew*H6*D6*(1+GrowthMarketRent)^0,IF(I6="Market",Retention*LCRenewal*H6*D6*(1+GrowthMarketRent)^0+(1-Retention)*LCNew*H6*D6*(1+GrowthMarketRent)^0,IF(I6="LeaseUp",LCNew*H6*D6*(1+GrowthMarketRent)^0,IF(I6="Option",LCRenewal*H6*D6*(1+GrowthMarketRent)^0,0))))),0))),0)</f>
        <v/>
      </c>
      <c r="Z6" s="14">
        <f>IFERROR(IF(AND(I6="LeaseUp",1=0),(IF(I6="Vacate",TINew*D6,IF(I6="Market",Retention*TIRenewal*D6+(1-Retention)*TINew*D6,IF(I6="LeaseUp",TINew*D6,IF(I6="Option",TIRenewal*D6,0)))))+(IF(I6="Vacate",LCNew*H6*D6*(1+GrowthMarketRent)^1,IF(I6="Market",Retention*LCRenewal*H6*D6*(1+GrowthMarketRent)^1+(1-Retention)*LCNew*H6*D6*(1+GrowthMarketRent)^1,IF(I6="LeaseUp",LCNew*H6*D6*(1+GrowthMarketRent)^1,IF(I6="Option",LCRenewal*H6*D6*(1+GrowthMarketRent)^1,0))))),IF(F6="",0,IF(AND(F6&gt;=DATE(2026+1,5,1),F6&lt;=DATE(2027+1,4,30)),(IF(I6="Vacate",TINew*D6,IF(I6="Market",Retention*TIRenewal*D6+(1-Retention)*TINew*D6,IF(I6="LeaseUp",TINew*D6,IF(I6="Option",TIRenewal*D6,0)))))+(IF(I6="Vacate",LCNew*H6*D6*(1+GrowthMarketRent)^1,IF(I6="Market",Retention*LCRenewal*H6*D6*(1+GrowthMarketRent)^1+(1-Retention)*LCNew*H6*D6*(1+GrowthMarketRent)^1,IF(I6="LeaseUp",LCNew*H6*D6*(1+GrowthMarketRent)^1,IF(I6="Option",LCRenewal*H6*D6*(1+GrowthMarketRent)^1,0))))),0))),0)</f>
        <v/>
      </c>
      <c r="AA6" s="14">
        <f>IFERROR(IF(AND(I6="LeaseUp",2=0),(IF(I6="Vacate",TINew*D6,IF(I6="Market",Retention*TIRenewal*D6+(1-Retention)*TINew*D6,IF(I6="LeaseUp",TINew*D6,IF(I6="Option",TIRenewal*D6,0)))))+(IF(I6="Vacate",LCNew*H6*D6*(1+GrowthMarketRent)^2,IF(I6="Market",Retention*LCRenewal*H6*D6*(1+GrowthMarketRent)^2+(1-Retention)*LCNew*H6*D6*(1+GrowthMarketRent)^2,IF(I6="LeaseUp",LCNew*H6*D6*(1+GrowthMarketRent)^2,IF(I6="Option",LCRenewal*H6*D6*(1+GrowthMarketRent)^2,0))))),IF(F6="",0,IF(AND(F6&gt;=DATE(2026+2,5,1),F6&lt;=DATE(2027+2,4,30)),(IF(I6="Vacate",TINew*D6,IF(I6="Market",Retention*TIRenewal*D6+(1-Retention)*TINew*D6,IF(I6="LeaseUp",TINew*D6,IF(I6="Option",TIRenewal*D6,0)))))+(IF(I6="Vacate",LCNew*H6*D6*(1+GrowthMarketRent)^2,IF(I6="Market",Retention*LCRenewal*H6*D6*(1+GrowthMarketRent)^2+(1-Retention)*LCNew*H6*D6*(1+GrowthMarketRent)^2,IF(I6="LeaseUp",LCNew*H6*D6*(1+GrowthMarketRent)^2,IF(I6="Option",LCRenewal*H6*D6*(1+GrowthMarketRent)^2,0))))),0))),0)</f>
        <v/>
      </c>
      <c r="AB6" s="14">
        <f>IFERROR(IF(AND(I6="LeaseUp",3=0),(IF(I6="Vacate",TINew*D6,IF(I6="Market",Retention*TIRenewal*D6+(1-Retention)*TINew*D6,IF(I6="LeaseUp",TINew*D6,IF(I6="Option",TIRenewal*D6,0)))))+(IF(I6="Vacate",LCNew*H6*D6*(1+GrowthMarketRent)^3,IF(I6="Market",Retention*LCRenewal*H6*D6*(1+GrowthMarketRent)^3+(1-Retention)*LCNew*H6*D6*(1+GrowthMarketRent)^3,IF(I6="LeaseUp",LCNew*H6*D6*(1+GrowthMarketRent)^3,IF(I6="Option",LCRenewal*H6*D6*(1+GrowthMarketRent)^3,0))))),IF(F6="",0,IF(AND(F6&gt;=DATE(2026+3,5,1),F6&lt;=DATE(2027+3,4,30)),(IF(I6="Vacate",TINew*D6,IF(I6="Market",Retention*TIRenewal*D6+(1-Retention)*TINew*D6,IF(I6="LeaseUp",TINew*D6,IF(I6="Option",TIRenewal*D6,0)))))+(IF(I6="Vacate",LCNew*H6*D6*(1+GrowthMarketRent)^3,IF(I6="Market",Retention*LCRenewal*H6*D6*(1+GrowthMarketRent)^3+(1-Retention)*LCNew*H6*D6*(1+GrowthMarketRent)^3,IF(I6="LeaseUp",LCNew*H6*D6*(1+GrowthMarketRent)^3,IF(I6="Option",LCRenewal*H6*D6*(1+GrowthMarketRent)^3,0))))),0))),0)</f>
        <v/>
      </c>
      <c r="AC6" s="14">
        <f>IFERROR(IF(AND(I6="LeaseUp",4=0),(IF(I6="Vacate",TINew*D6,IF(I6="Market",Retention*TIRenewal*D6+(1-Retention)*TINew*D6,IF(I6="LeaseUp",TINew*D6,IF(I6="Option",TIRenewal*D6,0)))))+(IF(I6="Vacate",LCNew*H6*D6*(1+GrowthMarketRent)^4,IF(I6="Market",Retention*LCRenewal*H6*D6*(1+GrowthMarketRent)^4+(1-Retention)*LCNew*H6*D6*(1+GrowthMarketRent)^4,IF(I6="LeaseUp",LCNew*H6*D6*(1+GrowthMarketRent)^4,IF(I6="Option",LCRenewal*H6*D6*(1+GrowthMarketRent)^4,0))))),IF(F6="",0,IF(AND(F6&gt;=DATE(2026+4,5,1),F6&lt;=DATE(2027+4,4,30)),(IF(I6="Vacate",TINew*D6,IF(I6="Market",Retention*TIRenewal*D6+(1-Retention)*TINew*D6,IF(I6="LeaseUp",TINew*D6,IF(I6="Option",TIRenewal*D6,0)))))+(IF(I6="Vacate",LCNew*H6*D6*(1+GrowthMarketRent)^4,IF(I6="Market",Retention*LCRenewal*H6*D6*(1+GrowthMarketRent)^4+(1-Retention)*LCNew*H6*D6*(1+GrowthMarketRent)^4,IF(I6="LeaseUp",LCNew*H6*D6*(1+GrowthMarketRent)^4,IF(I6="Option",LCRenewal*H6*D6*(1+GrowthMarketRent)^4,0))))),0))),0)</f>
        <v/>
      </c>
      <c r="AD6" s="14">
        <f>IFERROR(IF(AND(I6="LeaseUp",5=0),(IF(I6="Vacate",TINew*D6,IF(I6="Market",Retention*TIRenewal*D6+(1-Retention)*TINew*D6,IF(I6="LeaseUp",TINew*D6,IF(I6="Option",TIRenewal*D6,0)))))+(IF(I6="Vacate",LCNew*H6*D6*(1+GrowthMarketRent)^5,IF(I6="Market",Retention*LCRenewal*H6*D6*(1+GrowthMarketRent)^5+(1-Retention)*LCNew*H6*D6*(1+GrowthMarketRent)^5,IF(I6="LeaseUp",LCNew*H6*D6*(1+GrowthMarketRent)^5,IF(I6="Option",LCRenewal*H6*D6*(1+GrowthMarketRent)^5,0))))),IF(F6="",0,IF(AND(F6&gt;=DATE(2026+5,5,1),F6&lt;=DATE(2027+5,4,30)),(IF(I6="Vacate",TINew*D6,IF(I6="Market",Retention*TIRenewal*D6+(1-Retention)*TINew*D6,IF(I6="LeaseUp",TINew*D6,IF(I6="Option",TIRenewal*D6,0)))))+(IF(I6="Vacate",LCNew*H6*D6*(1+GrowthMarketRent)^5,IF(I6="Market",Retention*LCRenewal*H6*D6*(1+GrowthMarketRent)^5+(1-Retention)*LCNew*H6*D6*(1+GrowthMarketRent)^5,IF(I6="LeaseUp",LCNew*H6*D6*(1+GrowthMarketRent)^5,IF(I6="Option",LCRenewal*H6*D6*(1+GrowthMarketRent)^5,0))))),0))),0)</f>
        <v/>
      </c>
      <c r="AE6" s="14">
        <f>IFERROR(IF(AND(I6="LeaseUp",6=0),(IF(I6="Vacate",TINew*D6,IF(I6="Market",Retention*TIRenewal*D6+(1-Retention)*TINew*D6,IF(I6="LeaseUp",TINew*D6,IF(I6="Option",TIRenewal*D6,0)))))+(IF(I6="Vacate",LCNew*H6*D6*(1+GrowthMarketRent)^6,IF(I6="Market",Retention*LCRenewal*H6*D6*(1+GrowthMarketRent)^6+(1-Retention)*LCNew*H6*D6*(1+GrowthMarketRent)^6,IF(I6="LeaseUp",LCNew*H6*D6*(1+GrowthMarketRent)^6,IF(I6="Option",LCRenewal*H6*D6*(1+GrowthMarketRent)^6,0))))),IF(F6="",0,IF(AND(F6&gt;=DATE(2026+6,5,1),F6&lt;=DATE(2027+6,4,30)),(IF(I6="Vacate",TINew*D6,IF(I6="Market",Retention*TIRenewal*D6+(1-Retention)*TINew*D6,IF(I6="LeaseUp",TINew*D6,IF(I6="Option",TIRenewal*D6,0)))))+(IF(I6="Vacate",LCNew*H6*D6*(1+GrowthMarketRent)^6,IF(I6="Market",Retention*LCRenewal*H6*D6*(1+GrowthMarketRent)^6+(1-Retention)*LCNew*H6*D6*(1+GrowthMarketRent)^6,IF(I6="LeaseUp",LCNew*H6*D6*(1+GrowthMarketRent)^6,IF(I6="Option",LCRenewal*H6*D6*(1+GrowthMarketRent)^6,0))))),0))),0)</f>
        <v/>
      </c>
      <c r="AF6" s="14">
        <f>IFERROR(IF(AND(I6="LeaseUp",7=0),(IF(I6="Vacate",TINew*D6,IF(I6="Market",Retention*TIRenewal*D6+(1-Retention)*TINew*D6,IF(I6="LeaseUp",TINew*D6,IF(I6="Option",TIRenewal*D6,0)))))+(IF(I6="Vacate",LCNew*H6*D6*(1+GrowthMarketRent)^7,IF(I6="Market",Retention*LCRenewal*H6*D6*(1+GrowthMarketRent)^7+(1-Retention)*LCNew*H6*D6*(1+GrowthMarketRent)^7,IF(I6="LeaseUp",LCNew*H6*D6*(1+GrowthMarketRent)^7,IF(I6="Option",LCRenewal*H6*D6*(1+GrowthMarketRent)^7,0))))),IF(F6="",0,IF(AND(F6&gt;=DATE(2026+7,5,1),F6&lt;=DATE(2027+7,4,30)),(IF(I6="Vacate",TINew*D6,IF(I6="Market",Retention*TIRenewal*D6+(1-Retention)*TINew*D6,IF(I6="LeaseUp",TINew*D6,IF(I6="Option",TIRenewal*D6,0)))))+(IF(I6="Vacate",LCNew*H6*D6*(1+GrowthMarketRent)^7,IF(I6="Market",Retention*LCRenewal*H6*D6*(1+GrowthMarketRent)^7+(1-Retention)*LCNew*H6*D6*(1+GrowthMarketRent)^7,IF(I6="LeaseUp",LCNew*H6*D6*(1+GrowthMarketRent)^7,IF(I6="Option",LCRenewal*H6*D6*(1+GrowthMarketRent)^7,0))))),0))),0)</f>
        <v/>
      </c>
      <c r="AG6" s="14">
        <f>IFERROR(IF(AND(I6="LeaseUp",8=0),(IF(I6="Vacate",TINew*D6,IF(I6="Market",Retention*TIRenewal*D6+(1-Retention)*TINew*D6,IF(I6="LeaseUp",TINew*D6,IF(I6="Option",TIRenewal*D6,0)))))+(IF(I6="Vacate",LCNew*H6*D6*(1+GrowthMarketRent)^8,IF(I6="Market",Retention*LCRenewal*H6*D6*(1+GrowthMarketRent)^8+(1-Retention)*LCNew*H6*D6*(1+GrowthMarketRent)^8,IF(I6="LeaseUp",LCNew*H6*D6*(1+GrowthMarketRent)^8,IF(I6="Option",LCRenewal*H6*D6*(1+GrowthMarketRent)^8,0))))),IF(F6="",0,IF(AND(F6&gt;=DATE(2026+8,5,1),F6&lt;=DATE(2027+8,4,30)),(IF(I6="Vacate",TINew*D6,IF(I6="Market",Retention*TIRenewal*D6+(1-Retention)*TINew*D6,IF(I6="LeaseUp",TINew*D6,IF(I6="Option",TIRenewal*D6,0)))))+(IF(I6="Vacate",LCNew*H6*D6*(1+GrowthMarketRent)^8,IF(I6="Market",Retention*LCRenewal*H6*D6*(1+GrowthMarketRent)^8+(1-Retention)*LCNew*H6*D6*(1+GrowthMarketRent)^8,IF(I6="LeaseUp",LCNew*H6*D6*(1+GrowthMarketRent)^8,IF(I6="Option",LCRenewal*H6*D6*(1+GrowthMarketRent)^8,0))))),0))),0)</f>
        <v/>
      </c>
      <c r="AH6" s="14">
        <f>IFERROR(IF(AND(I6="LeaseUp",9=0),(IF(I6="Vacate",TINew*D6,IF(I6="Market",Retention*TIRenewal*D6+(1-Retention)*TINew*D6,IF(I6="LeaseUp",TINew*D6,IF(I6="Option",TIRenewal*D6,0)))))+(IF(I6="Vacate",LCNew*H6*D6*(1+GrowthMarketRent)^9,IF(I6="Market",Retention*LCRenewal*H6*D6*(1+GrowthMarketRent)^9+(1-Retention)*LCNew*H6*D6*(1+GrowthMarketRent)^9,IF(I6="LeaseUp",LCNew*H6*D6*(1+GrowthMarketRent)^9,IF(I6="Option",LCRenewal*H6*D6*(1+GrowthMarketRent)^9,0))))),IF(F6="",0,IF(AND(F6&gt;=DATE(2026+9,5,1),F6&lt;=DATE(2027+9,4,30)),(IF(I6="Vacate",TINew*D6,IF(I6="Market",Retention*TIRenewal*D6+(1-Retention)*TINew*D6,IF(I6="LeaseUp",TINew*D6,IF(I6="Option",TIRenewal*D6,0)))))+(IF(I6="Vacate",LCNew*H6*D6*(1+GrowthMarketRent)^9,IF(I6="Market",Retention*LCRenewal*H6*D6*(1+GrowthMarketRent)^9+(1-Retention)*LCNew*H6*D6*(1+GrowthMarketRent)^9,IF(I6="LeaseUp",LCNew*H6*D6*(1+GrowthMarketRent)^9,IF(I6="Option",LCRenewal*H6*D6*(1+GrowthMarketRent)^9,0))))),0))),0)</f>
        <v/>
      </c>
      <c r="AI6" s="14">
        <f>IFERROR(IF(AND(I6="LeaseUp",10=0),(IF(I6="Vacate",TINew*D6,IF(I6="Market",Retention*TIRenewal*D6+(1-Retention)*TINew*D6,IF(I6="LeaseUp",TINew*D6,IF(I6="Option",TIRenewal*D6,0)))))+(IF(I6="Vacate",LCNew*H6*D6*(1+GrowthMarketRent)^10,IF(I6="Market",Retention*LCRenewal*H6*D6*(1+GrowthMarketRent)^10+(1-Retention)*LCNew*H6*D6*(1+GrowthMarketRent)^10,IF(I6="LeaseUp",LCNew*H6*D6*(1+GrowthMarketRent)^10,IF(I6="Option",LCRenewal*H6*D6*(1+GrowthMarketRent)^10,0))))),IF(F6="",0,IF(AND(F6&gt;=DATE(2026+10,5,1),F6&lt;=DATE(2027+10,4,30)),(IF(I6="Vacate",TINew*D6,IF(I6="Market",Retention*TIRenewal*D6+(1-Retention)*TINew*D6,IF(I6="LeaseUp",TINew*D6,IF(I6="Option",TIRenewal*D6,0)))))+(IF(I6="Vacate",LCNew*H6*D6*(1+GrowthMarketRent)^10,IF(I6="Market",Retention*LCRenewal*H6*D6*(1+GrowthMarketRent)^10+(1-Retention)*LCNew*H6*D6*(1+GrowthMarketRent)^10,IF(I6="LeaseUp",LCNew*H6*D6*(1+GrowthMarketRent)^10,IF(I6="Option",LCRenewal*H6*D6*(1+GrowthMarketRent)^10,0))))),0))),0)</f>
        <v/>
      </c>
    </row>
    <row r="7">
      <c r="A7" t="inlineStr">
        <is>
          <t>Carrollton</t>
        </is>
      </c>
      <c r="B7" t="inlineStr">
        <is>
          <t>108</t>
        </is>
      </c>
      <c r="C7" t="inlineStr">
        <is>
          <t>Bath Touch Metals Inc.</t>
        </is>
      </c>
      <c r="D7" s="32" t="n">
        <v>2600</v>
      </c>
      <c r="E7" s="33" t="n">
        <v>45261</v>
      </c>
      <c r="F7" s="33" t="n">
        <v>46508</v>
      </c>
      <c r="G7" s="34" t="n">
        <v>15.4965384615385</v>
      </c>
      <c r="H7" s="16">
        <f>VLOOKUP("Carrollton — "&amp;J7,MLA!$A$5:$L$11,3,FALSE)</f>
        <v/>
      </c>
      <c r="I7" s="11" t="inlineStr">
        <is>
          <t>Vacate</t>
        </is>
      </c>
      <c r="J7" t="inlineStr">
        <is>
          <t>Shop</t>
        </is>
      </c>
      <c r="K7" t="inlineStr">
        <is>
          <t>Occupied</t>
        </is>
      </c>
      <c r="L7" t="inlineStr">
        <is>
          <t>Shop; assumed to vacate at expiration</t>
        </is>
      </c>
      <c r="M7" s="20">
        <f>IF(E7="",0,(AnalysisStart-E7)/365.25)</f>
        <v/>
      </c>
      <c r="N7" s="14">
        <f>IFERROR(IF(I7="LeaseUp",H7*D7*(1+GrowthMarketRent)^0*IF(0=0,(12-DowntimeNew)/12,1),IF(F7="",0,IF(F7&gt;=DATE(2027+0,4,30),G7*D7*(1+EscalatorInLease)^(0+M7),IF(F7&lt;DATE(2026+0,5,1),IF(I7="Vacate",H7*D7*(1+GrowthMarketRent)^0*IF(INT((DATE(2026+0,10,31)-F7)/365.25)=0,(12-DowntimeNew)/12,1),IF(I7="Option",G7*D7*1.025*(1+EscalatorInLease)^0,IF(I7="Market",Retention*G7*D7*(1+EscalatorInLease)^(0+M7)+(1-Retention)*H7*D7*(1+GrowthMarketRent)^0*IF(INT((DATE(2026+0,10,31)-F7)/365.25)=0,(12-DowntimeNew)/12,1),IF(I7="LeaseUp",H7*D7*(1+GrowthMarketRent)^0*IF(0=0,(12-DowntimeNew)/12,1),0)))),((F7-DATE(2026+0,5,1))/365.25)*G7*D7*(1+EscalatorInLease)^(0+M7)+((DATE(2027+0,4,30)-F7)/365.25)*IF(I7="Vacate",H7*D7*(1+GrowthMarketRent)^0*IF(INT((DATE(2026+0,10,31)-F7)/365.25)=0,(12-DowntimeNew)/12,1),IF(I7="Option",G7*D7*1.025*(1+EscalatorInLease)^0,IF(I7="Market",Retention*G7*D7*(1+EscalatorInLease)^(0+M7)+(1-Retention)*H7*D7*(1+GrowthMarketRent)^0*IF(INT((DATE(2026+0,10,31)-F7)/365.25)=0,(12-DowntimeNew)/12,1),IF(I7="LeaseUp",H7*D7*(1+GrowthMarketRent)^0*IF(0=0,(12-DowntimeNew)/12,1),0)))))))),0)</f>
        <v/>
      </c>
      <c r="O7" s="14">
        <f>IFERROR(IF(I7="LeaseUp",H7*D7*(1+GrowthMarketRent)^1*IF(1=0,(12-DowntimeNew)/12,1),IF(F7="",0,IF(F7&gt;=DATE(2027+1,4,30),G7*D7*(1+EscalatorInLease)^(1+M7),IF(F7&lt;DATE(2026+1,5,1),IF(I7="Vacate",H7*D7*(1+GrowthMarketRent)^1*IF(INT((DATE(2026+1,10,31)-F7)/365.25)=0,(12-DowntimeNew)/12,1),IF(I7="Option",G7*D7*1.025*(1+EscalatorInLease)^1,IF(I7="Market",Retention*G7*D7*(1+EscalatorInLease)^(1+M7)+(1-Retention)*H7*D7*(1+GrowthMarketRent)^1*IF(INT((DATE(2026+1,10,31)-F7)/365.25)=0,(12-DowntimeNew)/12,1),IF(I7="LeaseUp",H7*D7*(1+GrowthMarketRent)^1*IF(1=0,(12-DowntimeNew)/12,1),0)))),((F7-DATE(2026+1,5,1))/365.25)*G7*D7*(1+EscalatorInLease)^(1+M7)+((DATE(2027+1,4,30)-F7)/365.25)*IF(I7="Vacate",H7*D7*(1+GrowthMarketRent)^1*IF(INT((DATE(2026+1,10,31)-F7)/365.25)=0,(12-DowntimeNew)/12,1),IF(I7="Option",G7*D7*1.025*(1+EscalatorInLease)^1,IF(I7="Market",Retention*G7*D7*(1+EscalatorInLease)^(1+M7)+(1-Retention)*H7*D7*(1+GrowthMarketRent)^1*IF(INT((DATE(2026+1,10,31)-F7)/365.25)=0,(12-DowntimeNew)/12,1),IF(I7="LeaseUp",H7*D7*(1+GrowthMarketRent)^1*IF(1=0,(12-DowntimeNew)/12,1),0)))))))),0)</f>
        <v/>
      </c>
      <c r="P7" s="14">
        <f>IFERROR(IF(I7="LeaseUp",H7*D7*(1+GrowthMarketRent)^2*IF(2=0,(12-DowntimeNew)/12,1),IF(F7="",0,IF(F7&gt;=DATE(2027+2,4,30),G7*D7*(1+EscalatorInLease)^(2+M7),IF(F7&lt;DATE(2026+2,5,1),IF(I7="Vacate",H7*D7*(1+GrowthMarketRent)^2*IF(INT((DATE(2026+2,10,31)-F7)/365.25)=0,(12-DowntimeNew)/12,1),IF(I7="Option",G7*D7*1.025*(1+EscalatorInLease)^2,IF(I7="Market",Retention*G7*D7*(1+EscalatorInLease)^(2+M7)+(1-Retention)*H7*D7*(1+GrowthMarketRent)^2*IF(INT((DATE(2026+2,10,31)-F7)/365.25)=0,(12-DowntimeNew)/12,1),IF(I7="LeaseUp",H7*D7*(1+GrowthMarketRent)^2*IF(2=0,(12-DowntimeNew)/12,1),0)))),((F7-DATE(2026+2,5,1))/365.25)*G7*D7*(1+EscalatorInLease)^(2+M7)+((DATE(2027+2,4,30)-F7)/365.25)*IF(I7="Vacate",H7*D7*(1+GrowthMarketRent)^2*IF(INT((DATE(2026+2,10,31)-F7)/365.25)=0,(12-DowntimeNew)/12,1),IF(I7="Option",G7*D7*1.025*(1+EscalatorInLease)^2,IF(I7="Market",Retention*G7*D7*(1+EscalatorInLease)^(2+M7)+(1-Retention)*H7*D7*(1+GrowthMarketRent)^2*IF(INT((DATE(2026+2,10,31)-F7)/365.25)=0,(12-DowntimeNew)/12,1),IF(I7="LeaseUp",H7*D7*(1+GrowthMarketRent)^2*IF(2=0,(12-DowntimeNew)/12,1),0)))))))),0)</f>
        <v/>
      </c>
      <c r="Q7" s="14">
        <f>IFERROR(IF(I7="LeaseUp",H7*D7*(1+GrowthMarketRent)^3*IF(3=0,(12-DowntimeNew)/12,1),IF(F7="",0,IF(F7&gt;=DATE(2027+3,4,30),G7*D7*(1+EscalatorInLease)^(3+M7),IF(F7&lt;DATE(2026+3,5,1),IF(I7="Vacate",H7*D7*(1+GrowthMarketRent)^3*IF(INT((DATE(2026+3,10,31)-F7)/365.25)=0,(12-DowntimeNew)/12,1),IF(I7="Option",G7*D7*1.025*(1+EscalatorInLease)^3,IF(I7="Market",Retention*G7*D7*(1+EscalatorInLease)^(3+M7)+(1-Retention)*H7*D7*(1+GrowthMarketRent)^3*IF(INT((DATE(2026+3,10,31)-F7)/365.25)=0,(12-DowntimeNew)/12,1),IF(I7="LeaseUp",H7*D7*(1+GrowthMarketRent)^3*IF(3=0,(12-DowntimeNew)/12,1),0)))),((F7-DATE(2026+3,5,1))/365.25)*G7*D7*(1+EscalatorInLease)^(3+M7)+((DATE(2027+3,4,30)-F7)/365.25)*IF(I7="Vacate",H7*D7*(1+GrowthMarketRent)^3*IF(INT((DATE(2026+3,10,31)-F7)/365.25)=0,(12-DowntimeNew)/12,1),IF(I7="Option",G7*D7*1.025*(1+EscalatorInLease)^3,IF(I7="Market",Retention*G7*D7*(1+EscalatorInLease)^(3+M7)+(1-Retention)*H7*D7*(1+GrowthMarketRent)^3*IF(INT((DATE(2026+3,10,31)-F7)/365.25)=0,(12-DowntimeNew)/12,1),IF(I7="LeaseUp",H7*D7*(1+GrowthMarketRent)^3*IF(3=0,(12-DowntimeNew)/12,1),0)))))))),0)</f>
        <v/>
      </c>
      <c r="R7" s="14">
        <f>IFERROR(IF(I7="LeaseUp",H7*D7*(1+GrowthMarketRent)^4*IF(4=0,(12-DowntimeNew)/12,1),IF(F7="",0,IF(F7&gt;=DATE(2027+4,4,30),G7*D7*(1+EscalatorInLease)^(4+M7),IF(F7&lt;DATE(2026+4,5,1),IF(I7="Vacate",H7*D7*(1+GrowthMarketRent)^4*IF(INT((DATE(2026+4,10,31)-F7)/365.25)=0,(12-DowntimeNew)/12,1),IF(I7="Option",G7*D7*1.025*(1+EscalatorInLease)^4,IF(I7="Market",Retention*G7*D7*(1+EscalatorInLease)^(4+M7)+(1-Retention)*H7*D7*(1+GrowthMarketRent)^4*IF(INT((DATE(2026+4,10,31)-F7)/365.25)=0,(12-DowntimeNew)/12,1),IF(I7="LeaseUp",H7*D7*(1+GrowthMarketRent)^4*IF(4=0,(12-DowntimeNew)/12,1),0)))),((F7-DATE(2026+4,5,1))/365.25)*G7*D7*(1+EscalatorInLease)^(4+M7)+((DATE(2027+4,4,30)-F7)/365.25)*IF(I7="Vacate",H7*D7*(1+GrowthMarketRent)^4*IF(INT((DATE(2026+4,10,31)-F7)/365.25)=0,(12-DowntimeNew)/12,1),IF(I7="Option",G7*D7*1.025*(1+EscalatorInLease)^4,IF(I7="Market",Retention*G7*D7*(1+EscalatorInLease)^(4+M7)+(1-Retention)*H7*D7*(1+GrowthMarketRent)^4*IF(INT((DATE(2026+4,10,31)-F7)/365.25)=0,(12-DowntimeNew)/12,1),IF(I7="LeaseUp",H7*D7*(1+GrowthMarketRent)^4*IF(4=0,(12-DowntimeNew)/12,1),0)))))))),0)</f>
        <v/>
      </c>
      <c r="S7" s="14">
        <f>IFERROR(IF(I7="LeaseUp",H7*D7*(1+GrowthMarketRent)^5*IF(5=0,(12-DowntimeNew)/12,1),IF(F7="",0,IF(F7&gt;=DATE(2027+5,4,30),G7*D7*(1+EscalatorInLease)^(5+M7),IF(F7&lt;DATE(2026+5,5,1),IF(I7="Vacate",H7*D7*(1+GrowthMarketRent)^5*IF(INT((DATE(2026+5,10,31)-F7)/365.25)=0,(12-DowntimeNew)/12,1),IF(I7="Option",G7*D7*1.025*(1+EscalatorInLease)^5,IF(I7="Market",Retention*G7*D7*(1+EscalatorInLease)^(5+M7)+(1-Retention)*H7*D7*(1+GrowthMarketRent)^5*IF(INT((DATE(2026+5,10,31)-F7)/365.25)=0,(12-DowntimeNew)/12,1),IF(I7="LeaseUp",H7*D7*(1+GrowthMarketRent)^5*IF(5=0,(12-DowntimeNew)/12,1),0)))),((F7-DATE(2026+5,5,1))/365.25)*G7*D7*(1+EscalatorInLease)^(5+M7)+((DATE(2027+5,4,30)-F7)/365.25)*IF(I7="Vacate",H7*D7*(1+GrowthMarketRent)^5*IF(INT((DATE(2026+5,10,31)-F7)/365.25)=0,(12-DowntimeNew)/12,1),IF(I7="Option",G7*D7*1.025*(1+EscalatorInLease)^5,IF(I7="Market",Retention*G7*D7*(1+EscalatorInLease)^(5+M7)+(1-Retention)*H7*D7*(1+GrowthMarketRent)^5*IF(INT((DATE(2026+5,10,31)-F7)/365.25)=0,(12-DowntimeNew)/12,1),IF(I7="LeaseUp",H7*D7*(1+GrowthMarketRent)^5*IF(5=0,(12-DowntimeNew)/12,1),0)))))))),0)</f>
        <v/>
      </c>
      <c r="T7" s="14">
        <f>IFERROR(IF(I7="LeaseUp",H7*D7*(1+GrowthMarketRent)^6*IF(6=0,(12-DowntimeNew)/12,1),IF(F7="",0,IF(F7&gt;=DATE(2027+6,4,30),G7*D7*(1+EscalatorInLease)^(6+M7),IF(F7&lt;DATE(2026+6,5,1),IF(I7="Vacate",H7*D7*(1+GrowthMarketRent)^6*IF(INT((DATE(2026+6,10,31)-F7)/365.25)=0,(12-DowntimeNew)/12,1),IF(I7="Option",G7*D7*1.025*(1+EscalatorInLease)^6,IF(I7="Market",Retention*G7*D7*(1+EscalatorInLease)^(6+M7)+(1-Retention)*H7*D7*(1+GrowthMarketRent)^6*IF(INT((DATE(2026+6,10,31)-F7)/365.25)=0,(12-DowntimeNew)/12,1),IF(I7="LeaseUp",H7*D7*(1+GrowthMarketRent)^6*IF(6=0,(12-DowntimeNew)/12,1),0)))),((F7-DATE(2026+6,5,1))/365.25)*G7*D7*(1+EscalatorInLease)^(6+M7)+((DATE(2027+6,4,30)-F7)/365.25)*IF(I7="Vacate",H7*D7*(1+GrowthMarketRent)^6*IF(INT((DATE(2026+6,10,31)-F7)/365.25)=0,(12-DowntimeNew)/12,1),IF(I7="Option",G7*D7*1.025*(1+EscalatorInLease)^6,IF(I7="Market",Retention*G7*D7*(1+EscalatorInLease)^(6+M7)+(1-Retention)*H7*D7*(1+GrowthMarketRent)^6*IF(INT((DATE(2026+6,10,31)-F7)/365.25)=0,(12-DowntimeNew)/12,1),IF(I7="LeaseUp",H7*D7*(1+GrowthMarketRent)^6*IF(6=0,(12-DowntimeNew)/12,1),0)))))))),0)</f>
        <v/>
      </c>
      <c r="U7" s="14">
        <f>IFERROR(IF(I7="LeaseUp",H7*D7*(1+GrowthMarketRent)^7*IF(7=0,(12-DowntimeNew)/12,1),IF(F7="",0,IF(F7&gt;=DATE(2027+7,4,30),G7*D7*(1+EscalatorInLease)^(7+M7),IF(F7&lt;DATE(2026+7,5,1),IF(I7="Vacate",H7*D7*(1+GrowthMarketRent)^7*IF(INT((DATE(2026+7,10,31)-F7)/365.25)=0,(12-DowntimeNew)/12,1),IF(I7="Option",G7*D7*1.025*(1+EscalatorInLease)^7,IF(I7="Market",Retention*G7*D7*(1+EscalatorInLease)^(7+M7)+(1-Retention)*H7*D7*(1+GrowthMarketRent)^7*IF(INT((DATE(2026+7,10,31)-F7)/365.25)=0,(12-DowntimeNew)/12,1),IF(I7="LeaseUp",H7*D7*(1+GrowthMarketRent)^7*IF(7=0,(12-DowntimeNew)/12,1),0)))),((F7-DATE(2026+7,5,1))/365.25)*G7*D7*(1+EscalatorInLease)^(7+M7)+((DATE(2027+7,4,30)-F7)/365.25)*IF(I7="Vacate",H7*D7*(1+GrowthMarketRent)^7*IF(INT((DATE(2026+7,10,31)-F7)/365.25)=0,(12-DowntimeNew)/12,1),IF(I7="Option",G7*D7*1.025*(1+EscalatorInLease)^7,IF(I7="Market",Retention*G7*D7*(1+EscalatorInLease)^(7+M7)+(1-Retention)*H7*D7*(1+GrowthMarketRent)^7*IF(INT((DATE(2026+7,10,31)-F7)/365.25)=0,(12-DowntimeNew)/12,1),IF(I7="LeaseUp",H7*D7*(1+GrowthMarketRent)^7*IF(7=0,(12-DowntimeNew)/12,1),0)))))))),0)</f>
        <v/>
      </c>
      <c r="V7" s="14">
        <f>IFERROR(IF(I7="LeaseUp",H7*D7*(1+GrowthMarketRent)^8*IF(8=0,(12-DowntimeNew)/12,1),IF(F7="",0,IF(F7&gt;=DATE(2027+8,4,30),G7*D7*(1+EscalatorInLease)^(8+M7),IF(F7&lt;DATE(2026+8,5,1),IF(I7="Vacate",H7*D7*(1+GrowthMarketRent)^8*IF(INT((DATE(2026+8,10,31)-F7)/365.25)=0,(12-DowntimeNew)/12,1),IF(I7="Option",G7*D7*1.025*(1+EscalatorInLease)^8,IF(I7="Market",Retention*G7*D7*(1+EscalatorInLease)^(8+M7)+(1-Retention)*H7*D7*(1+GrowthMarketRent)^8*IF(INT((DATE(2026+8,10,31)-F7)/365.25)=0,(12-DowntimeNew)/12,1),IF(I7="LeaseUp",H7*D7*(1+GrowthMarketRent)^8*IF(8=0,(12-DowntimeNew)/12,1),0)))),((F7-DATE(2026+8,5,1))/365.25)*G7*D7*(1+EscalatorInLease)^(8+M7)+((DATE(2027+8,4,30)-F7)/365.25)*IF(I7="Vacate",H7*D7*(1+GrowthMarketRent)^8*IF(INT((DATE(2026+8,10,31)-F7)/365.25)=0,(12-DowntimeNew)/12,1),IF(I7="Option",G7*D7*1.025*(1+EscalatorInLease)^8,IF(I7="Market",Retention*G7*D7*(1+EscalatorInLease)^(8+M7)+(1-Retention)*H7*D7*(1+GrowthMarketRent)^8*IF(INT((DATE(2026+8,10,31)-F7)/365.25)=0,(12-DowntimeNew)/12,1),IF(I7="LeaseUp",H7*D7*(1+GrowthMarketRent)^8*IF(8=0,(12-DowntimeNew)/12,1),0)))))))),0)</f>
        <v/>
      </c>
      <c r="W7" s="14">
        <f>IFERROR(IF(I7="LeaseUp",H7*D7*(1+GrowthMarketRent)^9*IF(9=0,(12-DowntimeNew)/12,1),IF(F7="",0,IF(F7&gt;=DATE(2027+9,4,30),G7*D7*(1+EscalatorInLease)^(9+M7),IF(F7&lt;DATE(2026+9,5,1),IF(I7="Vacate",H7*D7*(1+GrowthMarketRent)^9*IF(INT((DATE(2026+9,10,31)-F7)/365.25)=0,(12-DowntimeNew)/12,1),IF(I7="Option",G7*D7*1.025*(1+EscalatorInLease)^9,IF(I7="Market",Retention*G7*D7*(1+EscalatorInLease)^(9+M7)+(1-Retention)*H7*D7*(1+GrowthMarketRent)^9*IF(INT((DATE(2026+9,10,31)-F7)/365.25)=0,(12-DowntimeNew)/12,1),IF(I7="LeaseUp",H7*D7*(1+GrowthMarketRent)^9*IF(9=0,(12-DowntimeNew)/12,1),0)))),((F7-DATE(2026+9,5,1))/365.25)*G7*D7*(1+EscalatorInLease)^(9+M7)+((DATE(2027+9,4,30)-F7)/365.25)*IF(I7="Vacate",H7*D7*(1+GrowthMarketRent)^9*IF(INT((DATE(2026+9,10,31)-F7)/365.25)=0,(12-DowntimeNew)/12,1),IF(I7="Option",G7*D7*1.025*(1+EscalatorInLease)^9,IF(I7="Market",Retention*G7*D7*(1+EscalatorInLease)^(9+M7)+(1-Retention)*H7*D7*(1+GrowthMarketRent)^9*IF(INT((DATE(2026+9,10,31)-F7)/365.25)=0,(12-DowntimeNew)/12,1),IF(I7="LeaseUp",H7*D7*(1+GrowthMarketRent)^9*IF(9=0,(12-DowntimeNew)/12,1),0)))))))),0)</f>
        <v/>
      </c>
      <c r="X7" s="14">
        <f>IFERROR(IF(I7="LeaseUp",H7*D7*(1+GrowthMarketRent)^10*IF(10=0,(12-DowntimeNew)/12,1),IF(F7="",0,IF(F7&gt;=DATE(2027+10,4,30),G7*D7*(1+EscalatorInLease)^(10+M7),IF(F7&lt;DATE(2026+10,5,1),IF(I7="Vacate",H7*D7*(1+GrowthMarketRent)^10*IF(INT((DATE(2026+10,10,31)-F7)/365.25)=0,(12-DowntimeNew)/12,1),IF(I7="Option",G7*D7*1.025*(1+EscalatorInLease)^10,IF(I7="Market",Retention*G7*D7*(1+EscalatorInLease)^(10+M7)+(1-Retention)*H7*D7*(1+GrowthMarketRent)^10*IF(INT((DATE(2026+10,10,31)-F7)/365.25)=0,(12-DowntimeNew)/12,1),IF(I7="LeaseUp",H7*D7*(1+GrowthMarketRent)^10*IF(10=0,(12-DowntimeNew)/12,1),0)))),((F7-DATE(2026+10,5,1))/365.25)*G7*D7*(1+EscalatorInLease)^(10+M7)+((DATE(2027+10,4,30)-F7)/365.25)*IF(I7="Vacate",H7*D7*(1+GrowthMarketRent)^10*IF(INT((DATE(2026+10,10,31)-F7)/365.25)=0,(12-DowntimeNew)/12,1),IF(I7="Option",G7*D7*1.025*(1+EscalatorInLease)^10,IF(I7="Market",Retention*G7*D7*(1+EscalatorInLease)^(10+M7)+(1-Retention)*H7*D7*(1+GrowthMarketRent)^10*IF(INT((DATE(2026+10,10,31)-F7)/365.25)=0,(12-DowntimeNew)/12,1),IF(I7="LeaseUp",H7*D7*(1+GrowthMarketRent)^10*IF(10=0,(12-DowntimeNew)/12,1),0)))))))),0)</f>
        <v/>
      </c>
      <c r="Y7" s="14">
        <f>IFERROR(IF(AND(I7="LeaseUp",0=0),(IF(I7="Vacate",TINew*D7,IF(I7="Market",Retention*TIRenewal*D7+(1-Retention)*TINew*D7,IF(I7="LeaseUp",TINew*D7,IF(I7="Option",TIRenewal*D7,0)))))+(IF(I7="Vacate",LCNew*H7*D7*(1+GrowthMarketRent)^0,IF(I7="Market",Retention*LCRenewal*H7*D7*(1+GrowthMarketRent)^0+(1-Retention)*LCNew*H7*D7*(1+GrowthMarketRent)^0,IF(I7="LeaseUp",LCNew*H7*D7*(1+GrowthMarketRent)^0,IF(I7="Option",LCRenewal*H7*D7*(1+GrowthMarketRent)^0,0))))),IF(F7="",0,IF(AND(F7&gt;=DATE(2026+0,5,1),F7&lt;=DATE(2027+0,4,30)),(IF(I7="Vacate",TINew*D7,IF(I7="Market",Retention*TIRenewal*D7+(1-Retention)*TINew*D7,IF(I7="LeaseUp",TINew*D7,IF(I7="Option",TIRenewal*D7,0)))))+(IF(I7="Vacate",LCNew*H7*D7*(1+GrowthMarketRent)^0,IF(I7="Market",Retention*LCRenewal*H7*D7*(1+GrowthMarketRent)^0+(1-Retention)*LCNew*H7*D7*(1+GrowthMarketRent)^0,IF(I7="LeaseUp",LCNew*H7*D7*(1+GrowthMarketRent)^0,IF(I7="Option",LCRenewal*H7*D7*(1+GrowthMarketRent)^0,0))))),0))),0)</f>
        <v/>
      </c>
      <c r="Z7" s="14">
        <f>IFERROR(IF(AND(I7="LeaseUp",1=0),(IF(I7="Vacate",TINew*D7,IF(I7="Market",Retention*TIRenewal*D7+(1-Retention)*TINew*D7,IF(I7="LeaseUp",TINew*D7,IF(I7="Option",TIRenewal*D7,0)))))+(IF(I7="Vacate",LCNew*H7*D7*(1+GrowthMarketRent)^1,IF(I7="Market",Retention*LCRenewal*H7*D7*(1+GrowthMarketRent)^1+(1-Retention)*LCNew*H7*D7*(1+GrowthMarketRent)^1,IF(I7="LeaseUp",LCNew*H7*D7*(1+GrowthMarketRent)^1,IF(I7="Option",LCRenewal*H7*D7*(1+GrowthMarketRent)^1,0))))),IF(F7="",0,IF(AND(F7&gt;=DATE(2026+1,5,1),F7&lt;=DATE(2027+1,4,30)),(IF(I7="Vacate",TINew*D7,IF(I7="Market",Retention*TIRenewal*D7+(1-Retention)*TINew*D7,IF(I7="LeaseUp",TINew*D7,IF(I7="Option",TIRenewal*D7,0)))))+(IF(I7="Vacate",LCNew*H7*D7*(1+GrowthMarketRent)^1,IF(I7="Market",Retention*LCRenewal*H7*D7*(1+GrowthMarketRent)^1+(1-Retention)*LCNew*H7*D7*(1+GrowthMarketRent)^1,IF(I7="LeaseUp",LCNew*H7*D7*(1+GrowthMarketRent)^1,IF(I7="Option",LCRenewal*H7*D7*(1+GrowthMarketRent)^1,0))))),0))),0)</f>
        <v/>
      </c>
      <c r="AA7" s="14">
        <f>IFERROR(IF(AND(I7="LeaseUp",2=0),(IF(I7="Vacate",TINew*D7,IF(I7="Market",Retention*TIRenewal*D7+(1-Retention)*TINew*D7,IF(I7="LeaseUp",TINew*D7,IF(I7="Option",TIRenewal*D7,0)))))+(IF(I7="Vacate",LCNew*H7*D7*(1+GrowthMarketRent)^2,IF(I7="Market",Retention*LCRenewal*H7*D7*(1+GrowthMarketRent)^2+(1-Retention)*LCNew*H7*D7*(1+GrowthMarketRent)^2,IF(I7="LeaseUp",LCNew*H7*D7*(1+GrowthMarketRent)^2,IF(I7="Option",LCRenewal*H7*D7*(1+GrowthMarketRent)^2,0))))),IF(F7="",0,IF(AND(F7&gt;=DATE(2026+2,5,1),F7&lt;=DATE(2027+2,4,30)),(IF(I7="Vacate",TINew*D7,IF(I7="Market",Retention*TIRenewal*D7+(1-Retention)*TINew*D7,IF(I7="LeaseUp",TINew*D7,IF(I7="Option",TIRenewal*D7,0)))))+(IF(I7="Vacate",LCNew*H7*D7*(1+GrowthMarketRent)^2,IF(I7="Market",Retention*LCRenewal*H7*D7*(1+GrowthMarketRent)^2+(1-Retention)*LCNew*H7*D7*(1+GrowthMarketRent)^2,IF(I7="LeaseUp",LCNew*H7*D7*(1+GrowthMarketRent)^2,IF(I7="Option",LCRenewal*H7*D7*(1+GrowthMarketRent)^2,0))))),0))),0)</f>
        <v/>
      </c>
      <c r="AB7" s="14">
        <f>IFERROR(IF(AND(I7="LeaseUp",3=0),(IF(I7="Vacate",TINew*D7,IF(I7="Market",Retention*TIRenewal*D7+(1-Retention)*TINew*D7,IF(I7="LeaseUp",TINew*D7,IF(I7="Option",TIRenewal*D7,0)))))+(IF(I7="Vacate",LCNew*H7*D7*(1+GrowthMarketRent)^3,IF(I7="Market",Retention*LCRenewal*H7*D7*(1+GrowthMarketRent)^3+(1-Retention)*LCNew*H7*D7*(1+GrowthMarketRent)^3,IF(I7="LeaseUp",LCNew*H7*D7*(1+GrowthMarketRent)^3,IF(I7="Option",LCRenewal*H7*D7*(1+GrowthMarketRent)^3,0))))),IF(F7="",0,IF(AND(F7&gt;=DATE(2026+3,5,1),F7&lt;=DATE(2027+3,4,30)),(IF(I7="Vacate",TINew*D7,IF(I7="Market",Retention*TIRenewal*D7+(1-Retention)*TINew*D7,IF(I7="LeaseUp",TINew*D7,IF(I7="Option",TIRenewal*D7,0)))))+(IF(I7="Vacate",LCNew*H7*D7*(1+GrowthMarketRent)^3,IF(I7="Market",Retention*LCRenewal*H7*D7*(1+GrowthMarketRent)^3+(1-Retention)*LCNew*H7*D7*(1+GrowthMarketRent)^3,IF(I7="LeaseUp",LCNew*H7*D7*(1+GrowthMarketRent)^3,IF(I7="Option",LCRenewal*H7*D7*(1+GrowthMarketRent)^3,0))))),0))),0)</f>
        <v/>
      </c>
      <c r="AC7" s="14">
        <f>IFERROR(IF(AND(I7="LeaseUp",4=0),(IF(I7="Vacate",TINew*D7,IF(I7="Market",Retention*TIRenewal*D7+(1-Retention)*TINew*D7,IF(I7="LeaseUp",TINew*D7,IF(I7="Option",TIRenewal*D7,0)))))+(IF(I7="Vacate",LCNew*H7*D7*(1+GrowthMarketRent)^4,IF(I7="Market",Retention*LCRenewal*H7*D7*(1+GrowthMarketRent)^4+(1-Retention)*LCNew*H7*D7*(1+GrowthMarketRent)^4,IF(I7="LeaseUp",LCNew*H7*D7*(1+GrowthMarketRent)^4,IF(I7="Option",LCRenewal*H7*D7*(1+GrowthMarketRent)^4,0))))),IF(F7="",0,IF(AND(F7&gt;=DATE(2026+4,5,1),F7&lt;=DATE(2027+4,4,30)),(IF(I7="Vacate",TINew*D7,IF(I7="Market",Retention*TIRenewal*D7+(1-Retention)*TINew*D7,IF(I7="LeaseUp",TINew*D7,IF(I7="Option",TIRenewal*D7,0)))))+(IF(I7="Vacate",LCNew*H7*D7*(1+GrowthMarketRent)^4,IF(I7="Market",Retention*LCRenewal*H7*D7*(1+GrowthMarketRent)^4+(1-Retention)*LCNew*H7*D7*(1+GrowthMarketRent)^4,IF(I7="LeaseUp",LCNew*H7*D7*(1+GrowthMarketRent)^4,IF(I7="Option",LCRenewal*H7*D7*(1+GrowthMarketRent)^4,0))))),0))),0)</f>
        <v/>
      </c>
      <c r="AD7" s="14">
        <f>IFERROR(IF(AND(I7="LeaseUp",5=0),(IF(I7="Vacate",TINew*D7,IF(I7="Market",Retention*TIRenewal*D7+(1-Retention)*TINew*D7,IF(I7="LeaseUp",TINew*D7,IF(I7="Option",TIRenewal*D7,0)))))+(IF(I7="Vacate",LCNew*H7*D7*(1+GrowthMarketRent)^5,IF(I7="Market",Retention*LCRenewal*H7*D7*(1+GrowthMarketRent)^5+(1-Retention)*LCNew*H7*D7*(1+GrowthMarketRent)^5,IF(I7="LeaseUp",LCNew*H7*D7*(1+GrowthMarketRent)^5,IF(I7="Option",LCRenewal*H7*D7*(1+GrowthMarketRent)^5,0))))),IF(F7="",0,IF(AND(F7&gt;=DATE(2026+5,5,1),F7&lt;=DATE(2027+5,4,30)),(IF(I7="Vacate",TINew*D7,IF(I7="Market",Retention*TIRenewal*D7+(1-Retention)*TINew*D7,IF(I7="LeaseUp",TINew*D7,IF(I7="Option",TIRenewal*D7,0)))))+(IF(I7="Vacate",LCNew*H7*D7*(1+GrowthMarketRent)^5,IF(I7="Market",Retention*LCRenewal*H7*D7*(1+GrowthMarketRent)^5+(1-Retention)*LCNew*H7*D7*(1+GrowthMarketRent)^5,IF(I7="LeaseUp",LCNew*H7*D7*(1+GrowthMarketRent)^5,IF(I7="Option",LCRenewal*H7*D7*(1+GrowthMarketRent)^5,0))))),0))),0)</f>
        <v/>
      </c>
      <c r="AE7" s="14">
        <f>IFERROR(IF(AND(I7="LeaseUp",6=0),(IF(I7="Vacate",TINew*D7,IF(I7="Market",Retention*TIRenewal*D7+(1-Retention)*TINew*D7,IF(I7="LeaseUp",TINew*D7,IF(I7="Option",TIRenewal*D7,0)))))+(IF(I7="Vacate",LCNew*H7*D7*(1+GrowthMarketRent)^6,IF(I7="Market",Retention*LCRenewal*H7*D7*(1+GrowthMarketRent)^6+(1-Retention)*LCNew*H7*D7*(1+GrowthMarketRent)^6,IF(I7="LeaseUp",LCNew*H7*D7*(1+GrowthMarketRent)^6,IF(I7="Option",LCRenewal*H7*D7*(1+GrowthMarketRent)^6,0))))),IF(F7="",0,IF(AND(F7&gt;=DATE(2026+6,5,1),F7&lt;=DATE(2027+6,4,30)),(IF(I7="Vacate",TINew*D7,IF(I7="Market",Retention*TIRenewal*D7+(1-Retention)*TINew*D7,IF(I7="LeaseUp",TINew*D7,IF(I7="Option",TIRenewal*D7,0)))))+(IF(I7="Vacate",LCNew*H7*D7*(1+GrowthMarketRent)^6,IF(I7="Market",Retention*LCRenewal*H7*D7*(1+GrowthMarketRent)^6+(1-Retention)*LCNew*H7*D7*(1+GrowthMarketRent)^6,IF(I7="LeaseUp",LCNew*H7*D7*(1+GrowthMarketRent)^6,IF(I7="Option",LCRenewal*H7*D7*(1+GrowthMarketRent)^6,0))))),0))),0)</f>
        <v/>
      </c>
      <c r="AF7" s="14">
        <f>IFERROR(IF(AND(I7="LeaseUp",7=0),(IF(I7="Vacate",TINew*D7,IF(I7="Market",Retention*TIRenewal*D7+(1-Retention)*TINew*D7,IF(I7="LeaseUp",TINew*D7,IF(I7="Option",TIRenewal*D7,0)))))+(IF(I7="Vacate",LCNew*H7*D7*(1+GrowthMarketRent)^7,IF(I7="Market",Retention*LCRenewal*H7*D7*(1+GrowthMarketRent)^7+(1-Retention)*LCNew*H7*D7*(1+GrowthMarketRent)^7,IF(I7="LeaseUp",LCNew*H7*D7*(1+GrowthMarketRent)^7,IF(I7="Option",LCRenewal*H7*D7*(1+GrowthMarketRent)^7,0))))),IF(F7="",0,IF(AND(F7&gt;=DATE(2026+7,5,1),F7&lt;=DATE(2027+7,4,30)),(IF(I7="Vacate",TINew*D7,IF(I7="Market",Retention*TIRenewal*D7+(1-Retention)*TINew*D7,IF(I7="LeaseUp",TINew*D7,IF(I7="Option",TIRenewal*D7,0)))))+(IF(I7="Vacate",LCNew*H7*D7*(1+GrowthMarketRent)^7,IF(I7="Market",Retention*LCRenewal*H7*D7*(1+GrowthMarketRent)^7+(1-Retention)*LCNew*H7*D7*(1+GrowthMarketRent)^7,IF(I7="LeaseUp",LCNew*H7*D7*(1+GrowthMarketRent)^7,IF(I7="Option",LCRenewal*H7*D7*(1+GrowthMarketRent)^7,0))))),0))),0)</f>
        <v/>
      </c>
      <c r="AG7" s="14">
        <f>IFERROR(IF(AND(I7="LeaseUp",8=0),(IF(I7="Vacate",TINew*D7,IF(I7="Market",Retention*TIRenewal*D7+(1-Retention)*TINew*D7,IF(I7="LeaseUp",TINew*D7,IF(I7="Option",TIRenewal*D7,0)))))+(IF(I7="Vacate",LCNew*H7*D7*(1+GrowthMarketRent)^8,IF(I7="Market",Retention*LCRenewal*H7*D7*(1+GrowthMarketRent)^8+(1-Retention)*LCNew*H7*D7*(1+GrowthMarketRent)^8,IF(I7="LeaseUp",LCNew*H7*D7*(1+GrowthMarketRent)^8,IF(I7="Option",LCRenewal*H7*D7*(1+GrowthMarketRent)^8,0))))),IF(F7="",0,IF(AND(F7&gt;=DATE(2026+8,5,1),F7&lt;=DATE(2027+8,4,30)),(IF(I7="Vacate",TINew*D7,IF(I7="Market",Retention*TIRenewal*D7+(1-Retention)*TINew*D7,IF(I7="LeaseUp",TINew*D7,IF(I7="Option",TIRenewal*D7,0)))))+(IF(I7="Vacate",LCNew*H7*D7*(1+GrowthMarketRent)^8,IF(I7="Market",Retention*LCRenewal*H7*D7*(1+GrowthMarketRent)^8+(1-Retention)*LCNew*H7*D7*(1+GrowthMarketRent)^8,IF(I7="LeaseUp",LCNew*H7*D7*(1+GrowthMarketRent)^8,IF(I7="Option",LCRenewal*H7*D7*(1+GrowthMarketRent)^8,0))))),0))),0)</f>
        <v/>
      </c>
      <c r="AH7" s="14">
        <f>IFERROR(IF(AND(I7="LeaseUp",9=0),(IF(I7="Vacate",TINew*D7,IF(I7="Market",Retention*TIRenewal*D7+(1-Retention)*TINew*D7,IF(I7="LeaseUp",TINew*D7,IF(I7="Option",TIRenewal*D7,0)))))+(IF(I7="Vacate",LCNew*H7*D7*(1+GrowthMarketRent)^9,IF(I7="Market",Retention*LCRenewal*H7*D7*(1+GrowthMarketRent)^9+(1-Retention)*LCNew*H7*D7*(1+GrowthMarketRent)^9,IF(I7="LeaseUp",LCNew*H7*D7*(1+GrowthMarketRent)^9,IF(I7="Option",LCRenewal*H7*D7*(1+GrowthMarketRent)^9,0))))),IF(F7="",0,IF(AND(F7&gt;=DATE(2026+9,5,1),F7&lt;=DATE(2027+9,4,30)),(IF(I7="Vacate",TINew*D7,IF(I7="Market",Retention*TIRenewal*D7+(1-Retention)*TINew*D7,IF(I7="LeaseUp",TINew*D7,IF(I7="Option",TIRenewal*D7,0)))))+(IF(I7="Vacate",LCNew*H7*D7*(1+GrowthMarketRent)^9,IF(I7="Market",Retention*LCRenewal*H7*D7*(1+GrowthMarketRent)^9+(1-Retention)*LCNew*H7*D7*(1+GrowthMarketRent)^9,IF(I7="LeaseUp",LCNew*H7*D7*(1+GrowthMarketRent)^9,IF(I7="Option",LCRenewal*H7*D7*(1+GrowthMarketRent)^9,0))))),0))),0)</f>
        <v/>
      </c>
      <c r="AI7" s="14">
        <f>IFERROR(IF(AND(I7="LeaseUp",10=0),(IF(I7="Vacate",TINew*D7,IF(I7="Market",Retention*TIRenewal*D7+(1-Retention)*TINew*D7,IF(I7="LeaseUp",TINew*D7,IF(I7="Option",TIRenewal*D7,0)))))+(IF(I7="Vacate",LCNew*H7*D7*(1+GrowthMarketRent)^10,IF(I7="Market",Retention*LCRenewal*H7*D7*(1+GrowthMarketRent)^10+(1-Retention)*LCNew*H7*D7*(1+GrowthMarketRent)^10,IF(I7="LeaseUp",LCNew*H7*D7*(1+GrowthMarketRent)^10,IF(I7="Option",LCRenewal*H7*D7*(1+GrowthMarketRent)^10,0))))),IF(F7="",0,IF(AND(F7&gt;=DATE(2026+10,5,1),F7&lt;=DATE(2027+10,4,30)),(IF(I7="Vacate",TINew*D7,IF(I7="Market",Retention*TIRenewal*D7+(1-Retention)*TINew*D7,IF(I7="LeaseUp",TINew*D7,IF(I7="Option",TIRenewal*D7,0)))))+(IF(I7="Vacate",LCNew*H7*D7*(1+GrowthMarketRent)^10,IF(I7="Market",Retention*LCRenewal*H7*D7*(1+GrowthMarketRent)^10+(1-Retention)*LCNew*H7*D7*(1+GrowthMarketRent)^10,IF(I7="LeaseUp",LCNew*H7*D7*(1+GrowthMarketRent)^10,IF(I7="Option",LCRenewal*H7*D7*(1+GrowthMarketRent)^10,0))))),0))),0)</f>
        <v/>
      </c>
    </row>
    <row r="8">
      <c r="A8" t="inlineStr">
        <is>
          <t>Carrollton</t>
        </is>
      </c>
      <c r="B8" t="inlineStr">
        <is>
          <t>112</t>
        </is>
      </c>
      <c r="C8" t="inlineStr">
        <is>
          <t>VACANT</t>
        </is>
      </c>
      <c r="D8" s="32" t="n">
        <v>2600</v>
      </c>
      <c r="G8" s="34" t="n">
        <v>0</v>
      </c>
      <c r="H8" s="16">
        <f>VLOOKUP("Carrollton — "&amp;J8,MLA!$A$5:$L$11,3,FALSE)</f>
        <v/>
      </c>
      <c r="I8" s="11" t="inlineStr">
        <is>
          <t>LeaseUp</t>
        </is>
      </c>
      <c r="J8" t="inlineStr">
        <is>
          <t>Shop</t>
        </is>
      </c>
      <c r="K8" t="inlineStr">
        <is>
          <t>Vacant</t>
        </is>
      </c>
      <c r="L8" t="inlineStr">
        <is>
          <t>Shop; future lease-up Jan-2027 in OM</t>
        </is>
      </c>
      <c r="M8" s="20">
        <f>IF(E8="",0,(AnalysisStart-E8)/365.25)</f>
        <v/>
      </c>
      <c r="N8" s="14">
        <f>IFERROR(IF(I8="LeaseUp",H8*D8*(1+GrowthMarketRent)^0*IF(0=0,(12-DowntimeNew)/12,1),IF(F8="",0,IF(F8&gt;=DATE(2027+0,4,30),G8*D8*(1+EscalatorInLease)^(0+M8),IF(F8&lt;DATE(2026+0,5,1),IF(I8="Vacate",H8*D8*(1+GrowthMarketRent)^0*IF(INT((DATE(2026+0,10,31)-F8)/365.25)=0,(12-DowntimeNew)/12,1),IF(I8="Option",G8*D8*1.025*(1+EscalatorInLease)^0,IF(I8="Market",Retention*G8*D8*(1+EscalatorInLease)^(0+M8)+(1-Retention)*H8*D8*(1+GrowthMarketRent)^0*IF(INT((DATE(2026+0,10,31)-F8)/365.25)=0,(12-DowntimeNew)/12,1),IF(I8="LeaseUp",H8*D8*(1+GrowthMarketRent)^0*IF(0=0,(12-DowntimeNew)/12,1),0)))),((F8-DATE(2026+0,5,1))/365.25)*G8*D8*(1+EscalatorInLease)^(0+M8)+((DATE(2027+0,4,30)-F8)/365.25)*IF(I8="Vacate",H8*D8*(1+GrowthMarketRent)^0*IF(INT((DATE(2026+0,10,31)-F8)/365.25)=0,(12-DowntimeNew)/12,1),IF(I8="Option",G8*D8*1.025*(1+EscalatorInLease)^0,IF(I8="Market",Retention*G8*D8*(1+EscalatorInLease)^(0+M8)+(1-Retention)*H8*D8*(1+GrowthMarketRent)^0*IF(INT((DATE(2026+0,10,31)-F8)/365.25)=0,(12-DowntimeNew)/12,1),IF(I8="LeaseUp",H8*D8*(1+GrowthMarketRent)^0*IF(0=0,(12-DowntimeNew)/12,1),0)))))))),0)</f>
        <v/>
      </c>
      <c r="O8" s="14">
        <f>IFERROR(IF(I8="LeaseUp",H8*D8*(1+GrowthMarketRent)^1*IF(1=0,(12-DowntimeNew)/12,1),IF(F8="",0,IF(F8&gt;=DATE(2027+1,4,30),G8*D8*(1+EscalatorInLease)^(1+M8),IF(F8&lt;DATE(2026+1,5,1),IF(I8="Vacate",H8*D8*(1+GrowthMarketRent)^1*IF(INT((DATE(2026+1,10,31)-F8)/365.25)=0,(12-DowntimeNew)/12,1),IF(I8="Option",G8*D8*1.025*(1+EscalatorInLease)^1,IF(I8="Market",Retention*G8*D8*(1+EscalatorInLease)^(1+M8)+(1-Retention)*H8*D8*(1+GrowthMarketRent)^1*IF(INT((DATE(2026+1,10,31)-F8)/365.25)=0,(12-DowntimeNew)/12,1),IF(I8="LeaseUp",H8*D8*(1+GrowthMarketRent)^1*IF(1=0,(12-DowntimeNew)/12,1),0)))),((F8-DATE(2026+1,5,1))/365.25)*G8*D8*(1+EscalatorInLease)^(1+M8)+((DATE(2027+1,4,30)-F8)/365.25)*IF(I8="Vacate",H8*D8*(1+GrowthMarketRent)^1*IF(INT((DATE(2026+1,10,31)-F8)/365.25)=0,(12-DowntimeNew)/12,1),IF(I8="Option",G8*D8*1.025*(1+EscalatorInLease)^1,IF(I8="Market",Retention*G8*D8*(1+EscalatorInLease)^(1+M8)+(1-Retention)*H8*D8*(1+GrowthMarketRent)^1*IF(INT((DATE(2026+1,10,31)-F8)/365.25)=0,(12-DowntimeNew)/12,1),IF(I8="LeaseUp",H8*D8*(1+GrowthMarketRent)^1*IF(1=0,(12-DowntimeNew)/12,1),0)))))))),0)</f>
        <v/>
      </c>
      <c r="P8" s="14">
        <f>IFERROR(IF(I8="LeaseUp",H8*D8*(1+GrowthMarketRent)^2*IF(2=0,(12-DowntimeNew)/12,1),IF(F8="",0,IF(F8&gt;=DATE(2027+2,4,30),G8*D8*(1+EscalatorInLease)^(2+M8),IF(F8&lt;DATE(2026+2,5,1),IF(I8="Vacate",H8*D8*(1+GrowthMarketRent)^2*IF(INT((DATE(2026+2,10,31)-F8)/365.25)=0,(12-DowntimeNew)/12,1),IF(I8="Option",G8*D8*1.025*(1+EscalatorInLease)^2,IF(I8="Market",Retention*G8*D8*(1+EscalatorInLease)^(2+M8)+(1-Retention)*H8*D8*(1+GrowthMarketRent)^2*IF(INT((DATE(2026+2,10,31)-F8)/365.25)=0,(12-DowntimeNew)/12,1),IF(I8="LeaseUp",H8*D8*(1+GrowthMarketRent)^2*IF(2=0,(12-DowntimeNew)/12,1),0)))),((F8-DATE(2026+2,5,1))/365.25)*G8*D8*(1+EscalatorInLease)^(2+M8)+((DATE(2027+2,4,30)-F8)/365.25)*IF(I8="Vacate",H8*D8*(1+GrowthMarketRent)^2*IF(INT((DATE(2026+2,10,31)-F8)/365.25)=0,(12-DowntimeNew)/12,1),IF(I8="Option",G8*D8*1.025*(1+EscalatorInLease)^2,IF(I8="Market",Retention*G8*D8*(1+EscalatorInLease)^(2+M8)+(1-Retention)*H8*D8*(1+GrowthMarketRent)^2*IF(INT((DATE(2026+2,10,31)-F8)/365.25)=0,(12-DowntimeNew)/12,1),IF(I8="LeaseUp",H8*D8*(1+GrowthMarketRent)^2*IF(2=0,(12-DowntimeNew)/12,1),0)))))))),0)</f>
        <v/>
      </c>
      <c r="Q8" s="14">
        <f>IFERROR(IF(I8="LeaseUp",H8*D8*(1+GrowthMarketRent)^3*IF(3=0,(12-DowntimeNew)/12,1),IF(F8="",0,IF(F8&gt;=DATE(2027+3,4,30),G8*D8*(1+EscalatorInLease)^(3+M8),IF(F8&lt;DATE(2026+3,5,1),IF(I8="Vacate",H8*D8*(1+GrowthMarketRent)^3*IF(INT((DATE(2026+3,10,31)-F8)/365.25)=0,(12-DowntimeNew)/12,1),IF(I8="Option",G8*D8*1.025*(1+EscalatorInLease)^3,IF(I8="Market",Retention*G8*D8*(1+EscalatorInLease)^(3+M8)+(1-Retention)*H8*D8*(1+GrowthMarketRent)^3*IF(INT((DATE(2026+3,10,31)-F8)/365.25)=0,(12-DowntimeNew)/12,1),IF(I8="LeaseUp",H8*D8*(1+GrowthMarketRent)^3*IF(3=0,(12-DowntimeNew)/12,1),0)))),((F8-DATE(2026+3,5,1))/365.25)*G8*D8*(1+EscalatorInLease)^(3+M8)+((DATE(2027+3,4,30)-F8)/365.25)*IF(I8="Vacate",H8*D8*(1+GrowthMarketRent)^3*IF(INT((DATE(2026+3,10,31)-F8)/365.25)=0,(12-DowntimeNew)/12,1),IF(I8="Option",G8*D8*1.025*(1+EscalatorInLease)^3,IF(I8="Market",Retention*G8*D8*(1+EscalatorInLease)^(3+M8)+(1-Retention)*H8*D8*(1+GrowthMarketRent)^3*IF(INT((DATE(2026+3,10,31)-F8)/365.25)=0,(12-DowntimeNew)/12,1),IF(I8="LeaseUp",H8*D8*(1+GrowthMarketRent)^3*IF(3=0,(12-DowntimeNew)/12,1),0)))))))),0)</f>
        <v/>
      </c>
      <c r="R8" s="14">
        <f>IFERROR(IF(I8="LeaseUp",H8*D8*(1+GrowthMarketRent)^4*IF(4=0,(12-DowntimeNew)/12,1),IF(F8="",0,IF(F8&gt;=DATE(2027+4,4,30),G8*D8*(1+EscalatorInLease)^(4+M8),IF(F8&lt;DATE(2026+4,5,1),IF(I8="Vacate",H8*D8*(1+GrowthMarketRent)^4*IF(INT((DATE(2026+4,10,31)-F8)/365.25)=0,(12-DowntimeNew)/12,1),IF(I8="Option",G8*D8*1.025*(1+EscalatorInLease)^4,IF(I8="Market",Retention*G8*D8*(1+EscalatorInLease)^(4+M8)+(1-Retention)*H8*D8*(1+GrowthMarketRent)^4*IF(INT((DATE(2026+4,10,31)-F8)/365.25)=0,(12-DowntimeNew)/12,1),IF(I8="LeaseUp",H8*D8*(1+GrowthMarketRent)^4*IF(4=0,(12-DowntimeNew)/12,1),0)))),((F8-DATE(2026+4,5,1))/365.25)*G8*D8*(1+EscalatorInLease)^(4+M8)+((DATE(2027+4,4,30)-F8)/365.25)*IF(I8="Vacate",H8*D8*(1+GrowthMarketRent)^4*IF(INT((DATE(2026+4,10,31)-F8)/365.25)=0,(12-DowntimeNew)/12,1),IF(I8="Option",G8*D8*1.025*(1+EscalatorInLease)^4,IF(I8="Market",Retention*G8*D8*(1+EscalatorInLease)^(4+M8)+(1-Retention)*H8*D8*(1+GrowthMarketRent)^4*IF(INT((DATE(2026+4,10,31)-F8)/365.25)=0,(12-DowntimeNew)/12,1),IF(I8="LeaseUp",H8*D8*(1+GrowthMarketRent)^4*IF(4=0,(12-DowntimeNew)/12,1),0)))))))),0)</f>
        <v/>
      </c>
      <c r="S8" s="14">
        <f>IFERROR(IF(I8="LeaseUp",H8*D8*(1+GrowthMarketRent)^5*IF(5=0,(12-DowntimeNew)/12,1),IF(F8="",0,IF(F8&gt;=DATE(2027+5,4,30),G8*D8*(1+EscalatorInLease)^(5+M8),IF(F8&lt;DATE(2026+5,5,1),IF(I8="Vacate",H8*D8*(1+GrowthMarketRent)^5*IF(INT((DATE(2026+5,10,31)-F8)/365.25)=0,(12-DowntimeNew)/12,1),IF(I8="Option",G8*D8*1.025*(1+EscalatorInLease)^5,IF(I8="Market",Retention*G8*D8*(1+EscalatorInLease)^(5+M8)+(1-Retention)*H8*D8*(1+GrowthMarketRent)^5*IF(INT((DATE(2026+5,10,31)-F8)/365.25)=0,(12-DowntimeNew)/12,1),IF(I8="LeaseUp",H8*D8*(1+GrowthMarketRent)^5*IF(5=0,(12-DowntimeNew)/12,1),0)))),((F8-DATE(2026+5,5,1))/365.25)*G8*D8*(1+EscalatorInLease)^(5+M8)+((DATE(2027+5,4,30)-F8)/365.25)*IF(I8="Vacate",H8*D8*(1+GrowthMarketRent)^5*IF(INT((DATE(2026+5,10,31)-F8)/365.25)=0,(12-DowntimeNew)/12,1),IF(I8="Option",G8*D8*1.025*(1+EscalatorInLease)^5,IF(I8="Market",Retention*G8*D8*(1+EscalatorInLease)^(5+M8)+(1-Retention)*H8*D8*(1+GrowthMarketRent)^5*IF(INT((DATE(2026+5,10,31)-F8)/365.25)=0,(12-DowntimeNew)/12,1),IF(I8="LeaseUp",H8*D8*(1+GrowthMarketRent)^5*IF(5=0,(12-DowntimeNew)/12,1),0)))))))),0)</f>
        <v/>
      </c>
      <c r="T8" s="14">
        <f>IFERROR(IF(I8="LeaseUp",H8*D8*(1+GrowthMarketRent)^6*IF(6=0,(12-DowntimeNew)/12,1),IF(F8="",0,IF(F8&gt;=DATE(2027+6,4,30),G8*D8*(1+EscalatorInLease)^(6+M8),IF(F8&lt;DATE(2026+6,5,1),IF(I8="Vacate",H8*D8*(1+GrowthMarketRent)^6*IF(INT((DATE(2026+6,10,31)-F8)/365.25)=0,(12-DowntimeNew)/12,1),IF(I8="Option",G8*D8*1.025*(1+EscalatorInLease)^6,IF(I8="Market",Retention*G8*D8*(1+EscalatorInLease)^(6+M8)+(1-Retention)*H8*D8*(1+GrowthMarketRent)^6*IF(INT((DATE(2026+6,10,31)-F8)/365.25)=0,(12-DowntimeNew)/12,1),IF(I8="LeaseUp",H8*D8*(1+GrowthMarketRent)^6*IF(6=0,(12-DowntimeNew)/12,1),0)))),((F8-DATE(2026+6,5,1))/365.25)*G8*D8*(1+EscalatorInLease)^(6+M8)+((DATE(2027+6,4,30)-F8)/365.25)*IF(I8="Vacate",H8*D8*(1+GrowthMarketRent)^6*IF(INT((DATE(2026+6,10,31)-F8)/365.25)=0,(12-DowntimeNew)/12,1),IF(I8="Option",G8*D8*1.025*(1+EscalatorInLease)^6,IF(I8="Market",Retention*G8*D8*(1+EscalatorInLease)^(6+M8)+(1-Retention)*H8*D8*(1+GrowthMarketRent)^6*IF(INT((DATE(2026+6,10,31)-F8)/365.25)=0,(12-DowntimeNew)/12,1),IF(I8="LeaseUp",H8*D8*(1+GrowthMarketRent)^6*IF(6=0,(12-DowntimeNew)/12,1),0)))))))),0)</f>
        <v/>
      </c>
      <c r="U8" s="14">
        <f>IFERROR(IF(I8="LeaseUp",H8*D8*(1+GrowthMarketRent)^7*IF(7=0,(12-DowntimeNew)/12,1),IF(F8="",0,IF(F8&gt;=DATE(2027+7,4,30),G8*D8*(1+EscalatorInLease)^(7+M8),IF(F8&lt;DATE(2026+7,5,1),IF(I8="Vacate",H8*D8*(1+GrowthMarketRent)^7*IF(INT((DATE(2026+7,10,31)-F8)/365.25)=0,(12-DowntimeNew)/12,1),IF(I8="Option",G8*D8*1.025*(1+EscalatorInLease)^7,IF(I8="Market",Retention*G8*D8*(1+EscalatorInLease)^(7+M8)+(1-Retention)*H8*D8*(1+GrowthMarketRent)^7*IF(INT((DATE(2026+7,10,31)-F8)/365.25)=0,(12-DowntimeNew)/12,1),IF(I8="LeaseUp",H8*D8*(1+GrowthMarketRent)^7*IF(7=0,(12-DowntimeNew)/12,1),0)))),((F8-DATE(2026+7,5,1))/365.25)*G8*D8*(1+EscalatorInLease)^(7+M8)+((DATE(2027+7,4,30)-F8)/365.25)*IF(I8="Vacate",H8*D8*(1+GrowthMarketRent)^7*IF(INT((DATE(2026+7,10,31)-F8)/365.25)=0,(12-DowntimeNew)/12,1),IF(I8="Option",G8*D8*1.025*(1+EscalatorInLease)^7,IF(I8="Market",Retention*G8*D8*(1+EscalatorInLease)^(7+M8)+(1-Retention)*H8*D8*(1+GrowthMarketRent)^7*IF(INT((DATE(2026+7,10,31)-F8)/365.25)=0,(12-DowntimeNew)/12,1),IF(I8="LeaseUp",H8*D8*(1+GrowthMarketRent)^7*IF(7=0,(12-DowntimeNew)/12,1),0)))))))),0)</f>
        <v/>
      </c>
      <c r="V8" s="14">
        <f>IFERROR(IF(I8="LeaseUp",H8*D8*(1+GrowthMarketRent)^8*IF(8=0,(12-DowntimeNew)/12,1),IF(F8="",0,IF(F8&gt;=DATE(2027+8,4,30),G8*D8*(1+EscalatorInLease)^(8+M8),IF(F8&lt;DATE(2026+8,5,1),IF(I8="Vacate",H8*D8*(1+GrowthMarketRent)^8*IF(INT((DATE(2026+8,10,31)-F8)/365.25)=0,(12-DowntimeNew)/12,1),IF(I8="Option",G8*D8*1.025*(1+EscalatorInLease)^8,IF(I8="Market",Retention*G8*D8*(1+EscalatorInLease)^(8+M8)+(1-Retention)*H8*D8*(1+GrowthMarketRent)^8*IF(INT((DATE(2026+8,10,31)-F8)/365.25)=0,(12-DowntimeNew)/12,1),IF(I8="LeaseUp",H8*D8*(1+GrowthMarketRent)^8*IF(8=0,(12-DowntimeNew)/12,1),0)))),((F8-DATE(2026+8,5,1))/365.25)*G8*D8*(1+EscalatorInLease)^(8+M8)+((DATE(2027+8,4,30)-F8)/365.25)*IF(I8="Vacate",H8*D8*(1+GrowthMarketRent)^8*IF(INT((DATE(2026+8,10,31)-F8)/365.25)=0,(12-DowntimeNew)/12,1),IF(I8="Option",G8*D8*1.025*(1+EscalatorInLease)^8,IF(I8="Market",Retention*G8*D8*(1+EscalatorInLease)^(8+M8)+(1-Retention)*H8*D8*(1+GrowthMarketRent)^8*IF(INT((DATE(2026+8,10,31)-F8)/365.25)=0,(12-DowntimeNew)/12,1),IF(I8="LeaseUp",H8*D8*(1+GrowthMarketRent)^8*IF(8=0,(12-DowntimeNew)/12,1),0)))))))),0)</f>
        <v/>
      </c>
      <c r="W8" s="14">
        <f>IFERROR(IF(I8="LeaseUp",H8*D8*(1+GrowthMarketRent)^9*IF(9=0,(12-DowntimeNew)/12,1),IF(F8="",0,IF(F8&gt;=DATE(2027+9,4,30),G8*D8*(1+EscalatorInLease)^(9+M8),IF(F8&lt;DATE(2026+9,5,1),IF(I8="Vacate",H8*D8*(1+GrowthMarketRent)^9*IF(INT((DATE(2026+9,10,31)-F8)/365.25)=0,(12-DowntimeNew)/12,1),IF(I8="Option",G8*D8*1.025*(1+EscalatorInLease)^9,IF(I8="Market",Retention*G8*D8*(1+EscalatorInLease)^(9+M8)+(1-Retention)*H8*D8*(1+GrowthMarketRent)^9*IF(INT((DATE(2026+9,10,31)-F8)/365.25)=0,(12-DowntimeNew)/12,1),IF(I8="LeaseUp",H8*D8*(1+GrowthMarketRent)^9*IF(9=0,(12-DowntimeNew)/12,1),0)))),((F8-DATE(2026+9,5,1))/365.25)*G8*D8*(1+EscalatorInLease)^(9+M8)+((DATE(2027+9,4,30)-F8)/365.25)*IF(I8="Vacate",H8*D8*(1+GrowthMarketRent)^9*IF(INT((DATE(2026+9,10,31)-F8)/365.25)=0,(12-DowntimeNew)/12,1),IF(I8="Option",G8*D8*1.025*(1+EscalatorInLease)^9,IF(I8="Market",Retention*G8*D8*(1+EscalatorInLease)^(9+M8)+(1-Retention)*H8*D8*(1+GrowthMarketRent)^9*IF(INT((DATE(2026+9,10,31)-F8)/365.25)=0,(12-DowntimeNew)/12,1),IF(I8="LeaseUp",H8*D8*(1+GrowthMarketRent)^9*IF(9=0,(12-DowntimeNew)/12,1),0)))))))),0)</f>
        <v/>
      </c>
      <c r="X8" s="14">
        <f>IFERROR(IF(I8="LeaseUp",H8*D8*(1+GrowthMarketRent)^10*IF(10=0,(12-DowntimeNew)/12,1),IF(F8="",0,IF(F8&gt;=DATE(2027+10,4,30),G8*D8*(1+EscalatorInLease)^(10+M8),IF(F8&lt;DATE(2026+10,5,1),IF(I8="Vacate",H8*D8*(1+GrowthMarketRent)^10*IF(INT((DATE(2026+10,10,31)-F8)/365.25)=0,(12-DowntimeNew)/12,1),IF(I8="Option",G8*D8*1.025*(1+EscalatorInLease)^10,IF(I8="Market",Retention*G8*D8*(1+EscalatorInLease)^(10+M8)+(1-Retention)*H8*D8*(1+GrowthMarketRent)^10*IF(INT((DATE(2026+10,10,31)-F8)/365.25)=0,(12-DowntimeNew)/12,1),IF(I8="LeaseUp",H8*D8*(1+GrowthMarketRent)^10*IF(10=0,(12-DowntimeNew)/12,1),0)))),((F8-DATE(2026+10,5,1))/365.25)*G8*D8*(1+EscalatorInLease)^(10+M8)+((DATE(2027+10,4,30)-F8)/365.25)*IF(I8="Vacate",H8*D8*(1+GrowthMarketRent)^10*IF(INT((DATE(2026+10,10,31)-F8)/365.25)=0,(12-DowntimeNew)/12,1),IF(I8="Option",G8*D8*1.025*(1+EscalatorInLease)^10,IF(I8="Market",Retention*G8*D8*(1+EscalatorInLease)^(10+M8)+(1-Retention)*H8*D8*(1+GrowthMarketRent)^10*IF(INT((DATE(2026+10,10,31)-F8)/365.25)=0,(12-DowntimeNew)/12,1),IF(I8="LeaseUp",H8*D8*(1+GrowthMarketRent)^10*IF(10=0,(12-DowntimeNew)/12,1),0)))))))),0)</f>
        <v/>
      </c>
      <c r="Y8" s="14">
        <f>IFERROR(IF(AND(I8="LeaseUp",0=0),(IF(I8="Vacate",TINew*D8,IF(I8="Market",Retention*TIRenewal*D8+(1-Retention)*TINew*D8,IF(I8="LeaseUp",TINew*D8,IF(I8="Option",TIRenewal*D8,0)))))+(IF(I8="Vacate",LCNew*H8*D8*(1+GrowthMarketRent)^0,IF(I8="Market",Retention*LCRenewal*H8*D8*(1+GrowthMarketRent)^0+(1-Retention)*LCNew*H8*D8*(1+GrowthMarketRent)^0,IF(I8="LeaseUp",LCNew*H8*D8*(1+GrowthMarketRent)^0,IF(I8="Option",LCRenewal*H8*D8*(1+GrowthMarketRent)^0,0))))),IF(F8="",0,IF(AND(F8&gt;=DATE(2026+0,5,1),F8&lt;=DATE(2027+0,4,30)),(IF(I8="Vacate",TINew*D8,IF(I8="Market",Retention*TIRenewal*D8+(1-Retention)*TINew*D8,IF(I8="LeaseUp",TINew*D8,IF(I8="Option",TIRenewal*D8,0)))))+(IF(I8="Vacate",LCNew*H8*D8*(1+GrowthMarketRent)^0,IF(I8="Market",Retention*LCRenewal*H8*D8*(1+GrowthMarketRent)^0+(1-Retention)*LCNew*H8*D8*(1+GrowthMarketRent)^0,IF(I8="LeaseUp",LCNew*H8*D8*(1+GrowthMarketRent)^0,IF(I8="Option",LCRenewal*H8*D8*(1+GrowthMarketRent)^0,0))))),0))),0)</f>
        <v/>
      </c>
      <c r="Z8" s="14">
        <f>IFERROR(IF(AND(I8="LeaseUp",1=0),(IF(I8="Vacate",TINew*D8,IF(I8="Market",Retention*TIRenewal*D8+(1-Retention)*TINew*D8,IF(I8="LeaseUp",TINew*D8,IF(I8="Option",TIRenewal*D8,0)))))+(IF(I8="Vacate",LCNew*H8*D8*(1+GrowthMarketRent)^1,IF(I8="Market",Retention*LCRenewal*H8*D8*(1+GrowthMarketRent)^1+(1-Retention)*LCNew*H8*D8*(1+GrowthMarketRent)^1,IF(I8="LeaseUp",LCNew*H8*D8*(1+GrowthMarketRent)^1,IF(I8="Option",LCRenewal*H8*D8*(1+GrowthMarketRent)^1,0))))),IF(F8="",0,IF(AND(F8&gt;=DATE(2026+1,5,1),F8&lt;=DATE(2027+1,4,30)),(IF(I8="Vacate",TINew*D8,IF(I8="Market",Retention*TIRenewal*D8+(1-Retention)*TINew*D8,IF(I8="LeaseUp",TINew*D8,IF(I8="Option",TIRenewal*D8,0)))))+(IF(I8="Vacate",LCNew*H8*D8*(1+GrowthMarketRent)^1,IF(I8="Market",Retention*LCRenewal*H8*D8*(1+GrowthMarketRent)^1+(1-Retention)*LCNew*H8*D8*(1+GrowthMarketRent)^1,IF(I8="LeaseUp",LCNew*H8*D8*(1+GrowthMarketRent)^1,IF(I8="Option",LCRenewal*H8*D8*(1+GrowthMarketRent)^1,0))))),0))),0)</f>
        <v/>
      </c>
      <c r="AA8" s="14">
        <f>IFERROR(IF(AND(I8="LeaseUp",2=0),(IF(I8="Vacate",TINew*D8,IF(I8="Market",Retention*TIRenewal*D8+(1-Retention)*TINew*D8,IF(I8="LeaseUp",TINew*D8,IF(I8="Option",TIRenewal*D8,0)))))+(IF(I8="Vacate",LCNew*H8*D8*(1+GrowthMarketRent)^2,IF(I8="Market",Retention*LCRenewal*H8*D8*(1+GrowthMarketRent)^2+(1-Retention)*LCNew*H8*D8*(1+GrowthMarketRent)^2,IF(I8="LeaseUp",LCNew*H8*D8*(1+GrowthMarketRent)^2,IF(I8="Option",LCRenewal*H8*D8*(1+GrowthMarketRent)^2,0))))),IF(F8="",0,IF(AND(F8&gt;=DATE(2026+2,5,1),F8&lt;=DATE(2027+2,4,30)),(IF(I8="Vacate",TINew*D8,IF(I8="Market",Retention*TIRenewal*D8+(1-Retention)*TINew*D8,IF(I8="LeaseUp",TINew*D8,IF(I8="Option",TIRenewal*D8,0)))))+(IF(I8="Vacate",LCNew*H8*D8*(1+GrowthMarketRent)^2,IF(I8="Market",Retention*LCRenewal*H8*D8*(1+GrowthMarketRent)^2+(1-Retention)*LCNew*H8*D8*(1+GrowthMarketRent)^2,IF(I8="LeaseUp",LCNew*H8*D8*(1+GrowthMarketRent)^2,IF(I8="Option",LCRenewal*H8*D8*(1+GrowthMarketRent)^2,0))))),0))),0)</f>
        <v/>
      </c>
      <c r="AB8" s="14">
        <f>IFERROR(IF(AND(I8="LeaseUp",3=0),(IF(I8="Vacate",TINew*D8,IF(I8="Market",Retention*TIRenewal*D8+(1-Retention)*TINew*D8,IF(I8="LeaseUp",TINew*D8,IF(I8="Option",TIRenewal*D8,0)))))+(IF(I8="Vacate",LCNew*H8*D8*(1+GrowthMarketRent)^3,IF(I8="Market",Retention*LCRenewal*H8*D8*(1+GrowthMarketRent)^3+(1-Retention)*LCNew*H8*D8*(1+GrowthMarketRent)^3,IF(I8="LeaseUp",LCNew*H8*D8*(1+GrowthMarketRent)^3,IF(I8="Option",LCRenewal*H8*D8*(1+GrowthMarketRent)^3,0))))),IF(F8="",0,IF(AND(F8&gt;=DATE(2026+3,5,1),F8&lt;=DATE(2027+3,4,30)),(IF(I8="Vacate",TINew*D8,IF(I8="Market",Retention*TIRenewal*D8+(1-Retention)*TINew*D8,IF(I8="LeaseUp",TINew*D8,IF(I8="Option",TIRenewal*D8,0)))))+(IF(I8="Vacate",LCNew*H8*D8*(1+GrowthMarketRent)^3,IF(I8="Market",Retention*LCRenewal*H8*D8*(1+GrowthMarketRent)^3+(1-Retention)*LCNew*H8*D8*(1+GrowthMarketRent)^3,IF(I8="LeaseUp",LCNew*H8*D8*(1+GrowthMarketRent)^3,IF(I8="Option",LCRenewal*H8*D8*(1+GrowthMarketRent)^3,0))))),0))),0)</f>
        <v/>
      </c>
      <c r="AC8" s="14">
        <f>IFERROR(IF(AND(I8="LeaseUp",4=0),(IF(I8="Vacate",TINew*D8,IF(I8="Market",Retention*TIRenewal*D8+(1-Retention)*TINew*D8,IF(I8="LeaseUp",TINew*D8,IF(I8="Option",TIRenewal*D8,0)))))+(IF(I8="Vacate",LCNew*H8*D8*(1+GrowthMarketRent)^4,IF(I8="Market",Retention*LCRenewal*H8*D8*(1+GrowthMarketRent)^4+(1-Retention)*LCNew*H8*D8*(1+GrowthMarketRent)^4,IF(I8="LeaseUp",LCNew*H8*D8*(1+GrowthMarketRent)^4,IF(I8="Option",LCRenewal*H8*D8*(1+GrowthMarketRent)^4,0))))),IF(F8="",0,IF(AND(F8&gt;=DATE(2026+4,5,1),F8&lt;=DATE(2027+4,4,30)),(IF(I8="Vacate",TINew*D8,IF(I8="Market",Retention*TIRenewal*D8+(1-Retention)*TINew*D8,IF(I8="LeaseUp",TINew*D8,IF(I8="Option",TIRenewal*D8,0)))))+(IF(I8="Vacate",LCNew*H8*D8*(1+GrowthMarketRent)^4,IF(I8="Market",Retention*LCRenewal*H8*D8*(1+GrowthMarketRent)^4+(1-Retention)*LCNew*H8*D8*(1+GrowthMarketRent)^4,IF(I8="LeaseUp",LCNew*H8*D8*(1+GrowthMarketRent)^4,IF(I8="Option",LCRenewal*H8*D8*(1+GrowthMarketRent)^4,0))))),0))),0)</f>
        <v/>
      </c>
      <c r="AD8" s="14">
        <f>IFERROR(IF(AND(I8="LeaseUp",5=0),(IF(I8="Vacate",TINew*D8,IF(I8="Market",Retention*TIRenewal*D8+(1-Retention)*TINew*D8,IF(I8="LeaseUp",TINew*D8,IF(I8="Option",TIRenewal*D8,0)))))+(IF(I8="Vacate",LCNew*H8*D8*(1+GrowthMarketRent)^5,IF(I8="Market",Retention*LCRenewal*H8*D8*(1+GrowthMarketRent)^5+(1-Retention)*LCNew*H8*D8*(1+GrowthMarketRent)^5,IF(I8="LeaseUp",LCNew*H8*D8*(1+GrowthMarketRent)^5,IF(I8="Option",LCRenewal*H8*D8*(1+GrowthMarketRent)^5,0))))),IF(F8="",0,IF(AND(F8&gt;=DATE(2026+5,5,1),F8&lt;=DATE(2027+5,4,30)),(IF(I8="Vacate",TINew*D8,IF(I8="Market",Retention*TIRenewal*D8+(1-Retention)*TINew*D8,IF(I8="LeaseUp",TINew*D8,IF(I8="Option",TIRenewal*D8,0)))))+(IF(I8="Vacate",LCNew*H8*D8*(1+GrowthMarketRent)^5,IF(I8="Market",Retention*LCRenewal*H8*D8*(1+GrowthMarketRent)^5+(1-Retention)*LCNew*H8*D8*(1+GrowthMarketRent)^5,IF(I8="LeaseUp",LCNew*H8*D8*(1+GrowthMarketRent)^5,IF(I8="Option",LCRenewal*H8*D8*(1+GrowthMarketRent)^5,0))))),0))),0)</f>
        <v/>
      </c>
      <c r="AE8" s="14">
        <f>IFERROR(IF(AND(I8="LeaseUp",6=0),(IF(I8="Vacate",TINew*D8,IF(I8="Market",Retention*TIRenewal*D8+(1-Retention)*TINew*D8,IF(I8="LeaseUp",TINew*D8,IF(I8="Option",TIRenewal*D8,0)))))+(IF(I8="Vacate",LCNew*H8*D8*(1+GrowthMarketRent)^6,IF(I8="Market",Retention*LCRenewal*H8*D8*(1+GrowthMarketRent)^6+(1-Retention)*LCNew*H8*D8*(1+GrowthMarketRent)^6,IF(I8="LeaseUp",LCNew*H8*D8*(1+GrowthMarketRent)^6,IF(I8="Option",LCRenewal*H8*D8*(1+GrowthMarketRent)^6,0))))),IF(F8="",0,IF(AND(F8&gt;=DATE(2026+6,5,1),F8&lt;=DATE(2027+6,4,30)),(IF(I8="Vacate",TINew*D8,IF(I8="Market",Retention*TIRenewal*D8+(1-Retention)*TINew*D8,IF(I8="LeaseUp",TINew*D8,IF(I8="Option",TIRenewal*D8,0)))))+(IF(I8="Vacate",LCNew*H8*D8*(1+GrowthMarketRent)^6,IF(I8="Market",Retention*LCRenewal*H8*D8*(1+GrowthMarketRent)^6+(1-Retention)*LCNew*H8*D8*(1+GrowthMarketRent)^6,IF(I8="LeaseUp",LCNew*H8*D8*(1+GrowthMarketRent)^6,IF(I8="Option",LCRenewal*H8*D8*(1+GrowthMarketRent)^6,0))))),0))),0)</f>
        <v/>
      </c>
      <c r="AF8" s="14">
        <f>IFERROR(IF(AND(I8="LeaseUp",7=0),(IF(I8="Vacate",TINew*D8,IF(I8="Market",Retention*TIRenewal*D8+(1-Retention)*TINew*D8,IF(I8="LeaseUp",TINew*D8,IF(I8="Option",TIRenewal*D8,0)))))+(IF(I8="Vacate",LCNew*H8*D8*(1+GrowthMarketRent)^7,IF(I8="Market",Retention*LCRenewal*H8*D8*(1+GrowthMarketRent)^7+(1-Retention)*LCNew*H8*D8*(1+GrowthMarketRent)^7,IF(I8="LeaseUp",LCNew*H8*D8*(1+GrowthMarketRent)^7,IF(I8="Option",LCRenewal*H8*D8*(1+GrowthMarketRent)^7,0))))),IF(F8="",0,IF(AND(F8&gt;=DATE(2026+7,5,1),F8&lt;=DATE(2027+7,4,30)),(IF(I8="Vacate",TINew*D8,IF(I8="Market",Retention*TIRenewal*D8+(1-Retention)*TINew*D8,IF(I8="LeaseUp",TINew*D8,IF(I8="Option",TIRenewal*D8,0)))))+(IF(I8="Vacate",LCNew*H8*D8*(1+GrowthMarketRent)^7,IF(I8="Market",Retention*LCRenewal*H8*D8*(1+GrowthMarketRent)^7+(1-Retention)*LCNew*H8*D8*(1+GrowthMarketRent)^7,IF(I8="LeaseUp",LCNew*H8*D8*(1+GrowthMarketRent)^7,IF(I8="Option",LCRenewal*H8*D8*(1+GrowthMarketRent)^7,0))))),0))),0)</f>
        <v/>
      </c>
      <c r="AG8" s="14">
        <f>IFERROR(IF(AND(I8="LeaseUp",8=0),(IF(I8="Vacate",TINew*D8,IF(I8="Market",Retention*TIRenewal*D8+(1-Retention)*TINew*D8,IF(I8="LeaseUp",TINew*D8,IF(I8="Option",TIRenewal*D8,0)))))+(IF(I8="Vacate",LCNew*H8*D8*(1+GrowthMarketRent)^8,IF(I8="Market",Retention*LCRenewal*H8*D8*(1+GrowthMarketRent)^8+(1-Retention)*LCNew*H8*D8*(1+GrowthMarketRent)^8,IF(I8="LeaseUp",LCNew*H8*D8*(1+GrowthMarketRent)^8,IF(I8="Option",LCRenewal*H8*D8*(1+GrowthMarketRent)^8,0))))),IF(F8="",0,IF(AND(F8&gt;=DATE(2026+8,5,1),F8&lt;=DATE(2027+8,4,30)),(IF(I8="Vacate",TINew*D8,IF(I8="Market",Retention*TIRenewal*D8+(1-Retention)*TINew*D8,IF(I8="LeaseUp",TINew*D8,IF(I8="Option",TIRenewal*D8,0)))))+(IF(I8="Vacate",LCNew*H8*D8*(1+GrowthMarketRent)^8,IF(I8="Market",Retention*LCRenewal*H8*D8*(1+GrowthMarketRent)^8+(1-Retention)*LCNew*H8*D8*(1+GrowthMarketRent)^8,IF(I8="LeaseUp",LCNew*H8*D8*(1+GrowthMarketRent)^8,IF(I8="Option",LCRenewal*H8*D8*(1+GrowthMarketRent)^8,0))))),0))),0)</f>
        <v/>
      </c>
      <c r="AH8" s="14">
        <f>IFERROR(IF(AND(I8="LeaseUp",9=0),(IF(I8="Vacate",TINew*D8,IF(I8="Market",Retention*TIRenewal*D8+(1-Retention)*TINew*D8,IF(I8="LeaseUp",TINew*D8,IF(I8="Option",TIRenewal*D8,0)))))+(IF(I8="Vacate",LCNew*H8*D8*(1+GrowthMarketRent)^9,IF(I8="Market",Retention*LCRenewal*H8*D8*(1+GrowthMarketRent)^9+(1-Retention)*LCNew*H8*D8*(1+GrowthMarketRent)^9,IF(I8="LeaseUp",LCNew*H8*D8*(1+GrowthMarketRent)^9,IF(I8="Option",LCRenewal*H8*D8*(1+GrowthMarketRent)^9,0))))),IF(F8="",0,IF(AND(F8&gt;=DATE(2026+9,5,1),F8&lt;=DATE(2027+9,4,30)),(IF(I8="Vacate",TINew*D8,IF(I8="Market",Retention*TIRenewal*D8+(1-Retention)*TINew*D8,IF(I8="LeaseUp",TINew*D8,IF(I8="Option",TIRenewal*D8,0)))))+(IF(I8="Vacate",LCNew*H8*D8*(1+GrowthMarketRent)^9,IF(I8="Market",Retention*LCRenewal*H8*D8*(1+GrowthMarketRent)^9+(1-Retention)*LCNew*H8*D8*(1+GrowthMarketRent)^9,IF(I8="LeaseUp",LCNew*H8*D8*(1+GrowthMarketRent)^9,IF(I8="Option",LCRenewal*H8*D8*(1+GrowthMarketRent)^9,0))))),0))),0)</f>
        <v/>
      </c>
      <c r="AI8" s="14">
        <f>IFERROR(IF(AND(I8="LeaseUp",10=0),(IF(I8="Vacate",TINew*D8,IF(I8="Market",Retention*TIRenewal*D8+(1-Retention)*TINew*D8,IF(I8="LeaseUp",TINew*D8,IF(I8="Option",TIRenewal*D8,0)))))+(IF(I8="Vacate",LCNew*H8*D8*(1+GrowthMarketRent)^10,IF(I8="Market",Retention*LCRenewal*H8*D8*(1+GrowthMarketRent)^10+(1-Retention)*LCNew*H8*D8*(1+GrowthMarketRent)^10,IF(I8="LeaseUp",LCNew*H8*D8*(1+GrowthMarketRent)^10,IF(I8="Option",LCRenewal*H8*D8*(1+GrowthMarketRent)^10,0))))),IF(F8="",0,IF(AND(F8&gt;=DATE(2026+10,5,1),F8&lt;=DATE(2027+10,4,30)),(IF(I8="Vacate",TINew*D8,IF(I8="Market",Retention*TIRenewal*D8+(1-Retention)*TINew*D8,IF(I8="LeaseUp",TINew*D8,IF(I8="Option",TIRenewal*D8,0)))))+(IF(I8="Vacate",LCNew*H8*D8*(1+GrowthMarketRent)^10,IF(I8="Market",Retention*LCRenewal*H8*D8*(1+GrowthMarketRent)^10+(1-Retention)*LCNew*H8*D8*(1+GrowthMarketRent)^10,IF(I8="LeaseUp",LCNew*H8*D8*(1+GrowthMarketRent)^10,IF(I8="Option",LCRenewal*H8*D8*(1+GrowthMarketRent)^10,0))))),0))),0)</f>
        <v/>
      </c>
    </row>
    <row r="9">
      <c r="A9" t="inlineStr">
        <is>
          <t>Carrollton</t>
        </is>
      </c>
      <c r="B9" t="inlineStr">
        <is>
          <t>116</t>
        </is>
      </c>
      <c r="C9" t="inlineStr">
        <is>
          <t>Vivax Systems Inc.</t>
        </is>
      </c>
      <c r="D9" s="32" t="n">
        <v>2600</v>
      </c>
      <c r="E9" s="33" t="n">
        <v>45717</v>
      </c>
      <c r="F9" s="33" t="n">
        <v>46997</v>
      </c>
      <c r="G9" s="34" t="n">
        <v>17.425</v>
      </c>
      <c r="H9" s="16">
        <f>VLOOKUP("Carrollton — "&amp;J9,MLA!$A$5:$L$11,3,FALSE)</f>
        <v/>
      </c>
      <c r="I9" s="11" t="inlineStr">
        <is>
          <t>Market</t>
        </is>
      </c>
      <c r="J9" t="inlineStr">
        <is>
          <t>Shop</t>
        </is>
      </c>
      <c r="K9" t="inlineStr">
        <is>
          <t>Occupied</t>
        </is>
      </c>
      <c r="L9" t="inlineStr">
        <is>
          <t>Shop; Guarantor: Haresh Busa</t>
        </is>
      </c>
      <c r="M9" s="20">
        <f>IF(E9="",0,(AnalysisStart-E9)/365.25)</f>
        <v/>
      </c>
      <c r="N9" s="14">
        <f>IFERROR(IF(I9="LeaseUp",H9*D9*(1+GrowthMarketRent)^0*IF(0=0,(12-DowntimeNew)/12,1),IF(F9="",0,IF(F9&gt;=DATE(2027+0,4,30),G9*D9*(1+EscalatorInLease)^(0+M9),IF(F9&lt;DATE(2026+0,5,1),IF(I9="Vacate",H9*D9*(1+GrowthMarketRent)^0*IF(INT((DATE(2026+0,10,31)-F9)/365.25)=0,(12-DowntimeNew)/12,1),IF(I9="Option",G9*D9*1.025*(1+EscalatorInLease)^0,IF(I9="Market",Retention*G9*D9*(1+EscalatorInLease)^(0+M9)+(1-Retention)*H9*D9*(1+GrowthMarketRent)^0*IF(INT((DATE(2026+0,10,31)-F9)/365.25)=0,(12-DowntimeNew)/12,1),IF(I9="LeaseUp",H9*D9*(1+GrowthMarketRent)^0*IF(0=0,(12-DowntimeNew)/12,1),0)))),((F9-DATE(2026+0,5,1))/365.25)*G9*D9*(1+EscalatorInLease)^(0+M9)+((DATE(2027+0,4,30)-F9)/365.25)*IF(I9="Vacate",H9*D9*(1+GrowthMarketRent)^0*IF(INT((DATE(2026+0,10,31)-F9)/365.25)=0,(12-DowntimeNew)/12,1),IF(I9="Option",G9*D9*1.025*(1+EscalatorInLease)^0,IF(I9="Market",Retention*G9*D9*(1+EscalatorInLease)^(0+M9)+(1-Retention)*H9*D9*(1+GrowthMarketRent)^0*IF(INT((DATE(2026+0,10,31)-F9)/365.25)=0,(12-DowntimeNew)/12,1),IF(I9="LeaseUp",H9*D9*(1+GrowthMarketRent)^0*IF(0=0,(12-DowntimeNew)/12,1),0)))))))),0)</f>
        <v/>
      </c>
      <c r="O9" s="14">
        <f>IFERROR(IF(I9="LeaseUp",H9*D9*(1+GrowthMarketRent)^1*IF(1=0,(12-DowntimeNew)/12,1),IF(F9="",0,IF(F9&gt;=DATE(2027+1,4,30),G9*D9*(1+EscalatorInLease)^(1+M9),IF(F9&lt;DATE(2026+1,5,1),IF(I9="Vacate",H9*D9*(1+GrowthMarketRent)^1*IF(INT((DATE(2026+1,10,31)-F9)/365.25)=0,(12-DowntimeNew)/12,1),IF(I9="Option",G9*D9*1.025*(1+EscalatorInLease)^1,IF(I9="Market",Retention*G9*D9*(1+EscalatorInLease)^(1+M9)+(1-Retention)*H9*D9*(1+GrowthMarketRent)^1*IF(INT((DATE(2026+1,10,31)-F9)/365.25)=0,(12-DowntimeNew)/12,1),IF(I9="LeaseUp",H9*D9*(1+GrowthMarketRent)^1*IF(1=0,(12-DowntimeNew)/12,1),0)))),((F9-DATE(2026+1,5,1))/365.25)*G9*D9*(1+EscalatorInLease)^(1+M9)+((DATE(2027+1,4,30)-F9)/365.25)*IF(I9="Vacate",H9*D9*(1+GrowthMarketRent)^1*IF(INT((DATE(2026+1,10,31)-F9)/365.25)=0,(12-DowntimeNew)/12,1),IF(I9="Option",G9*D9*1.025*(1+EscalatorInLease)^1,IF(I9="Market",Retention*G9*D9*(1+EscalatorInLease)^(1+M9)+(1-Retention)*H9*D9*(1+GrowthMarketRent)^1*IF(INT((DATE(2026+1,10,31)-F9)/365.25)=0,(12-DowntimeNew)/12,1),IF(I9="LeaseUp",H9*D9*(1+GrowthMarketRent)^1*IF(1=0,(12-DowntimeNew)/12,1),0)))))))),0)</f>
        <v/>
      </c>
      <c r="P9" s="14">
        <f>IFERROR(IF(I9="LeaseUp",H9*D9*(1+GrowthMarketRent)^2*IF(2=0,(12-DowntimeNew)/12,1),IF(F9="",0,IF(F9&gt;=DATE(2027+2,4,30),G9*D9*(1+EscalatorInLease)^(2+M9),IF(F9&lt;DATE(2026+2,5,1),IF(I9="Vacate",H9*D9*(1+GrowthMarketRent)^2*IF(INT((DATE(2026+2,10,31)-F9)/365.25)=0,(12-DowntimeNew)/12,1),IF(I9="Option",G9*D9*1.025*(1+EscalatorInLease)^2,IF(I9="Market",Retention*G9*D9*(1+EscalatorInLease)^(2+M9)+(1-Retention)*H9*D9*(1+GrowthMarketRent)^2*IF(INT((DATE(2026+2,10,31)-F9)/365.25)=0,(12-DowntimeNew)/12,1),IF(I9="LeaseUp",H9*D9*(1+GrowthMarketRent)^2*IF(2=0,(12-DowntimeNew)/12,1),0)))),((F9-DATE(2026+2,5,1))/365.25)*G9*D9*(1+EscalatorInLease)^(2+M9)+((DATE(2027+2,4,30)-F9)/365.25)*IF(I9="Vacate",H9*D9*(1+GrowthMarketRent)^2*IF(INT((DATE(2026+2,10,31)-F9)/365.25)=0,(12-DowntimeNew)/12,1),IF(I9="Option",G9*D9*1.025*(1+EscalatorInLease)^2,IF(I9="Market",Retention*G9*D9*(1+EscalatorInLease)^(2+M9)+(1-Retention)*H9*D9*(1+GrowthMarketRent)^2*IF(INT((DATE(2026+2,10,31)-F9)/365.25)=0,(12-DowntimeNew)/12,1),IF(I9="LeaseUp",H9*D9*(1+GrowthMarketRent)^2*IF(2=0,(12-DowntimeNew)/12,1),0)))))))),0)</f>
        <v/>
      </c>
      <c r="Q9" s="14">
        <f>IFERROR(IF(I9="LeaseUp",H9*D9*(1+GrowthMarketRent)^3*IF(3=0,(12-DowntimeNew)/12,1),IF(F9="",0,IF(F9&gt;=DATE(2027+3,4,30),G9*D9*(1+EscalatorInLease)^(3+M9),IF(F9&lt;DATE(2026+3,5,1),IF(I9="Vacate",H9*D9*(1+GrowthMarketRent)^3*IF(INT((DATE(2026+3,10,31)-F9)/365.25)=0,(12-DowntimeNew)/12,1),IF(I9="Option",G9*D9*1.025*(1+EscalatorInLease)^3,IF(I9="Market",Retention*G9*D9*(1+EscalatorInLease)^(3+M9)+(1-Retention)*H9*D9*(1+GrowthMarketRent)^3*IF(INT((DATE(2026+3,10,31)-F9)/365.25)=0,(12-DowntimeNew)/12,1),IF(I9="LeaseUp",H9*D9*(1+GrowthMarketRent)^3*IF(3=0,(12-DowntimeNew)/12,1),0)))),((F9-DATE(2026+3,5,1))/365.25)*G9*D9*(1+EscalatorInLease)^(3+M9)+((DATE(2027+3,4,30)-F9)/365.25)*IF(I9="Vacate",H9*D9*(1+GrowthMarketRent)^3*IF(INT((DATE(2026+3,10,31)-F9)/365.25)=0,(12-DowntimeNew)/12,1),IF(I9="Option",G9*D9*1.025*(1+EscalatorInLease)^3,IF(I9="Market",Retention*G9*D9*(1+EscalatorInLease)^(3+M9)+(1-Retention)*H9*D9*(1+GrowthMarketRent)^3*IF(INT((DATE(2026+3,10,31)-F9)/365.25)=0,(12-DowntimeNew)/12,1),IF(I9="LeaseUp",H9*D9*(1+GrowthMarketRent)^3*IF(3=0,(12-DowntimeNew)/12,1),0)))))))),0)</f>
        <v/>
      </c>
      <c r="R9" s="14">
        <f>IFERROR(IF(I9="LeaseUp",H9*D9*(1+GrowthMarketRent)^4*IF(4=0,(12-DowntimeNew)/12,1),IF(F9="",0,IF(F9&gt;=DATE(2027+4,4,30),G9*D9*(1+EscalatorInLease)^(4+M9),IF(F9&lt;DATE(2026+4,5,1),IF(I9="Vacate",H9*D9*(1+GrowthMarketRent)^4*IF(INT((DATE(2026+4,10,31)-F9)/365.25)=0,(12-DowntimeNew)/12,1),IF(I9="Option",G9*D9*1.025*(1+EscalatorInLease)^4,IF(I9="Market",Retention*G9*D9*(1+EscalatorInLease)^(4+M9)+(1-Retention)*H9*D9*(1+GrowthMarketRent)^4*IF(INT((DATE(2026+4,10,31)-F9)/365.25)=0,(12-DowntimeNew)/12,1),IF(I9="LeaseUp",H9*D9*(1+GrowthMarketRent)^4*IF(4=0,(12-DowntimeNew)/12,1),0)))),((F9-DATE(2026+4,5,1))/365.25)*G9*D9*(1+EscalatorInLease)^(4+M9)+((DATE(2027+4,4,30)-F9)/365.25)*IF(I9="Vacate",H9*D9*(1+GrowthMarketRent)^4*IF(INT((DATE(2026+4,10,31)-F9)/365.25)=0,(12-DowntimeNew)/12,1),IF(I9="Option",G9*D9*1.025*(1+EscalatorInLease)^4,IF(I9="Market",Retention*G9*D9*(1+EscalatorInLease)^(4+M9)+(1-Retention)*H9*D9*(1+GrowthMarketRent)^4*IF(INT((DATE(2026+4,10,31)-F9)/365.25)=0,(12-DowntimeNew)/12,1),IF(I9="LeaseUp",H9*D9*(1+GrowthMarketRent)^4*IF(4=0,(12-DowntimeNew)/12,1),0)))))))),0)</f>
        <v/>
      </c>
      <c r="S9" s="14">
        <f>IFERROR(IF(I9="LeaseUp",H9*D9*(1+GrowthMarketRent)^5*IF(5=0,(12-DowntimeNew)/12,1),IF(F9="",0,IF(F9&gt;=DATE(2027+5,4,30),G9*D9*(1+EscalatorInLease)^(5+M9),IF(F9&lt;DATE(2026+5,5,1),IF(I9="Vacate",H9*D9*(1+GrowthMarketRent)^5*IF(INT((DATE(2026+5,10,31)-F9)/365.25)=0,(12-DowntimeNew)/12,1),IF(I9="Option",G9*D9*1.025*(1+EscalatorInLease)^5,IF(I9="Market",Retention*G9*D9*(1+EscalatorInLease)^(5+M9)+(1-Retention)*H9*D9*(1+GrowthMarketRent)^5*IF(INT((DATE(2026+5,10,31)-F9)/365.25)=0,(12-DowntimeNew)/12,1),IF(I9="LeaseUp",H9*D9*(1+GrowthMarketRent)^5*IF(5=0,(12-DowntimeNew)/12,1),0)))),((F9-DATE(2026+5,5,1))/365.25)*G9*D9*(1+EscalatorInLease)^(5+M9)+((DATE(2027+5,4,30)-F9)/365.25)*IF(I9="Vacate",H9*D9*(1+GrowthMarketRent)^5*IF(INT((DATE(2026+5,10,31)-F9)/365.25)=0,(12-DowntimeNew)/12,1),IF(I9="Option",G9*D9*1.025*(1+EscalatorInLease)^5,IF(I9="Market",Retention*G9*D9*(1+EscalatorInLease)^(5+M9)+(1-Retention)*H9*D9*(1+GrowthMarketRent)^5*IF(INT((DATE(2026+5,10,31)-F9)/365.25)=0,(12-DowntimeNew)/12,1),IF(I9="LeaseUp",H9*D9*(1+GrowthMarketRent)^5*IF(5=0,(12-DowntimeNew)/12,1),0)))))))),0)</f>
        <v/>
      </c>
      <c r="T9" s="14">
        <f>IFERROR(IF(I9="LeaseUp",H9*D9*(1+GrowthMarketRent)^6*IF(6=0,(12-DowntimeNew)/12,1),IF(F9="",0,IF(F9&gt;=DATE(2027+6,4,30),G9*D9*(1+EscalatorInLease)^(6+M9),IF(F9&lt;DATE(2026+6,5,1),IF(I9="Vacate",H9*D9*(1+GrowthMarketRent)^6*IF(INT((DATE(2026+6,10,31)-F9)/365.25)=0,(12-DowntimeNew)/12,1),IF(I9="Option",G9*D9*1.025*(1+EscalatorInLease)^6,IF(I9="Market",Retention*G9*D9*(1+EscalatorInLease)^(6+M9)+(1-Retention)*H9*D9*(1+GrowthMarketRent)^6*IF(INT((DATE(2026+6,10,31)-F9)/365.25)=0,(12-DowntimeNew)/12,1),IF(I9="LeaseUp",H9*D9*(1+GrowthMarketRent)^6*IF(6=0,(12-DowntimeNew)/12,1),0)))),((F9-DATE(2026+6,5,1))/365.25)*G9*D9*(1+EscalatorInLease)^(6+M9)+((DATE(2027+6,4,30)-F9)/365.25)*IF(I9="Vacate",H9*D9*(1+GrowthMarketRent)^6*IF(INT((DATE(2026+6,10,31)-F9)/365.25)=0,(12-DowntimeNew)/12,1),IF(I9="Option",G9*D9*1.025*(1+EscalatorInLease)^6,IF(I9="Market",Retention*G9*D9*(1+EscalatorInLease)^(6+M9)+(1-Retention)*H9*D9*(1+GrowthMarketRent)^6*IF(INT((DATE(2026+6,10,31)-F9)/365.25)=0,(12-DowntimeNew)/12,1),IF(I9="LeaseUp",H9*D9*(1+GrowthMarketRent)^6*IF(6=0,(12-DowntimeNew)/12,1),0)))))))),0)</f>
        <v/>
      </c>
      <c r="U9" s="14">
        <f>IFERROR(IF(I9="LeaseUp",H9*D9*(1+GrowthMarketRent)^7*IF(7=0,(12-DowntimeNew)/12,1),IF(F9="",0,IF(F9&gt;=DATE(2027+7,4,30),G9*D9*(1+EscalatorInLease)^(7+M9),IF(F9&lt;DATE(2026+7,5,1),IF(I9="Vacate",H9*D9*(1+GrowthMarketRent)^7*IF(INT((DATE(2026+7,10,31)-F9)/365.25)=0,(12-DowntimeNew)/12,1),IF(I9="Option",G9*D9*1.025*(1+EscalatorInLease)^7,IF(I9="Market",Retention*G9*D9*(1+EscalatorInLease)^(7+M9)+(1-Retention)*H9*D9*(1+GrowthMarketRent)^7*IF(INT((DATE(2026+7,10,31)-F9)/365.25)=0,(12-DowntimeNew)/12,1),IF(I9="LeaseUp",H9*D9*(1+GrowthMarketRent)^7*IF(7=0,(12-DowntimeNew)/12,1),0)))),((F9-DATE(2026+7,5,1))/365.25)*G9*D9*(1+EscalatorInLease)^(7+M9)+((DATE(2027+7,4,30)-F9)/365.25)*IF(I9="Vacate",H9*D9*(1+GrowthMarketRent)^7*IF(INT((DATE(2026+7,10,31)-F9)/365.25)=0,(12-DowntimeNew)/12,1),IF(I9="Option",G9*D9*1.025*(1+EscalatorInLease)^7,IF(I9="Market",Retention*G9*D9*(1+EscalatorInLease)^(7+M9)+(1-Retention)*H9*D9*(1+GrowthMarketRent)^7*IF(INT((DATE(2026+7,10,31)-F9)/365.25)=0,(12-DowntimeNew)/12,1),IF(I9="LeaseUp",H9*D9*(1+GrowthMarketRent)^7*IF(7=0,(12-DowntimeNew)/12,1),0)))))))),0)</f>
        <v/>
      </c>
      <c r="V9" s="14">
        <f>IFERROR(IF(I9="LeaseUp",H9*D9*(1+GrowthMarketRent)^8*IF(8=0,(12-DowntimeNew)/12,1),IF(F9="",0,IF(F9&gt;=DATE(2027+8,4,30),G9*D9*(1+EscalatorInLease)^(8+M9),IF(F9&lt;DATE(2026+8,5,1),IF(I9="Vacate",H9*D9*(1+GrowthMarketRent)^8*IF(INT((DATE(2026+8,10,31)-F9)/365.25)=0,(12-DowntimeNew)/12,1),IF(I9="Option",G9*D9*1.025*(1+EscalatorInLease)^8,IF(I9="Market",Retention*G9*D9*(1+EscalatorInLease)^(8+M9)+(1-Retention)*H9*D9*(1+GrowthMarketRent)^8*IF(INT((DATE(2026+8,10,31)-F9)/365.25)=0,(12-DowntimeNew)/12,1),IF(I9="LeaseUp",H9*D9*(1+GrowthMarketRent)^8*IF(8=0,(12-DowntimeNew)/12,1),0)))),((F9-DATE(2026+8,5,1))/365.25)*G9*D9*(1+EscalatorInLease)^(8+M9)+((DATE(2027+8,4,30)-F9)/365.25)*IF(I9="Vacate",H9*D9*(1+GrowthMarketRent)^8*IF(INT((DATE(2026+8,10,31)-F9)/365.25)=0,(12-DowntimeNew)/12,1),IF(I9="Option",G9*D9*1.025*(1+EscalatorInLease)^8,IF(I9="Market",Retention*G9*D9*(1+EscalatorInLease)^(8+M9)+(1-Retention)*H9*D9*(1+GrowthMarketRent)^8*IF(INT((DATE(2026+8,10,31)-F9)/365.25)=0,(12-DowntimeNew)/12,1),IF(I9="LeaseUp",H9*D9*(1+GrowthMarketRent)^8*IF(8=0,(12-DowntimeNew)/12,1),0)))))))),0)</f>
        <v/>
      </c>
      <c r="W9" s="14">
        <f>IFERROR(IF(I9="LeaseUp",H9*D9*(1+GrowthMarketRent)^9*IF(9=0,(12-DowntimeNew)/12,1),IF(F9="",0,IF(F9&gt;=DATE(2027+9,4,30),G9*D9*(1+EscalatorInLease)^(9+M9),IF(F9&lt;DATE(2026+9,5,1),IF(I9="Vacate",H9*D9*(1+GrowthMarketRent)^9*IF(INT((DATE(2026+9,10,31)-F9)/365.25)=0,(12-DowntimeNew)/12,1),IF(I9="Option",G9*D9*1.025*(1+EscalatorInLease)^9,IF(I9="Market",Retention*G9*D9*(1+EscalatorInLease)^(9+M9)+(1-Retention)*H9*D9*(1+GrowthMarketRent)^9*IF(INT((DATE(2026+9,10,31)-F9)/365.25)=0,(12-DowntimeNew)/12,1),IF(I9="LeaseUp",H9*D9*(1+GrowthMarketRent)^9*IF(9=0,(12-DowntimeNew)/12,1),0)))),((F9-DATE(2026+9,5,1))/365.25)*G9*D9*(1+EscalatorInLease)^(9+M9)+((DATE(2027+9,4,30)-F9)/365.25)*IF(I9="Vacate",H9*D9*(1+GrowthMarketRent)^9*IF(INT((DATE(2026+9,10,31)-F9)/365.25)=0,(12-DowntimeNew)/12,1),IF(I9="Option",G9*D9*1.025*(1+EscalatorInLease)^9,IF(I9="Market",Retention*G9*D9*(1+EscalatorInLease)^(9+M9)+(1-Retention)*H9*D9*(1+GrowthMarketRent)^9*IF(INT((DATE(2026+9,10,31)-F9)/365.25)=0,(12-DowntimeNew)/12,1),IF(I9="LeaseUp",H9*D9*(1+GrowthMarketRent)^9*IF(9=0,(12-DowntimeNew)/12,1),0)))))))),0)</f>
        <v/>
      </c>
      <c r="X9" s="14">
        <f>IFERROR(IF(I9="LeaseUp",H9*D9*(1+GrowthMarketRent)^10*IF(10=0,(12-DowntimeNew)/12,1),IF(F9="",0,IF(F9&gt;=DATE(2027+10,4,30),G9*D9*(1+EscalatorInLease)^(10+M9),IF(F9&lt;DATE(2026+10,5,1),IF(I9="Vacate",H9*D9*(1+GrowthMarketRent)^10*IF(INT((DATE(2026+10,10,31)-F9)/365.25)=0,(12-DowntimeNew)/12,1),IF(I9="Option",G9*D9*1.025*(1+EscalatorInLease)^10,IF(I9="Market",Retention*G9*D9*(1+EscalatorInLease)^(10+M9)+(1-Retention)*H9*D9*(1+GrowthMarketRent)^10*IF(INT((DATE(2026+10,10,31)-F9)/365.25)=0,(12-DowntimeNew)/12,1),IF(I9="LeaseUp",H9*D9*(1+GrowthMarketRent)^10*IF(10=0,(12-DowntimeNew)/12,1),0)))),((F9-DATE(2026+10,5,1))/365.25)*G9*D9*(1+EscalatorInLease)^(10+M9)+((DATE(2027+10,4,30)-F9)/365.25)*IF(I9="Vacate",H9*D9*(1+GrowthMarketRent)^10*IF(INT((DATE(2026+10,10,31)-F9)/365.25)=0,(12-DowntimeNew)/12,1),IF(I9="Option",G9*D9*1.025*(1+EscalatorInLease)^10,IF(I9="Market",Retention*G9*D9*(1+EscalatorInLease)^(10+M9)+(1-Retention)*H9*D9*(1+GrowthMarketRent)^10*IF(INT((DATE(2026+10,10,31)-F9)/365.25)=0,(12-DowntimeNew)/12,1),IF(I9="LeaseUp",H9*D9*(1+GrowthMarketRent)^10*IF(10=0,(12-DowntimeNew)/12,1),0)))))))),0)</f>
        <v/>
      </c>
      <c r="Y9" s="14">
        <f>IFERROR(IF(AND(I9="LeaseUp",0=0),(IF(I9="Vacate",TINew*D9,IF(I9="Market",Retention*TIRenewal*D9+(1-Retention)*TINew*D9,IF(I9="LeaseUp",TINew*D9,IF(I9="Option",TIRenewal*D9,0)))))+(IF(I9="Vacate",LCNew*H9*D9*(1+GrowthMarketRent)^0,IF(I9="Market",Retention*LCRenewal*H9*D9*(1+GrowthMarketRent)^0+(1-Retention)*LCNew*H9*D9*(1+GrowthMarketRent)^0,IF(I9="LeaseUp",LCNew*H9*D9*(1+GrowthMarketRent)^0,IF(I9="Option",LCRenewal*H9*D9*(1+GrowthMarketRent)^0,0))))),IF(F9="",0,IF(AND(F9&gt;=DATE(2026+0,5,1),F9&lt;=DATE(2027+0,4,30)),(IF(I9="Vacate",TINew*D9,IF(I9="Market",Retention*TIRenewal*D9+(1-Retention)*TINew*D9,IF(I9="LeaseUp",TINew*D9,IF(I9="Option",TIRenewal*D9,0)))))+(IF(I9="Vacate",LCNew*H9*D9*(1+GrowthMarketRent)^0,IF(I9="Market",Retention*LCRenewal*H9*D9*(1+GrowthMarketRent)^0+(1-Retention)*LCNew*H9*D9*(1+GrowthMarketRent)^0,IF(I9="LeaseUp",LCNew*H9*D9*(1+GrowthMarketRent)^0,IF(I9="Option",LCRenewal*H9*D9*(1+GrowthMarketRent)^0,0))))),0))),0)</f>
        <v/>
      </c>
      <c r="Z9" s="14">
        <f>IFERROR(IF(AND(I9="LeaseUp",1=0),(IF(I9="Vacate",TINew*D9,IF(I9="Market",Retention*TIRenewal*D9+(1-Retention)*TINew*D9,IF(I9="LeaseUp",TINew*D9,IF(I9="Option",TIRenewal*D9,0)))))+(IF(I9="Vacate",LCNew*H9*D9*(1+GrowthMarketRent)^1,IF(I9="Market",Retention*LCRenewal*H9*D9*(1+GrowthMarketRent)^1+(1-Retention)*LCNew*H9*D9*(1+GrowthMarketRent)^1,IF(I9="LeaseUp",LCNew*H9*D9*(1+GrowthMarketRent)^1,IF(I9="Option",LCRenewal*H9*D9*(1+GrowthMarketRent)^1,0))))),IF(F9="",0,IF(AND(F9&gt;=DATE(2026+1,5,1),F9&lt;=DATE(2027+1,4,30)),(IF(I9="Vacate",TINew*D9,IF(I9="Market",Retention*TIRenewal*D9+(1-Retention)*TINew*D9,IF(I9="LeaseUp",TINew*D9,IF(I9="Option",TIRenewal*D9,0)))))+(IF(I9="Vacate",LCNew*H9*D9*(1+GrowthMarketRent)^1,IF(I9="Market",Retention*LCRenewal*H9*D9*(1+GrowthMarketRent)^1+(1-Retention)*LCNew*H9*D9*(1+GrowthMarketRent)^1,IF(I9="LeaseUp",LCNew*H9*D9*(1+GrowthMarketRent)^1,IF(I9="Option",LCRenewal*H9*D9*(1+GrowthMarketRent)^1,0))))),0))),0)</f>
        <v/>
      </c>
      <c r="AA9" s="14">
        <f>IFERROR(IF(AND(I9="LeaseUp",2=0),(IF(I9="Vacate",TINew*D9,IF(I9="Market",Retention*TIRenewal*D9+(1-Retention)*TINew*D9,IF(I9="LeaseUp",TINew*D9,IF(I9="Option",TIRenewal*D9,0)))))+(IF(I9="Vacate",LCNew*H9*D9*(1+GrowthMarketRent)^2,IF(I9="Market",Retention*LCRenewal*H9*D9*(1+GrowthMarketRent)^2+(1-Retention)*LCNew*H9*D9*(1+GrowthMarketRent)^2,IF(I9="LeaseUp",LCNew*H9*D9*(1+GrowthMarketRent)^2,IF(I9="Option",LCRenewal*H9*D9*(1+GrowthMarketRent)^2,0))))),IF(F9="",0,IF(AND(F9&gt;=DATE(2026+2,5,1),F9&lt;=DATE(2027+2,4,30)),(IF(I9="Vacate",TINew*D9,IF(I9="Market",Retention*TIRenewal*D9+(1-Retention)*TINew*D9,IF(I9="LeaseUp",TINew*D9,IF(I9="Option",TIRenewal*D9,0)))))+(IF(I9="Vacate",LCNew*H9*D9*(1+GrowthMarketRent)^2,IF(I9="Market",Retention*LCRenewal*H9*D9*(1+GrowthMarketRent)^2+(1-Retention)*LCNew*H9*D9*(1+GrowthMarketRent)^2,IF(I9="LeaseUp",LCNew*H9*D9*(1+GrowthMarketRent)^2,IF(I9="Option",LCRenewal*H9*D9*(1+GrowthMarketRent)^2,0))))),0))),0)</f>
        <v/>
      </c>
      <c r="AB9" s="14">
        <f>IFERROR(IF(AND(I9="LeaseUp",3=0),(IF(I9="Vacate",TINew*D9,IF(I9="Market",Retention*TIRenewal*D9+(1-Retention)*TINew*D9,IF(I9="LeaseUp",TINew*D9,IF(I9="Option",TIRenewal*D9,0)))))+(IF(I9="Vacate",LCNew*H9*D9*(1+GrowthMarketRent)^3,IF(I9="Market",Retention*LCRenewal*H9*D9*(1+GrowthMarketRent)^3+(1-Retention)*LCNew*H9*D9*(1+GrowthMarketRent)^3,IF(I9="LeaseUp",LCNew*H9*D9*(1+GrowthMarketRent)^3,IF(I9="Option",LCRenewal*H9*D9*(1+GrowthMarketRent)^3,0))))),IF(F9="",0,IF(AND(F9&gt;=DATE(2026+3,5,1),F9&lt;=DATE(2027+3,4,30)),(IF(I9="Vacate",TINew*D9,IF(I9="Market",Retention*TIRenewal*D9+(1-Retention)*TINew*D9,IF(I9="LeaseUp",TINew*D9,IF(I9="Option",TIRenewal*D9,0)))))+(IF(I9="Vacate",LCNew*H9*D9*(1+GrowthMarketRent)^3,IF(I9="Market",Retention*LCRenewal*H9*D9*(1+GrowthMarketRent)^3+(1-Retention)*LCNew*H9*D9*(1+GrowthMarketRent)^3,IF(I9="LeaseUp",LCNew*H9*D9*(1+GrowthMarketRent)^3,IF(I9="Option",LCRenewal*H9*D9*(1+GrowthMarketRent)^3,0))))),0))),0)</f>
        <v/>
      </c>
      <c r="AC9" s="14">
        <f>IFERROR(IF(AND(I9="LeaseUp",4=0),(IF(I9="Vacate",TINew*D9,IF(I9="Market",Retention*TIRenewal*D9+(1-Retention)*TINew*D9,IF(I9="LeaseUp",TINew*D9,IF(I9="Option",TIRenewal*D9,0)))))+(IF(I9="Vacate",LCNew*H9*D9*(1+GrowthMarketRent)^4,IF(I9="Market",Retention*LCRenewal*H9*D9*(1+GrowthMarketRent)^4+(1-Retention)*LCNew*H9*D9*(1+GrowthMarketRent)^4,IF(I9="LeaseUp",LCNew*H9*D9*(1+GrowthMarketRent)^4,IF(I9="Option",LCRenewal*H9*D9*(1+GrowthMarketRent)^4,0))))),IF(F9="",0,IF(AND(F9&gt;=DATE(2026+4,5,1),F9&lt;=DATE(2027+4,4,30)),(IF(I9="Vacate",TINew*D9,IF(I9="Market",Retention*TIRenewal*D9+(1-Retention)*TINew*D9,IF(I9="LeaseUp",TINew*D9,IF(I9="Option",TIRenewal*D9,0)))))+(IF(I9="Vacate",LCNew*H9*D9*(1+GrowthMarketRent)^4,IF(I9="Market",Retention*LCRenewal*H9*D9*(1+GrowthMarketRent)^4+(1-Retention)*LCNew*H9*D9*(1+GrowthMarketRent)^4,IF(I9="LeaseUp",LCNew*H9*D9*(1+GrowthMarketRent)^4,IF(I9="Option",LCRenewal*H9*D9*(1+GrowthMarketRent)^4,0))))),0))),0)</f>
        <v/>
      </c>
      <c r="AD9" s="14">
        <f>IFERROR(IF(AND(I9="LeaseUp",5=0),(IF(I9="Vacate",TINew*D9,IF(I9="Market",Retention*TIRenewal*D9+(1-Retention)*TINew*D9,IF(I9="LeaseUp",TINew*D9,IF(I9="Option",TIRenewal*D9,0)))))+(IF(I9="Vacate",LCNew*H9*D9*(1+GrowthMarketRent)^5,IF(I9="Market",Retention*LCRenewal*H9*D9*(1+GrowthMarketRent)^5+(1-Retention)*LCNew*H9*D9*(1+GrowthMarketRent)^5,IF(I9="LeaseUp",LCNew*H9*D9*(1+GrowthMarketRent)^5,IF(I9="Option",LCRenewal*H9*D9*(1+GrowthMarketRent)^5,0))))),IF(F9="",0,IF(AND(F9&gt;=DATE(2026+5,5,1),F9&lt;=DATE(2027+5,4,30)),(IF(I9="Vacate",TINew*D9,IF(I9="Market",Retention*TIRenewal*D9+(1-Retention)*TINew*D9,IF(I9="LeaseUp",TINew*D9,IF(I9="Option",TIRenewal*D9,0)))))+(IF(I9="Vacate",LCNew*H9*D9*(1+GrowthMarketRent)^5,IF(I9="Market",Retention*LCRenewal*H9*D9*(1+GrowthMarketRent)^5+(1-Retention)*LCNew*H9*D9*(1+GrowthMarketRent)^5,IF(I9="LeaseUp",LCNew*H9*D9*(1+GrowthMarketRent)^5,IF(I9="Option",LCRenewal*H9*D9*(1+GrowthMarketRent)^5,0))))),0))),0)</f>
        <v/>
      </c>
      <c r="AE9" s="14">
        <f>IFERROR(IF(AND(I9="LeaseUp",6=0),(IF(I9="Vacate",TINew*D9,IF(I9="Market",Retention*TIRenewal*D9+(1-Retention)*TINew*D9,IF(I9="LeaseUp",TINew*D9,IF(I9="Option",TIRenewal*D9,0)))))+(IF(I9="Vacate",LCNew*H9*D9*(1+GrowthMarketRent)^6,IF(I9="Market",Retention*LCRenewal*H9*D9*(1+GrowthMarketRent)^6+(1-Retention)*LCNew*H9*D9*(1+GrowthMarketRent)^6,IF(I9="LeaseUp",LCNew*H9*D9*(1+GrowthMarketRent)^6,IF(I9="Option",LCRenewal*H9*D9*(1+GrowthMarketRent)^6,0))))),IF(F9="",0,IF(AND(F9&gt;=DATE(2026+6,5,1),F9&lt;=DATE(2027+6,4,30)),(IF(I9="Vacate",TINew*D9,IF(I9="Market",Retention*TIRenewal*D9+(1-Retention)*TINew*D9,IF(I9="LeaseUp",TINew*D9,IF(I9="Option",TIRenewal*D9,0)))))+(IF(I9="Vacate",LCNew*H9*D9*(1+GrowthMarketRent)^6,IF(I9="Market",Retention*LCRenewal*H9*D9*(1+GrowthMarketRent)^6+(1-Retention)*LCNew*H9*D9*(1+GrowthMarketRent)^6,IF(I9="LeaseUp",LCNew*H9*D9*(1+GrowthMarketRent)^6,IF(I9="Option",LCRenewal*H9*D9*(1+GrowthMarketRent)^6,0))))),0))),0)</f>
        <v/>
      </c>
      <c r="AF9" s="14">
        <f>IFERROR(IF(AND(I9="LeaseUp",7=0),(IF(I9="Vacate",TINew*D9,IF(I9="Market",Retention*TIRenewal*D9+(1-Retention)*TINew*D9,IF(I9="LeaseUp",TINew*D9,IF(I9="Option",TIRenewal*D9,0)))))+(IF(I9="Vacate",LCNew*H9*D9*(1+GrowthMarketRent)^7,IF(I9="Market",Retention*LCRenewal*H9*D9*(1+GrowthMarketRent)^7+(1-Retention)*LCNew*H9*D9*(1+GrowthMarketRent)^7,IF(I9="LeaseUp",LCNew*H9*D9*(1+GrowthMarketRent)^7,IF(I9="Option",LCRenewal*H9*D9*(1+GrowthMarketRent)^7,0))))),IF(F9="",0,IF(AND(F9&gt;=DATE(2026+7,5,1),F9&lt;=DATE(2027+7,4,30)),(IF(I9="Vacate",TINew*D9,IF(I9="Market",Retention*TIRenewal*D9+(1-Retention)*TINew*D9,IF(I9="LeaseUp",TINew*D9,IF(I9="Option",TIRenewal*D9,0)))))+(IF(I9="Vacate",LCNew*H9*D9*(1+GrowthMarketRent)^7,IF(I9="Market",Retention*LCRenewal*H9*D9*(1+GrowthMarketRent)^7+(1-Retention)*LCNew*H9*D9*(1+GrowthMarketRent)^7,IF(I9="LeaseUp",LCNew*H9*D9*(1+GrowthMarketRent)^7,IF(I9="Option",LCRenewal*H9*D9*(1+GrowthMarketRent)^7,0))))),0))),0)</f>
        <v/>
      </c>
      <c r="AG9" s="14">
        <f>IFERROR(IF(AND(I9="LeaseUp",8=0),(IF(I9="Vacate",TINew*D9,IF(I9="Market",Retention*TIRenewal*D9+(1-Retention)*TINew*D9,IF(I9="LeaseUp",TINew*D9,IF(I9="Option",TIRenewal*D9,0)))))+(IF(I9="Vacate",LCNew*H9*D9*(1+GrowthMarketRent)^8,IF(I9="Market",Retention*LCRenewal*H9*D9*(1+GrowthMarketRent)^8+(1-Retention)*LCNew*H9*D9*(1+GrowthMarketRent)^8,IF(I9="LeaseUp",LCNew*H9*D9*(1+GrowthMarketRent)^8,IF(I9="Option",LCRenewal*H9*D9*(1+GrowthMarketRent)^8,0))))),IF(F9="",0,IF(AND(F9&gt;=DATE(2026+8,5,1),F9&lt;=DATE(2027+8,4,30)),(IF(I9="Vacate",TINew*D9,IF(I9="Market",Retention*TIRenewal*D9+(1-Retention)*TINew*D9,IF(I9="LeaseUp",TINew*D9,IF(I9="Option",TIRenewal*D9,0)))))+(IF(I9="Vacate",LCNew*H9*D9*(1+GrowthMarketRent)^8,IF(I9="Market",Retention*LCRenewal*H9*D9*(1+GrowthMarketRent)^8+(1-Retention)*LCNew*H9*D9*(1+GrowthMarketRent)^8,IF(I9="LeaseUp",LCNew*H9*D9*(1+GrowthMarketRent)^8,IF(I9="Option",LCRenewal*H9*D9*(1+GrowthMarketRent)^8,0))))),0))),0)</f>
        <v/>
      </c>
      <c r="AH9" s="14">
        <f>IFERROR(IF(AND(I9="LeaseUp",9=0),(IF(I9="Vacate",TINew*D9,IF(I9="Market",Retention*TIRenewal*D9+(1-Retention)*TINew*D9,IF(I9="LeaseUp",TINew*D9,IF(I9="Option",TIRenewal*D9,0)))))+(IF(I9="Vacate",LCNew*H9*D9*(1+GrowthMarketRent)^9,IF(I9="Market",Retention*LCRenewal*H9*D9*(1+GrowthMarketRent)^9+(1-Retention)*LCNew*H9*D9*(1+GrowthMarketRent)^9,IF(I9="LeaseUp",LCNew*H9*D9*(1+GrowthMarketRent)^9,IF(I9="Option",LCRenewal*H9*D9*(1+GrowthMarketRent)^9,0))))),IF(F9="",0,IF(AND(F9&gt;=DATE(2026+9,5,1),F9&lt;=DATE(2027+9,4,30)),(IF(I9="Vacate",TINew*D9,IF(I9="Market",Retention*TIRenewal*D9+(1-Retention)*TINew*D9,IF(I9="LeaseUp",TINew*D9,IF(I9="Option",TIRenewal*D9,0)))))+(IF(I9="Vacate",LCNew*H9*D9*(1+GrowthMarketRent)^9,IF(I9="Market",Retention*LCRenewal*H9*D9*(1+GrowthMarketRent)^9+(1-Retention)*LCNew*H9*D9*(1+GrowthMarketRent)^9,IF(I9="LeaseUp",LCNew*H9*D9*(1+GrowthMarketRent)^9,IF(I9="Option",LCRenewal*H9*D9*(1+GrowthMarketRent)^9,0))))),0))),0)</f>
        <v/>
      </c>
      <c r="AI9" s="14">
        <f>IFERROR(IF(AND(I9="LeaseUp",10=0),(IF(I9="Vacate",TINew*D9,IF(I9="Market",Retention*TIRenewal*D9+(1-Retention)*TINew*D9,IF(I9="LeaseUp",TINew*D9,IF(I9="Option",TIRenewal*D9,0)))))+(IF(I9="Vacate",LCNew*H9*D9*(1+GrowthMarketRent)^10,IF(I9="Market",Retention*LCRenewal*H9*D9*(1+GrowthMarketRent)^10+(1-Retention)*LCNew*H9*D9*(1+GrowthMarketRent)^10,IF(I9="LeaseUp",LCNew*H9*D9*(1+GrowthMarketRent)^10,IF(I9="Option",LCRenewal*H9*D9*(1+GrowthMarketRent)^10,0))))),IF(F9="",0,IF(AND(F9&gt;=DATE(2026+10,5,1),F9&lt;=DATE(2027+10,4,30)),(IF(I9="Vacate",TINew*D9,IF(I9="Market",Retention*TIRenewal*D9+(1-Retention)*TINew*D9,IF(I9="LeaseUp",TINew*D9,IF(I9="Option",TIRenewal*D9,0)))))+(IF(I9="Vacate",LCNew*H9*D9*(1+GrowthMarketRent)^10,IF(I9="Market",Retention*LCRenewal*H9*D9*(1+GrowthMarketRent)^10+(1-Retention)*LCNew*H9*D9*(1+GrowthMarketRent)^10,IF(I9="LeaseUp",LCNew*H9*D9*(1+GrowthMarketRent)^10,IF(I9="Option",LCRenewal*H9*D9*(1+GrowthMarketRent)^10,0))))),0))),0)</f>
        <v/>
      </c>
    </row>
    <row r="10">
      <c r="A10" t="inlineStr">
        <is>
          <t>Carrollton</t>
        </is>
      </c>
      <c r="B10" t="inlineStr">
        <is>
          <t>120</t>
        </is>
      </c>
      <c r="C10" t="inlineStr">
        <is>
          <t>KJLux Auto LLC</t>
        </is>
      </c>
      <c r="D10" s="32" t="n">
        <v>2600</v>
      </c>
      <c r="E10" s="33" t="n">
        <v>45200</v>
      </c>
      <c r="F10" s="33" t="n">
        <v>46631</v>
      </c>
      <c r="G10" s="34" t="n">
        <v>15.4965384615385</v>
      </c>
      <c r="H10" s="16">
        <f>VLOOKUP("Carrollton — "&amp;J10,MLA!$A$5:$L$11,3,FALSE)</f>
        <v/>
      </c>
      <c r="I10" s="11" t="inlineStr">
        <is>
          <t>Market</t>
        </is>
      </c>
      <c r="J10" t="inlineStr">
        <is>
          <t>Shop</t>
        </is>
      </c>
      <c r="K10" t="inlineStr">
        <is>
          <t>Occupied</t>
        </is>
      </c>
      <c r="L10" t="inlineStr">
        <is>
          <t>Shop; Guarantor: Kristopher Johnson / Isaac Wilke</t>
        </is>
      </c>
      <c r="M10" s="20">
        <f>IF(E10="",0,(AnalysisStart-E10)/365.25)</f>
        <v/>
      </c>
      <c r="N10" s="14">
        <f>IFERROR(IF(I10="LeaseUp",H10*D10*(1+GrowthMarketRent)^0*IF(0=0,(12-DowntimeNew)/12,1),IF(F10="",0,IF(F10&gt;=DATE(2027+0,4,30),G10*D10*(1+EscalatorInLease)^(0+M10),IF(F10&lt;DATE(2026+0,5,1),IF(I10="Vacate",H10*D10*(1+GrowthMarketRent)^0*IF(INT((DATE(2026+0,10,31)-F10)/365.25)=0,(12-DowntimeNew)/12,1),IF(I10="Option",G10*D10*1.025*(1+EscalatorInLease)^0,IF(I10="Market",Retention*G10*D10*(1+EscalatorInLease)^(0+M10)+(1-Retention)*H10*D10*(1+GrowthMarketRent)^0*IF(INT((DATE(2026+0,10,31)-F10)/365.25)=0,(12-DowntimeNew)/12,1),IF(I10="LeaseUp",H10*D10*(1+GrowthMarketRent)^0*IF(0=0,(12-DowntimeNew)/12,1),0)))),((F10-DATE(2026+0,5,1))/365.25)*G10*D10*(1+EscalatorInLease)^(0+M10)+((DATE(2027+0,4,30)-F10)/365.25)*IF(I10="Vacate",H10*D10*(1+GrowthMarketRent)^0*IF(INT((DATE(2026+0,10,31)-F10)/365.25)=0,(12-DowntimeNew)/12,1),IF(I10="Option",G10*D10*1.025*(1+EscalatorInLease)^0,IF(I10="Market",Retention*G10*D10*(1+EscalatorInLease)^(0+M10)+(1-Retention)*H10*D10*(1+GrowthMarketRent)^0*IF(INT((DATE(2026+0,10,31)-F10)/365.25)=0,(12-DowntimeNew)/12,1),IF(I10="LeaseUp",H10*D10*(1+GrowthMarketRent)^0*IF(0=0,(12-DowntimeNew)/12,1),0)))))))),0)</f>
        <v/>
      </c>
      <c r="O10" s="14">
        <f>IFERROR(IF(I10="LeaseUp",H10*D10*(1+GrowthMarketRent)^1*IF(1=0,(12-DowntimeNew)/12,1),IF(F10="",0,IF(F10&gt;=DATE(2027+1,4,30),G10*D10*(1+EscalatorInLease)^(1+M10),IF(F10&lt;DATE(2026+1,5,1),IF(I10="Vacate",H10*D10*(1+GrowthMarketRent)^1*IF(INT((DATE(2026+1,10,31)-F10)/365.25)=0,(12-DowntimeNew)/12,1),IF(I10="Option",G10*D10*1.025*(1+EscalatorInLease)^1,IF(I10="Market",Retention*G10*D10*(1+EscalatorInLease)^(1+M10)+(1-Retention)*H10*D10*(1+GrowthMarketRent)^1*IF(INT((DATE(2026+1,10,31)-F10)/365.25)=0,(12-DowntimeNew)/12,1),IF(I10="LeaseUp",H10*D10*(1+GrowthMarketRent)^1*IF(1=0,(12-DowntimeNew)/12,1),0)))),((F10-DATE(2026+1,5,1))/365.25)*G10*D10*(1+EscalatorInLease)^(1+M10)+((DATE(2027+1,4,30)-F10)/365.25)*IF(I10="Vacate",H10*D10*(1+GrowthMarketRent)^1*IF(INT((DATE(2026+1,10,31)-F10)/365.25)=0,(12-DowntimeNew)/12,1),IF(I10="Option",G10*D10*1.025*(1+EscalatorInLease)^1,IF(I10="Market",Retention*G10*D10*(1+EscalatorInLease)^(1+M10)+(1-Retention)*H10*D10*(1+GrowthMarketRent)^1*IF(INT((DATE(2026+1,10,31)-F10)/365.25)=0,(12-DowntimeNew)/12,1),IF(I10="LeaseUp",H10*D10*(1+GrowthMarketRent)^1*IF(1=0,(12-DowntimeNew)/12,1),0)))))))),0)</f>
        <v/>
      </c>
      <c r="P10" s="14">
        <f>IFERROR(IF(I10="LeaseUp",H10*D10*(1+GrowthMarketRent)^2*IF(2=0,(12-DowntimeNew)/12,1),IF(F10="",0,IF(F10&gt;=DATE(2027+2,4,30),G10*D10*(1+EscalatorInLease)^(2+M10),IF(F10&lt;DATE(2026+2,5,1),IF(I10="Vacate",H10*D10*(1+GrowthMarketRent)^2*IF(INT((DATE(2026+2,10,31)-F10)/365.25)=0,(12-DowntimeNew)/12,1),IF(I10="Option",G10*D10*1.025*(1+EscalatorInLease)^2,IF(I10="Market",Retention*G10*D10*(1+EscalatorInLease)^(2+M10)+(1-Retention)*H10*D10*(1+GrowthMarketRent)^2*IF(INT((DATE(2026+2,10,31)-F10)/365.25)=0,(12-DowntimeNew)/12,1),IF(I10="LeaseUp",H10*D10*(1+GrowthMarketRent)^2*IF(2=0,(12-DowntimeNew)/12,1),0)))),((F10-DATE(2026+2,5,1))/365.25)*G10*D10*(1+EscalatorInLease)^(2+M10)+((DATE(2027+2,4,30)-F10)/365.25)*IF(I10="Vacate",H10*D10*(1+GrowthMarketRent)^2*IF(INT((DATE(2026+2,10,31)-F10)/365.25)=0,(12-DowntimeNew)/12,1),IF(I10="Option",G10*D10*1.025*(1+EscalatorInLease)^2,IF(I10="Market",Retention*G10*D10*(1+EscalatorInLease)^(2+M10)+(1-Retention)*H10*D10*(1+GrowthMarketRent)^2*IF(INT((DATE(2026+2,10,31)-F10)/365.25)=0,(12-DowntimeNew)/12,1),IF(I10="LeaseUp",H10*D10*(1+GrowthMarketRent)^2*IF(2=0,(12-DowntimeNew)/12,1),0)))))))),0)</f>
        <v/>
      </c>
      <c r="Q10" s="14">
        <f>IFERROR(IF(I10="LeaseUp",H10*D10*(1+GrowthMarketRent)^3*IF(3=0,(12-DowntimeNew)/12,1),IF(F10="",0,IF(F10&gt;=DATE(2027+3,4,30),G10*D10*(1+EscalatorInLease)^(3+M10),IF(F10&lt;DATE(2026+3,5,1),IF(I10="Vacate",H10*D10*(1+GrowthMarketRent)^3*IF(INT((DATE(2026+3,10,31)-F10)/365.25)=0,(12-DowntimeNew)/12,1),IF(I10="Option",G10*D10*1.025*(1+EscalatorInLease)^3,IF(I10="Market",Retention*G10*D10*(1+EscalatorInLease)^(3+M10)+(1-Retention)*H10*D10*(1+GrowthMarketRent)^3*IF(INT((DATE(2026+3,10,31)-F10)/365.25)=0,(12-DowntimeNew)/12,1),IF(I10="LeaseUp",H10*D10*(1+GrowthMarketRent)^3*IF(3=0,(12-DowntimeNew)/12,1),0)))),((F10-DATE(2026+3,5,1))/365.25)*G10*D10*(1+EscalatorInLease)^(3+M10)+((DATE(2027+3,4,30)-F10)/365.25)*IF(I10="Vacate",H10*D10*(1+GrowthMarketRent)^3*IF(INT((DATE(2026+3,10,31)-F10)/365.25)=0,(12-DowntimeNew)/12,1),IF(I10="Option",G10*D10*1.025*(1+EscalatorInLease)^3,IF(I10="Market",Retention*G10*D10*(1+EscalatorInLease)^(3+M10)+(1-Retention)*H10*D10*(1+GrowthMarketRent)^3*IF(INT((DATE(2026+3,10,31)-F10)/365.25)=0,(12-DowntimeNew)/12,1),IF(I10="LeaseUp",H10*D10*(1+GrowthMarketRent)^3*IF(3=0,(12-DowntimeNew)/12,1),0)))))))),0)</f>
        <v/>
      </c>
      <c r="R10" s="14">
        <f>IFERROR(IF(I10="LeaseUp",H10*D10*(1+GrowthMarketRent)^4*IF(4=0,(12-DowntimeNew)/12,1),IF(F10="",0,IF(F10&gt;=DATE(2027+4,4,30),G10*D10*(1+EscalatorInLease)^(4+M10),IF(F10&lt;DATE(2026+4,5,1),IF(I10="Vacate",H10*D10*(1+GrowthMarketRent)^4*IF(INT((DATE(2026+4,10,31)-F10)/365.25)=0,(12-DowntimeNew)/12,1),IF(I10="Option",G10*D10*1.025*(1+EscalatorInLease)^4,IF(I10="Market",Retention*G10*D10*(1+EscalatorInLease)^(4+M10)+(1-Retention)*H10*D10*(1+GrowthMarketRent)^4*IF(INT((DATE(2026+4,10,31)-F10)/365.25)=0,(12-DowntimeNew)/12,1),IF(I10="LeaseUp",H10*D10*(1+GrowthMarketRent)^4*IF(4=0,(12-DowntimeNew)/12,1),0)))),((F10-DATE(2026+4,5,1))/365.25)*G10*D10*(1+EscalatorInLease)^(4+M10)+((DATE(2027+4,4,30)-F10)/365.25)*IF(I10="Vacate",H10*D10*(1+GrowthMarketRent)^4*IF(INT((DATE(2026+4,10,31)-F10)/365.25)=0,(12-DowntimeNew)/12,1),IF(I10="Option",G10*D10*1.025*(1+EscalatorInLease)^4,IF(I10="Market",Retention*G10*D10*(1+EscalatorInLease)^(4+M10)+(1-Retention)*H10*D10*(1+GrowthMarketRent)^4*IF(INT((DATE(2026+4,10,31)-F10)/365.25)=0,(12-DowntimeNew)/12,1),IF(I10="LeaseUp",H10*D10*(1+GrowthMarketRent)^4*IF(4=0,(12-DowntimeNew)/12,1),0)))))))),0)</f>
        <v/>
      </c>
      <c r="S10" s="14">
        <f>IFERROR(IF(I10="LeaseUp",H10*D10*(1+GrowthMarketRent)^5*IF(5=0,(12-DowntimeNew)/12,1),IF(F10="",0,IF(F10&gt;=DATE(2027+5,4,30),G10*D10*(1+EscalatorInLease)^(5+M10),IF(F10&lt;DATE(2026+5,5,1),IF(I10="Vacate",H10*D10*(1+GrowthMarketRent)^5*IF(INT((DATE(2026+5,10,31)-F10)/365.25)=0,(12-DowntimeNew)/12,1),IF(I10="Option",G10*D10*1.025*(1+EscalatorInLease)^5,IF(I10="Market",Retention*G10*D10*(1+EscalatorInLease)^(5+M10)+(1-Retention)*H10*D10*(1+GrowthMarketRent)^5*IF(INT((DATE(2026+5,10,31)-F10)/365.25)=0,(12-DowntimeNew)/12,1),IF(I10="LeaseUp",H10*D10*(1+GrowthMarketRent)^5*IF(5=0,(12-DowntimeNew)/12,1),0)))),((F10-DATE(2026+5,5,1))/365.25)*G10*D10*(1+EscalatorInLease)^(5+M10)+((DATE(2027+5,4,30)-F10)/365.25)*IF(I10="Vacate",H10*D10*(1+GrowthMarketRent)^5*IF(INT((DATE(2026+5,10,31)-F10)/365.25)=0,(12-DowntimeNew)/12,1),IF(I10="Option",G10*D10*1.025*(1+EscalatorInLease)^5,IF(I10="Market",Retention*G10*D10*(1+EscalatorInLease)^(5+M10)+(1-Retention)*H10*D10*(1+GrowthMarketRent)^5*IF(INT((DATE(2026+5,10,31)-F10)/365.25)=0,(12-DowntimeNew)/12,1),IF(I10="LeaseUp",H10*D10*(1+GrowthMarketRent)^5*IF(5=0,(12-DowntimeNew)/12,1),0)))))))),0)</f>
        <v/>
      </c>
      <c r="T10" s="14">
        <f>IFERROR(IF(I10="LeaseUp",H10*D10*(1+GrowthMarketRent)^6*IF(6=0,(12-DowntimeNew)/12,1),IF(F10="",0,IF(F10&gt;=DATE(2027+6,4,30),G10*D10*(1+EscalatorInLease)^(6+M10),IF(F10&lt;DATE(2026+6,5,1),IF(I10="Vacate",H10*D10*(1+GrowthMarketRent)^6*IF(INT((DATE(2026+6,10,31)-F10)/365.25)=0,(12-DowntimeNew)/12,1),IF(I10="Option",G10*D10*1.025*(1+EscalatorInLease)^6,IF(I10="Market",Retention*G10*D10*(1+EscalatorInLease)^(6+M10)+(1-Retention)*H10*D10*(1+GrowthMarketRent)^6*IF(INT((DATE(2026+6,10,31)-F10)/365.25)=0,(12-DowntimeNew)/12,1),IF(I10="LeaseUp",H10*D10*(1+GrowthMarketRent)^6*IF(6=0,(12-DowntimeNew)/12,1),0)))),((F10-DATE(2026+6,5,1))/365.25)*G10*D10*(1+EscalatorInLease)^(6+M10)+((DATE(2027+6,4,30)-F10)/365.25)*IF(I10="Vacate",H10*D10*(1+GrowthMarketRent)^6*IF(INT((DATE(2026+6,10,31)-F10)/365.25)=0,(12-DowntimeNew)/12,1),IF(I10="Option",G10*D10*1.025*(1+EscalatorInLease)^6,IF(I10="Market",Retention*G10*D10*(1+EscalatorInLease)^(6+M10)+(1-Retention)*H10*D10*(1+GrowthMarketRent)^6*IF(INT((DATE(2026+6,10,31)-F10)/365.25)=0,(12-DowntimeNew)/12,1),IF(I10="LeaseUp",H10*D10*(1+GrowthMarketRent)^6*IF(6=0,(12-DowntimeNew)/12,1),0)))))))),0)</f>
        <v/>
      </c>
      <c r="U10" s="14">
        <f>IFERROR(IF(I10="LeaseUp",H10*D10*(1+GrowthMarketRent)^7*IF(7=0,(12-DowntimeNew)/12,1),IF(F10="",0,IF(F10&gt;=DATE(2027+7,4,30),G10*D10*(1+EscalatorInLease)^(7+M10),IF(F10&lt;DATE(2026+7,5,1),IF(I10="Vacate",H10*D10*(1+GrowthMarketRent)^7*IF(INT((DATE(2026+7,10,31)-F10)/365.25)=0,(12-DowntimeNew)/12,1),IF(I10="Option",G10*D10*1.025*(1+EscalatorInLease)^7,IF(I10="Market",Retention*G10*D10*(1+EscalatorInLease)^(7+M10)+(1-Retention)*H10*D10*(1+GrowthMarketRent)^7*IF(INT((DATE(2026+7,10,31)-F10)/365.25)=0,(12-DowntimeNew)/12,1),IF(I10="LeaseUp",H10*D10*(1+GrowthMarketRent)^7*IF(7=0,(12-DowntimeNew)/12,1),0)))),((F10-DATE(2026+7,5,1))/365.25)*G10*D10*(1+EscalatorInLease)^(7+M10)+((DATE(2027+7,4,30)-F10)/365.25)*IF(I10="Vacate",H10*D10*(1+GrowthMarketRent)^7*IF(INT((DATE(2026+7,10,31)-F10)/365.25)=0,(12-DowntimeNew)/12,1),IF(I10="Option",G10*D10*1.025*(1+EscalatorInLease)^7,IF(I10="Market",Retention*G10*D10*(1+EscalatorInLease)^(7+M10)+(1-Retention)*H10*D10*(1+GrowthMarketRent)^7*IF(INT((DATE(2026+7,10,31)-F10)/365.25)=0,(12-DowntimeNew)/12,1),IF(I10="LeaseUp",H10*D10*(1+GrowthMarketRent)^7*IF(7=0,(12-DowntimeNew)/12,1),0)))))))),0)</f>
        <v/>
      </c>
      <c r="V10" s="14">
        <f>IFERROR(IF(I10="LeaseUp",H10*D10*(1+GrowthMarketRent)^8*IF(8=0,(12-DowntimeNew)/12,1),IF(F10="",0,IF(F10&gt;=DATE(2027+8,4,30),G10*D10*(1+EscalatorInLease)^(8+M10),IF(F10&lt;DATE(2026+8,5,1),IF(I10="Vacate",H10*D10*(1+GrowthMarketRent)^8*IF(INT((DATE(2026+8,10,31)-F10)/365.25)=0,(12-DowntimeNew)/12,1),IF(I10="Option",G10*D10*1.025*(1+EscalatorInLease)^8,IF(I10="Market",Retention*G10*D10*(1+EscalatorInLease)^(8+M10)+(1-Retention)*H10*D10*(1+GrowthMarketRent)^8*IF(INT((DATE(2026+8,10,31)-F10)/365.25)=0,(12-DowntimeNew)/12,1),IF(I10="LeaseUp",H10*D10*(1+GrowthMarketRent)^8*IF(8=0,(12-DowntimeNew)/12,1),0)))),((F10-DATE(2026+8,5,1))/365.25)*G10*D10*(1+EscalatorInLease)^(8+M10)+((DATE(2027+8,4,30)-F10)/365.25)*IF(I10="Vacate",H10*D10*(1+GrowthMarketRent)^8*IF(INT((DATE(2026+8,10,31)-F10)/365.25)=0,(12-DowntimeNew)/12,1),IF(I10="Option",G10*D10*1.025*(1+EscalatorInLease)^8,IF(I10="Market",Retention*G10*D10*(1+EscalatorInLease)^(8+M10)+(1-Retention)*H10*D10*(1+GrowthMarketRent)^8*IF(INT((DATE(2026+8,10,31)-F10)/365.25)=0,(12-DowntimeNew)/12,1),IF(I10="LeaseUp",H10*D10*(1+GrowthMarketRent)^8*IF(8=0,(12-DowntimeNew)/12,1),0)))))))),0)</f>
        <v/>
      </c>
      <c r="W10" s="14">
        <f>IFERROR(IF(I10="LeaseUp",H10*D10*(1+GrowthMarketRent)^9*IF(9=0,(12-DowntimeNew)/12,1),IF(F10="",0,IF(F10&gt;=DATE(2027+9,4,30),G10*D10*(1+EscalatorInLease)^(9+M10),IF(F10&lt;DATE(2026+9,5,1),IF(I10="Vacate",H10*D10*(1+GrowthMarketRent)^9*IF(INT((DATE(2026+9,10,31)-F10)/365.25)=0,(12-DowntimeNew)/12,1),IF(I10="Option",G10*D10*1.025*(1+EscalatorInLease)^9,IF(I10="Market",Retention*G10*D10*(1+EscalatorInLease)^(9+M10)+(1-Retention)*H10*D10*(1+GrowthMarketRent)^9*IF(INT((DATE(2026+9,10,31)-F10)/365.25)=0,(12-DowntimeNew)/12,1),IF(I10="LeaseUp",H10*D10*(1+GrowthMarketRent)^9*IF(9=0,(12-DowntimeNew)/12,1),0)))),((F10-DATE(2026+9,5,1))/365.25)*G10*D10*(1+EscalatorInLease)^(9+M10)+((DATE(2027+9,4,30)-F10)/365.25)*IF(I10="Vacate",H10*D10*(1+GrowthMarketRent)^9*IF(INT((DATE(2026+9,10,31)-F10)/365.25)=0,(12-DowntimeNew)/12,1),IF(I10="Option",G10*D10*1.025*(1+EscalatorInLease)^9,IF(I10="Market",Retention*G10*D10*(1+EscalatorInLease)^(9+M10)+(1-Retention)*H10*D10*(1+GrowthMarketRent)^9*IF(INT((DATE(2026+9,10,31)-F10)/365.25)=0,(12-DowntimeNew)/12,1),IF(I10="LeaseUp",H10*D10*(1+GrowthMarketRent)^9*IF(9=0,(12-DowntimeNew)/12,1),0)))))))),0)</f>
        <v/>
      </c>
      <c r="X10" s="14">
        <f>IFERROR(IF(I10="LeaseUp",H10*D10*(1+GrowthMarketRent)^10*IF(10=0,(12-DowntimeNew)/12,1),IF(F10="",0,IF(F10&gt;=DATE(2027+10,4,30),G10*D10*(1+EscalatorInLease)^(10+M10),IF(F10&lt;DATE(2026+10,5,1),IF(I10="Vacate",H10*D10*(1+GrowthMarketRent)^10*IF(INT((DATE(2026+10,10,31)-F10)/365.25)=0,(12-DowntimeNew)/12,1),IF(I10="Option",G10*D10*1.025*(1+EscalatorInLease)^10,IF(I10="Market",Retention*G10*D10*(1+EscalatorInLease)^(10+M10)+(1-Retention)*H10*D10*(1+GrowthMarketRent)^10*IF(INT((DATE(2026+10,10,31)-F10)/365.25)=0,(12-DowntimeNew)/12,1),IF(I10="LeaseUp",H10*D10*(1+GrowthMarketRent)^10*IF(10=0,(12-DowntimeNew)/12,1),0)))),((F10-DATE(2026+10,5,1))/365.25)*G10*D10*(1+EscalatorInLease)^(10+M10)+((DATE(2027+10,4,30)-F10)/365.25)*IF(I10="Vacate",H10*D10*(1+GrowthMarketRent)^10*IF(INT((DATE(2026+10,10,31)-F10)/365.25)=0,(12-DowntimeNew)/12,1),IF(I10="Option",G10*D10*1.025*(1+EscalatorInLease)^10,IF(I10="Market",Retention*G10*D10*(1+EscalatorInLease)^(10+M10)+(1-Retention)*H10*D10*(1+GrowthMarketRent)^10*IF(INT((DATE(2026+10,10,31)-F10)/365.25)=0,(12-DowntimeNew)/12,1),IF(I10="LeaseUp",H10*D10*(1+GrowthMarketRent)^10*IF(10=0,(12-DowntimeNew)/12,1),0)))))))),0)</f>
        <v/>
      </c>
      <c r="Y10" s="14">
        <f>IFERROR(IF(AND(I10="LeaseUp",0=0),(IF(I10="Vacate",TINew*D10,IF(I10="Market",Retention*TIRenewal*D10+(1-Retention)*TINew*D10,IF(I10="LeaseUp",TINew*D10,IF(I10="Option",TIRenewal*D10,0)))))+(IF(I10="Vacate",LCNew*H10*D10*(1+GrowthMarketRent)^0,IF(I10="Market",Retention*LCRenewal*H10*D10*(1+GrowthMarketRent)^0+(1-Retention)*LCNew*H10*D10*(1+GrowthMarketRent)^0,IF(I10="LeaseUp",LCNew*H10*D10*(1+GrowthMarketRent)^0,IF(I10="Option",LCRenewal*H10*D10*(1+GrowthMarketRent)^0,0))))),IF(F10="",0,IF(AND(F10&gt;=DATE(2026+0,5,1),F10&lt;=DATE(2027+0,4,30)),(IF(I10="Vacate",TINew*D10,IF(I10="Market",Retention*TIRenewal*D10+(1-Retention)*TINew*D10,IF(I10="LeaseUp",TINew*D10,IF(I10="Option",TIRenewal*D10,0)))))+(IF(I10="Vacate",LCNew*H10*D10*(1+GrowthMarketRent)^0,IF(I10="Market",Retention*LCRenewal*H10*D10*(1+GrowthMarketRent)^0+(1-Retention)*LCNew*H10*D10*(1+GrowthMarketRent)^0,IF(I10="LeaseUp",LCNew*H10*D10*(1+GrowthMarketRent)^0,IF(I10="Option",LCRenewal*H10*D10*(1+GrowthMarketRent)^0,0))))),0))),0)</f>
        <v/>
      </c>
      <c r="Z10" s="14">
        <f>IFERROR(IF(AND(I10="LeaseUp",1=0),(IF(I10="Vacate",TINew*D10,IF(I10="Market",Retention*TIRenewal*D10+(1-Retention)*TINew*D10,IF(I10="LeaseUp",TINew*D10,IF(I10="Option",TIRenewal*D10,0)))))+(IF(I10="Vacate",LCNew*H10*D10*(1+GrowthMarketRent)^1,IF(I10="Market",Retention*LCRenewal*H10*D10*(1+GrowthMarketRent)^1+(1-Retention)*LCNew*H10*D10*(1+GrowthMarketRent)^1,IF(I10="LeaseUp",LCNew*H10*D10*(1+GrowthMarketRent)^1,IF(I10="Option",LCRenewal*H10*D10*(1+GrowthMarketRent)^1,0))))),IF(F10="",0,IF(AND(F10&gt;=DATE(2026+1,5,1),F10&lt;=DATE(2027+1,4,30)),(IF(I10="Vacate",TINew*D10,IF(I10="Market",Retention*TIRenewal*D10+(1-Retention)*TINew*D10,IF(I10="LeaseUp",TINew*D10,IF(I10="Option",TIRenewal*D10,0)))))+(IF(I10="Vacate",LCNew*H10*D10*(1+GrowthMarketRent)^1,IF(I10="Market",Retention*LCRenewal*H10*D10*(1+GrowthMarketRent)^1+(1-Retention)*LCNew*H10*D10*(1+GrowthMarketRent)^1,IF(I10="LeaseUp",LCNew*H10*D10*(1+GrowthMarketRent)^1,IF(I10="Option",LCRenewal*H10*D10*(1+GrowthMarketRent)^1,0))))),0))),0)</f>
        <v/>
      </c>
      <c r="AA10" s="14">
        <f>IFERROR(IF(AND(I10="LeaseUp",2=0),(IF(I10="Vacate",TINew*D10,IF(I10="Market",Retention*TIRenewal*D10+(1-Retention)*TINew*D10,IF(I10="LeaseUp",TINew*D10,IF(I10="Option",TIRenewal*D10,0)))))+(IF(I10="Vacate",LCNew*H10*D10*(1+GrowthMarketRent)^2,IF(I10="Market",Retention*LCRenewal*H10*D10*(1+GrowthMarketRent)^2+(1-Retention)*LCNew*H10*D10*(1+GrowthMarketRent)^2,IF(I10="LeaseUp",LCNew*H10*D10*(1+GrowthMarketRent)^2,IF(I10="Option",LCRenewal*H10*D10*(1+GrowthMarketRent)^2,0))))),IF(F10="",0,IF(AND(F10&gt;=DATE(2026+2,5,1),F10&lt;=DATE(2027+2,4,30)),(IF(I10="Vacate",TINew*D10,IF(I10="Market",Retention*TIRenewal*D10+(1-Retention)*TINew*D10,IF(I10="LeaseUp",TINew*D10,IF(I10="Option",TIRenewal*D10,0)))))+(IF(I10="Vacate",LCNew*H10*D10*(1+GrowthMarketRent)^2,IF(I10="Market",Retention*LCRenewal*H10*D10*(1+GrowthMarketRent)^2+(1-Retention)*LCNew*H10*D10*(1+GrowthMarketRent)^2,IF(I10="LeaseUp",LCNew*H10*D10*(1+GrowthMarketRent)^2,IF(I10="Option",LCRenewal*H10*D10*(1+GrowthMarketRent)^2,0))))),0))),0)</f>
        <v/>
      </c>
      <c r="AB10" s="14">
        <f>IFERROR(IF(AND(I10="LeaseUp",3=0),(IF(I10="Vacate",TINew*D10,IF(I10="Market",Retention*TIRenewal*D10+(1-Retention)*TINew*D10,IF(I10="LeaseUp",TINew*D10,IF(I10="Option",TIRenewal*D10,0)))))+(IF(I10="Vacate",LCNew*H10*D10*(1+GrowthMarketRent)^3,IF(I10="Market",Retention*LCRenewal*H10*D10*(1+GrowthMarketRent)^3+(1-Retention)*LCNew*H10*D10*(1+GrowthMarketRent)^3,IF(I10="LeaseUp",LCNew*H10*D10*(1+GrowthMarketRent)^3,IF(I10="Option",LCRenewal*H10*D10*(1+GrowthMarketRent)^3,0))))),IF(F10="",0,IF(AND(F10&gt;=DATE(2026+3,5,1),F10&lt;=DATE(2027+3,4,30)),(IF(I10="Vacate",TINew*D10,IF(I10="Market",Retention*TIRenewal*D10+(1-Retention)*TINew*D10,IF(I10="LeaseUp",TINew*D10,IF(I10="Option",TIRenewal*D10,0)))))+(IF(I10="Vacate",LCNew*H10*D10*(1+GrowthMarketRent)^3,IF(I10="Market",Retention*LCRenewal*H10*D10*(1+GrowthMarketRent)^3+(1-Retention)*LCNew*H10*D10*(1+GrowthMarketRent)^3,IF(I10="LeaseUp",LCNew*H10*D10*(1+GrowthMarketRent)^3,IF(I10="Option",LCRenewal*H10*D10*(1+GrowthMarketRent)^3,0))))),0))),0)</f>
        <v/>
      </c>
      <c r="AC10" s="14">
        <f>IFERROR(IF(AND(I10="LeaseUp",4=0),(IF(I10="Vacate",TINew*D10,IF(I10="Market",Retention*TIRenewal*D10+(1-Retention)*TINew*D10,IF(I10="LeaseUp",TINew*D10,IF(I10="Option",TIRenewal*D10,0)))))+(IF(I10="Vacate",LCNew*H10*D10*(1+GrowthMarketRent)^4,IF(I10="Market",Retention*LCRenewal*H10*D10*(1+GrowthMarketRent)^4+(1-Retention)*LCNew*H10*D10*(1+GrowthMarketRent)^4,IF(I10="LeaseUp",LCNew*H10*D10*(1+GrowthMarketRent)^4,IF(I10="Option",LCRenewal*H10*D10*(1+GrowthMarketRent)^4,0))))),IF(F10="",0,IF(AND(F10&gt;=DATE(2026+4,5,1),F10&lt;=DATE(2027+4,4,30)),(IF(I10="Vacate",TINew*D10,IF(I10="Market",Retention*TIRenewal*D10+(1-Retention)*TINew*D10,IF(I10="LeaseUp",TINew*D10,IF(I10="Option",TIRenewal*D10,0)))))+(IF(I10="Vacate",LCNew*H10*D10*(1+GrowthMarketRent)^4,IF(I10="Market",Retention*LCRenewal*H10*D10*(1+GrowthMarketRent)^4+(1-Retention)*LCNew*H10*D10*(1+GrowthMarketRent)^4,IF(I10="LeaseUp",LCNew*H10*D10*(1+GrowthMarketRent)^4,IF(I10="Option",LCRenewal*H10*D10*(1+GrowthMarketRent)^4,0))))),0))),0)</f>
        <v/>
      </c>
      <c r="AD10" s="14">
        <f>IFERROR(IF(AND(I10="LeaseUp",5=0),(IF(I10="Vacate",TINew*D10,IF(I10="Market",Retention*TIRenewal*D10+(1-Retention)*TINew*D10,IF(I10="LeaseUp",TINew*D10,IF(I10="Option",TIRenewal*D10,0)))))+(IF(I10="Vacate",LCNew*H10*D10*(1+GrowthMarketRent)^5,IF(I10="Market",Retention*LCRenewal*H10*D10*(1+GrowthMarketRent)^5+(1-Retention)*LCNew*H10*D10*(1+GrowthMarketRent)^5,IF(I10="LeaseUp",LCNew*H10*D10*(1+GrowthMarketRent)^5,IF(I10="Option",LCRenewal*H10*D10*(1+GrowthMarketRent)^5,0))))),IF(F10="",0,IF(AND(F10&gt;=DATE(2026+5,5,1),F10&lt;=DATE(2027+5,4,30)),(IF(I10="Vacate",TINew*D10,IF(I10="Market",Retention*TIRenewal*D10+(1-Retention)*TINew*D10,IF(I10="LeaseUp",TINew*D10,IF(I10="Option",TIRenewal*D10,0)))))+(IF(I10="Vacate",LCNew*H10*D10*(1+GrowthMarketRent)^5,IF(I10="Market",Retention*LCRenewal*H10*D10*(1+GrowthMarketRent)^5+(1-Retention)*LCNew*H10*D10*(1+GrowthMarketRent)^5,IF(I10="LeaseUp",LCNew*H10*D10*(1+GrowthMarketRent)^5,IF(I10="Option",LCRenewal*H10*D10*(1+GrowthMarketRent)^5,0))))),0))),0)</f>
        <v/>
      </c>
      <c r="AE10" s="14">
        <f>IFERROR(IF(AND(I10="LeaseUp",6=0),(IF(I10="Vacate",TINew*D10,IF(I10="Market",Retention*TIRenewal*D10+(1-Retention)*TINew*D10,IF(I10="LeaseUp",TINew*D10,IF(I10="Option",TIRenewal*D10,0)))))+(IF(I10="Vacate",LCNew*H10*D10*(1+GrowthMarketRent)^6,IF(I10="Market",Retention*LCRenewal*H10*D10*(1+GrowthMarketRent)^6+(1-Retention)*LCNew*H10*D10*(1+GrowthMarketRent)^6,IF(I10="LeaseUp",LCNew*H10*D10*(1+GrowthMarketRent)^6,IF(I10="Option",LCRenewal*H10*D10*(1+GrowthMarketRent)^6,0))))),IF(F10="",0,IF(AND(F10&gt;=DATE(2026+6,5,1),F10&lt;=DATE(2027+6,4,30)),(IF(I10="Vacate",TINew*D10,IF(I10="Market",Retention*TIRenewal*D10+(1-Retention)*TINew*D10,IF(I10="LeaseUp",TINew*D10,IF(I10="Option",TIRenewal*D10,0)))))+(IF(I10="Vacate",LCNew*H10*D10*(1+GrowthMarketRent)^6,IF(I10="Market",Retention*LCRenewal*H10*D10*(1+GrowthMarketRent)^6+(1-Retention)*LCNew*H10*D10*(1+GrowthMarketRent)^6,IF(I10="LeaseUp",LCNew*H10*D10*(1+GrowthMarketRent)^6,IF(I10="Option",LCRenewal*H10*D10*(1+GrowthMarketRent)^6,0))))),0))),0)</f>
        <v/>
      </c>
      <c r="AF10" s="14">
        <f>IFERROR(IF(AND(I10="LeaseUp",7=0),(IF(I10="Vacate",TINew*D10,IF(I10="Market",Retention*TIRenewal*D10+(1-Retention)*TINew*D10,IF(I10="LeaseUp",TINew*D10,IF(I10="Option",TIRenewal*D10,0)))))+(IF(I10="Vacate",LCNew*H10*D10*(1+GrowthMarketRent)^7,IF(I10="Market",Retention*LCRenewal*H10*D10*(1+GrowthMarketRent)^7+(1-Retention)*LCNew*H10*D10*(1+GrowthMarketRent)^7,IF(I10="LeaseUp",LCNew*H10*D10*(1+GrowthMarketRent)^7,IF(I10="Option",LCRenewal*H10*D10*(1+GrowthMarketRent)^7,0))))),IF(F10="",0,IF(AND(F10&gt;=DATE(2026+7,5,1),F10&lt;=DATE(2027+7,4,30)),(IF(I10="Vacate",TINew*D10,IF(I10="Market",Retention*TIRenewal*D10+(1-Retention)*TINew*D10,IF(I10="LeaseUp",TINew*D10,IF(I10="Option",TIRenewal*D10,0)))))+(IF(I10="Vacate",LCNew*H10*D10*(1+GrowthMarketRent)^7,IF(I10="Market",Retention*LCRenewal*H10*D10*(1+GrowthMarketRent)^7+(1-Retention)*LCNew*H10*D10*(1+GrowthMarketRent)^7,IF(I10="LeaseUp",LCNew*H10*D10*(1+GrowthMarketRent)^7,IF(I10="Option",LCRenewal*H10*D10*(1+GrowthMarketRent)^7,0))))),0))),0)</f>
        <v/>
      </c>
      <c r="AG10" s="14">
        <f>IFERROR(IF(AND(I10="LeaseUp",8=0),(IF(I10="Vacate",TINew*D10,IF(I10="Market",Retention*TIRenewal*D10+(1-Retention)*TINew*D10,IF(I10="LeaseUp",TINew*D10,IF(I10="Option",TIRenewal*D10,0)))))+(IF(I10="Vacate",LCNew*H10*D10*(1+GrowthMarketRent)^8,IF(I10="Market",Retention*LCRenewal*H10*D10*(1+GrowthMarketRent)^8+(1-Retention)*LCNew*H10*D10*(1+GrowthMarketRent)^8,IF(I10="LeaseUp",LCNew*H10*D10*(1+GrowthMarketRent)^8,IF(I10="Option",LCRenewal*H10*D10*(1+GrowthMarketRent)^8,0))))),IF(F10="",0,IF(AND(F10&gt;=DATE(2026+8,5,1),F10&lt;=DATE(2027+8,4,30)),(IF(I10="Vacate",TINew*D10,IF(I10="Market",Retention*TIRenewal*D10+(1-Retention)*TINew*D10,IF(I10="LeaseUp",TINew*D10,IF(I10="Option",TIRenewal*D10,0)))))+(IF(I10="Vacate",LCNew*H10*D10*(1+GrowthMarketRent)^8,IF(I10="Market",Retention*LCRenewal*H10*D10*(1+GrowthMarketRent)^8+(1-Retention)*LCNew*H10*D10*(1+GrowthMarketRent)^8,IF(I10="LeaseUp",LCNew*H10*D10*(1+GrowthMarketRent)^8,IF(I10="Option",LCRenewal*H10*D10*(1+GrowthMarketRent)^8,0))))),0))),0)</f>
        <v/>
      </c>
      <c r="AH10" s="14">
        <f>IFERROR(IF(AND(I10="LeaseUp",9=0),(IF(I10="Vacate",TINew*D10,IF(I10="Market",Retention*TIRenewal*D10+(1-Retention)*TINew*D10,IF(I10="LeaseUp",TINew*D10,IF(I10="Option",TIRenewal*D10,0)))))+(IF(I10="Vacate",LCNew*H10*D10*(1+GrowthMarketRent)^9,IF(I10="Market",Retention*LCRenewal*H10*D10*(1+GrowthMarketRent)^9+(1-Retention)*LCNew*H10*D10*(1+GrowthMarketRent)^9,IF(I10="LeaseUp",LCNew*H10*D10*(1+GrowthMarketRent)^9,IF(I10="Option",LCRenewal*H10*D10*(1+GrowthMarketRent)^9,0))))),IF(F10="",0,IF(AND(F10&gt;=DATE(2026+9,5,1),F10&lt;=DATE(2027+9,4,30)),(IF(I10="Vacate",TINew*D10,IF(I10="Market",Retention*TIRenewal*D10+(1-Retention)*TINew*D10,IF(I10="LeaseUp",TINew*D10,IF(I10="Option",TIRenewal*D10,0)))))+(IF(I10="Vacate",LCNew*H10*D10*(1+GrowthMarketRent)^9,IF(I10="Market",Retention*LCRenewal*H10*D10*(1+GrowthMarketRent)^9+(1-Retention)*LCNew*H10*D10*(1+GrowthMarketRent)^9,IF(I10="LeaseUp",LCNew*H10*D10*(1+GrowthMarketRent)^9,IF(I10="Option",LCRenewal*H10*D10*(1+GrowthMarketRent)^9,0))))),0))),0)</f>
        <v/>
      </c>
      <c r="AI10" s="14">
        <f>IFERROR(IF(AND(I10="LeaseUp",10=0),(IF(I10="Vacate",TINew*D10,IF(I10="Market",Retention*TIRenewal*D10+(1-Retention)*TINew*D10,IF(I10="LeaseUp",TINew*D10,IF(I10="Option",TIRenewal*D10,0)))))+(IF(I10="Vacate",LCNew*H10*D10*(1+GrowthMarketRent)^10,IF(I10="Market",Retention*LCRenewal*H10*D10*(1+GrowthMarketRent)^10+(1-Retention)*LCNew*H10*D10*(1+GrowthMarketRent)^10,IF(I10="LeaseUp",LCNew*H10*D10*(1+GrowthMarketRent)^10,IF(I10="Option",LCRenewal*H10*D10*(1+GrowthMarketRent)^10,0))))),IF(F10="",0,IF(AND(F10&gt;=DATE(2026+10,5,1),F10&lt;=DATE(2027+10,4,30)),(IF(I10="Vacate",TINew*D10,IF(I10="Market",Retention*TIRenewal*D10+(1-Retention)*TINew*D10,IF(I10="LeaseUp",TINew*D10,IF(I10="Option",TIRenewal*D10,0)))))+(IF(I10="Vacate",LCNew*H10*D10*(1+GrowthMarketRent)^10,IF(I10="Market",Retention*LCRenewal*H10*D10*(1+GrowthMarketRent)^10+(1-Retention)*LCNew*H10*D10*(1+GrowthMarketRent)^10,IF(I10="LeaseUp",LCNew*H10*D10*(1+GrowthMarketRent)^10,IF(I10="Option",LCRenewal*H10*D10*(1+GrowthMarketRent)^10,0))))),0))),0)</f>
        <v/>
      </c>
    </row>
    <row r="11">
      <c r="A11" t="inlineStr">
        <is>
          <t>Carrollton</t>
        </is>
      </c>
      <c r="B11" t="inlineStr">
        <is>
          <t>124</t>
        </is>
      </c>
      <c r="C11" t="inlineStr">
        <is>
          <t>CervComm Technology Group LLC</t>
        </is>
      </c>
      <c r="D11" s="32" t="n">
        <v>2600</v>
      </c>
      <c r="E11" s="33" t="n">
        <v>45200</v>
      </c>
      <c r="F11" s="33" t="n">
        <v>46631</v>
      </c>
      <c r="G11" s="34" t="n">
        <v>15.4965384615385</v>
      </c>
      <c r="H11" s="16">
        <f>VLOOKUP("Carrollton — "&amp;J11,MLA!$A$5:$L$11,3,FALSE)</f>
        <v/>
      </c>
      <c r="I11" s="11" t="inlineStr">
        <is>
          <t>Market</t>
        </is>
      </c>
      <c r="J11" t="inlineStr">
        <is>
          <t>Shop</t>
        </is>
      </c>
      <c r="K11" t="inlineStr">
        <is>
          <t>Occupied</t>
        </is>
      </c>
      <c r="L11" t="inlineStr">
        <is>
          <t>Shop; Guarantor: Jacob/Christine Cervantes</t>
        </is>
      </c>
      <c r="M11" s="20">
        <f>IF(E11="",0,(AnalysisStart-E11)/365.25)</f>
        <v/>
      </c>
      <c r="N11" s="14">
        <f>IFERROR(IF(I11="LeaseUp",H11*D11*(1+GrowthMarketRent)^0*IF(0=0,(12-DowntimeNew)/12,1),IF(F11="",0,IF(F11&gt;=DATE(2027+0,4,30),G11*D11*(1+EscalatorInLease)^(0+M11),IF(F11&lt;DATE(2026+0,5,1),IF(I11="Vacate",H11*D11*(1+GrowthMarketRent)^0*IF(INT((DATE(2026+0,10,31)-F11)/365.25)=0,(12-DowntimeNew)/12,1),IF(I11="Option",G11*D11*1.025*(1+EscalatorInLease)^0,IF(I11="Market",Retention*G11*D11*(1+EscalatorInLease)^(0+M11)+(1-Retention)*H11*D11*(1+GrowthMarketRent)^0*IF(INT((DATE(2026+0,10,31)-F11)/365.25)=0,(12-DowntimeNew)/12,1),IF(I11="LeaseUp",H11*D11*(1+GrowthMarketRent)^0*IF(0=0,(12-DowntimeNew)/12,1),0)))),((F11-DATE(2026+0,5,1))/365.25)*G11*D11*(1+EscalatorInLease)^(0+M11)+((DATE(2027+0,4,30)-F11)/365.25)*IF(I11="Vacate",H11*D11*(1+GrowthMarketRent)^0*IF(INT((DATE(2026+0,10,31)-F11)/365.25)=0,(12-DowntimeNew)/12,1),IF(I11="Option",G11*D11*1.025*(1+EscalatorInLease)^0,IF(I11="Market",Retention*G11*D11*(1+EscalatorInLease)^(0+M11)+(1-Retention)*H11*D11*(1+GrowthMarketRent)^0*IF(INT((DATE(2026+0,10,31)-F11)/365.25)=0,(12-DowntimeNew)/12,1),IF(I11="LeaseUp",H11*D11*(1+GrowthMarketRent)^0*IF(0=0,(12-DowntimeNew)/12,1),0)))))))),0)</f>
        <v/>
      </c>
      <c r="O11" s="14">
        <f>IFERROR(IF(I11="LeaseUp",H11*D11*(1+GrowthMarketRent)^1*IF(1=0,(12-DowntimeNew)/12,1),IF(F11="",0,IF(F11&gt;=DATE(2027+1,4,30),G11*D11*(1+EscalatorInLease)^(1+M11),IF(F11&lt;DATE(2026+1,5,1),IF(I11="Vacate",H11*D11*(1+GrowthMarketRent)^1*IF(INT((DATE(2026+1,10,31)-F11)/365.25)=0,(12-DowntimeNew)/12,1),IF(I11="Option",G11*D11*1.025*(1+EscalatorInLease)^1,IF(I11="Market",Retention*G11*D11*(1+EscalatorInLease)^(1+M11)+(1-Retention)*H11*D11*(1+GrowthMarketRent)^1*IF(INT((DATE(2026+1,10,31)-F11)/365.25)=0,(12-DowntimeNew)/12,1),IF(I11="LeaseUp",H11*D11*(1+GrowthMarketRent)^1*IF(1=0,(12-DowntimeNew)/12,1),0)))),((F11-DATE(2026+1,5,1))/365.25)*G11*D11*(1+EscalatorInLease)^(1+M11)+((DATE(2027+1,4,30)-F11)/365.25)*IF(I11="Vacate",H11*D11*(1+GrowthMarketRent)^1*IF(INT((DATE(2026+1,10,31)-F11)/365.25)=0,(12-DowntimeNew)/12,1),IF(I11="Option",G11*D11*1.025*(1+EscalatorInLease)^1,IF(I11="Market",Retention*G11*D11*(1+EscalatorInLease)^(1+M11)+(1-Retention)*H11*D11*(1+GrowthMarketRent)^1*IF(INT((DATE(2026+1,10,31)-F11)/365.25)=0,(12-DowntimeNew)/12,1),IF(I11="LeaseUp",H11*D11*(1+GrowthMarketRent)^1*IF(1=0,(12-DowntimeNew)/12,1),0)))))))),0)</f>
        <v/>
      </c>
      <c r="P11" s="14">
        <f>IFERROR(IF(I11="LeaseUp",H11*D11*(1+GrowthMarketRent)^2*IF(2=0,(12-DowntimeNew)/12,1),IF(F11="",0,IF(F11&gt;=DATE(2027+2,4,30),G11*D11*(1+EscalatorInLease)^(2+M11),IF(F11&lt;DATE(2026+2,5,1),IF(I11="Vacate",H11*D11*(1+GrowthMarketRent)^2*IF(INT((DATE(2026+2,10,31)-F11)/365.25)=0,(12-DowntimeNew)/12,1),IF(I11="Option",G11*D11*1.025*(1+EscalatorInLease)^2,IF(I11="Market",Retention*G11*D11*(1+EscalatorInLease)^(2+M11)+(1-Retention)*H11*D11*(1+GrowthMarketRent)^2*IF(INT((DATE(2026+2,10,31)-F11)/365.25)=0,(12-DowntimeNew)/12,1),IF(I11="LeaseUp",H11*D11*(1+GrowthMarketRent)^2*IF(2=0,(12-DowntimeNew)/12,1),0)))),((F11-DATE(2026+2,5,1))/365.25)*G11*D11*(1+EscalatorInLease)^(2+M11)+((DATE(2027+2,4,30)-F11)/365.25)*IF(I11="Vacate",H11*D11*(1+GrowthMarketRent)^2*IF(INT((DATE(2026+2,10,31)-F11)/365.25)=0,(12-DowntimeNew)/12,1),IF(I11="Option",G11*D11*1.025*(1+EscalatorInLease)^2,IF(I11="Market",Retention*G11*D11*(1+EscalatorInLease)^(2+M11)+(1-Retention)*H11*D11*(1+GrowthMarketRent)^2*IF(INT((DATE(2026+2,10,31)-F11)/365.25)=0,(12-DowntimeNew)/12,1),IF(I11="LeaseUp",H11*D11*(1+GrowthMarketRent)^2*IF(2=0,(12-DowntimeNew)/12,1),0)))))))),0)</f>
        <v/>
      </c>
      <c r="Q11" s="14">
        <f>IFERROR(IF(I11="LeaseUp",H11*D11*(1+GrowthMarketRent)^3*IF(3=0,(12-DowntimeNew)/12,1),IF(F11="",0,IF(F11&gt;=DATE(2027+3,4,30),G11*D11*(1+EscalatorInLease)^(3+M11),IF(F11&lt;DATE(2026+3,5,1),IF(I11="Vacate",H11*D11*(1+GrowthMarketRent)^3*IF(INT((DATE(2026+3,10,31)-F11)/365.25)=0,(12-DowntimeNew)/12,1),IF(I11="Option",G11*D11*1.025*(1+EscalatorInLease)^3,IF(I11="Market",Retention*G11*D11*(1+EscalatorInLease)^(3+M11)+(1-Retention)*H11*D11*(1+GrowthMarketRent)^3*IF(INT((DATE(2026+3,10,31)-F11)/365.25)=0,(12-DowntimeNew)/12,1),IF(I11="LeaseUp",H11*D11*(1+GrowthMarketRent)^3*IF(3=0,(12-DowntimeNew)/12,1),0)))),((F11-DATE(2026+3,5,1))/365.25)*G11*D11*(1+EscalatorInLease)^(3+M11)+((DATE(2027+3,4,30)-F11)/365.25)*IF(I11="Vacate",H11*D11*(1+GrowthMarketRent)^3*IF(INT((DATE(2026+3,10,31)-F11)/365.25)=0,(12-DowntimeNew)/12,1),IF(I11="Option",G11*D11*1.025*(1+EscalatorInLease)^3,IF(I11="Market",Retention*G11*D11*(1+EscalatorInLease)^(3+M11)+(1-Retention)*H11*D11*(1+GrowthMarketRent)^3*IF(INT((DATE(2026+3,10,31)-F11)/365.25)=0,(12-DowntimeNew)/12,1),IF(I11="LeaseUp",H11*D11*(1+GrowthMarketRent)^3*IF(3=0,(12-DowntimeNew)/12,1),0)))))))),0)</f>
        <v/>
      </c>
      <c r="R11" s="14">
        <f>IFERROR(IF(I11="LeaseUp",H11*D11*(1+GrowthMarketRent)^4*IF(4=0,(12-DowntimeNew)/12,1),IF(F11="",0,IF(F11&gt;=DATE(2027+4,4,30),G11*D11*(1+EscalatorInLease)^(4+M11),IF(F11&lt;DATE(2026+4,5,1),IF(I11="Vacate",H11*D11*(1+GrowthMarketRent)^4*IF(INT((DATE(2026+4,10,31)-F11)/365.25)=0,(12-DowntimeNew)/12,1),IF(I11="Option",G11*D11*1.025*(1+EscalatorInLease)^4,IF(I11="Market",Retention*G11*D11*(1+EscalatorInLease)^(4+M11)+(1-Retention)*H11*D11*(1+GrowthMarketRent)^4*IF(INT((DATE(2026+4,10,31)-F11)/365.25)=0,(12-DowntimeNew)/12,1),IF(I11="LeaseUp",H11*D11*(1+GrowthMarketRent)^4*IF(4=0,(12-DowntimeNew)/12,1),0)))),((F11-DATE(2026+4,5,1))/365.25)*G11*D11*(1+EscalatorInLease)^(4+M11)+((DATE(2027+4,4,30)-F11)/365.25)*IF(I11="Vacate",H11*D11*(1+GrowthMarketRent)^4*IF(INT((DATE(2026+4,10,31)-F11)/365.25)=0,(12-DowntimeNew)/12,1),IF(I11="Option",G11*D11*1.025*(1+EscalatorInLease)^4,IF(I11="Market",Retention*G11*D11*(1+EscalatorInLease)^(4+M11)+(1-Retention)*H11*D11*(1+GrowthMarketRent)^4*IF(INT((DATE(2026+4,10,31)-F11)/365.25)=0,(12-DowntimeNew)/12,1),IF(I11="LeaseUp",H11*D11*(1+GrowthMarketRent)^4*IF(4=0,(12-DowntimeNew)/12,1),0)))))))),0)</f>
        <v/>
      </c>
      <c r="S11" s="14">
        <f>IFERROR(IF(I11="LeaseUp",H11*D11*(1+GrowthMarketRent)^5*IF(5=0,(12-DowntimeNew)/12,1),IF(F11="",0,IF(F11&gt;=DATE(2027+5,4,30),G11*D11*(1+EscalatorInLease)^(5+M11),IF(F11&lt;DATE(2026+5,5,1),IF(I11="Vacate",H11*D11*(1+GrowthMarketRent)^5*IF(INT((DATE(2026+5,10,31)-F11)/365.25)=0,(12-DowntimeNew)/12,1),IF(I11="Option",G11*D11*1.025*(1+EscalatorInLease)^5,IF(I11="Market",Retention*G11*D11*(1+EscalatorInLease)^(5+M11)+(1-Retention)*H11*D11*(1+GrowthMarketRent)^5*IF(INT((DATE(2026+5,10,31)-F11)/365.25)=0,(12-DowntimeNew)/12,1),IF(I11="LeaseUp",H11*D11*(1+GrowthMarketRent)^5*IF(5=0,(12-DowntimeNew)/12,1),0)))),((F11-DATE(2026+5,5,1))/365.25)*G11*D11*(1+EscalatorInLease)^(5+M11)+((DATE(2027+5,4,30)-F11)/365.25)*IF(I11="Vacate",H11*D11*(1+GrowthMarketRent)^5*IF(INT((DATE(2026+5,10,31)-F11)/365.25)=0,(12-DowntimeNew)/12,1),IF(I11="Option",G11*D11*1.025*(1+EscalatorInLease)^5,IF(I11="Market",Retention*G11*D11*(1+EscalatorInLease)^(5+M11)+(1-Retention)*H11*D11*(1+GrowthMarketRent)^5*IF(INT((DATE(2026+5,10,31)-F11)/365.25)=0,(12-DowntimeNew)/12,1),IF(I11="LeaseUp",H11*D11*(1+GrowthMarketRent)^5*IF(5=0,(12-DowntimeNew)/12,1),0)))))))),0)</f>
        <v/>
      </c>
      <c r="T11" s="14">
        <f>IFERROR(IF(I11="LeaseUp",H11*D11*(1+GrowthMarketRent)^6*IF(6=0,(12-DowntimeNew)/12,1),IF(F11="",0,IF(F11&gt;=DATE(2027+6,4,30),G11*D11*(1+EscalatorInLease)^(6+M11),IF(F11&lt;DATE(2026+6,5,1),IF(I11="Vacate",H11*D11*(1+GrowthMarketRent)^6*IF(INT((DATE(2026+6,10,31)-F11)/365.25)=0,(12-DowntimeNew)/12,1),IF(I11="Option",G11*D11*1.025*(1+EscalatorInLease)^6,IF(I11="Market",Retention*G11*D11*(1+EscalatorInLease)^(6+M11)+(1-Retention)*H11*D11*(1+GrowthMarketRent)^6*IF(INT((DATE(2026+6,10,31)-F11)/365.25)=0,(12-DowntimeNew)/12,1),IF(I11="LeaseUp",H11*D11*(1+GrowthMarketRent)^6*IF(6=0,(12-DowntimeNew)/12,1),0)))),((F11-DATE(2026+6,5,1))/365.25)*G11*D11*(1+EscalatorInLease)^(6+M11)+((DATE(2027+6,4,30)-F11)/365.25)*IF(I11="Vacate",H11*D11*(1+GrowthMarketRent)^6*IF(INT((DATE(2026+6,10,31)-F11)/365.25)=0,(12-DowntimeNew)/12,1),IF(I11="Option",G11*D11*1.025*(1+EscalatorInLease)^6,IF(I11="Market",Retention*G11*D11*(1+EscalatorInLease)^(6+M11)+(1-Retention)*H11*D11*(1+GrowthMarketRent)^6*IF(INT((DATE(2026+6,10,31)-F11)/365.25)=0,(12-DowntimeNew)/12,1),IF(I11="LeaseUp",H11*D11*(1+GrowthMarketRent)^6*IF(6=0,(12-DowntimeNew)/12,1),0)))))))),0)</f>
        <v/>
      </c>
      <c r="U11" s="14">
        <f>IFERROR(IF(I11="LeaseUp",H11*D11*(1+GrowthMarketRent)^7*IF(7=0,(12-DowntimeNew)/12,1),IF(F11="",0,IF(F11&gt;=DATE(2027+7,4,30),G11*D11*(1+EscalatorInLease)^(7+M11),IF(F11&lt;DATE(2026+7,5,1),IF(I11="Vacate",H11*D11*(1+GrowthMarketRent)^7*IF(INT((DATE(2026+7,10,31)-F11)/365.25)=0,(12-DowntimeNew)/12,1),IF(I11="Option",G11*D11*1.025*(1+EscalatorInLease)^7,IF(I11="Market",Retention*G11*D11*(1+EscalatorInLease)^(7+M11)+(1-Retention)*H11*D11*(1+GrowthMarketRent)^7*IF(INT((DATE(2026+7,10,31)-F11)/365.25)=0,(12-DowntimeNew)/12,1),IF(I11="LeaseUp",H11*D11*(1+GrowthMarketRent)^7*IF(7=0,(12-DowntimeNew)/12,1),0)))),((F11-DATE(2026+7,5,1))/365.25)*G11*D11*(1+EscalatorInLease)^(7+M11)+((DATE(2027+7,4,30)-F11)/365.25)*IF(I11="Vacate",H11*D11*(1+GrowthMarketRent)^7*IF(INT((DATE(2026+7,10,31)-F11)/365.25)=0,(12-DowntimeNew)/12,1),IF(I11="Option",G11*D11*1.025*(1+EscalatorInLease)^7,IF(I11="Market",Retention*G11*D11*(1+EscalatorInLease)^(7+M11)+(1-Retention)*H11*D11*(1+GrowthMarketRent)^7*IF(INT((DATE(2026+7,10,31)-F11)/365.25)=0,(12-DowntimeNew)/12,1),IF(I11="LeaseUp",H11*D11*(1+GrowthMarketRent)^7*IF(7=0,(12-DowntimeNew)/12,1),0)))))))),0)</f>
        <v/>
      </c>
      <c r="V11" s="14">
        <f>IFERROR(IF(I11="LeaseUp",H11*D11*(1+GrowthMarketRent)^8*IF(8=0,(12-DowntimeNew)/12,1),IF(F11="",0,IF(F11&gt;=DATE(2027+8,4,30),G11*D11*(1+EscalatorInLease)^(8+M11),IF(F11&lt;DATE(2026+8,5,1),IF(I11="Vacate",H11*D11*(1+GrowthMarketRent)^8*IF(INT((DATE(2026+8,10,31)-F11)/365.25)=0,(12-DowntimeNew)/12,1),IF(I11="Option",G11*D11*1.025*(1+EscalatorInLease)^8,IF(I11="Market",Retention*G11*D11*(1+EscalatorInLease)^(8+M11)+(1-Retention)*H11*D11*(1+GrowthMarketRent)^8*IF(INT((DATE(2026+8,10,31)-F11)/365.25)=0,(12-DowntimeNew)/12,1),IF(I11="LeaseUp",H11*D11*(1+GrowthMarketRent)^8*IF(8=0,(12-DowntimeNew)/12,1),0)))),((F11-DATE(2026+8,5,1))/365.25)*G11*D11*(1+EscalatorInLease)^(8+M11)+((DATE(2027+8,4,30)-F11)/365.25)*IF(I11="Vacate",H11*D11*(1+GrowthMarketRent)^8*IF(INT((DATE(2026+8,10,31)-F11)/365.25)=0,(12-DowntimeNew)/12,1),IF(I11="Option",G11*D11*1.025*(1+EscalatorInLease)^8,IF(I11="Market",Retention*G11*D11*(1+EscalatorInLease)^(8+M11)+(1-Retention)*H11*D11*(1+GrowthMarketRent)^8*IF(INT((DATE(2026+8,10,31)-F11)/365.25)=0,(12-DowntimeNew)/12,1),IF(I11="LeaseUp",H11*D11*(1+GrowthMarketRent)^8*IF(8=0,(12-DowntimeNew)/12,1),0)))))))),0)</f>
        <v/>
      </c>
      <c r="W11" s="14">
        <f>IFERROR(IF(I11="LeaseUp",H11*D11*(1+GrowthMarketRent)^9*IF(9=0,(12-DowntimeNew)/12,1),IF(F11="",0,IF(F11&gt;=DATE(2027+9,4,30),G11*D11*(1+EscalatorInLease)^(9+M11),IF(F11&lt;DATE(2026+9,5,1),IF(I11="Vacate",H11*D11*(1+GrowthMarketRent)^9*IF(INT((DATE(2026+9,10,31)-F11)/365.25)=0,(12-DowntimeNew)/12,1),IF(I11="Option",G11*D11*1.025*(1+EscalatorInLease)^9,IF(I11="Market",Retention*G11*D11*(1+EscalatorInLease)^(9+M11)+(1-Retention)*H11*D11*(1+GrowthMarketRent)^9*IF(INT((DATE(2026+9,10,31)-F11)/365.25)=0,(12-DowntimeNew)/12,1),IF(I11="LeaseUp",H11*D11*(1+GrowthMarketRent)^9*IF(9=0,(12-DowntimeNew)/12,1),0)))),((F11-DATE(2026+9,5,1))/365.25)*G11*D11*(1+EscalatorInLease)^(9+M11)+((DATE(2027+9,4,30)-F11)/365.25)*IF(I11="Vacate",H11*D11*(1+GrowthMarketRent)^9*IF(INT((DATE(2026+9,10,31)-F11)/365.25)=0,(12-DowntimeNew)/12,1),IF(I11="Option",G11*D11*1.025*(1+EscalatorInLease)^9,IF(I11="Market",Retention*G11*D11*(1+EscalatorInLease)^(9+M11)+(1-Retention)*H11*D11*(1+GrowthMarketRent)^9*IF(INT((DATE(2026+9,10,31)-F11)/365.25)=0,(12-DowntimeNew)/12,1),IF(I11="LeaseUp",H11*D11*(1+GrowthMarketRent)^9*IF(9=0,(12-DowntimeNew)/12,1),0)))))))),0)</f>
        <v/>
      </c>
      <c r="X11" s="14">
        <f>IFERROR(IF(I11="LeaseUp",H11*D11*(1+GrowthMarketRent)^10*IF(10=0,(12-DowntimeNew)/12,1),IF(F11="",0,IF(F11&gt;=DATE(2027+10,4,30),G11*D11*(1+EscalatorInLease)^(10+M11),IF(F11&lt;DATE(2026+10,5,1),IF(I11="Vacate",H11*D11*(1+GrowthMarketRent)^10*IF(INT((DATE(2026+10,10,31)-F11)/365.25)=0,(12-DowntimeNew)/12,1),IF(I11="Option",G11*D11*1.025*(1+EscalatorInLease)^10,IF(I11="Market",Retention*G11*D11*(1+EscalatorInLease)^(10+M11)+(1-Retention)*H11*D11*(1+GrowthMarketRent)^10*IF(INT((DATE(2026+10,10,31)-F11)/365.25)=0,(12-DowntimeNew)/12,1),IF(I11="LeaseUp",H11*D11*(1+GrowthMarketRent)^10*IF(10=0,(12-DowntimeNew)/12,1),0)))),((F11-DATE(2026+10,5,1))/365.25)*G11*D11*(1+EscalatorInLease)^(10+M11)+((DATE(2027+10,4,30)-F11)/365.25)*IF(I11="Vacate",H11*D11*(1+GrowthMarketRent)^10*IF(INT((DATE(2026+10,10,31)-F11)/365.25)=0,(12-DowntimeNew)/12,1),IF(I11="Option",G11*D11*1.025*(1+EscalatorInLease)^10,IF(I11="Market",Retention*G11*D11*(1+EscalatorInLease)^(10+M11)+(1-Retention)*H11*D11*(1+GrowthMarketRent)^10*IF(INT((DATE(2026+10,10,31)-F11)/365.25)=0,(12-DowntimeNew)/12,1),IF(I11="LeaseUp",H11*D11*(1+GrowthMarketRent)^10*IF(10=0,(12-DowntimeNew)/12,1),0)))))))),0)</f>
        <v/>
      </c>
      <c r="Y11" s="14">
        <f>IFERROR(IF(AND(I11="LeaseUp",0=0),(IF(I11="Vacate",TINew*D11,IF(I11="Market",Retention*TIRenewal*D11+(1-Retention)*TINew*D11,IF(I11="LeaseUp",TINew*D11,IF(I11="Option",TIRenewal*D11,0)))))+(IF(I11="Vacate",LCNew*H11*D11*(1+GrowthMarketRent)^0,IF(I11="Market",Retention*LCRenewal*H11*D11*(1+GrowthMarketRent)^0+(1-Retention)*LCNew*H11*D11*(1+GrowthMarketRent)^0,IF(I11="LeaseUp",LCNew*H11*D11*(1+GrowthMarketRent)^0,IF(I11="Option",LCRenewal*H11*D11*(1+GrowthMarketRent)^0,0))))),IF(F11="",0,IF(AND(F11&gt;=DATE(2026+0,5,1),F11&lt;=DATE(2027+0,4,30)),(IF(I11="Vacate",TINew*D11,IF(I11="Market",Retention*TIRenewal*D11+(1-Retention)*TINew*D11,IF(I11="LeaseUp",TINew*D11,IF(I11="Option",TIRenewal*D11,0)))))+(IF(I11="Vacate",LCNew*H11*D11*(1+GrowthMarketRent)^0,IF(I11="Market",Retention*LCRenewal*H11*D11*(1+GrowthMarketRent)^0+(1-Retention)*LCNew*H11*D11*(1+GrowthMarketRent)^0,IF(I11="LeaseUp",LCNew*H11*D11*(1+GrowthMarketRent)^0,IF(I11="Option",LCRenewal*H11*D11*(1+GrowthMarketRent)^0,0))))),0))),0)</f>
        <v/>
      </c>
      <c r="Z11" s="14">
        <f>IFERROR(IF(AND(I11="LeaseUp",1=0),(IF(I11="Vacate",TINew*D11,IF(I11="Market",Retention*TIRenewal*D11+(1-Retention)*TINew*D11,IF(I11="LeaseUp",TINew*D11,IF(I11="Option",TIRenewal*D11,0)))))+(IF(I11="Vacate",LCNew*H11*D11*(1+GrowthMarketRent)^1,IF(I11="Market",Retention*LCRenewal*H11*D11*(1+GrowthMarketRent)^1+(1-Retention)*LCNew*H11*D11*(1+GrowthMarketRent)^1,IF(I11="LeaseUp",LCNew*H11*D11*(1+GrowthMarketRent)^1,IF(I11="Option",LCRenewal*H11*D11*(1+GrowthMarketRent)^1,0))))),IF(F11="",0,IF(AND(F11&gt;=DATE(2026+1,5,1),F11&lt;=DATE(2027+1,4,30)),(IF(I11="Vacate",TINew*D11,IF(I11="Market",Retention*TIRenewal*D11+(1-Retention)*TINew*D11,IF(I11="LeaseUp",TINew*D11,IF(I11="Option",TIRenewal*D11,0)))))+(IF(I11="Vacate",LCNew*H11*D11*(1+GrowthMarketRent)^1,IF(I11="Market",Retention*LCRenewal*H11*D11*(1+GrowthMarketRent)^1+(1-Retention)*LCNew*H11*D11*(1+GrowthMarketRent)^1,IF(I11="LeaseUp",LCNew*H11*D11*(1+GrowthMarketRent)^1,IF(I11="Option",LCRenewal*H11*D11*(1+GrowthMarketRent)^1,0))))),0))),0)</f>
        <v/>
      </c>
      <c r="AA11" s="14">
        <f>IFERROR(IF(AND(I11="LeaseUp",2=0),(IF(I11="Vacate",TINew*D11,IF(I11="Market",Retention*TIRenewal*D11+(1-Retention)*TINew*D11,IF(I11="LeaseUp",TINew*D11,IF(I11="Option",TIRenewal*D11,0)))))+(IF(I11="Vacate",LCNew*H11*D11*(1+GrowthMarketRent)^2,IF(I11="Market",Retention*LCRenewal*H11*D11*(1+GrowthMarketRent)^2+(1-Retention)*LCNew*H11*D11*(1+GrowthMarketRent)^2,IF(I11="LeaseUp",LCNew*H11*D11*(1+GrowthMarketRent)^2,IF(I11="Option",LCRenewal*H11*D11*(1+GrowthMarketRent)^2,0))))),IF(F11="",0,IF(AND(F11&gt;=DATE(2026+2,5,1),F11&lt;=DATE(2027+2,4,30)),(IF(I11="Vacate",TINew*D11,IF(I11="Market",Retention*TIRenewal*D11+(1-Retention)*TINew*D11,IF(I11="LeaseUp",TINew*D11,IF(I11="Option",TIRenewal*D11,0)))))+(IF(I11="Vacate",LCNew*H11*D11*(1+GrowthMarketRent)^2,IF(I11="Market",Retention*LCRenewal*H11*D11*(1+GrowthMarketRent)^2+(1-Retention)*LCNew*H11*D11*(1+GrowthMarketRent)^2,IF(I11="LeaseUp",LCNew*H11*D11*(1+GrowthMarketRent)^2,IF(I11="Option",LCRenewal*H11*D11*(1+GrowthMarketRent)^2,0))))),0))),0)</f>
        <v/>
      </c>
      <c r="AB11" s="14">
        <f>IFERROR(IF(AND(I11="LeaseUp",3=0),(IF(I11="Vacate",TINew*D11,IF(I11="Market",Retention*TIRenewal*D11+(1-Retention)*TINew*D11,IF(I11="LeaseUp",TINew*D11,IF(I11="Option",TIRenewal*D11,0)))))+(IF(I11="Vacate",LCNew*H11*D11*(1+GrowthMarketRent)^3,IF(I11="Market",Retention*LCRenewal*H11*D11*(1+GrowthMarketRent)^3+(1-Retention)*LCNew*H11*D11*(1+GrowthMarketRent)^3,IF(I11="LeaseUp",LCNew*H11*D11*(1+GrowthMarketRent)^3,IF(I11="Option",LCRenewal*H11*D11*(1+GrowthMarketRent)^3,0))))),IF(F11="",0,IF(AND(F11&gt;=DATE(2026+3,5,1),F11&lt;=DATE(2027+3,4,30)),(IF(I11="Vacate",TINew*D11,IF(I11="Market",Retention*TIRenewal*D11+(1-Retention)*TINew*D11,IF(I11="LeaseUp",TINew*D11,IF(I11="Option",TIRenewal*D11,0)))))+(IF(I11="Vacate",LCNew*H11*D11*(1+GrowthMarketRent)^3,IF(I11="Market",Retention*LCRenewal*H11*D11*(1+GrowthMarketRent)^3+(1-Retention)*LCNew*H11*D11*(1+GrowthMarketRent)^3,IF(I11="LeaseUp",LCNew*H11*D11*(1+GrowthMarketRent)^3,IF(I11="Option",LCRenewal*H11*D11*(1+GrowthMarketRent)^3,0))))),0))),0)</f>
        <v/>
      </c>
      <c r="AC11" s="14">
        <f>IFERROR(IF(AND(I11="LeaseUp",4=0),(IF(I11="Vacate",TINew*D11,IF(I11="Market",Retention*TIRenewal*D11+(1-Retention)*TINew*D11,IF(I11="LeaseUp",TINew*D11,IF(I11="Option",TIRenewal*D11,0)))))+(IF(I11="Vacate",LCNew*H11*D11*(1+GrowthMarketRent)^4,IF(I11="Market",Retention*LCRenewal*H11*D11*(1+GrowthMarketRent)^4+(1-Retention)*LCNew*H11*D11*(1+GrowthMarketRent)^4,IF(I11="LeaseUp",LCNew*H11*D11*(1+GrowthMarketRent)^4,IF(I11="Option",LCRenewal*H11*D11*(1+GrowthMarketRent)^4,0))))),IF(F11="",0,IF(AND(F11&gt;=DATE(2026+4,5,1),F11&lt;=DATE(2027+4,4,30)),(IF(I11="Vacate",TINew*D11,IF(I11="Market",Retention*TIRenewal*D11+(1-Retention)*TINew*D11,IF(I11="LeaseUp",TINew*D11,IF(I11="Option",TIRenewal*D11,0)))))+(IF(I11="Vacate",LCNew*H11*D11*(1+GrowthMarketRent)^4,IF(I11="Market",Retention*LCRenewal*H11*D11*(1+GrowthMarketRent)^4+(1-Retention)*LCNew*H11*D11*(1+GrowthMarketRent)^4,IF(I11="LeaseUp",LCNew*H11*D11*(1+GrowthMarketRent)^4,IF(I11="Option",LCRenewal*H11*D11*(1+GrowthMarketRent)^4,0))))),0))),0)</f>
        <v/>
      </c>
      <c r="AD11" s="14">
        <f>IFERROR(IF(AND(I11="LeaseUp",5=0),(IF(I11="Vacate",TINew*D11,IF(I11="Market",Retention*TIRenewal*D11+(1-Retention)*TINew*D11,IF(I11="LeaseUp",TINew*D11,IF(I11="Option",TIRenewal*D11,0)))))+(IF(I11="Vacate",LCNew*H11*D11*(1+GrowthMarketRent)^5,IF(I11="Market",Retention*LCRenewal*H11*D11*(1+GrowthMarketRent)^5+(1-Retention)*LCNew*H11*D11*(1+GrowthMarketRent)^5,IF(I11="LeaseUp",LCNew*H11*D11*(1+GrowthMarketRent)^5,IF(I11="Option",LCRenewal*H11*D11*(1+GrowthMarketRent)^5,0))))),IF(F11="",0,IF(AND(F11&gt;=DATE(2026+5,5,1),F11&lt;=DATE(2027+5,4,30)),(IF(I11="Vacate",TINew*D11,IF(I11="Market",Retention*TIRenewal*D11+(1-Retention)*TINew*D11,IF(I11="LeaseUp",TINew*D11,IF(I11="Option",TIRenewal*D11,0)))))+(IF(I11="Vacate",LCNew*H11*D11*(1+GrowthMarketRent)^5,IF(I11="Market",Retention*LCRenewal*H11*D11*(1+GrowthMarketRent)^5+(1-Retention)*LCNew*H11*D11*(1+GrowthMarketRent)^5,IF(I11="LeaseUp",LCNew*H11*D11*(1+GrowthMarketRent)^5,IF(I11="Option",LCRenewal*H11*D11*(1+GrowthMarketRent)^5,0))))),0))),0)</f>
        <v/>
      </c>
      <c r="AE11" s="14">
        <f>IFERROR(IF(AND(I11="LeaseUp",6=0),(IF(I11="Vacate",TINew*D11,IF(I11="Market",Retention*TIRenewal*D11+(1-Retention)*TINew*D11,IF(I11="LeaseUp",TINew*D11,IF(I11="Option",TIRenewal*D11,0)))))+(IF(I11="Vacate",LCNew*H11*D11*(1+GrowthMarketRent)^6,IF(I11="Market",Retention*LCRenewal*H11*D11*(1+GrowthMarketRent)^6+(1-Retention)*LCNew*H11*D11*(1+GrowthMarketRent)^6,IF(I11="LeaseUp",LCNew*H11*D11*(1+GrowthMarketRent)^6,IF(I11="Option",LCRenewal*H11*D11*(1+GrowthMarketRent)^6,0))))),IF(F11="",0,IF(AND(F11&gt;=DATE(2026+6,5,1),F11&lt;=DATE(2027+6,4,30)),(IF(I11="Vacate",TINew*D11,IF(I11="Market",Retention*TIRenewal*D11+(1-Retention)*TINew*D11,IF(I11="LeaseUp",TINew*D11,IF(I11="Option",TIRenewal*D11,0)))))+(IF(I11="Vacate",LCNew*H11*D11*(1+GrowthMarketRent)^6,IF(I11="Market",Retention*LCRenewal*H11*D11*(1+GrowthMarketRent)^6+(1-Retention)*LCNew*H11*D11*(1+GrowthMarketRent)^6,IF(I11="LeaseUp",LCNew*H11*D11*(1+GrowthMarketRent)^6,IF(I11="Option",LCRenewal*H11*D11*(1+GrowthMarketRent)^6,0))))),0))),0)</f>
        <v/>
      </c>
      <c r="AF11" s="14">
        <f>IFERROR(IF(AND(I11="LeaseUp",7=0),(IF(I11="Vacate",TINew*D11,IF(I11="Market",Retention*TIRenewal*D11+(1-Retention)*TINew*D11,IF(I11="LeaseUp",TINew*D11,IF(I11="Option",TIRenewal*D11,0)))))+(IF(I11="Vacate",LCNew*H11*D11*(1+GrowthMarketRent)^7,IF(I11="Market",Retention*LCRenewal*H11*D11*(1+GrowthMarketRent)^7+(1-Retention)*LCNew*H11*D11*(1+GrowthMarketRent)^7,IF(I11="LeaseUp",LCNew*H11*D11*(1+GrowthMarketRent)^7,IF(I11="Option",LCRenewal*H11*D11*(1+GrowthMarketRent)^7,0))))),IF(F11="",0,IF(AND(F11&gt;=DATE(2026+7,5,1),F11&lt;=DATE(2027+7,4,30)),(IF(I11="Vacate",TINew*D11,IF(I11="Market",Retention*TIRenewal*D11+(1-Retention)*TINew*D11,IF(I11="LeaseUp",TINew*D11,IF(I11="Option",TIRenewal*D11,0)))))+(IF(I11="Vacate",LCNew*H11*D11*(1+GrowthMarketRent)^7,IF(I11="Market",Retention*LCRenewal*H11*D11*(1+GrowthMarketRent)^7+(1-Retention)*LCNew*H11*D11*(1+GrowthMarketRent)^7,IF(I11="LeaseUp",LCNew*H11*D11*(1+GrowthMarketRent)^7,IF(I11="Option",LCRenewal*H11*D11*(1+GrowthMarketRent)^7,0))))),0))),0)</f>
        <v/>
      </c>
      <c r="AG11" s="14">
        <f>IFERROR(IF(AND(I11="LeaseUp",8=0),(IF(I11="Vacate",TINew*D11,IF(I11="Market",Retention*TIRenewal*D11+(1-Retention)*TINew*D11,IF(I11="LeaseUp",TINew*D11,IF(I11="Option",TIRenewal*D11,0)))))+(IF(I11="Vacate",LCNew*H11*D11*(1+GrowthMarketRent)^8,IF(I11="Market",Retention*LCRenewal*H11*D11*(1+GrowthMarketRent)^8+(1-Retention)*LCNew*H11*D11*(1+GrowthMarketRent)^8,IF(I11="LeaseUp",LCNew*H11*D11*(1+GrowthMarketRent)^8,IF(I11="Option",LCRenewal*H11*D11*(1+GrowthMarketRent)^8,0))))),IF(F11="",0,IF(AND(F11&gt;=DATE(2026+8,5,1),F11&lt;=DATE(2027+8,4,30)),(IF(I11="Vacate",TINew*D11,IF(I11="Market",Retention*TIRenewal*D11+(1-Retention)*TINew*D11,IF(I11="LeaseUp",TINew*D11,IF(I11="Option",TIRenewal*D11,0)))))+(IF(I11="Vacate",LCNew*H11*D11*(1+GrowthMarketRent)^8,IF(I11="Market",Retention*LCRenewal*H11*D11*(1+GrowthMarketRent)^8+(1-Retention)*LCNew*H11*D11*(1+GrowthMarketRent)^8,IF(I11="LeaseUp",LCNew*H11*D11*(1+GrowthMarketRent)^8,IF(I11="Option",LCRenewal*H11*D11*(1+GrowthMarketRent)^8,0))))),0))),0)</f>
        <v/>
      </c>
      <c r="AH11" s="14">
        <f>IFERROR(IF(AND(I11="LeaseUp",9=0),(IF(I11="Vacate",TINew*D11,IF(I11="Market",Retention*TIRenewal*D11+(1-Retention)*TINew*D11,IF(I11="LeaseUp",TINew*D11,IF(I11="Option",TIRenewal*D11,0)))))+(IF(I11="Vacate",LCNew*H11*D11*(1+GrowthMarketRent)^9,IF(I11="Market",Retention*LCRenewal*H11*D11*(1+GrowthMarketRent)^9+(1-Retention)*LCNew*H11*D11*(1+GrowthMarketRent)^9,IF(I11="LeaseUp",LCNew*H11*D11*(1+GrowthMarketRent)^9,IF(I11="Option",LCRenewal*H11*D11*(1+GrowthMarketRent)^9,0))))),IF(F11="",0,IF(AND(F11&gt;=DATE(2026+9,5,1),F11&lt;=DATE(2027+9,4,30)),(IF(I11="Vacate",TINew*D11,IF(I11="Market",Retention*TIRenewal*D11+(1-Retention)*TINew*D11,IF(I11="LeaseUp",TINew*D11,IF(I11="Option",TIRenewal*D11,0)))))+(IF(I11="Vacate",LCNew*H11*D11*(1+GrowthMarketRent)^9,IF(I11="Market",Retention*LCRenewal*H11*D11*(1+GrowthMarketRent)^9+(1-Retention)*LCNew*H11*D11*(1+GrowthMarketRent)^9,IF(I11="LeaseUp",LCNew*H11*D11*(1+GrowthMarketRent)^9,IF(I11="Option",LCRenewal*H11*D11*(1+GrowthMarketRent)^9,0))))),0))),0)</f>
        <v/>
      </c>
      <c r="AI11" s="14">
        <f>IFERROR(IF(AND(I11="LeaseUp",10=0),(IF(I11="Vacate",TINew*D11,IF(I11="Market",Retention*TIRenewal*D11+(1-Retention)*TINew*D11,IF(I11="LeaseUp",TINew*D11,IF(I11="Option",TIRenewal*D11,0)))))+(IF(I11="Vacate",LCNew*H11*D11*(1+GrowthMarketRent)^10,IF(I11="Market",Retention*LCRenewal*H11*D11*(1+GrowthMarketRent)^10+(1-Retention)*LCNew*H11*D11*(1+GrowthMarketRent)^10,IF(I11="LeaseUp",LCNew*H11*D11*(1+GrowthMarketRent)^10,IF(I11="Option",LCRenewal*H11*D11*(1+GrowthMarketRent)^10,0))))),IF(F11="",0,IF(AND(F11&gt;=DATE(2026+10,5,1),F11&lt;=DATE(2027+10,4,30)),(IF(I11="Vacate",TINew*D11,IF(I11="Market",Retention*TIRenewal*D11+(1-Retention)*TINew*D11,IF(I11="LeaseUp",TINew*D11,IF(I11="Option",TIRenewal*D11,0)))))+(IF(I11="Vacate",LCNew*H11*D11*(1+GrowthMarketRent)^10,IF(I11="Market",Retention*LCRenewal*H11*D11*(1+GrowthMarketRent)^10+(1-Retention)*LCNew*H11*D11*(1+GrowthMarketRent)^10,IF(I11="LeaseUp",LCNew*H11*D11*(1+GrowthMarketRent)^10,IF(I11="Option",LCRenewal*H11*D11*(1+GrowthMarketRent)^10,0))))),0))),0)</f>
        <v/>
      </c>
    </row>
    <row r="12">
      <c r="A12" t="inlineStr">
        <is>
          <t>Carrollton</t>
        </is>
      </c>
      <c r="B12" t="inlineStr">
        <is>
          <t>128</t>
        </is>
      </c>
      <c r="C12" t="inlineStr">
        <is>
          <t>FirstCall Mechanical Group Texas LLC</t>
        </is>
      </c>
      <c r="D12" s="32" t="n">
        <v>2600</v>
      </c>
      <c r="E12" s="33" t="n">
        <v>45200</v>
      </c>
      <c r="F12" s="33" t="n">
        <v>46447</v>
      </c>
      <c r="G12" s="34" t="n">
        <v>15.4965384615385</v>
      </c>
      <c r="H12" s="16">
        <f>VLOOKUP("Carrollton — "&amp;J12,MLA!$A$5:$L$11,3,FALSE)</f>
        <v/>
      </c>
      <c r="I12" s="11" t="inlineStr">
        <is>
          <t>Market</t>
        </is>
      </c>
      <c r="J12" t="inlineStr">
        <is>
          <t>Shop</t>
        </is>
      </c>
      <c r="K12" t="inlineStr">
        <is>
          <t>Occupied</t>
        </is>
      </c>
      <c r="L12" t="inlineStr">
        <is>
          <t>Shop</t>
        </is>
      </c>
      <c r="M12" s="20">
        <f>IF(E12="",0,(AnalysisStart-E12)/365.25)</f>
        <v/>
      </c>
      <c r="N12" s="14">
        <f>IFERROR(IF(I12="LeaseUp",H12*D12*(1+GrowthMarketRent)^0*IF(0=0,(12-DowntimeNew)/12,1),IF(F12="",0,IF(F12&gt;=DATE(2027+0,4,30),G12*D12*(1+EscalatorInLease)^(0+M12),IF(F12&lt;DATE(2026+0,5,1),IF(I12="Vacate",H12*D12*(1+GrowthMarketRent)^0*IF(INT((DATE(2026+0,10,31)-F12)/365.25)=0,(12-DowntimeNew)/12,1),IF(I12="Option",G12*D12*1.025*(1+EscalatorInLease)^0,IF(I12="Market",Retention*G12*D12*(1+EscalatorInLease)^(0+M12)+(1-Retention)*H12*D12*(1+GrowthMarketRent)^0*IF(INT((DATE(2026+0,10,31)-F12)/365.25)=0,(12-DowntimeNew)/12,1),IF(I12="LeaseUp",H12*D12*(1+GrowthMarketRent)^0*IF(0=0,(12-DowntimeNew)/12,1),0)))),((F12-DATE(2026+0,5,1))/365.25)*G12*D12*(1+EscalatorInLease)^(0+M12)+((DATE(2027+0,4,30)-F12)/365.25)*IF(I12="Vacate",H12*D12*(1+GrowthMarketRent)^0*IF(INT((DATE(2026+0,10,31)-F12)/365.25)=0,(12-DowntimeNew)/12,1),IF(I12="Option",G12*D12*1.025*(1+EscalatorInLease)^0,IF(I12="Market",Retention*G12*D12*(1+EscalatorInLease)^(0+M12)+(1-Retention)*H12*D12*(1+GrowthMarketRent)^0*IF(INT((DATE(2026+0,10,31)-F12)/365.25)=0,(12-DowntimeNew)/12,1),IF(I12="LeaseUp",H12*D12*(1+GrowthMarketRent)^0*IF(0=0,(12-DowntimeNew)/12,1),0)))))))),0)</f>
        <v/>
      </c>
      <c r="O12" s="14">
        <f>IFERROR(IF(I12="LeaseUp",H12*D12*(1+GrowthMarketRent)^1*IF(1=0,(12-DowntimeNew)/12,1),IF(F12="",0,IF(F12&gt;=DATE(2027+1,4,30),G12*D12*(1+EscalatorInLease)^(1+M12),IF(F12&lt;DATE(2026+1,5,1),IF(I12="Vacate",H12*D12*(1+GrowthMarketRent)^1*IF(INT((DATE(2026+1,10,31)-F12)/365.25)=0,(12-DowntimeNew)/12,1),IF(I12="Option",G12*D12*1.025*(1+EscalatorInLease)^1,IF(I12="Market",Retention*G12*D12*(1+EscalatorInLease)^(1+M12)+(1-Retention)*H12*D12*(1+GrowthMarketRent)^1*IF(INT((DATE(2026+1,10,31)-F12)/365.25)=0,(12-DowntimeNew)/12,1),IF(I12="LeaseUp",H12*D12*(1+GrowthMarketRent)^1*IF(1=0,(12-DowntimeNew)/12,1),0)))),((F12-DATE(2026+1,5,1))/365.25)*G12*D12*(1+EscalatorInLease)^(1+M12)+((DATE(2027+1,4,30)-F12)/365.25)*IF(I12="Vacate",H12*D12*(1+GrowthMarketRent)^1*IF(INT((DATE(2026+1,10,31)-F12)/365.25)=0,(12-DowntimeNew)/12,1),IF(I12="Option",G12*D12*1.025*(1+EscalatorInLease)^1,IF(I12="Market",Retention*G12*D12*(1+EscalatorInLease)^(1+M12)+(1-Retention)*H12*D12*(1+GrowthMarketRent)^1*IF(INT((DATE(2026+1,10,31)-F12)/365.25)=0,(12-DowntimeNew)/12,1),IF(I12="LeaseUp",H12*D12*(1+GrowthMarketRent)^1*IF(1=0,(12-DowntimeNew)/12,1),0)))))))),0)</f>
        <v/>
      </c>
      <c r="P12" s="14">
        <f>IFERROR(IF(I12="LeaseUp",H12*D12*(1+GrowthMarketRent)^2*IF(2=0,(12-DowntimeNew)/12,1),IF(F12="",0,IF(F12&gt;=DATE(2027+2,4,30),G12*D12*(1+EscalatorInLease)^(2+M12),IF(F12&lt;DATE(2026+2,5,1),IF(I12="Vacate",H12*D12*(1+GrowthMarketRent)^2*IF(INT((DATE(2026+2,10,31)-F12)/365.25)=0,(12-DowntimeNew)/12,1),IF(I12="Option",G12*D12*1.025*(1+EscalatorInLease)^2,IF(I12="Market",Retention*G12*D12*(1+EscalatorInLease)^(2+M12)+(1-Retention)*H12*D12*(1+GrowthMarketRent)^2*IF(INT((DATE(2026+2,10,31)-F12)/365.25)=0,(12-DowntimeNew)/12,1),IF(I12="LeaseUp",H12*D12*(1+GrowthMarketRent)^2*IF(2=0,(12-DowntimeNew)/12,1),0)))),((F12-DATE(2026+2,5,1))/365.25)*G12*D12*(1+EscalatorInLease)^(2+M12)+((DATE(2027+2,4,30)-F12)/365.25)*IF(I12="Vacate",H12*D12*(1+GrowthMarketRent)^2*IF(INT((DATE(2026+2,10,31)-F12)/365.25)=0,(12-DowntimeNew)/12,1),IF(I12="Option",G12*D12*1.025*(1+EscalatorInLease)^2,IF(I12="Market",Retention*G12*D12*(1+EscalatorInLease)^(2+M12)+(1-Retention)*H12*D12*(1+GrowthMarketRent)^2*IF(INT((DATE(2026+2,10,31)-F12)/365.25)=0,(12-DowntimeNew)/12,1),IF(I12="LeaseUp",H12*D12*(1+GrowthMarketRent)^2*IF(2=0,(12-DowntimeNew)/12,1),0)))))))),0)</f>
        <v/>
      </c>
      <c r="Q12" s="14">
        <f>IFERROR(IF(I12="LeaseUp",H12*D12*(1+GrowthMarketRent)^3*IF(3=0,(12-DowntimeNew)/12,1),IF(F12="",0,IF(F12&gt;=DATE(2027+3,4,30),G12*D12*(1+EscalatorInLease)^(3+M12),IF(F12&lt;DATE(2026+3,5,1),IF(I12="Vacate",H12*D12*(1+GrowthMarketRent)^3*IF(INT((DATE(2026+3,10,31)-F12)/365.25)=0,(12-DowntimeNew)/12,1),IF(I12="Option",G12*D12*1.025*(1+EscalatorInLease)^3,IF(I12="Market",Retention*G12*D12*(1+EscalatorInLease)^(3+M12)+(1-Retention)*H12*D12*(1+GrowthMarketRent)^3*IF(INT((DATE(2026+3,10,31)-F12)/365.25)=0,(12-DowntimeNew)/12,1),IF(I12="LeaseUp",H12*D12*(1+GrowthMarketRent)^3*IF(3=0,(12-DowntimeNew)/12,1),0)))),((F12-DATE(2026+3,5,1))/365.25)*G12*D12*(1+EscalatorInLease)^(3+M12)+((DATE(2027+3,4,30)-F12)/365.25)*IF(I12="Vacate",H12*D12*(1+GrowthMarketRent)^3*IF(INT((DATE(2026+3,10,31)-F12)/365.25)=0,(12-DowntimeNew)/12,1),IF(I12="Option",G12*D12*1.025*(1+EscalatorInLease)^3,IF(I12="Market",Retention*G12*D12*(1+EscalatorInLease)^(3+M12)+(1-Retention)*H12*D12*(1+GrowthMarketRent)^3*IF(INT((DATE(2026+3,10,31)-F12)/365.25)=0,(12-DowntimeNew)/12,1),IF(I12="LeaseUp",H12*D12*(1+GrowthMarketRent)^3*IF(3=0,(12-DowntimeNew)/12,1),0)))))))),0)</f>
        <v/>
      </c>
      <c r="R12" s="14">
        <f>IFERROR(IF(I12="LeaseUp",H12*D12*(1+GrowthMarketRent)^4*IF(4=0,(12-DowntimeNew)/12,1),IF(F12="",0,IF(F12&gt;=DATE(2027+4,4,30),G12*D12*(1+EscalatorInLease)^(4+M12),IF(F12&lt;DATE(2026+4,5,1),IF(I12="Vacate",H12*D12*(1+GrowthMarketRent)^4*IF(INT((DATE(2026+4,10,31)-F12)/365.25)=0,(12-DowntimeNew)/12,1),IF(I12="Option",G12*D12*1.025*(1+EscalatorInLease)^4,IF(I12="Market",Retention*G12*D12*(1+EscalatorInLease)^(4+M12)+(1-Retention)*H12*D12*(1+GrowthMarketRent)^4*IF(INT((DATE(2026+4,10,31)-F12)/365.25)=0,(12-DowntimeNew)/12,1),IF(I12="LeaseUp",H12*D12*(1+GrowthMarketRent)^4*IF(4=0,(12-DowntimeNew)/12,1),0)))),((F12-DATE(2026+4,5,1))/365.25)*G12*D12*(1+EscalatorInLease)^(4+M12)+((DATE(2027+4,4,30)-F12)/365.25)*IF(I12="Vacate",H12*D12*(1+GrowthMarketRent)^4*IF(INT((DATE(2026+4,10,31)-F12)/365.25)=0,(12-DowntimeNew)/12,1),IF(I12="Option",G12*D12*1.025*(1+EscalatorInLease)^4,IF(I12="Market",Retention*G12*D12*(1+EscalatorInLease)^(4+M12)+(1-Retention)*H12*D12*(1+GrowthMarketRent)^4*IF(INT((DATE(2026+4,10,31)-F12)/365.25)=0,(12-DowntimeNew)/12,1),IF(I12="LeaseUp",H12*D12*(1+GrowthMarketRent)^4*IF(4=0,(12-DowntimeNew)/12,1),0)))))))),0)</f>
        <v/>
      </c>
      <c r="S12" s="14">
        <f>IFERROR(IF(I12="LeaseUp",H12*D12*(1+GrowthMarketRent)^5*IF(5=0,(12-DowntimeNew)/12,1),IF(F12="",0,IF(F12&gt;=DATE(2027+5,4,30),G12*D12*(1+EscalatorInLease)^(5+M12),IF(F12&lt;DATE(2026+5,5,1),IF(I12="Vacate",H12*D12*(1+GrowthMarketRent)^5*IF(INT((DATE(2026+5,10,31)-F12)/365.25)=0,(12-DowntimeNew)/12,1),IF(I12="Option",G12*D12*1.025*(1+EscalatorInLease)^5,IF(I12="Market",Retention*G12*D12*(1+EscalatorInLease)^(5+M12)+(1-Retention)*H12*D12*(1+GrowthMarketRent)^5*IF(INT((DATE(2026+5,10,31)-F12)/365.25)=0,(12-DowntimeNew)/12,1),IF(I12="LeaseUp",H12*D12*(1+GrowthMarketRent)^5*IF(5=0,(12-DowntimeNew)/12,1),0)))),((F12-DATE(2026+5,5,1))/365.25)*G12*D12*(1+EscalatorInLease)^(5+M12)+((DATE(2027+5,4,30)-F12)/365.25)*IF(I12="Vacate",H12*D12*(1+GrowthMarketRent)^5*IF(INT((DATE(2026+5,10,31)-F12)/365.25)=0,(12-DowntimeNew)/12,1),IF(I12="Option",G12*D12*1.025*(1+EscalatorInLease)^5,IF(I12="Market",Retention*G12*D12*(1+EscalatorInLease)^(5+M12)+(1-Retention)*H12*D12*(1+GrowthMarketRent)^5*IF(INT((DATE(2026+5,10,31)-F12)/365.25)=0,(12-DowntimeNew)/12,1),IF(I12="LeaseUp",H12*D12*(1+GrowthMarketRent)^5*IF(5=0,(12-DowntimeNew)/12,1),0)))))))),0)</f>
        <v/>
      </c>
      <c r="T12" s="14">
        <f>IFERROR(IF(I12="LeaseUp",H12*D12*(1+GrowthMarketRent)^6*IF(6=0,(12-DowntimeNew)/12,1),IF(F12="",0,IF(F12&gt;=DATE(2027+6,4,30),G12*D12*(1+EscalatorInLease)^(6+M12),IF(F12&lt;DATE(2026+6,5,1),IF(I12="Vacate",H12*D12*(1+GrowthMarketRent)^6*IF(INT((DATE(2026+6,10,31)-F12)/365.25)=0,(12-DowntimeNew)/12,1),IF(I12="Option",G12*D12*1.025*(1+EscalatorInLease)^6,IF(I12="Market",Retention*G12*D12*(1+EscalatorInLease)^(6+M12)+(1-Retention)*H12*D12*(1+GrowthMarketRent)^6*IF(INT((DATE(2026+6,10,31)-F12)/365.25)=0,(12-DowntimeNew)/12,1),IF(I12="LeaseUp",H12*D12*(1+GrowthMarketRent)^6*IF(6=0,(12-DowntimeNew)/12,1),0)))),((F12-DATE(2026+6,5,1))/365.25)*G12*D12*(1+EscalatorInLease)^(6+M12)+((DATE(2027+6,4,30)-F12)/365.25)*IF(I12="Vacate",H12*D12*(1+GrowthMarketRent)^6*IF(INT((DATE(2026+6,10,31)-F12)/365.25)=0,(12-DowntimeNew)/12,1),IF(I12="Option",G12*D12*1.025*(1+EscalatorInLease)^6,IF(I12="Market",Retention*G12*D12*(1+EscalatorInLease)^(6+M12)+(1-Retention)*H12*D12*(1+GrowthMarketRent)^6*IF(INT((DATE(2026+6,10,31)-F12)/365.25)=0,(12-DowntimeNew)/12,1),IF(I12="LeaseUp",H12*D12*(1+GrowthMarketRent)^6*IF(6=0,(12-DowntimeNew)/12,1),0)))))))),0)</f>
        <v/>
      </c>
      <c r="U12" s="14">
        <f>IFERROR(IF(I12="LeaseUp",H12*D12*(1+GrowthMarketRent)^7*IF(7=0,(12-DowntimeNew)/12,1),IF(F12="",0,IF(F12&gt;=DATE(2027+7,4,30),G12*D12*(1+EscalatorInLease)^(7+M12),IF(F12&lt;DATE(2026+7,5,1),IF(I12="Vacate",H12*D12*(1+GrowthMarketRent)^7*IF(INT((DATE(2026+7,10,31)-F12)/365.25)=0,(12-DowntimeNew)/12,1),IF(I12="Option",G12*D12*1.025*(1+EscalatorInLease)^7,IF(I12="Market",Retention*G12*D12*(1+EscalatorInLease)^(7+M12)+(1-Retention)*H12*D12*(1+GrowthMarketRent)^7*IF(INT((DATE(2026+7,10,31)-F12)/365.25)=0,(12-DowntimeNew)/12,1),IF(I12="LeaseUp",H12*D12*(1+GrowthMarketRent)^7*IF(7=0,(12-DowntimeNew)/12,1),0)))),((F12-DATE(2026+7,5,1))/365.25)*G12*D12*(1+EscalatorInLease)^(7+M12)+((DATE(2027+7,4,30)-F12)/365.25)*IF(I12="Vacate",H12*D12*(1+GrowthMarketRent)^7*IF(INT((DATE(2026+7,10,31)-F12)/365.25)=0,(12-DowntimeNew)/12,1),IF(I12="Option",G12*D12*1.025*(1+EscalatorInLease)^7,IF(I12="Market",Retention*G12*D12*(1+EscalatorInLease)^(7+M12)+(1-Retention)*H12*D12*(1+GrowthMarketRent)^7*IF(INT((DATE(2026+7,10,31)-F12)/365.25)=0,(12-DowntimeNew)/12,1),IF(I12="LeaseUp",H12*D12*(1+GrowthMarketRent)^7*IF(7=0,(12-DowntimeNew)/12,1),0)))))))),0)</f>
        <v/>
      </c>
      <c r="V12" s="14">
        <f>IFERROR(IF(I12="LeaseUp",H12*D12*(1+GrowthMarketRent)^8*IF(8=0,(12-DowntimeNew)/12,1),IF(F12="",0,IF(F12&gt;=DATE(2027+8,4,30),G12*D12*(1+EscalatorInLease)^(8+M12),IF(F12&lt;DATE(2026+8,5,1),IF(I12="Vacate",H12*D12*(1+GrowthMarketRent)^8*IF(INT((DATE(2026+8,10,31)-F12)/365.25)=0,(12-DowntimeNew)/12,1),IF(I12="Option",G12*D12*1.025*(1+EscalatorInLease)^8,IF(I12="Market",Retention*G12*D12*(1+EscalatorInLease)^(8+M12)+(1-Retention)*H12*D12*(1+GrowthMarketRent)^8*IF(INT((DATE(2026+8,10,31)-F12)/365.25)=0,(12-DowntimeNew)/12,1),IF(I12="LeaseUp",H12*D12*(1+GrowthMarketRent)^8*IF(8=0,(12-DowntimeNew)/12,1),0)))),((F12-DATE(2026+8,5,1))/365.25)*G12*D12*(1+EscalatorInLease)^(8+M12)+((DATE(2027+8,4,30)-F12)/365.25)*IF(I12="Vacate",H12*D12*(1+GrowthMarketRent)^8*IF(INT((DATE(2026+8,10,31)-F12)/365.25)=0,(12-DowntimeNew)/12,1),IF(I12="Option",G12*D12*1.025*(1+EscalatorInLease)^8,IF(I12="Market",Retention*G12*D12*(1+EscalatorInLease)^(8+M12)+(1-Retention)*H12*D12*(1+GrowthMarketRent)^8*IF(INT((DATE(2026+8,10,31)-F12)/365.25)=0,(12-DowntimeNew)/12,1),IF(I12="LeaseUp",H12*D12*(1+GrowthMarketRent)^8*IF(8=0,(12-DowntimeNew)/12,1),0)))))))),0)</f>
        <v/>
      </c>
      <c r="W12" s="14">
        <f>IFERROR(IF(I12="LeaseUp",H12*D12*(1+GrowthMarketRent)^9*IF(9=0,(12-DowntimeNew)/12,1),IF(F12="",0,IF(F12&gt;=DATE(2027+9,4,30),G12*D12*(1+EscalatorInLease)^(9+M12),IF(F12&lt;DATE(2026+9,5,1),IF(I12="Vacate",H12*D12*(1+GrowthMarketRent)^9*IF(INT((DATE(2026+9,10,31)-F12)/365.25)=0,(12-DowntimeNew)/12,1),IF(I12="Option",G12*D12*1.025*(1+EscalatorInLease)^9,IF(I12="Market",Retention*G12*D12*(1+EscalatorInLease)^(9+M12)+(1-Retention)*H12*D12*(1+GrowthMarketRent)^9*IF(INT((DATE(2026+9,10,31)-F12)/365.25)=0,(12-DowntimeNew)/12,1),IF(I12="LeaseUp",H12*D12*(1+GrowthMarketRent)^9*IF(9=0,(12-DowntimeNew)/12,1),0)))),((F12-DATE(2026+9,5,1))/365.25)*G12*D12*(1+EscalatorInLease)^(9+M12)+((DATE(2027+9,4,30)-F12)/365.25)*IF(I12="Vacate",H12*D12*(1+GrowthMarketRent)^9*IF(INT((DATE(2026+9,10,31)-F12)/365.25)=0,(12-DowntimeNew)/12,1),IF(I12="Option",G12*D12*1.025*(1+EscalatorInLease)^9,IF(I12="Market",Retention*G12*D12*(1+EscalatorInLease)^(9+M12)+(1-Retention)*H12*D12*(1+GrowthMarketRent)^9*IF(INT((DATE(2026+9,10,31)-F12)/365.25)=0,(12-DowntimeNew)/12,1),IF(I12="LeaseUp",H12*D12*(1+GrowthMarketRent)^9*IF(9=0,(12-DowntimeNew)/12,1),0)))))))),0)</f>
        <v/>
      </c>
      <c r="X12" s="14">
        <f>IFERROR(IF(I12="LeaseUp",H12*D12*(1+GrowthMarketRent)^10*IF(10=0,(12-DowntimeNew)/12,1),IF(F12="",0,IF(F12&gt;=DATE(2027+10,4,30),G12*D12*(1+EscalatorInLease)^(10+M12),IF(F12&lt;DATE(2026+10,5,1),IF(I12="Vacate",H12*D12*(1+GrowthMarketRent)^10*IF(INT((DATE(2026+10,10,31)-F12)/365.25)=0,(12-DowntimeNew)/12,1),IF(I12="Option",G12*D12*1.025*(1+EscalatorInLease)^10,IF(I12="Market",Retention*G12*D12*(1+EscalatorInLease)^(10+M12)+(1-Retention)*H12*D12*(1+GrowthMarketRent)^10*IF(INT((DATE(2026+10,10,31)-F12)/365.25)=0,(12-DowntimeNew)/12,1),IF(I12="LeaseUp",H12*D12*(1+GrowthMarketRent)^10*IF(10=0,(12-DowntimeNew)/12,1),0)))),((F12-DATE(2026+10,5,1))/365.25)*G12*D12*(1+EscalatorInLease)^(10+M12)+((DATE(2027+10,4,30)-F12)/365.25)*IF(I12="Vacate",H12*D12*(1+GrowthMarketRent)^10*IF(INT((DATE(2026+10,10,31)-F12)/365.25)=0,(12-DowntimeNew)/12,1),IF(I12="Option",G12*D12*1.025*(1+EscalatorInLease)^10,IF(I12="Market",Retention*G12*D12*(1+EscalatorInLease)^(10+M12)+(1-Retention)*H12*D12*(1+GrowthMarketRent)^10*IF(INT((DATE(2026+10,10,31)-F12)/365.25)=0,(12-DowntimeNew)/12,1),IF(I12="LeaseUp",H12*D12*(1+GrowthMarketRent)^10*IF(10=0,(12-DowntimeNew)/12,1),0)))))))),0)</f>
        <v/>
      </c>
      <c r="Y12" s="14">
        <f>IFERROR(IF(AND(I12="LeaseUp",0=0),(IF(I12="Vacate",TINew*D12,IF(I12="Market",Retention*TIRenewal*D12+(1-Retention)*TINew*D12,IF(I12="LeaseUp",TINew*D12,IF(I12="Option",TIRenewal*D12,0)))))+(IF(I12="Vacate",LCNew*H12*D12*(1+GrowthMarketRent)^0,IF(I12="Market",Retention*LCRenewal*H12*D12*(1+GrowthMarketRent)^0+(1-Retention)*LCNew*H12*D12*(1+GrowthMarketRent)^0,IF(I12="LeaseUp",LCNew*H12*D12*(1+GrowthMarketRent)^0,IF(I12="Option",LCRenewal*H12*D12*(1+GrowthMarketRent)^0,0))))),IF(F12="",0,IF(AND(F12&gt;=DATE(2026+0,5,1),F12&lt;=DATE(2027+0,4,30)),(IF(I12="Vacate",TINew*D12,IF(I12="Market",Retention*TIRenewal*D12+(1-Retention)*TINew*D12,IF(I12="LeaseUp",TINew*D12,IF(I12="Option",TIRenewal*D12,0)))))+(IF(I12="Vacate",LCNew*H12*D12*(1+GrowthMarketRent)^0,IF(I12="Market",Retention*LCRenewal*H12*D12*(1+GrowthMarketRent)^0+(1-Retention)*LCNew*H12*D12*(1+GrowthMarketRent)^0,IF(I12="LeaseUp",LCNew*H12*D12*(1+GrowthMarketRent)^0,IF(I12="Option",LCRenewal*H12*D12*(1+GrowthMarketRent)^0,0))))),0))),0)</f>
        <v/>
      </c>
      <c r="Z12" s="14">
        <f>IFERROR(IF(AND(I12="LeaseUp",1=0),(IF(I12="Vacate",TINew*D12,IF(I12="Market",Retention*TIRenewal*D12+(1-Retention)*TINew*D12,IF(I12="LeaseUp",TINew*D12,IF(I12="Option",TIRenewal*D12,0)))))+(IF(I12="Vacate",LCNew*H12*D12*(1+GrowthMarketRent)^1,IF(I12="Market",Retention*LCRenewal*H12*D12*(1+GrowthMarketRent)^1+(1-Retention)*LCNew*H12*D12*(1+GrowthMarketRent)^1,IF(I12="LeaseUp",LCNew*H12*D12*(1+GrowthMarketRent)^1,IF(I12="Option",LCRenewal*H12*D12*(1+GrowthMarketRent)^1,0))))),IF(F12="",0,IF(AND(F12&gt;=DATE(2026+1,5,1),F12&lt;=DATE(2027+1,4,30)),(IF(I12="Vacate",TINew*D12,IF(I12="Market",Retention*TIRenewal*D12+(1-Retention)*TINew*D12,IF(I12="LeaseUp",TINew*D12,IF(I12="Option",TIRenewal*D12,0)))))+(IF(I12="Vacate",LCNew*H12*D12*(1+GrowthMarketRent)^1,IF(I12="Market",Retention*LCRenewal*H12*D12*(1+GrowthMarketRent)^1+(1-Retention)*LCNew*H12*D12*(1+GrowthMarketRent)^1,IF(I12="LeaseUp",LCNew*H12*D12*(1+GrowthMarketRent)^1,IF(I12="Option",LCRenewal*H12*D12*(1+GrowthMarketRent)^1,0))))),0))),0)</f>
        <v/>
      </c>
      <c r="AA12" s="14">
        <f>IFERROR(IF(AND(I12="LeaseUp",2=0),(IF(I12="Vacate",TINew*D12,IF(I12="Market",Retention*TIRenewal*D12+(1-Retention)*TINew*D12,IF(I12="LeaseUp",TINew*D12,IF(I12="Option",TIRenewal*D12,0)))))+(IF(I12="Vacate",LCNew*H12*D12*(1+GrowthMarketRent)^2,IF(I12="Market",Retention*LCRenewal*H12*D12*(1+GrowthMarketRent)^2+(1-Retention)*LCNew*H12*D12*(1+GrowthMarketRent)^2,IF(I12="LeaseUp",LCNew*H12*D12*(1+GrowthMarketRent)^2,IF(I12="Option",LCRenewal*H12*D12*(1+GrowthMarketRent)^2,0))))),IF(F12="",0,IF(AND(F12&gt;=DATE(2026+2,5,1),F12&lt;=DATE(2027+2,4,30)),(IF(I12="Vacate",TINew*D12,IF(I12="Market",Retention*TIRenewal*D12+(1-Retention)*TINew*D12,IF(I12="LeaseUp",TINew*D12,IF(I12="Option",TIRenewal*D12,0)))))+(IF(I12="Vacate",LCNew*H12*D12*(1+GrowthMarketRent)^2,IF(I12="Market",Retention*LCRenewal*H12*D12*(1+GrowthMarketRent)^2+(1-Retention)*LCNew*H12*D12*(1+GrowthMarketRent)^2,IF(I12="LeaseUp",LCNew*H12*D12*(1+GrowthMarketRent)^2,IF(I12="Option",LCRenewal*H12*D12*(1+GrowthMarketRent)^2,0))))),0))),0)</f>
        <v/>
      </c>
      <c r="AB12" s="14">
        <f>IFERROR(IF(AND(I12="LeaseUp",3=0),(IF(I12="Vacate",TINew*D12,IF(I12="Market",Retention*TIRenewal*D12+(1-Retention)*TINew*D12,IF(I12="LeaseUp",TINew*D12,IF(I12="Option",TIRenewal*D12,0)))))+(IF(I12="Vacate",LCNew*H12*D12*(1+GrowthMarketRent)^3,IF(I12="Market",Retention*LCRenewal*H12*D12*(1+GrowthMarketRent)^3+(1-Retention)*LCNew*H12*D12*(1+GrowthMarketRent)^3,IF(I12="LeaseUp",LCNew*H12*D12*(1+GrowthMarketRent)^3,IF(I12="Option",LCRenewal*H12*D12*(1+GrowthMarketRent)^3,0))))),IF(F12="",0,IF(AND(F12&gt;=DATE(2026+3,5,1),F12&lt;=DATE(2027+3,4,30)),(IF(I12="Vacate",TINew*D12,IF(I12="Market",Retention*TIRenewal*D12+(1-Retention)*TINew*D12,IF(I12="LeaseUp",TINew*D12,IF(I12="Option",TIRenewal*D12,0)))))+(IF(I12="Vacate",LCNew*H12*D12*(1+GrowthMarketRent)^3,IF(I12="Market",Retention*LCRenewal*H12*D12*(1+GrowthMarketRent)^3+(1-Retention)*LCNew*H12*D12*(1+GrowthMarketRent)^3,IF(I12="LeaseUp",LCNew*H12*D12*(1+GrowthMarketRent)^3,IF(I12="Option",LCRenewal*H12*D12*(1+GrowthMarketRent)^3,0))))),0))),0)</f>
        <v/>
      </c>
      <c r="AC12" s="14">
        <f>IFERROR(IF(AND(I12="LeaseUp",4=0),(IF(I12="Vacate",TINew*D12,IF(I12="Market",Retention*TIRenewal*D12+(1-Retention)*TINew*D12,IF(I12="LeaseUp",TINew*D12,IF(I12="Option",TIRenewal*D12,0)))))+(IF(I12="Vacate",LCNew*H12*D12*(1+GrowthMarketRent)^4,IF(I12="Market",Retention*LCRenewal*H12*D12*(1+GrowthMarketRent)^4+(1-Retention)*LCNew*H12*D12*(1+GrowthMarketRent)^4,IF(I12="LeaseUp",LCNew*H12*D12*(1+GrowthMarketRent)^4,IF(I12="Option",LCRenewal*H12*D12*(1+GrowthMarketRent)^4,0))))),IF(F12="",0,IF(AND(F12&gt;=DATE(2026+4,5,1),F12&lt;=DATE(2027+4,4,30)),(IF(I12="Vacate",TINew*D12,IF(I12="Market",Retention*TIRenewal*D12+(1-Retention)*TINew*D12,IF(I12="LeaseUp",TINew*D12,IF(I12="Option",TIRenewal*D12,0)))))+(IF(I12="Vacate",LCNew*H12*D12*(1+GrowthMarketRent)^4,IF(I12="Market",Retention*LCRenewal*H12*D12*(1+GrowthMarketRent)^4+(1-Retention)*LCNew*H12*D12*(1+GrowthMarketRent)^4,IF(I12="LeaseUp",LCNew*H12*D12*(1+GrowthMarketRent)^4,IF(I12="Option",LCRenewal*H12*D12*(1+GrowthMarketRent)^4,0))))),0))),0)</f>
        <v/>
      </c>
      <c r="AD12" s="14">
        <f>IFERROR(IF(AND(I12="LeaseUp",5=0),(IF(I12="Vacate",TINew*D12,IF(I12="Market",Retention*TIRenewal*D12+(1-Retention)*TINew*D12,IF(I12="LeaseUp",TINew*D12,IF(I12="Option",TIRenewal*D12,0)))))+(IF(I12="Vacate",LCNew*H12*D12*(1+GrowthMarketRent)^5,IF(I12="Market",Retention*LCRenewal*H12*D12*(1+GrowthMarketRent)^5+(1-Retention)*LCNew*H12*D12*(1+GrowthMarketRent)^5,IF(I12="LeaseUp",LCNew*H12*D12*(1+GrowthMarketRent)^5,IF(I12="Option",LCRenewal*H12*D12*(1+GrowthMarketRent)^5,0))))),IF(F12="",0,IF(AND(F12&gt;=DATE(2026+5,5,1),F12&lt;=DATE(2027+5,4,30)),(IF(I12="Vacate",TINew*D12,IF(I12="Market",Retention*TIRenewal*D12+(1-Retention)*TINew*D12,IF(I12="LeaseUp",TINew*D12,IF(I12="Option",TIRenewal*D12,0)))))+(IF(I12="Vacate",LCNew*H12*D12*(1+GrowthMarketRent)^5,IF(I12="Market",Retention*LCRenewal*H12*D12*(1+GrowthMarketRent)^5+(1-Retention)*LCNew*H12*D12*(1+GrowthMarketRent)^5,IF(I12="LeaseUp",LCNew*H12*D12*(1+GrowthMarketRent)^5,IF(I12="Option",LCRenewal*H12*D12*(1+GrowthMarketRent)^5,0))))),0))),0)</f>
        <v/>
      </c>
      <c r="AE12" s="14">
        <f>IFERROR(IF(AND(I12="LeaseUp",6=0),(IF(I12="Vacate",TINew*D12,IF(I12="Market",Retention*TIRenewal*D12+(1-Retention)*TINew*D12,IF(I12="LeaseUp",TINew*D12,IF(I12="Option",TIRenewal*D12,0)))))+(IF(I12="Vacate",LCNew*H12*D12*(1+GrowthMarketRent)^6,IF(I12="Market",Retention*LCRenewal*H12*D12*(1+GrowthMarketRent)^6+(1-Retention)*LCNew*H12*D12*(1+GrowthMarketRent)^6,IF(I12="LeaseUp",LCNew*H12*D12*(1+GrowthMarketRent)^6,IF(I12="Option",LCRenewal*H12*D12*(1+GrowthMarketRent)^6,0))))),IF(F12="",0,IF(AND(F12&gt;=DATE(2026+6,5,1),F12&lt;=DATE(2027+6,4,30)),(IF(I12="Vacate",TINew*D12,IF(I12="Market",Retention*TIRenewal*D12+(1-Retention)*TINew*D12,IF(I12="LeaseUp",TINew*D12,IF(I12="Option",TIRenewal*D12,0)))))+(IF(I12="Vacate",LCNew*H12*D12*(1+GrowthMarketRent)^6,IF(I12="Market",Retention*LCRenewal*H12*D12*(1+GrowthMarketRent)^6+(1-Retention)*LCNew*H12*D12*(1+GrowthMarketRent)^6,IF(I12="LeaseUp",LCNew*H12*D12*(1+GrowthMarketRent)^6,IF(I12="Option",LCRenewal*H12*D12*(1+GrowthMarketRent)^6,0))))),0))),0)</f>
        <v/>
      </c>
      <c r="AF12" s="14">
        <f>IFERROR(IF(AND(I12="LeaseUp",7=0),(IF(I12="Vacate",TINew*D12,IF(I12="Market",Retention*TIRenewal*D12+(1-Retention)*TINew*D12,IF(I12="LeaseUp",TINew*D12,IF(I12="Option",TIRenewal*D12,0)))))+(IF(I12="Vacate",LCNew*H12*D12*(1+GrowthMarketRent)^7,IF(I12="Market",Retention*LCRenewal*H12*D12*(1+GrowthMarketRent)^7+(1-Retention)*LCNew*H12*D12*(1+GrowthMarketRent)^7,IF(I12="LeaseUp",LCNew*H12*D12*(1+GrowthMarketRent)^7,IF(I12="Option",LCRenewal*H12*D12*(1+GrowthMarketRent)^7,0))))),IF(F12="",0,IF(AND(F12&gt;=DATE(2026+7,5,1),F12&lt;=DATE(2027+7,4,30)),(IF(I12="Vacate",TINew*D12,IF(I12="Market",Retention*TIRenewal*D12+(1-Retention)*TINew*D12,IF(I12="LeaseUp",TINew*D12,IF(I12="Option",TIRenewal*D12,0)))))+(IF(I12="Vacate",LCNew*H12*D12*(1+GrowthMarketRent)^7,IF(I12="Market",Retention*LCRenewal*H12*D12*(1+GrowthMarketRent)^7+(1-Retention)*LCNew*H12*D12*(1+GrowthMarketRent)^7,IF(I12="LeaseUp",LCNew*H12*D12*(1+GrowthMarketRent)^7,IF(I12="Option",LCRenewal*H12*D12*(1+GrowthMarketRent)^7,0))))),0))),0)</f>
        <v/>
      </c>
      <c r="AG12" s="14">
        <f>IFERROR(IF(AND(I12="LeaseUp",8=0),(IF(I12="Vacate",TINew*D12,IF(I12="Market",Retention*TIRenewal*D12+(1-Retention)*TINew*D12,IF(I12="LeaseUp",TINew*D12,IF(I12="Option",TIRenewal*D12,0)))))+(IF(I12="Vacate",LCNew*H12*D12*(1+GrowthMarketRent)^8,IF(I12="Market",Retention*LCRenewal*H12*D12*(1+GrowthMarketRent)^8+(1-Retention)*LCNew*H12*D12*(1+GrowthMarketRent)^8,IF(I12="LeaseUp",LCNew*H12*D12*(1+GrowthMarketRent)^8,IF(I12="Option",LCRenewal*H12*D12*(1+GrowthMarketRent)^8,0))))),IF(F12="",0,IF(AND(F12&gt;=DATE(2026+8,5,1),F12&lt;=DATE(2027+8,4,30)),(IF(I12="Vacate",TINew*D12,IF(I12="Market",Retention*TIRenewal*D12+(1-Retention)*TINew*D12,IF(I12="LeaseUp",TINew*D12,IF(I12="Option",TIRenewal*D12,0)))))+(IF(I12="Vacate",LCNew*H12*D12*(1+GrowthMarketRent)^8,IF(I12="Market",Retention*LCRenewal*H12*D12*(1+GrowthMarketRent)^8+(1-Retention)*LCNew*H12*D12*(1+GrowthMarketRent)^8,IF(I12="LeaseUp",LCNew*H12*D12*(1+GrowthMarketRent)^8,IF(I12="Option",LCRenewal*H12*D12*(1+GrowthMarketRent)^8,0))))),0))),0)</f>
        <v/>
      </c>
      <c r="AH12" s="14">
        <f>IFERROR(IF(AND(I12="LeaseUp",9=0),(IF(I12="Vacate",TINew*D12,IF(I12="Market",Retention*TIRenewal*D12+(1-Retention)*TINew*D12,IF(I12="LeaseUp",TINew*D12,IF(I12="Option",TIRenewal*D12,0)))))+(IF(I12="Vacate",LCNew*H12*D12*(1+GrowthMarketRent)^9,IF(I12="Market",Retention*LCRenewal*H12*D12*(1+GrowthMarketRent)^9+(1-Retention)*LCNew*H12*D12*(1+GrowthMarketRent)^9,IF(I12="LeaseUp",LCNew*H12*D12*(1+GrowthMarketRent)^9,IF(I12="Option",LCRenewal*H12*D12*(1+GrowthMarketRent)^9,0))))),IF(F12="",0,IF(AND(F12&gt;=DATE(2026+9,5,1),F12&lt;=DATE(2027+9,4,30)),(IF(I12="Vacate",TINew*D12,IF(I12="Market",Retention*TIRenewal*D12+(1-Retention)*TINew*D12,IF(I12="LeaseUp",TINew*D12,IF(I12="Option",TIRenewal*D12,0)))))+(IF(I12="Vacate",LCNew*H12*D12*(1+GrowthMarketRent)^9,IF(I12="Market",Retention*LCRenewal*H12*D12*(1+GrowthMarketRent)^9+(1-Retention)*LCNew*H12*D12*(1+GrowthMarketRent)^9,IF(I12="LeaseUp",LCNew*H12*D12*(1+GrowthMarketRent)^9,IF(I12="Option",LCRenewal*H12*D12*(1+GrowthMarketRent)^9,0))))),0))),0)</f>
        <v/>
      </c>
      <c r="AI12" s="14">
        <f>IFERROR(IF(AND(I12="LeaseUp",10=0),(IF(I12="Vacate",TINew*D12,IF(I12="Market",Retention*TIRenewal*D12+(1-Retention)*TINew*D12,IF(I12="LeaseUp",TINew*D12,IF(I12="Option",TIRenewal*D12,0)))))+(IF(I12="Vacate",LCNew*H12*D12*(1+GrowthMarketRent)^10,IF(I12="Market",Retention*LCRenewal*H12*D12*(1+GrowthMarketRent)^10+(1-Retention)*LCNew*H12*D12*(1+GrowthMarketRent)^10,IF(I12="LeaseUp",LCNew*H12*D12*(1+GrowthMarketRent)^10,IF(I12="Option",LCRenewal*H12*D12*(1+GrowthMarketRent)^10,0))))),IF(F12="",0,IF(AND(F12&gt;=DATE(2026+10,5,1),F12&lt;=DATE(2027+10,4,30)),(IF(I12="Vacate",TINew*D12,IF(I12="Market",Retention*TIRenewal*D12+(1-Retention)*TINew*D12,IF(I12="LeaseUp",TINew*D12,IF(I12="Option",TIRenewal*D12,0)))))+(IF(I12="Vacate",LCNew*H12*D12*(1+GrowthMarketRent)^10,IF(I12="Market",Retention*LCRenewal*H12*D12*(1+GrowthMarketRent)^10+(1-Retention)*LCNew*H12*D12*(1+GrowthMarketRent)^10,IF(I12="LeaseUp",LCNew*H12*D12*(1+GrowthMarketRent)^10,IF(I12="Option",LCRenewal*H12*D12*(1+GrowthMarketRent)^10,0))))),0))),0)</f>
        <v/>
      </c>
    </row>
    <row r="13">
      <c r="A13" t="inlineStr">
        <is>
          <t>Carrollton</t>
        </is>
      </c>
      <c r="B13" t="inlineStr">
        <is>
          <t>132</t>
        </is>
      </c>
      <c r="C13" t="inlineStr">
        <is>
          <t>The Vicla Shop LLC</t>
        </is>
      </c>
      <c r="D13" s="32" t="n">
        <v>2600</v>
      </c>
      <c r="E13" s="33" t="n">
        <v>45261</v>
      </c>
      <c r="F13" s="33" t="n">
        <v>47058</v>
      </c>
      <c r="G13" s="34" t="n">
        <v>15.4965384615385</v>
      </c>
      <c r="H13" s="16">
        <f>VLOOKUP("Carrollton — "&amp;J13,MLA!$A$5:$L$11,3,FALSE)</f>
        <v/>
      </c>
      <c r="I13" s="11" t="inlineStr">
        <is>
          <t>Market</t>
        </is>
      </c>
      <c r="J13" t="inlineStr">
        <is>
          <t>Shop</t>
        </is>
      </c>
      <c r="K13" t="inlineStr">
        <is>
          <t>Occupied</t>
        </is>
      </c>
      <c r="L13" t="inlineStr">
        <is>
          <t>Shop; Guarantor: Luth Wende / Rodney Ramos</t>
        </is>
      </c>
      <c r="M13" s="20">
        <f>IF(E13="",0,(AnalysisStart-E13)/365.25)</f>
        <v/>
      </c>
      <c r="N13" s="14">
        <f>IFERROR(IF(I13="LeaseUp",H13*D13*(1+GrowthMarketRent)^0*IF(0=0,(12-DowntimeNew)/12,1),IF(F13="",0,IF(F13&gt;=DATE(2027+0,4,30),G13*D13*(1+EscalatorInLease)^(0+M13),IF(F13&lt;DATE(2026+0,5,1),IF(I13="Vacate",H13*D13*(1+GrowthMarketRent)^0*IF(INT((DATE(2026+0,10,31)-F13)/365.25)=0,(12-DowntimeNew)/12,1),IF(I13="Option",G13*D13*1.025*(1+EscalatorInLease)^0,IF(I13="Market",Retention*G13*D13*(1+EscalatorInLease)^(0+M13)+(1-Retention)*H13*D13*(1+GrowthMarketRent)^0*IF(INT((DATE(2026+0,10,31)-F13)/365.25)=0,(12-DowntimeNew)/12,1),IF(I13="LeaseUp",H13*D13*(1+GrowthMarketRent)^0*IF(0=0,(12-DowntimeNew)/12,1),0)))),((F13-DATE(2026+0,5,1))/365.25)*G13*D13*(1+EscalatorInLease)^(0+M13)+((DATE(2027+0,4,30)-F13)/365.25)*IF(I13="Vacate",H13*D13*(1+GrowthMarketRent)^0*IF(INT((DATE(2026+0,10,31)-F13)/365.25)=0,(12-DowntimeNew)/12,1),IF(I13="Option",G13*D13*1.025*(1+EscalatorInLease)^0,IF(I13="Market",Retention*G13*D13*(1+EscalatorInLease)^(0+M13)+(1-Retention)*H13*D13*(1+GrowthMarketRent)^0*IF(INT((DATE(2026+0,10,31)-F13)/365.25)=0,(12-DowntimeNew)/12,1),IF(I13="LeaseUp",H13*D13*(1+GrowthMarketRent)^0*IF(0=0,(12-DowntimeNew)/12,1),0)))))))),0)</f>
        <v/>
      </c>
      <c r="O13" s="14">
        <f>IFERROR(IF(I13="LeaseUp",H13*D13*(1+GrowthMarketRent)^1*IF(1=0,(12-DowntimeNew)/12,1),IF(F13="",0,IF(F13&gt;=DATE(2027+1,4,30),G13*D13*(1+EscalatorInLease)^(1+M13),IF(F13&lt;DATE(2026+1,5,1),IF(I13="Vacate",H13*D13*(1+GrowthMarketRent)^1*IF(INT((DATE(2026+1,10,31)-F13)/365.25)=0,(12-DowntimeNew)/12,1),IF(I13="Option",G13*D13*1.025*(1+EscalatorInLease)^1,IF(I13="Market",Retention*G13*D13*(1+EscalatorInLease)^(1+M13)+(1-Retention)*H13*D13*(1+GrowthMarketRent)^1*IF(INT((DATE(2026+1,10,31)-F13)/365.25)=0,(12-DowntimeNew)/12,1),IF(I13="LeaseUp",H13*D13*(1+GrowthMarketRent)^1*IF(1=0,(12-DowntimeNew)/12,1),0)))),((F13-DATE(2026+1,5,1))/365.25)*G13*D13*(1+EscalatorInLease)^(1+M13)+((DATE(2027+1,4,30)-F13)/365.25)*IF(I13="Vacate",H13*D13*(1+GrowthMarketRent)^1*IF(INT((DATE(2026+1,10,31)-F13)/365.25)=0,(12-DowntimeNew)/12,1),IF(I13="Option",G13*D13*1.025*(1+EscalatorInLease)^1,IF(I13="Market",Retention*G13*D13*(1+EscalatorInLease)^(1+M13)+(1-Retention)*H13*D13*(1+GrowthMarketRent)^1*IF(INT((DATE(2026+1,10,31)-F13)/365.25)=0,(12-DowntimeNew)/12,1),IF(I13="LeaseUp",H13*D13*(1+GrowthMarketRent)^1*IF(1=0,(12-DowntimeNew)/12,1),0)))))))),0)</f>
        <v/>
      </c>
      <c r="P13" s="14">
        <f>IFERROR(IF(I13="LeaseUp",H13*D13*(1+GrowthMarketRent)^2*IF(2=0,(12-DowntimeNew)/12,1),IF(F13="",0,IF(F13&gt;=DATE(2027+2,4,30),G13*D13*(1+EscalatorInLease)^(2+M13),IF(F13&lt;DATE(2026+2,5,1),IF(I13="Vacate",H13*D13*(1+GrowthMarketRent)^2*IF(INT((DATE(2026+2,10,31)-F13)/365.25)=0,(12-DowntimeNew)/12,1),IF(I13="Option",G13*D13*1.025*(1+EscalatorInLease)^2,IF(I13="Market",Retention*G13*D13*(1+EscalatorInLease)^(2+M13)+(1-Retention)*H13*D13*(1+GrowthMarketRent)^2*IF(INT((DATE(2026+2,10,31)-F13)/365.25)=0,(12-DowntimeNew)/12,1),IF(I13="LeaseUp",H13*D13*(1+GrowthMarketRent)^2*IF(2=0,(12-DowntimeNew)/12,1),0)))),((F13-DATE(2026+2,5,1))/365.25)*G13*D13*(1+EscalatorInLease)^(2+M13)+((DATE(2027+2,4,30)-F13)/365.25)*IF(I13="Vacate",H13*D13*(1+GrowthMarketRent)^2*IF(INT((DATE(2026+2,10,31)-F13)/365.25)=0,(12-DowntimeNew)/12,1),IF(I13="Option",G13*D13*1.025*(1+EscalatorInLease)^2,IF(I13="Market",Retention*G13*D13*(1+EscalatorInLease)^(2+M13)+(1-Retention)*H13*D13*(1+GrowthMarketRent)^2*IF(INT((DATE(2026+2,10,31)-F13)/365.25)=0,(12-DowntimeNew)/12,1),IF(I13="LeaseUp",H13*D13*(1+GrowthMarketRent)^2*IF(2=0,(12-DowntimeNew)/12,1),0)))))))),0)</f>
        <v/>
      </c>
      <c r="Q13" s="14">
        <f>IFERROR(IF(I13="LeaseUp",H13*D13*(1+GrowthMarketRent)^3*IF(3=0,(12-DowntimeNew)/12,1),IF(F13="",0,IF(F13&gt;=DATE(2027+3,4,30),G13*D13*(1+EscalatorInLease)^(3+M13),IF(F13&lt;DATE(2026+3,5,1),IF(I13="Vacate",H13*D13*(1+GrowthMarketRent)^3*IF(INT((DATE(2026+3,10,31)-F13)/365.25)=0,(12-DowntimeNew)/12,1),IF(I13="Option",G13*D13*1.025*(1+EscalatorInLease)^3,IF(I13="Market",Retention*G13*D13*(1+EscalatorInLease)^(3+M13)+(1-Retention)*H13*D13*(1+GrowthMarketRent)^3*IF(INT((DATE(2026+3,10,31)-F13)/365.25)=0,(12-DowntimeNew)/12,1),IF(I13="LeaseUp",H13*D13*(1+GrowthMarketRent)^3*IF(3=0,(12-DowntimeNew)/12,1),0)))),((F13-DATE(2026+3,5,1))/365.25)*G13*D13*(1+EscalatorInLease)^(3+M13)+((DATE(2027+3,4,30)-F13)/365.25)*IF(I13="Vacate",H13*D13*(1+GrowthMarketRent)^3*IF(INT((DATE(2026+3,10,31)-F13)/365.25)=0,(12-DowntimeNew)/12,1),IF(I13="Option",G13*D13*1.025*(1+EscalatorInLease)^3,IF(I13="Market",Retention*G13*D13*(1+EscalatorInLease)^(3+M13)+(1-Retention)*H13*D13*(1+GrowthMarketRent)^3*IF(INT((DATE(2026+3,10,31)-F13)/365.25)=0,(12-DowntimeNew)/12,1),IF(I13="LeaseUp",H13*D13*(1+GrowthMarketRent)^3*IF(3=0,(12-DowntimeNew)/12,1),0)))))))),0)</f>
        <v/>
      </c>
      <c r="R13" s="14">
        <f>IFERROR(IF(I13="LeaseUp",H13*D13*(1+GrowthMarketRent)^4*IF(4=0,(12-DowntimeNew)/12,1),IF(F13="",0,IF(F13&gt;=DATE(2027+4,4,30),G13*D13*(1+EscalatorInLease)^(4+M13),IF(F13&lt;DATE(2026+4,5,1),IF(I13="Vacate",H13*D13*(1+GrowthMarketRent)^4*IF(INT((DATE(2026+4,10,31)-F13)/365.25)=0,(12-DowntimeNew)/12,1),IF(I13="Option",G13*D13*1.025*(1+EscalatorInLease)^4,IF(I13="Market",Retention*G13*D13*(1+EscalatorInLease)^(4+M13)+(1-Retention)*H13*D13*(1+GrowthMarketRent)^4*IF(INT((DATE(2026+4,10,31)-F13)/365.25)=0,(12-DowntimeNew)/12,1),IF(I13="LeaseUp",H13*D13*(1+GrowthMarketRent)^4*IF(4=0,(12-DowntimeNew)/12,1),0)))),((F13-DATE(2026+4,5,1))/365.25)*G13*D13*(1+EscalatorInLease)^(4+M13)+((DATE(2027+4,4,30)-F13)/365.25)*IF(I13="Vacate",H13*D13*(1+GrowthMarketRent)^4*IF(INT((DATE(2026+4,10,31)-F13)/365.25)=0,(12-DowntimeNew)/12,1),IF(I13="Option",G13*D13*1.025*(1+EscalatorInLease)^4,IF(I13="Market",Retention*G13*D13*(1+EscalatorInLease)^(4+M13)+(1-Retention)*H13*D13*(1+GrowthMarketRent)^4*IF(INT((DATE(2026+4,10,31)-F13)/365.25)=0,(12-DowntimeNew)/12,1),IF(I13="LeaseUp",H13*D13*(1+GrowthMarketRent)^4*IF(4=0,(12-DowntimeNew)/12,1),0)))))))),0)</f>
        <v/>
      </c>
      <c r="S13" s="14">
        <f>IFERROR(IF(I13="LeaseUp",H13*D13*(1+GrowthMarketRent)^5*IF(5=0,(12-DowntimeNew)/12,1),IF(F13="",0,IF(F13&gt;=DATE(2027+5,4,30),G13*D13*(1+EscalatorInLease)^(5+M13),IF(F13&lt;DATE(2026+5,5,1),IF(I13="Vacate",H13*D13*(1+GrowthMarketRent)^5*IF(INT((DATE(2026+5,10,31)-F13)/365.25)=0,(12-DowntimeNew)/12,1),IF(I13="Option",G13*D13*1.025*(1+EscalatorInLease)^5,IF(I13="Market",Retention*G13*D13*(1+EscalatorInLease)^(5+M13)+(1-Retention)*H13*D13*(1+GrowthMarketRent)^5*IF(INT((DATE(2026+5,10,31)-F13)/365.25)=0,(12-DowntimeNew)/12,1),IF(I13="LeaseUp",H13*D13*(1+GrowthMarketRent)^5*IF(5=0,(12-DowntimeNew)/12,1),0)))),((F13-DATE(2026+5,5,1))/365.25)*G13*D13*(1+EscalatorInLease)^(5+M13)+((DATE(2027+5,4,30)-F13)/365.25)*IF(I13="Vacate",H13*D13*(1+GrowthMarketRent)^5*IF(INT((DATE(2026+5,10,31)-F13)/365.25)=0,(12-DowntimeNew)/12,1),IF(I13="Option",G13*D13*1.025*(1+EscalatorInLease)^5,IF(I13="Market",Retention*G13*D13*(1+EscalatorInLease)^(5+M13)+(1-Retention)*H13*D13*(1+GrowthMarketRent)^5*IF(INT((DATE(2026+5,10,31)-F13)/365.25)=0,(12-DowntimeNew)/12,1),IF(I13="LeaseUp",H13*D13*(1+GrowthMarketRent)^5*IF(5=0,(12-DowntimeNew)/12,1),0)))))))),0)</f>
        <v/>
      </c>
      <c r="T13" s="14">
        <f>IFERROR(IF(I13="LeaseUp",H13*D13*(1+GrowthMarketRent)^6*IF(6=0,(12-DowntimeNew)/12,1),IF(F13="",0,IF(F13&gt;=DATE(2027+6,4,30),G13*D13*(1+EscalatorInLease)^(6+M13),IF(F13&lt;DATE(2026+6,5,1),IF(I13="Vacate",H13*D13*(1+GrowthMarketRent)^6*IF(INT((DATE(2026+6,10,31)-F13)/365.25)=0,(12-DowntimeNew)/12,1),IF(I13="Option",G13*D13*1.025*(1+EscalatorInLease)^6,IF(I13="Market",Retention*G13*D13*(1+EscalatorInLease)^(6+M13)+(1-Retention)*H13*D13*(1+GrowthMarketRent)^6*IF(INT((DATE(2026+6,10,31)-F13)/365.25)=0,(12-DowntimeNew)/12,1),IF(I13="LeaseUp",H13*D13*(1+GrowthMarketRent)^6*IF(6=0,(12-DowntimeNew)/12,1),0)))),((F13-DATE(2026+6,5,1))/365.25)*G13*D13*(1+EscalatorInLease)^(6+M13)+((DATE(2027+6,4,30)-F13)/365.25)*IF(I13="Vacate",H13*D13*(1+GrowthMarketRent)^6*IF(INT((DATE(2026+6,10,31)-F13)/365.25)=0,(12-DowntimeNew)/12,1),IF(I13="Option",G13*D13*1.025*(1+EscalatorInLease)^6,IF(I13="Market",Retention*G13*D13*(1+EscalatorInLease)^(6+M13)+(1-Retention)*H13*D13*(1+GrowthMarketRent)^6*IF(INT((DATE(2026+6,10,31)-F13)/365.25)=0,(12-DowntimeNew)/12,1),IF(I13="LeaseUp",H13*D13*(1+GrowthMarketRent)^6*IF(6=0,(12-DowntimeNew)/12,1),0)))))))),0)</f>
        <v/>
      </c>
      <c r="U13" s="14">
        <f>IFERROR(IF(I13="LeaseUp",H13*D13*(1+GrowthMarketRent)^7*IF(7=0,(12-DowntimeNew)/12,1),IF(F13="",0,IF(F13&gt;=DATE(2027+7,4,30),G13*D13*(1+EscalatorInLease)^(7+M13),IF(F13&lt;DATE(2026+7,5,1),IF(I13="Vacate",H13*D13*(1+GrowthMarketRent)^7*IF(INT((DATE(2026+7,10,31)-F13)/365.25)=0,(12-DowntimeNew)/12,1),IF(I13="Option",G13*D13*1.025*(1+EscalatorInLease)^7,IF(I13="Market",Retention*G13*D13*(1+EscalatorInLease)^(7+M13)+(1-Retention)*H13*D13*(1+GrowthMarketRent)^7*IF(INT((DATE(2026+7,10,31)-F13)/365.25)=0,(12-DowntimeNew)/12,1),IF(I13="LeaseUp",H13*D13*(1+GrowthMarketRent)^7*IF(7=0,(12-DowntimeNew)/12,1),0)))),((F13-DATE(2026+7,5,1))/365.25)*G13*D13*(1+EscalatorInLease)^(7+M13)+((DATE(2027+7,4,30)-F13)/365.25)*IF(I13="Vacate",H13*D13*(1+GrowthMarketRent)^7*IF(INT((DATE(2026+7,10,31)-F13)/365.25)=0,(12-DowntimeNew)/12,1),IF(I13="Option",G13*D13*1.025*(1+EscalatorInLease)^7,IF(I13="Market",Retention*G13*D13*(1+EscalatorInLease)^(7+M13)+(1-Retention)*H13*D13*(1+GrowthMarketRent)^7*IF(INT((DATE(2026+7,10,31)-F13)/365.25)=0,(12-DowntimeNew)/12,1),IF(I13="LeaseUp",H13*D13*(1+GrowthMarketRent)^7*IF(7=0,(12-DowntimeNew)/12,1),0)))))))),0)</f>
        <v/>
      </c>
      <c r="V13" s="14">
        <f>IFERROR(IF(I13="LeaseUp",H13*D13*(1+GrowthMarketRent)^8*IF(8=0,(12-DowntimeNew)/12,1),IF(F13="",0,IF(F13&gt;=DATE(2027+8,4,30),G13*D13*(1+EscalatorInLease)^(8+M13),IF(F13&lt;DATE(2026+8,5,1),IF(I13="Vacate",H13*D13*(1+GrowthMarketRent)^8*IF(INT((DATE(2026+8,10,31)-F13)/365.25)=0,(12-DowntimeNew)/12,1),IF(I13="Option",G13*D13*1.025*(1+EscalatorInLease)^8,IF(I13="Market",Retention*G13*D13*(1+EscalatorInLease)^(8+M13)+(1-Retention)*H13*D13*(1+GrowthMarketRent)^8*IF(INT((DATE(2026+8,10,31)-F13)/365.25)=0,(12-DowntimeNew)/12,1),IF(I13="LeaseUp",H13*D13*(1+GrowthMarketRent)^8*IF(8=0,(12-DowntimeNew)/12,1),0)))),((F13-DATE(2026+8,5,1))/365.25)*G13*D13*(1+EscalatorInLease)^(8+M13)+((DATE(2027+8,4,30)-F13)/365.25)*IF(I13="Vacate",H13*D13*(1+GrowthMarketRent)^8*IF(INT((DATE(2026+8,10,31)-F13)/365.25)=0,(12-DowntimeNew)/12,1),IF(I13="Option",G13*D13*1.025*(1+EscalatorInLease)^8,IF(I13="Market",Retention*G13*D13*(1+EscalatorInLease)^(8+M13)+(1-Retention)*H13*D13*(1+GrowthMarketRent)^8*IF(INT((DATE(2026+8,10,31)-F13)/365.25)=0,(12-DowntimeNew)/12,1),IF(I13="LeaseUp",H13*D13*(1+GrowthMarketRent)^8*IF(8=0,(12-DowntimeNew)/12,1),0)))))))),0)</f>
        <v/>
      </c>
      <c r="W13" s="14">
        <f>IFERROR(IF(I13="LeaseUp",H13*D13*(1+GrowthMarketRent)^9*IF(9=0,(12-DowntimeNew)/12,1),IF(F13="",0,IF(F13&gt;=DATE(2027+9,4,30),G13*D13*(1+EscalatorInLease)^(9+M13),IF(F13&lt;DATE(2026+9,5,1),IF(I13="Vacate",H13*D13*(1+GrowthMarketRent)^9*IF(INT((DATE(2026+9,10,31)-F13)/365.25)=0,(12-DowntimeNew)/12,1),IF(I13="Option",G13*D13*1.025*(1+EscalatorInLease)^9,IF(I13="Market",Retention*G13*D13*(1+EscalatorInLease)^(9+M13)+(1-Retention)*H13*D13*(1+GrowthMarketRent)^9*IF(INT((DATE(2026+9,10,31)-F13)/365.25)=0,(12-DowntimeNew)/12,1),IF(I13="LeaseUp",H13*D13*(1+GrowthMarketRent)^9*IF(9=0,(12-DowntimeNew)/12,1),0)))),((F13-DATE(2026+9,5,1))/365.25)*G13*D13*(1+EscalatorInLease)^(9+M13)+((DATE(2027+9,4,30)-F13)/365.25)*IF(I13="Vacate",H13*D13*(1+GrowthMarketRent)^9*IF(INT((DATE(2026+9,10,31)-F13)/365.25)=0,(12-DowntimeNew)/12,1),IF(I13="Option",G13*D13*1.025*(1+EscalatorInLease)^9,IF(I13="Market",Retention*G13*D13*(1+EscalatorInLease)^(9+M13)+(1-Retention)*H13*D13*(1+GrowthMarketRent)^9*IF(INT((DATE(2026+9,10,31)-F13)/365.25)=0,(12-DowntimeNew)/12,1),IF(I13="LeaseUp",H13*D13*(1+GrowthMarketRent)^9*IF(9=0,(12-DowntimeNew)/12,1),0)))))))),0)</f>
        <v/>
      </c>
      <c r="X13" s="14">
        <f>IFERROR(IF(I13="LeaseUp",H13*D13*(1+GrowthMarketRent)^10*IF(10=0,(12-DowntimeNew)/12,1),IF(F13="",0,IF(F13&gt;=DATE(2027+10,4,30),G13*D13*(1+EscalatorInLease)^(10+M13),IF(F13&lt;DATE(2026+10,5,1),IF(I13="Vacate",H13*D13*(1+GrowthMarketRent)^10*IF(INT((DATE(2026+10,10,31)-F13)/365.25)=0,(12-DowntimeNew)/12,1),IF(I13="Option",G13*D13*1.025*(1+EscalatorInLease)^10,IF(I13="Market",Retention*G13*D13*(1+EscalatorInLease)^(10+M13)+(1-Retention)*H13*D13*(1+GrowthMarketRent)^10*IF(INT((DATE(2026+10,10,31)-F13)/365.25)=0,(12-DowntimeNew)/12,1),IF(I13="LeaseUp",H13*D13*(1+GrowthMarketRent)^10*IF(10=0,(12-DowntimeNew)/12,1),0)))),((F13-DATE(2026+10,5,1))/365.25)*G13*D13*(1+EscalatorInLease)^(10+M13)+((DATE(2027+10,4,30)-F13)/365.25)*IF(I13="Vacate",H13*D13*(1+GrowthMarketRent)^10*IF(INT((DATE(2026+10,10,31)-F13)/365.25)=0,(12-DowntimeNew)/12,1),IF(I13="Option",G13*D13*1.025*(1+EscalatorInLease)^10,IF(I13="Market",Retention*G13*D13*(1+EscalatorInLease)^(10+M13)+(1-Retention)*H13*D13*(1+GrowthMarketRent)^10*IF(INT((DATE(2026+10,10,31)-F13)/365.25)=0,(12-DowntimeNew)/12,1),IF(I13="LeaseUp",H13*D13*(1+GrowthMarketRent)^10*IF(10=0,(12-DowntimeNew)/12,1),0)))))))),0)</f>
        <v/>
      </c>
      <c r="Y13" s="14">
        <f>IFERROR(IF(AND(I13="LeaseUp",0=0),(IF(I13="Vacate",TINew*D13,IF(I13="Market",Retention*TIRenewal*D13+(1-Retention)*TINew*D13,IF(I13="LeaseUp",TINew*D13,IF(I13="Option",TIRenewal*D13,0)))))+(IF(I13="Vacate",LCNew*H13*D13*(1+GrowthMarketRent)^0,IF(I13="Market",Retention*LCRenewal*H13*D13*(1+GrowthMarketRent)^0+(1-Retention)*LCNew*H13*D13*(1+GrowthMarketRent)^0,IF(I13="LeaseUp",LCNew*H13*D13*(1+GrowthMarketRent)^0,IF(I13="Option",LCRenewal*H13*D13*(1+GrowthMarketRent)^0,0))))),IF(F13="",0,IF(AND(F13&gt;=DATE(2026+0,5,1),F13&lt;=DATE(2027+0,4,30)),(IF(I13="Vacate",TINew*D13,IF(I13="Market",Retention*TIRenewal*D13+(1-Retention)*TINew*D13,IF(I13="LeaseUp",TINew*D13,IF(I13="Option",TIRenewal*D13,0)))))+(IF(I13="Vacate",LCNew*H13*D13*(1+GrowthMarketRent)^0,IF(I13="Market",Retention*LCRenewal*H13*D13*(1+GrowthMarketRent)^0+(1-Retention)*LCNew*H13*D13*(1+GrowthMarketRent)^0,IF(I13="LeaseUp",LCNew*H13*D13*(1+GrowthMarketRent)^0,IF(I13="Option",LCRenewal*H13*D13*(1+GrowthMarketRent)^0,0))))),0))),0)</f>
        <v/>
      </c>
      <c r="Z13" s="14">
        <f>IFERROR(IF(AND(I13="LeaseUp",1=0),(IF(I13="Vacate",TINew*D13,IF(I13="Market",Retention*TIRenewal*D13+(1-Retention)*TINew*D13,IF(I13="LeaseUp",TINew*D13,IF(I13="Option",TIRenewal*D13,0)))))+(IF(I13="Vacate",LCNew*H13*D13*(1+GrowthMarketRent)^1,IF(I13="Market",Retention*LCRenewal*H13*D13*(1+GrowthMarketRent)^1+(1-Retention)*LCNew*H13*D13*(1+GrowthMarketRent)^1,IF(I13="LeaseUp",LCNew*H13*D13*(1+GrowthMarketRent)^1,IF(I13="Option",LCRenewal*H13*D13*(1+GrowthMarketRent)^1,0))))),IF(F13="",0,IF(AND(F13&gt;=DATE(2026+1,5,1),F13&lt;=DATE(2027+1,4,30)),(IF(I13="Vacate",TINew*D13,IF(I13="Market",Retention*TIRenewal*D13+(1-Retention)*TINew*D13,IF(I13="LeaseUp",TINew*D13,IF(I13="Option",TIRenewal*D13,0)))))+(IF(I13="Vacate",LCNew*H13*D13*(1+GrowthMarketRent)^1,IF(I13="Market",Retention*LCRenewal*H13*D13*(1+GrowthMarketRent)^1+(1-Retention)*LCNew*H13*D13*(1+GrowthMarketRent)^1,IF(I13="LeaseUp",LCNew*H13*D13*(1+GrowthMarketRent)^1,IF(I13="Option",LCRenewal*H13*D13*(1+GrowthMarketRent)^1,0))))),0))),0)</f>
        <v/>
      </c>
      <c r="AA13" s="14">
        <f>IFERROR(IF(AND(I13="LeaseUp",2=0),(IF(I13="Vacate",TINew*D13,IF(I13="Market",Retention*TIRenewal*D13+(1-Retention)*TINew*D13,IF(I13="LeaseUp",TINew*D13,IF(I13="Option",TIRenewal*D13,0)))))+(IF(I13="Vacate",LCNew*H13*D13*(1+GrowthMarketRent)^2,IF(I13="Market",Retention*LCRenewal*H13*D13*(1+GrowthMarketRent)^2+(1-Retention)*LCNew*H13*D13*(1+GrowthMarketRent)^2,IF(I13="LeaseUp",LCNew*H13*D13*(1+GrowthMarketRent)^2,IF(I13="Option",LCRenewal*H13*D13*(1+GrowthMarketRent)^2,0))))),IF(F13="",0,IF(AND(F13&gt;=DATE(2026+2,5,1),F13&lt;=DATE(2027+2,4,30)),(IF(I13="Vacate",TINew*D13,IF(I13="Market",Retention*TIRenewal*D13+(1-Retention)*TINew*D13,IF(I13="LeaseUp",TINew*D13,IF(I13="Option",TIRenewal*D13,0)))))+(IF(I13="Vacate",LCNew*H13*D13*(1+GrowthMarketRent)^2,IF(I13="Market",Retention*LCRenewal*H13*D13*(1+GrowthMarketRent)^2+(1-Retention)*LCNew*H13*D13*(1+GrowthMarketRent)^2,IF(I13="LeaseUp",LCNew*H13*D13*(1+GrowthMarketRent)^2,IF(I13="Option",LCRenewal*H13*D13*(1+GrowthMarketRent)^2,0))))),0))),0)</f>
        <v/>
      </c>
      <c r="AB13" s="14">
        <f>IFERROR(IF(AND(I13="LeaseUp",3=0),(IF(I13="Vacate",TINew*D13,IF(I13="Market",Retention*TIRenewal*D13+(1-Retention)*TINew*D13,IF(I13="LeaseUp",TINew*D13,IF(I13="Option",TIRenewal*D13,0)))))+(IF(I13="Vacate",LCNew*H13*D13*(1+GrowthMarketRent)^3,IF(I13="Market",Retention*LCRenewal*H13*D13*(1+GrowthMarketRent)^3+(1-Retention)*LCNew*H13*D13*(1+GrowthMarketRent)^3,IF(I13="LeaseUp",LCNew*H13*D13*(1+GrowthMarketRent)^3,IF(I13="Option",LCRenewal*H13*D13*(1+GrowthMarketRent)^3,0))))),IF(F13="",0,IF(AND(F13&gt;=DATE(2026+3,5,1),F13&lt;=DATE(2027+3,4,30)),(IF(I13="Vacate",TINew*D13,IF(I13="Market",Retention*TIRenewal*D13+(1-Retention)*TINew*D13,IF(I13="LeaseUp",TINew*D13,IF(I13="Option",TIRenewal*D13,0)))))+(IF(I13="Vacate",LCNew*H13*D13*(1+GrowthMarketRent)^3,IF(I13="Market",Retention*LCRenewal*H13*D13*(1+GrowthMarketRent)^3+(1-Retention)*LCNew*H13*D13*(1+GrowthMarketRent)^3,IF(I13="LeaseUp",LCNew*H13*D13*(1+GrowthMarketRent)^3,IF(I13="Option",LCRenewal*H13*D13*(1+GrowthMarketRent)^3,0))))),0))),0)</f>
        <v/>
      </c>
      <c r="AC13" s="14">
        <f>IFERROR(IF(AND(I13="LeaseUp",4=0),(IF(I13="Vacate",TINew*D13,IF(I13="Market",Retention*TIRenewal*D13+(1-Retention)*TINew*D13,IF(I13="LeaseUp",TINew*D13,IF(I13="Option",TIRenewal*D13,0)))))+(IF(I13="Vacate",LCNew*H13*D13*(1+GrowthMarketRent)^4,IF(I13="Market",Retention*LCRenewal*H13*D13*(1+GrowthMarketRent)^4+(1-Retention)*LCNew*H13*D13*(1+GrowthMarketRent)^4,IF(I13="LeaseUp",LCNew*H13*D13*(1+GrowthMarketRent)^4,IF(I13="Option",LCRenewal*H13*D13*(1+GrowthMarketRent)^4,0))))),IF(F13="",0,IF(AND(F13&gt;=DATE(2026+4,5,1),F13&lt;=DATE(2027+4,4,30)),(IF(I13="Vacate",TINew*D13,IF(I13="Market",Retention*TIRenewal*D13+(1-Retention)*TINew*D13,IF(I13="LeaseUp",TINew*D13,IF(I13="Option",TIRenewal*D13,0)))))+(IF(I13="Vacate",LCNew*H13*D13*(1+GrowthMarketRent)^4,IF(I13="Market",Retention*LCRenewal*H13*D13*(1+GrowthMarketRent)^4+(1-Retention)*LCNew*H13*D13*(1+GrowthMarketRent)^4,IF(I13="LeaseUp",LCNew*H13*D13*(1+GrowthMarketRent)^4,IF(I13="Option",LCRenewal*H13*D13*(1+GrowthMarketRent)^4,0))))),0))),0)</f>
        <v/>
      </c>
      <c r="AD13" s="14">
        <f>IFERROR(IF(AND(I13="LeaseUp",5=0),(IF(I13="Vacate",TINew*D13,IF(I13="Market",Retention*TIRenewal*D13+(1-Retention)*TINew*D13,IF(I13="LeaseUp",TINew*D13,IF(I13="Option",TIRenewal*D13,0)))))+(IF(I13="Vacate",LCNew*H13*D13*(1+GrowthMarketRent)^5,IF(I13="Market",Retention*LCRenewal*H13*D13*(1+GrowthMarketRent)^5+(1-Retention)*LCNew*H13*D13*(1+GrowthMarketRent)^5,IF(I13="LeaseUp",LCNew*H13*D13*(1+GrowthMarketRent)^5,IF(I13="Option",LCRenewal*H13*D13*(1+GrowthMarketRent)^5,0))))),IF(F13="",0,IF(AND(F13&gt;=DATE(2026+5,5,1),F13&lt;=DATE(2027+5,4,30)),(IF(I13="Vacate",TINew*D13,IF(I13="Market",Retention*TIRenewal*D13+(1-Retention)*TINew*D13,IF(I13="LeaseUp",TINew*D13,IF(I13="Option",TIRenewal*D13,0)))))+(IF(I13="Vacate",LCNew*H13*D13*(1+GrowthMarketRent)^5,IF(I13="Market",Retention*LCRenewal*H13*D13*(1+GrowthMarketRent)^5+(1-Retention)*LCNew*H13*D13*(1+GrowthMarketRent)^5,IF(I13="LeaseUp",LCNew*H13*D13*(1+GrowthMarketRent)^5,IF(I13="Option",LCRenewal*H13*D13*(1+GrowthMarketRent)^5,0))))),0))),0)</f>
        <v/>
      </c>
      <c r="AE13" s="14">
        <f>IFERROR(IF(AND(I13="LeaseUp",6=0),(IF(I13="Vacate",TINew*D13,IF(I13="Market",Retention*TIRenewal*D13+(1-Retention)*TINew*D13,IF(I13="LeaseUp",TINew*D13,IF(I13="Option",TIRenewal*D13,0)))))+(IF(I13="Vacate",LCNew*H13*D13*(1+GrowthMarketRent)^6,IF(I13="Market",Retention*LCRenewal*H13*D13*(1+GrowthMarketRent)^6+(1-Retention)*LCNew*H13*D13*(1+GrowthMarketRent)^6,IF(I13="LeaseUp",LCNew*H13*D13*(1+GrowthMarketRent)^6,IF(I13="Option",LCRenewal*H13*D13*(1+GrowthMarketRent)^6,0))))),IF(F13="",0,IF(AND(F13&gt;=DATE(2026+6,5,1),F13&lt;=DATE(2027+6,4,30)),(IF(I13="Vacate",TINew*D13,IF(I13="Market",Retention*TIRenewal*D13+(1-Retention)*TINew*D13,IF(I13="LeaseUp",TINew*D13,IF(I13="Option",TIRenewal*D13,0)))))+(IF(I13="Vacate",LCNew*H13*D13*(1+GrowthMarketRent)^6,IF(I13="Market",Retention*LCRenewal*H13*D13*(1+GrowthMarketRent)^6+(1-Retention)*LCNew*H13*D13*(1+GrowthMarketRent)^6,IF(I13="LeaseUp",LCNew*H13*D13*(1+GrowthMarketRent)^6,IF(I13="Option",LCRenewal*H13*D13*(1+GrowthMarketRent)^6,0))))),0))),0)</f>
        <v/>
      </c>
      <c r="AF13" s="14">
        <f>IFERROR(IF(AND(I13="LeaseUp",7=0),(IF(I13="Vacate",TINew*D13,IF(I13="Market",Retention*TIRenewal*D13+(1-Retention)*TINew*D13,IF(I13="LeaseUp",TINew*D13,IF(I13="Option",TIRenewal*D13,0)))))+(IF(I13="Vacate",LCNew*H13*D13*(1+GrowthMarketRent)^7,IF(I13="Market",Retention*LCRenewal*H13*D13*(1+GrowthMarketRent)^7+(1-Retention)*LCNew*H13*D13*(1+GrowthMarketRent)^7,IF(I13="LeaseUp",LCNew*H13*D13*(1+GrowthMarketRent)^7,IF(I13="Option",LCRenewal*H13*D13*(1+GrowthMarketRent)^7,0))))),IF(F13="",0,IF(AND(F13&gt;=DATE(2026+7,5,1),F13&lt;=DATE(2027+7,4,30)),(IF(I13="Vacate",TINew*D13,IF(I13="Market",Retention*TIRenewal*D13+(1-Retention)*TINew*D13,IF(I13="LeaseUp",TINew*D13,IF(I13="Option",TIRenewal*D13,0)))))+(IF(I13="Vacate",LCNew*H13*D13*(1+GrowthMarketRent)^7,IF(I13="Market",Retention*LCRenewal*H13*D13*(1+GrowthMarketRent)^7+(1-Retention)*LCNew*H13*D13*(1+GrowthMarketRent)^7,IF(I13="LeaseUp",LCNew*H13*D13*(1+GrowthMarketRent)^7,IF(I13="Option",LCRenewal*H13*D13*(1+GrowthMarketRent)^7,0))))),0))),0)</f>
        <v/>
      </c>
      <c r="AG13" s="14">
        <f>IFERROR(IF(AND(I13="LeaseUp",8=0),(IF(I13="Vacate",TINew*D13,IF(I13="Market",Retention*TIRenewal*D13+(1-Retention)*TINew*D13,IF(I13="LeaseUp",TINew*D13,IF(I13="Option",TIRenewal*D13,0)))))+(IF(I13="Vacate",LCNew*H13*D13*(1+GrowthMarketRent)^8,IF(I13="Market",Retention*LCRenewal*H13*D13*(1+GrowthMarketRent)^8+(1-Retention)*LCNew*H13*D13*(1+GrowthMarketRent)^8,IF(I13="LeaseUp",LCNew*H13*D13*(1+GrowthMarketRent)^8,IF(I13="Option",LCRenewal*H13*D13*(1+GrowthMarketRent)^8,0))))),IF(F13="",0,IF(AND(F13&gt;=DATE(2026+8,5,1),F13&lt;=DATE(2027+8,4,30)),(IF(I13="Vacate",TINew*D13,IF(I13="Market",Retention*TIRenewal*D13+(1-Retention)*TINew*D13,IF(I13="LeaseUp",TINew*D13,IF(I13="Option",TIRenewal*D13,0)))))+(IF(I13="Vacate",LCNew*H13*D13*(1+GrowthMarketRent)^8,IF(I13="Market",Retention*LCRenewal*H13*D13*(1+GrowthMarketRent)^8+(1-Retention)*LCNew*H13*D13*(1+GrowthMarketRent)^8,IF(I13="LeaseUp",LCNew*H13*D13*(1+GrowthMarketRent)^8,IF(I13="Option",LCRenewal*H13*D13*(1+GrowthMarketRent)^8,0))))),0))),0)</f>
        <v/>
      </c>
      <c r="AH13" s="14">
        <f>IFERROR(IF(AND(I13="LeaseUp",9=0),(IF(I13="Vacate",TINew*D13,IF(I13="Market",Retention*TIRenewal*D13+(1-Retention)*TINew*D13,IF(I13="LeaseUp",TINew*D13,IF(I13="Option",TIRenewal*D13,0)))))+(IF(I13="Vacate",LCNew*H13*D13*(1+GrowthMarketRent)^9,IF(I13="Market",Retention*LCRenewal*H13*D13*(1+GrowthMarketRent)^9+(1-Retention)*LCNew*H13*D13*(1+GrowthMarketRent)^9,IF(I13="LeaseUp",LCNew*H13*D13*(1+GrowthMarketRent)^9,IF(I13="Option",LCRenewal*H13*D13*(1+GrowthMarketRent)^9,0))))),IF(F13="",0,IF(AND(F13&gt;=DATE(2026+9,5,1),F13&lt;=DATE(2027+9,4,30)),(IF(I13="Vacate",TINew*D13,IF(I13="Market",Retention*TIRenewal*D13+(1-Retention)*TINew*D13,IF(I13="LeaseUp",TINew*D13,IF(I13="Option",TIRenewal*D13,0)))))+(IF(I13="Vacate",LCNew*H13*D13*(1+GrowthMarketRent)^9,IF(I13="Market",Retention*LCRenewal*H13*D13*(1+GrowthMarketRent)^9+(1-Retention)*LCNew*H13*D13*(1+GrowthMarketRent)^9,IF(I13="LeaseUp",LCNew*H13*D13*(1+GrowthMarketRent)^9,IF(I13="Option",LCRenewal*H13*D13*(1+GrowthMarketRent)^9,0))))),0))),0)</f>
        <v/>
      </c>
      <c r="AI13" s="14">
        <f>IFERROR(IF(AND(I13="LeaseUp",10=0),(IF(I13="Vacate",TINew*D13,IF(I13="Market",Retention*TIRenewal*D13+(1-Retention)*TINew*D13,IF(I13="LeaseUp",TINew*D13,IF(I13="Option",TIRenewal*D13,0)))))+(IF(I13="Vacate",LCNew*H13*D13*(1+GrowthMarketRent)^10,IF(I13="Market",Retention*LCRenewal*H13*D13*(1+GrowthMarketRent)^10+(1-Retention)*LCNew*H13*D13*(1+GrowthMarketRent)^10,IF(I13="LeaseUp",LCNew*H13*D13*(1+GrowthMarketRent)^10,IF(I13="Option",LCRenewal*H13*D13*(1+GrowthMarketRent)^10,0))))),IF(F13="",0,IF(AND(F13&gt;=DATE(2026+10,5,1),F13&lt;=DATE(2027+10,4,30)),(IF(I13="Vacate",TINew*D13,IF(I13="Market",Retention*TIRenewal*D13+(1-Retention)*TINew*D13,IF(I13="LeaseUp",TINew*D13,IF(I13="Option",TIRenewal*D13,0)))))+(IF(I13="Vacate",LCNew*H13*D13*(1+GrowthMarketRent)^10,IF(I13="Market",Retention*LCRenewal*H13*D13*(1+GrowthMarketRent)^10+(1-Retention)*LCNew*H13*D13*(1+GrowthMarketRent)^10,IF(I13="LeaseUp",LCNew*H13*D13*(1+GrowthMarketRent)^10,IF(I13="Option",LCRenewal*H13*D13*(1+GrowthMarketRent)^10,0))))),0))),0)</f>
        <v/>
      </c>
    </row>
    <row r="14">
      <c r="A14" t="inlineStr">
        <is>
          <t>Carrollton</t>
        </is>
      </c>
      <c r="B14" t="inlineStr">
        <is>
          <t>136</t>
        </is>
      </c>
      <c r="C14" t="inlineStr">
        <is>
          <t>March Motorsports LLC</t>
        </is>
      </c>
      <c r="D14" s="32" t="n">
        <v>4525</v>
      </c>
      <c r="E14" s="33" t="n">
        <v>45261</v>
      </c>
      <c r="F14" s="33" t="n">
        <v>46508</v>
      </c>
      <c r="G14" s="34" t="n">
        <v>15.4967955801105</v>
      </c>
      <c r="H14" s="16">
        <f>VLOOKUP("Carrollton — "&amp;J14,MLA!$A$5:$L$11,3,FALSE)</f>
        <v/>
      </c>
      <c r="I14" s="11" t="inlineStr">
        <is>
          <t>Market</t>
        </is>
      </c>
      <c r="J14" t="inlineStr">
        <is>
          <t>Shop</t>
        </is>
      </c>
      <c r="K14" t="inlineStr">
        <is>
          <t>Occupied</t>
        </is>
      </c>
      <c r="L14" t="inlineStr">
        <is>
          <t>Shop; Guarantor: Dalton March</t>
        </is>
      </c>
      <c r="M14" s="20">
        <f>IF(E14="",0,(AnalysisStart-E14)/365.25)</f>
        <v/>
      </c>
      <c r="N14" s="14">
        <f>IFERROR(IF(I14="LeaseUp",H14*D14*(1+GrowthMarketRent)^0*IF(0=0,(12-DowntimeNew)/12,1),IF(F14="",0,IF(F14&gt;=DATE(2027+0,4,30),G14*D14*(1+EscalatorInLease)^(0+M14),IF(F14&lt;DATE(2026+0,5,1),IF(I14="Vacate",H14*D14*(1+GrowthMarketRent)^0*IF(INT((DATE(2026+0,10,31)-F14)/365.25)=0,(12-DowntimeNew)/12,1),IF(I14="Option",G14*D14*1.025*(1+EscalatorInLease)^0,IF(I14="Market",Retention*G14*D14*(1+EscalatorInLease)^(0+M14)+(1-Retention)*H14*D14*(1+GrowthMarketRent)^0*IF(INT((DATE(2026+0,10,31)-F14)/365.25)=0,(12-DowntimeNew)/12,1),IF(I14="LeaseUp",H14*D14*(1+GrowthMarketRent)^0*IF(0=0,(12-DowntimeNew)/12,1),0)))),((F14-DATE(2026+0,5,1))/365.25)*G14*D14*(1+EscalatorInLease)^(0+M14)+((DATE(2027+0,4,30)-F14)/365.25)*IF(I14="Vacate",H14*D14*(1+GrowthMarketRent)^0*IF(INT((DATE(2026+0,10,31)-F14)/365.25)=0,(12-DowntimeNew)/12,1),IF(I14="Option",G14*D14*1.025*(1+EscalatorInLease)^0,IF(I14="Market",Retention*G14*D14*(1+EscalatorInLease)^(0+M14)+(1-Retention)*H14*D14*(1+GrowthMarketRent)^0*IF(INT((DATE(2026+0,10,31)-F14)/365.25)=0,(12-DowntimeNew)/12,1),IF(I14="LeaseUp",H14*D14*(1+GrowthMarketRent)^0*IF(0=0,(12-DowntimeNew)/12,1),0)))))))),0)</f>
        <v/>
      </c>
      <c r="O14" s="14">
        <f>IFERROR(IF(I14="LeaseUp",H14*D14*(1+GrowthMarketRent)^1*IF(1=0,(12-DowntimeNew)/12,1),IF(F14="",0,IF(F14&gt;=DATE(2027+1,4,30),G14*D14*(1+EscalatorInLease)^(1+M14),IF(F14&lt;DATE(2026+1,5,1),IF(I14="Vacate",H14*D14*(1+GrowthMarketRent)^1*IF(INT((DATE(2026+1,10,31)-F14)/365.25)=0,(12-DowntimeNew)/12,1),IF(I14="Option",G14*D14*1.025*(1+EscalatorInLease)^1,IF(I14="Market",Retention*G14*D14*(1+EscalatorInLease)^(1+M14)+(1-Retention)*H14*D14*(1+GrowthMarketRent)^1*IF(INT((DATE(2026+1,10,31)-F14)/365.25)=0,(12-DowntimeNew)/12,1),IF(I14="LeaseUp",H14*D14*(1+GrowthMarketRent)^1*IF(1=0,(12-DowntimeNew)/12,1),0)))),((F14-DATE(2026+1,5,1))/365.25)*G14*D14*(1+EscalatorInLease)^(1+M14)+((DATE(2027+1,4,30)-F14)/365.25)*IF(I14="Vacate",H14*D14*(1+GrowthMarketRent)^1*IF(INT((DATE(2026+1,10,31)-F14)/365.25)=0,(12-DowntimeNew)/12,1),IF(I14="Option",G14*D14*1.025*(1+EscalatorInLease)^1,IF(I14="Market",Retention*G14*D14*(1+EscalatorInLease)^(1+M14)+(1-Retention)*H14*D14*(1+GrowthMarketRent)^1*IF(INT((DATE(2026+1,10,31)-F14)/365.25)=0,(12-DowntimeNew)/12,1),IF(I14="LeaseUp",H14*D14*(1+GrowthMarketRent)^1*IF(1=0,(12-DowntimeNew)/12,1),0)))))))),0)</f>
        <v/>
      </c>
      <c r="P14" s="14">
        <f>IFERROR(IF(I14="LeaseUp",H14*D14*(1+GrowthMarketRent)^2*IF(2=0,(12-DowntimeNew)/12,1),IF(F14="",0,IF(F14&gt;=DATE(2027+2,4,30),G14*D14*(1+EscalatorInLease)^(2+M14),IF(F14&lt;DATE(2026+2,5,1),IF(I14="Vacate",H14*D14*(1+GrowthMarketRent)^2*IF(INT((DATE(2026+2,10,31)-F14)/365.25)=0,(12-DowntimeNew)/12,1),IF(I14="Option",G14*D14*1.025*(1+EscalatorInLease)^2,IF(I14="Market",Retention*G14*D14*(1+EscalatorInLease)^(2+M14)+(1-Retention)*H14*D14*(1+GrowthMarketRent)^2*IF(INT((DATE(2026+2,10,31)-F14)/365.25)=0,(12-DowntimeNew)/12,1),IF(I14="LeaseUp",H14*D14*(1+GrowthMarketRent)^2*IF(2=0,(12-DowntimeNew)/12,1),0)))),((F14-DATE(2026+2,5,1))/365.25)*G14*D14*(1+EscalatorInLease)^(2+M14)+((DATE(2027+2,4,30)-F14)/365.25)*IF(I14="Vacate",H14*D14*(1+GrowthMarketRent)^2*IF(INT((DATE(2026+2,10,31)-F14)/365.25)=0,(12-DowntimeNew)/12,1),IF(I14="Option",G14*D14*1.025*(1+EscalatorInLease)^2,IF(I14="Market",Retention*G14*D14*(1+EscalatorInLease)^(2+M14)+(1-Retention)*H14*D14*(1+GrowthMarketRent)^2*IF(INT((DATE(2026+2,10,31)-F14)/365.25)=0,(12-DowntimeNew)/12,1),IF(I14="LeaseUp",H14*D14*(1+GrowthMarketRent)^2*IF(2=0,(12-DowntimeNew)/12,1),0)))))))),0)</f>
        <v/>
      </c>
      <c r="Q14" s="14">
        <f>IFERROR(IF(I14="LeaseUp",H14*D14*(1+GrowthMarketRent)^3*IF(3=0,(12-DowntimeNew)/12,1),IF(F14="",0,IF(F14&gt;=DATE(2027+3,4,30),G14*D14*(1+EscalatorInLease)^(3+M14),IF(F14&lt;DATE(2026+3,5,1),IF(I14="Vacate",H14*D14*(1+GrowthMarketRent)^3*IF(INT((DATE(2026+3,10,31)-F14)/365.25)=0,(12-DowntimeNew)/12,1),IF(I14="Option",G14*D14*1.025*(1+EscalatorInLease)^3,IF(I14="Market",Retention*G14*D14*(1+EscalatorInLease)^(3+M14)+(1-Retention)*H14*D14*(1+GrowthMarketRent)^3*IF(INT((DATE(2026+3,10,31)-F14)/365.25)=0,(12-DowntimeNew)/12,1),IF(I14="LeaseUp",H14*D14*(1+GrowthMarketRent)^3*IF(3=0,(12-DowntimeNew)/12,1),0)))),((F14-DATE(2026+3,5,1))/365.25)*G14*D14*(1+EscalatorInLease)^(3+M14)+((DATE(2027+3,4,30)-F14)/365.25)*IF(I14="Vacate",H14*D14*(1+GrowthMarketRent)^3*IF(INT((DATE(2026+3,10,31)-F14)/365.25)=0,(12-DowntimeNew)/12,1),IF(I14="Option",G14*D14*1.025*(1+EscalatorInLease)^3,IF(I14="Market",Retention*G14*D14*(1+EscalatorInLease)^(3+M14)+(1-Retention)*H14*D14*(1+GrowthMarketRent)^3*IF(INT((DATE(2026+3,10,31)-F14)/365.25)=0,(12-DowntimeNew)/12,1),IF(I14="LeaseUp",H14*D14*(1+GrowthMarketRent)^3*IF(3=0,(12-DowntimeNew)/12,1),0)))))))),0)</f>
        <v/>
      </c>
      <c r="R14" s="14">
        <f>IFERROR(IF(I14="LeaseUp",H14*D14*(1+GrowthMarketRent)^4*IF(4=0,(12-DowntimeNew)/12,1),IF(F14="",0,IF(F14&gt;=DATE(2027+4,4,30),G14*D14*(1+EscalatorInLease)^(4+M14),IF(F14&lt;DATE(2026+4,5,1),IF(I14="Vacate",H14*D14*(1+GrowthMarketRent)^4*IF(INT((DATE(2026+4,10,31)-F14)/365.25)=0,(12-DowntimeNew)/12,1),IF(I14="Option",G14*D14*1.025*(1+EscalatorInLease)^4,IF(I14="Market",Retention*G14*D14*(1+EscalatorInLease)^(4+M14)+(1-Retention)*H14*D14*(1+GrowthMarketRent)^4*IF(INT((DATE(2026+4,10,31)-F14)/365.25)=0,(12-DowntimeNew)/12,1),IF(I14="LeaseUp",H14*D14*(1+GrowthMarketRent)^4*IF(4=0,(12-DowntimeNew)/12,1),0)))),((F14-DATE(2026+4,5,1))/365.25)*G14*D14*(1+EscalatorInLease)^(4+M14)+((DATE(2027+4,4,30)-F14)/365.25)*IF(I14="Vacate",H14*D14*(1+GrowthMarketRent)^4*IF(INT((DATE(2026+4,10,31)-F14)/365.25)=0,(12-DowntimeNew)/12,1),IF(I14="Option",G14*D14*1.025*(1+EscalatorInLease)^4,IF(I14="Market",Retention*G14*D14*(1+EscalatorInLease)^(4+M14)+(1-Retention)*H14*D14*(1+GrowthMarketRent)^4*IF(INT((DATE(2026+4,10,31)-F14)/365.25)=0,(12-DowntimeNew)/12,1),IF(I14="LeaseUp",H14*D14*(1+GrowthMarketRent)^4*IF(4=0,(12-DowntimeNew)/12,1),0)))))))),0)</f>
        <v/>
      </c>
      <c r="S14" s="14">
        <f>IFERROR(IF(I14="LeaseUp",H14*D14*(1+GrowthMarketRent)^5*IF(5=0,(12-DowntimeNew)/12,1),IF(F14="",0,IF(F14&gt;=DATE(2027+5,4,30),G14*D14*(1+EscalatorInLease)^(5+M14),IF(F14&lt;DATE(2026+5,5,1),IF(I14="Vacate",H14*D14*(1+GrowthMarketRent)^5*IF(INT((DATE(2026+5,10,31)-F14)/365.25)=0,(12-DowntimeNew)/12,1),IF(I14="Option",G14*D14*1.025*(1+EscalatorInLease)^5,IF(I14="Market",Retention*G14*D14*(1+EscalatorInLease)^(5+M14)+(1-Retention)*H14*D14*(1+GrowthMarketRent)^5*IF(INT((DATE(2026+5,10,31)-F14)/365.25)=0,(12-DowntimeNew)/12,1),IF(I14="LeaseUp",H14*D14*(1+GrowthMarketRent)^5*IF(5=0,(12-DowntimeNew)/12,1),0)))),((F14-DATE(2026+5,5,1))/365.25)*G14*D14*(1+EscalatorInLease)^(5+M14)+((DATE(2027+5,4,30)-F14)/365.25)*IF(I14="Vacate",H14*D14*(1+GrowthMarketRent)^5*IF(INT((DATE(2026+5,10,31)-F14)/365.25)=0,(12-DowntimeNew)/12,1),IF(I14="Option",G14*D14*1.025*(1+EscalatorInLease)^5,IF(I14="Market",Retention*G14*D14*(1+EscalatorInLease)^(5+M14)+(1-Retention)*H14*D14*(1+GrowthMarketRent)^5*IF(INT((DATE(2026+5,10,31)-F14)/365.25)=0,(12-DowntimeNew)/12,1),IF(I14="LeaseUp",H14*D14*(1+GrowthMarketRent)^5*IF(5=0,(12-DowntimeNew)/12,1),0)))))))),0)</f>
        <v/>
      </c>
      <c r="T14" s="14">
        <f>IFERROR(IF(I14="LeaseUp",H14*D14*(1+GrowthMarketRent)^6*IF(6=0,(12-DowntimeNew)/12,1),IF(F14="",0,IF(F14&gt;=DATE(2027+6,4,30),G14*D14*(1+EscalatorInLease)^(6+M14),IF(F14&lt;DATE(2026+6,5,1),IF(I14="Vacate",H14*D14*(1+GrowthMarketRent)^6*IF(INT((DATE(2026+6,10,31)-F14)/365.25)=0,(12-DowntimeNew)/12,1),IF(I14="Option",G14*D14*1.025*(1+EscalatorInLease)^6,IF(I14="Market",Retention*G14*D14*(1+EscalatorInLease)^(6+M14)+(1-Retention)*H14*D14*(1+GrowthMarketRent)^6*IF(INT((DATE(2026+6,10,31)-F14)/365.25)=0,(12-DowntimeNew)/12,1),IF(I14="LeaseUp",H14*D14*(1+GrowthMarketRent)^6*IF(6=0,(12-DowntimeNew)/12,1),0)))),((F14-DATE(2026+6,5,1))/365.25)*G14*D14*(1+EscalatorInLease)^(6+M14)+((DATE(2027+6,4,30)-F14)/365.25)*IF(I14="Vacate",H14*D14*(1+GrowthMarketRent)^6*IF(INT((DATE(2026+6,10,31)-F14)/365.25)=0,(12-DowntimeNew)/12,1),IF(I14="Option",G14*D14*1.025*(1+EscalatorInLease)^6,IF(I14="Market",Retention*G14*D14*(1+EscalatorInLease)^(6+M14)+(1-Retention)*H14*D14*(1+GrowthMarketRent)^6*IF(INT((DATE(2026+6,10,31)-F14)/365.25)=0,(12-DowntimeNew)/12,1),IF(I14="LeaseUp",H14*D14*(1+GrowthMarketRent)^6*IF(6=0,(12-DowntimeNew)/12,1),0)))))))),0)</f>
        <v/>
      </c>
      <c r="U14" s="14">
        <f>IFERROR(IF(I14="LeaseUp",H14*D14*(1+GrowthMarketRent)^7*IF(7=0,(12-DowntimeNew)/12,1),IF(F14="",0,IF(F14&gt;=DATE(2027+7,4,30),G14*D14*(1+EscalatorInLease)^(7+M14),IF(F14&lt;DATE(2026+7,5,1),IF(I14="Vacate",H14*D14*(1+GrowthMarketRent)^7*IF(INT((DATE(2026+7,10,31)-F14)/365.25)=0,(12-DowntimeNew)/12,1),IF(I14="Option",G14*D14*1.025*(1+EscalatorInLease)^7,IF(I14="Market",Retention*G14*D14*(1+EscalatorInLease)^(7+M14)+(1-Retention)*H14*D14*(1+GrowthMarketRent)^7*IF(INT((DATE(2026+7,10,31)-F14)/365.25)=0,(12-DowntimeNew)/12,1),IF(I14="LeaseUp",H14*D14*(1+GrowthMarketRent)^7*IF(7=0,(12-DowntimeNew)/12,1),0)))),((F14-DATE(2026+7,5,1))/365.25)*G14*D14*(1+EscalatorInLease)^(7+M14)+((DATE(2027+7,4,30)-F14)/365.25)*IF(I14="Vacate",H14*D14*(1+GrowthMarketRent)^7*IF(INT((DATE(2026+7,10,31)-F14)/365.25)=0,(12-DowntimeNew)/12,1),IF(I14="Option",G14*D14*1.025*(1+EscalatorInLease)^7,IF(I14="Market",Retention*G14*D14*(1+EscalatorInLease)^(7+M14)+(1-Retention)*H14*D14*(1+GrowthMarketRent)^7*IF(INT((DATE(2026+7,10,31)-F14)/365.25)=0,(12-DowntimeNew)/12,1),IF(I14="LeaseUp",H14*D14*(1+GrowthMarketRent)^7*IF(7=0,(12-DowntimeNew)/12,1),0)))))))),0)</f>
        <v/>
      </c>
      <c r="V14" s="14">
        <f>IFERROR(IF(I14="LeaseUp",H14*D14*(1+GrowthMarketRent)^8*IF(8=0,(12-DowntimeNew)/12,1),IF(F14="",0,IF(F14&gt;=DATE(2027+8,4,30),G14*D14*(1+EscalatorInLease)^(8+M14),IF(F14&lt;DATE(2026+8,5,1),IF(I14="Vacate",H14*D14*(1+GrowthMarketRent)^8*IF(INT((DATE(2026+8,10,31)-F14)/365.25)=0,(12-DowntimeNew)/12,1),IF(I14="Option",G14*D14*1.025*(1+EscalatorInLease)^8,IF(I14="Market",Retention*G14*D14*(1+EscalatorInLease)^(8+M14)+(1-Retention)*H14*D14*(1+GrowthMarketRent)^8*IF(INT((DATE(2026+8,10,31)-F14)/365.25)=0,(12-DowntimeNew)/12,1),IF(I14="LeaseUp",H14*D14*(1+GrowthMarketRent)^8*IF(8=0,(12-DowntimeNew)/12,1),0)))),((F14-DATE(2026+8,5,1))/365.25)*G14*D14*(1+EscalatorInLease)^(8+M14)+((DATE(2027+8,4,30)-F14)/365.25)*IF(I14="Vacate",H14*D14*(1+GrowthMarketRent)^8*IF(INT((DATE(2026+8,10,31)-F14)/365.25)=0,(12-DowntimeNew)/12,1),IF(I14="Option",G14*D14*1.025*(1+EscalatorInLease)^8,IF(I14="Market",Retention*G14*D14*(1+EscalatorInLease)^(8+M14)+(1-Retention)*H14*D14*(1+GrowthMarketRent)^8*IF(INT((DATE(2026+8,10,31)-F14)/365.25)=0,(12-DowntimeNew)/12,1),IF(I14="LeaseUp",H14*D14*(1+GrowthMarketRent)^8*IF(8=0,(12-DowntimeNew)/12,1),0)))))))),0)</f>
        <v/>
      </c>
      <c r="W14" s="14">
        <f>IFERROR(IF(I14="LeaseUp",H14*D14*(1+GrowthMarketRent)^9*IF(9=0,(12-DowntimeNew)/12,1),IF(F14="",0,IF(F14&gt;=DATE(2027+9,4,30),G14*D14*(1+EscalatorInLease)^(9+M14),IF(F14&lt;DATE(2026+9,5,1),IF(I14="Vacate",H14*D14*(1+GrowthMarketRent)^9*IF(INT((DATE(2026+9,10,31)-F14)/365.25)=0,(12-DowntimeNew)/12,1),IF(I14="Option",G14*D14*1.025*(1+EscalatorInLease)^9,IF(I14="Market",Retention*G14*D14*(1+EscalatorInLease)^(9+M14)+(1-Retention)*H14*D14*(1+GrowthMarketRent)^9*IF(INT((DATE(2026+9,10,31)-F14)/365.25)=0,(12-DowntimeNew)/12,1),IF(I14="LeaseUp",H14*D14*(1+GrowthMarketRent)^9*IF(9=0,(12-DowntimeNew)/12,1),0)))),((F14-DATE(2026+9,5,1))/365.25)*G14*D14*(1+EscalatorInLease)^(9+M14)+((DATE(2027+9,4,30)-F14)/365.25)*IF(I14="Vacate",H14*D14*(1+GrowthMarketRent)^9*IF(INT((DATE(2026+9,10,31)-F14)/365.25)=0,(12-DowntimeNew)/12,1),IF(I14="Option",G14*D14*1.025*(1+EscalatorInLease)^9,IF(I14="Market",Retention*G14*D14*(1+EscalatorInLease)^(9+M14)+(1-Retention)*H14*D14*(1+GrowthMarketRent)^9*IF(INT((DATE(2026+9,10,31)-F14)/365.25)=0,(12-DowntimeNew)/12,1),IF(I14="LeaseUp",H14*D14*(1+GrowthMarketRent)^9*IF(9=0,(12-DowntimeNew)/12,1),0)))))))),0)</f>
        <v/>
      </c>
      <c r="X14" s="14">
        <f>IFERROR(IF(I14="LeaseUp",H14*D14*(1+GrowthMarketRent)^10*IF(10=0,(12-DowntimeNew)/12,1),IF(F14="",0,IF(F14&gt;=DATE(2027+10,4,30),G14*D14*(1+EscalatorInLease)^(10+M14),IF(F14&lt;DATE(2026+10,5,1),IF(I14="Vacate",H14*D14*(1+GrowthMarketRent)^10*IF(INT((DATE(2026+10,10,31)-F14)/365.25)=0,(12-DowntimeNew)/12,1),IF(I14="Option",G14*D14*1.025*(1+EscalatorInLease)^10,IF(I14="Market",Retention*G14*D14*(1+EscalatorInLease)^(10+M14)+(1-Retention)*H14*D14*(1+GrowthMarketRent)^10*IF(INT((DATE(2026+10,10,31)-F14)/365.25)=0,(12-DowntimeNew)/12,1),IF(I14="LeaseUp",H14*D14*(1+GrowthMarketRent)^10*IF(10=0,(12-DowntimeNew)/12,1),0)))),((F14-DATE(2026+10,5,1))/365.25)*G14*D14*(1+EscalatorInLease)^(10+M14)+((DATE(2027+10,4,30)-F14)/365.25)*IF(I14="Vacate",H14*D14*(1+GrowthMarketRent)^10*IF(INT((DATE(2026+10,10,31)-F14)/365.25)=0,(12-DowntimeNew)/12,1),IF(I14="Option",G14*D14*1.025*(1+EscalatorInLease)^10,IF(I14="Market",Retention*G14*D14*(1+EscalatorInLease)^(10+M14)+(1-Retention)*H14*D14*(1+GrowthMarketRent)^10*IF(INT((DATE(2026+10,10,31)-F14)/365.25)=0,(12-DowntimeNew)/12,1),IF(I14="LeaseUp",H14*D14*(1+GrowthMarketRent)^10*IF(10=0,(12-DowntimeNew)/12,1),0)))))))),0)</f>
        <v/>
      </c>
      <c r="Y14" s="14">
        <f>IFERROR(IF(AND(I14="LeaseUp",0=0),(IF(I14="Vacate",TINew*D14,IF(I14="Market",Retention*TIRenewal*D14+(1-Retention)*TINew*D14,IF(I14="LeaseUp",TINew*D14,IF(I14="Option",TIRenewal*D14,0)))))+(IF(I14="Vacate",LCNew*H14*D14*(1+GrowthMarketRent)^0,IF(I14="Market",Retention*LCRenewal*H14*D14*(1+GrowthMarketRent)^0+(1-Retention)*LCNew*H14*D14*(1+GrowthMarketRent)^0,IF(I14="LeaseUp",LCNew*H14*D14*(1+GrowthMarketRent)^0,IF(I14="Option",LCRenewal*H14*D14*(1+GrowthMarketRent)^0,0))))),IF(F14="",0,IF(AND(F14&gt;=DATE(2026+0,5,1),F14&lt;=DATE(2027+0,4,30)),(IF(I14="Vacate",TINew*D14,IF(I14="Market",Retention*TIRenewal*D14+(1-Retention)*TINew*D14,IF(I14="LeaseUp",TINew*D14,IF(I14="Option",TIRenewal*D14,0)))))+(IF(I14="Vacate",LCNew*H14*D14*(1+GrowthMarketRent)^0,IF(I14="Market",Retention*LCRenewal*H14*D14*(1+GrowthMarketRent)^0+(1-Retention)*LCNew*H14*D14*(1+GrowthMarketRent)^0,IF(I14="LeaseUp",LCNew*H14*D14*(1+GrowthMarketRent)^0,IF(I14="Option",LCRenewal*H14*D14*(1+GrowthMarketRent)^0,0))))),0))),0)</f>
        <v/>
      </c>
      <c r="Z14" s="14">
        <f>IFERROR(IF(AND(I14="LeaseUp",1=0),(IF(I14="Vacate",TINew*D14,IF(I14="Market",Retention*TIRenewal*D14+(1-Retention)*TINew*D14,IF(I14="LeaseUp",TINew*D14,IF(I14="Option",TIRenewal*D14,0)))))+(IF(I14="Vacate",LCNew*H14*D14*(1+GrowthMarketRent)^1,IF(I14="Market",Retention*LCRenewal*H14*D14*(1+GrowthMarketRent)^1+(1-Retention)*LCNew*H14*D14*(1+GrowthMarketRent)^1,IF(I14="LeaseUp",LCNew*H14*D14*(1+GrowthMarketRent)^1,IF(I14="Option",LCRenewal*H14*D14*(1+GrowthMarketRent)^1,0))))),IF(F14="",0,IF(AND(F14&gt;=DATE(2026+1,5,1),F14&lt;=DATE(2027+1,4,30)),(IF(I14="Vacate",TINew*D14,IF(I14="Market",Retention*TIRenewal*D14+(1-Retention)*TINew*D14,IF(I14="LeaseUp",TINew*D14,IF(I14="Option",TIRenewal*D14,0)))))+(IF(I14="Vacate",LCNew*H14*D14*(1+GrowthMarketRent)^1,IF(I14="Market",Retention*LCRenewal*H14*D14*(1+GrowthMarketRent)^1+(1-Retention)*LCNew*H14*D14*(1+GrowthMarketRent)^1,IF(I14="LeaseUp",LCNew*H14*D14*(1+GrowthMarketRent)^1,IF(I14="Option",LCRenewal*H14*D14*(1+GrowthMarketRent)^1,0))))),0))),0)</f>
        <v/>
      </c>
      <c r="AA14" s="14">
        <f>IFERROR(IF(AND(I14="LeaseUp",2=0),(IF(I14="Vacate",TINew*D14,IF(I14="Market",Retention*TIRenewal*D14+(1-Retention)*TINew*D14,IF(I14="LeaseUp",TINew*D14,IF(I14="Option",TIRenewal*D14,0)))))+(IF(I14="Vacate",LCNew*H14*D14*(1+GrowthMarketRent)^2,IF(I14="Market",Retention*LCRenewal*H14*D14*(1+GrowthMarketRent)^2+(1-Retention)*LCNew*H14*D14*(1+GrowthMarketRent)^2,IF(I14="LeaseUp",LCNew*H14*D14*(1+GrowthMarketRent)^2,IF(I14="Option",LCRenewal*H14*D14*(1+GrowthMarketRent)^2,0))))),IF(F14="",0,IF(AND(F14&gt;=DATE(2026+2,5,1),F14&lt;=DATE(2027+2,4,30)),(IF(I14="Vacate",TINew*D14,IF(I14="Market",Retention*TIRenewal*D14+(1-Retention)*TINew*D14,IF(I14="LeaseUp",TINew*D14,IF(I14="Option",TIRenewal*D14,0)))))+(IF(I14="Vacate",LCNew*H14*D14*(1+GrowthMarketRent)^2,IF(I14="Market",Retention*LCRenewal*H14*D14*(1+GrowthMarketRent)^2+(1-Retention)*LCNew*H14*D14*(1+GrowthMarketRent)^2,IF(I14="LeaseUp",LCNew*H14*D14*(1+GrowthMarketRent)^2,IF(I14="Option",LCRenewal*H14*D14*(1+GrowthMarketRent)^2,0))))),0))),0)</f>
        <v/>
      </c>
      <c r="AB14" s="14">
        <f>IFERROR(IF(AND(I14="LeaseUp",3=0),(IF(I14="Vacate",TINew*D14,IF(I14="Market",Retention*TIRenewal*D14+(1-Retention)*TINew*D14,IF(I14="LeaseUp",TINew*D14,IF(I14="Option",TIRenewal*D14,0)))))+(IF(I14="Vacate",LCNew*H14*D14*(1+GrowthMarketRent)^3,IF(I14="Market",Retention*LCRenewal*H14*D14*(1+GrowthMarketRent)^3+(1-Retention)*LCNew*H14*D14*(1+GrowthMarketRent)^3,IF(I14="LeaseUp",LCNew*H14*D14*(1+GrowthMarketRent)^3,IF(I14="Option",LCRenewal*H14*D14*(1+GrowthMarketRent)^3,0))))),IF(F14="",0,IF(AND(F14&gt;=DATE(2026+3,5,1),F14&lt;=DATE(2027+3,4,30)),(IF(I14="Vacate",TINew*D14,IF(I14="Market",Retention*TIRenewal*D14+(1-Retention)*TINew*D14,IF(I14="LeaseUp",TINew*D14,IF(I14="Option",TIRenewal*D14,0)))))+(IF(I14="Vacate",LCNew*H14*D14*(1+GrowthMarketRent)^3,IF(I14="Market",Retention*LCRenewal*H14*D14*(1+GrowthMarketRent)^3+(1-Retention)*LCNew*H14*D14*(1+GrowthMarketRent)^3,IF(I14="LeaseUp",LCNew*H14*D14*(1+GrowthMarketRent)^3,IF(I14="Option",LCRenewal*H14*D14*(1+GrowthMarketRent)^3,0))))),0))),0)</f>
        <v/>
      </c>
      <c r="AC14" s="14">
        <f>IFERROR(IF(AND(I14="LeaseUp",4=0),(IF(I14="Vacate",TINew*D14,IF(I14="Market",Retention*TIRenewal*D14+(1-Retention)*TINew*D14,IF(I14="LeaseUp",TINew*D14,IF(I14="Option",TIRenewal*D14,0)))))+(IF(I14="Vacate",LCNew*H14*D14*(1+GrowthMarketRent)^4,IF(I14="Market",Retention*LCRenewal*H14*D14*(1+GrowthMarketRent)^4+(1-Retention)*LCNew*H14*D14*(1+GrowthMarketRent)^4,IF(I14="LeaseUp",LCNew*H14*D14*(1+GrowthMarketRent)^4,IF(I14="Option",LCRenewal*H14*D14*(1+GrowthMarketRent)^4,0))))),IF(F14="",0,IF(AND(F14&gt;=DATE(2026+4,5,1),F14&lt;=DATE(2027+4,4,30)),(IF(I14="Vacate",TINew*D14,IF(I14="Market",Retention*TIRenewal*D14+(1-Retention)*TINew*D14,IF(I14="LeaseUp",TINew*D14,IF(I14="Option",TIRenewal*D14,0)))))+(IF(I14="Vacate",LCNew*H14*D14*(1+GrowthMarketRent)^4,IF(I14="Market",Retention*LCRenewal*H14*D14*(1+GrowthMarketRent)^4+(1-Retention)*LCNew*H14*D14*(1+GrowthMarketRent)^4,IF(I14="LeaseUp",LCNew*H14*D14*(1+GrowthMarketRent)^4,IF(I14="Option",LCRenewal*H14*D14*(1+GrowthMarketRent)^4,0))))),0))),0)</f>
        <v/>
      </c>
      <c r="AD14" s="14">
        <f>IFERROR(IF(AND(I14="LeaseUp",5=0),(IF(I14="Vacate",TINew*D14,IF(I14="Market",Retention*TIRenewal*D14+(1-Retention)*TINew*D14,IF(I14="LeaseUp",TINew*D14,IF(I14="Option",TIRenewal*D14,0)))))+(IF(I14="Vacate",LCNew*H14*D14*(1+GrowthMarketRent)^5,IF(I14="Market",Retention*LCRenewal*H14*D14*(1+GrowthMarketRent)^5+(1-Retention)*LCNew*H14*D14*(1+GrowthMarketRent)^5,IF(I14="LeaseUp",LCNew*H14*D14*(1+GrowthMarketRent)^5,IF(I14="Option",LCRenewal*H14*D14*(1+GrowthMarketRent)^5,0))))),IF(F14="",0,IF(AND(F14&gt;=DATE(2026+5,5,1),F14&lt;=DATE(2027+5,4,30)),(IF(I14="Vacate",TINew*D14,IF(I14="Market",Retention*TIRenewal*D14+(1-Retention)*TINew*D14,IF(I14="LeaseUp",TINew*D14,IF(I14="Option",TIRenewal*D14,0)))))+(IF(I14="Vacate",LCNew*H14*D14*(1+GrowthMarketRent)^5,IF(I14="Market",Retention*LCRenewal*H14*D14*(1+GrowthMarketRent)^5+(1-Retention)*LCNew*H14*D14*(1+GrowthMarketRent)^5,IF(I14="LeaseUp",LCNew*H14*D14*(1+GrowthMarketRent)^5,IF(I14="Option",LCRenewal*H14*D14*(1+GrowthMarketRent)^5,0))))),0))),0)</f>
        <v/>
      </c>
      <c r="AE14" s="14">
        <f>IFERROR(IF(AND(I14="LeaseUp",6=0),(IF(I14="Vacate",TINew*D14,IF(I14="Market",Retention*TIRenewal*D14+(1-Retention)*TINew*D14,IF(I14="LeaseUp",TINew*D14,IF(I14="Option",TIRenewal*D14,0)))))+(IF(I14="Vacate",LCNew*H14*D14*(1+GrowthMarketRent)^6,IF(I14="Market",Retention*LCRenewal*H14*D14*(1+GrowthMarketRent)^6+(1-Retention)*LCNew*H14*D14*(1+GrowthMarketRent)^6,IF(I14="LeaseUp",LCNew*H14*D14*(1+GrowthMarketRent)^6,IF(I14="Option",LCRenewal*H14*D14*(1+GrowthMarketRent)^6,0))))),IF(F14="",0,IF(AND(F14&gt;=DATE(2026+6,5,1),F14&lt;=DATE(2027+6,4,30)),(IF(I14="Vacate",TINew*D14,IF(I14="Market",Retention*TIRenewal*D14+(1-Retention)*TINew*D14,IF(I14="LeaseUp",TINew*D14,IF(I14="Option",TIRenewal*D14,0)))))+(IF(I14="Vacate",LCNew*H14*D14*(1+GrowthMarketRent)^6,IF(I14="Market",Retention*LCRenewal*H14*D14*(1+GrowthMarketRent)^6+(1-Retention)*LCNew*H14*D14*(1+GrowthMarketRent)^6,IF(I14="LeaseUp",LCNew*H14*D14*(1+GrowthMarketRent)^6,IF(I14="Option",LCRenewal*H14*D14*(1+GrowthMarketRent)^6,0))))),0))),0)</f>
        <v/>
      </c>
      <c r="AF14" s="14">
        <f>IFERROR(IF(AND(I14="LeaseUp",7=0),(IF(I14="Vacate",TINew*D14,IF(I14="Market",Retention*TIRenewal*D14+(1-Retention)*TINew*D14,IF(I14="LeaseUp",TINew*D14,IF(I14="Option",TIRenewal*D14,0)))))+(IF(I14="Vacate",LCNew*H14*D14*(1+GrowthMarketRent)^7,IF(I14="Market",Retention*LCRenewal*H14*D14*(1+GrowthMarketRent)^7+(1-Retention)*LCNew*H14*D14*(1+GrowthMarketRent)^7,IF(I14="LeaseUp",LCNew*H14*D14*(1+GrowthMarketRent)^7,IF(I14="Option",LCRenewal*H14*D14*(1+GrowthMarketRent)^7,0))))),IF(F14="",0,IF(AND(F14&gt;=DATE(2026+7,5,1),F14&lt;=DATE(2027+7,4,30)),(IF(I14="Vacate",TINew*D14,IF(I14="Market",Retention*TIRenewal*D14+(1-Retention)*TINew*D14,IF(I14="LeaseUp",TINew*D14,IF(I14="Option",TIRenewal*D14,0)))))+(IF(I14="Vacate",LCNew*H14*D14*(1+GrowthMarketRent)^7,IF(I14="Market",Retention*LCRenewal*H14*D14*(1+GrowthMarketRent)^7+(1-Retention)*LCNew*H14*D14*(1+GrowthMarketRent)^7,IF(I14="LeaseUp",LCNew*H14*D14*(1+GrowthMarketRent)^7,IF(I14="Option",LCRenewal*H14*D14*(1+GrowthMarketRent)^7,0))))),0))),0)</f>
        <v/>
      </c>
      <c r="AG14" s="14">
        <f>IFERROR(IF(AND(I14="LeaseUp",8=0),(IF(I14="Vacate",TINew*D14,IF(I14="Market",Retention*TIRenewal*D14+(1-Retention)*TINew*D14,IF(I14="LeaseUp",TINew*D14,IF(I14="Option",TIRenewal*D14,0)))))+(IF(I14="Vacate",LCNew*H14*D14*(1+GrowthMarketRent)^8,IF(I14="Market",Retention*LCRenewal*H14*D14*(1+GrowthMarketRent)^8+(1-Retention)*LCNew*H14*D14*(1+GrowthMarketRent)^8,IF(I14="LeaseUp",LCNew*H14*D14*(1+GrowthMarketRent)^8,IF(I14="Option",LCRenewal*H14*D14*(1+GrowthMarketRent)^8,0))))),IF(F14="",0,IF(AND(F14&gt;=DATE(2026+8,5,1),F14&lt;=DATE(2027+8,4,30)),(IF(I14="Vacate",TINew*D14,IF(I14="Market",Retention*TIRenewal*D14+(1-Retention)*TINew*D14,IF(I14="LeaseUp",TINew*D14,IF(I14="Option",TIRenewal*D14,0)))))+(IF(I14="Vacate",LCNew*H14*D14*(1+GrowthMarketRent)^8,IF(I14="Market",Retention*LCRenewal*H14*D14*(1+GrowthMarketRent)^8+(1-Retention)*LCNew*H14*D14*(1+GrowthMarketRent)^8,IF(I14="LeaseUp",LCNew*H14*D14*(1+GrowthMarketRent)^8,IF(I14="Option",LCRenewal*H14*D14*(1+GrowthMarketRent)^8,0))))),0))),0)</f>
        <v/>
      </c>
      <c r="AH14" s="14">
        <f>IFERROR(IF(AND(I14="LeaseUp",9=0),(IF(I14="Vacate",TINew*D14,IF(I14="Market",Retention*TIRenewal*D14+(1-Retention)*TINew*D14,IF(I14="LeaseUp",TINew*D14,IF(I14="Option",TIRenewal*D14,0)))))+(IF(I14="Vacate",LCNew*H14*D14*(1+GrowthMarketRent)^9,IF(I14="Market",Retention*LCRenewal*H14*D14*(1+GrowthMarketRent)^9+(1-Retention)*LCNew*H14*D14*(1+GrowthMarketRent)^9,IF(I14="LeaseUp",LCNew*H14*D14*(1+GrowthMarketRent)^9,IF(I14="Option",LCRenewal*H14*D14*(1+GrowthMarketRent)^9,0))))),IF(F14="",0,IF(AND(F14&gt;=DATE(2026+9,5,1),F14&lt;=DATE(2027+9,4,30)),(IF(I14="Vacate",TINew*D14,IF(I14="Market",Retention*TIRenewal*D14+(1-Retention)*TINew*D14,IF(I14="LeaseUp",TINew*D14,IF(I14="Option",TIRenewal*D14,0)))))+(IF(I14="Vacate",LCNew*H14*D14*(1+GrowthMarketRent)^9,IF(I14="Market",Retention*LCRenewal*H14*D14*(1+GrowthMarketRent)^9+(1-Retention)*LCNew*H14*D14*(1+GrowthMarketRent)^9,IF(I14="LeaseUp",LCNew*H14*D14*(1+GrowthMarketRent)^9,IF(I14="Option",LCRenewal*H14*D14*(1+GrowthMarketRent)^9,0))))),0))),0)</f>
        <v/>
      </c>
      <c r="AI14" s="14">
        <f>IFERROR(IF(AND(I14="LeaseUp",10=0),(IF(I14="Vacate",TINew*D14,IF(I14="Market",Retention*TIRenewal*D14+(1-Retention)*TINew*D14,IF(I14="LeaseUp",TINew*D14,IF(I14="Option",TIRenewal*D14,0)))))+(IF(I14="Vacate",LCNew*H14*D14*(1+GrowthMarketRent)^10,IF(I14="Market",Retention*LCRenewal*H14*D14*(1+GrowthMarketRent)^10+(1-Retention)*LCNew*H14*D14*(1+GrowthMarketRent)^10,IF(I14="LeaseUp",LCNew*H14*D14*(1+GrowthMarketRent)^10,IF(I14="Option",LCRenewal*H14*D14*(1+GrowthMarketRent)^10,0))))),IF(F14="",0,IF(AND(F14&gt;=DATE(2026+10,5,1),F14&lt;=DATE(2027+10,4,30)),(IF(I14="Vacate",TINew*D14,IF(I14="Market",Retention*TIRenewal*D14+(1-Retention)*TINew*D14,IF(I14="LeaseUp",TINew*D14,IF(I14="Option",TIRenewal*D14,0)))))+(IF(I14="Vacate",LCNew*H14*D14*(1+GrowthMarketRent)^10,IF(I14="Market",Retention*LCRenewal*H14*D14*(1+GrowthMarketRent)^10+(1-Retention)*LCNew*H14*D14*(1+GrowthMarketRent)^10,IF(I14="LeaseUp",LCNew*H14*D14*(1+GrowthMarketRent)^10,IF(I14="Option",LCRenewal*H14*D14*(1+GrowthMarketRent)^10,0))))),0))),0)</f>
        <v/>
      </c>
    </row>
    <row r="15">
      <c r="A15" t="inlineStr">
        <is>
          <t>Carrollton</t>
        </is>
      </c>
      <c r="B15" t="inlineStr">
        <is>
          <t>200</t>
        </is>
      </c>
      <c r="C15" t="inlineStr">
        <is>
          <t>Wada Precision Dental Laboratories USA</t>
        </is>
      </c>
      <c r="D15" s="32" t="n">
        <v>1870</v>
      </c>
      <c r="E15" s="33" t="n">
        <v>45231</v>
      </c>
      <c r="F15" s="33" t="n">
        <v>47027</v>
      </c>
      <c r="G15" s="34" t="n">
        <v>15.4967914438503</v>
      </c>
      <c r="H15" s="16">
        <f>VLOOKUP("Carrollton — "&amp;J15,MLA!$A$5:$L$11,3,FALSE)</f>
        <v/>
      </c>
      <c r="I15" s="11" t="inlineStr">
        <is>
          <t>Market</t>
        </is>
      </c>
      <c r="J15" t="inlineStr">
        <is>
          <t>Studio</t>
        </is>
      </c>
      <c r="K15" t="inlineStr">
        <is>
          <t>Occupied</t>
        </is>
      </c>
      <c r="L15" t="inlineStr">
        <is>
          <t>Studio; Guarantor: Takeshi Kutsumizu</t>
        </is>
      </c>
      <c r="M15" s="20">
        <f>IF(E15="",0,(AnalysisStart-E15)/365.25)</f>
        <v/>
      </c>
      <c r="N15" s="14">
        <f>IFERROR(IF(I15="LeaseUp",H15*D15*(1+GrowthMarketRent)^0*IF(0=0,(12-DowntimeNew)/12,1),IF(F15="",0,IF(F15&gt;=DATE(2027+0,4,30),G15*D15*(1+EscalatorInLease)^(0+M15),IF(F15&lt;DATE(2026+0,5,1),IF(I15="Vacate",H15*D15*(1+GrowthMarketRent)^0*IF(INT((DATE(2026+0,10,31)-F15)/365.25)=0,(12-DowntimeNew)/12,1),IF(I15="Option",G15*D15*1.025*(1+EscalatorInLease)^0,IF(I15="Market",Retention*G15*D15*(1+EscalatorInLease)^(0+M15)+(1-Retention)*H15*D15*(1+GrowthMarketRent)^0*IF(INT((DATE(2026+0,10,31)-F15)/365.25)=0,(12-DowntimeNew)/12,1),IF(I15="LeaseUp",H15*D15*(1+GrowthMarketRent)^0*IF(0=0,(12-DowntimeNew)/12,1),0)))),((F15-DATE(2026+0,5,1))/365.25)*G15*D15*(1+EscalatorInLease)^(0+M15)+((DATE(2027+0,4,30)-F15)/365.25)*IF(I15="Vacate",H15*D15*(1+GrowthMarketRent)^0*IF(INT((DATE(2026+0,10,31)-F15)/365.25)=0,(12-DowntimeNew)/12,1),IF(I15="Option",G15*D15*1.025*(1+EscalatorInLease)^0,IF(I15="Market",Retention*G15*D15*(1+EscalatorInLease)^(0+M15)+(1-Retention)*H15*D15*(1+GrowthMarketRent)^0*IF(INT((DATE(2026+0,10,31)-F15)/365.25)=0,(12-DowntimeNew)/12,1),IF(I15="LeaseUp",H15*D15*(1+GrowthMarketRent)^0*IF(0=0,(12-DowntimeNew)/12,1),0)))))))),0)</f>
        <v/>
      </c>
      <c r="O15" s="14">
        <f>IFERROR(IF(I15="LeaseUp",H15*D15*(1+GrowthMarketRent)^1*IF(1=0,(12-DowntimeNew)/12,1),IF(F15="",0,IF(F15&gt;=DATE(2027+1,4,30),G15*D15*(1+EscalatorInLease)^(1+M15),IF(F15&lt;DATE(2026+1,5,1),IF(I15="Vacate",H15*D15*(1+GrowthMarketRent)^1*IF(INT((DATE(2026+1,10,31)-F15)/365.25)=0,(12-DowntimeNew)/12,1),IF(I15="Option",G15*D15*1.025*(1+EscalatorInLease)^1,IF(I15="Market",Retention*G15*D15*(1+EscalatorInLease)^(1+M15)+(1-Retention)*H15*D15*(1+GrowthMarketRent)^1*IF(INT((DATE(2026+1,10,31)-F15)/365.25)=0,(12-DowntimeNew)/12,1),IF(I15="LeaseUp",H15*D15*(1+GrowthMarketRent)^1*IF(1=0,(12-DowntimeNew)/12,1),0)))),((F15-DATE(2026+1,5,1))/365.25)*G15*D15*(1+EscalatorInLease)^(1+M15)+((DATE(2027+1,4,30)-F15)/365.25)*IF(I15="Vacate",H15*D15*(1+GrowthMarketRent)^1*IF(INT((DATE(2026+1,10,31)-F15)/365.25)=0,(12-DowntimeNew)/12,1),IF(I15="Option",G15*D15*1.025*(1+EscalatorInLease)^1,IF(I15="Market",Retention*G15*D15*(1+EscalatorInLease)^(1+M15)+(1-Retention)*H15*D15*(1+GrowthMarketRent)^1*IF(INT((DATE(2026+1,10,31)-F15)/365.25)=0,(12-DowntimeNew)/12,1),IF(I15="LeaseUp",H15*D15*(1+GrowthMarketRent)^1*IF(1=0,(12-DowntimeNew)/12,1),0)))))))),0)</f>
        <v/>
      </c>
      <c r="P15" s="14">
        <f>IFERROR(IF(I15="LeaseUp",H15*D15*(1+GrowthMarketRent)^2*IF(2=0,(12-DowntimeNew)/12,1),IF(F15="",0,IF(F15&gt;=DATE(2027+2,4,30),G15*D15*(1+EscalatorInLease)^(2+M15),IF(F15&lt;DATE(2026+2,5,1),IF(I15="Vacate",H15*D15*(1+GrowthMarketRent)^2*IF(INT((DATE(2026+2,10,31)-F15)/365.25)=0,(12-DowntimeNew)/12,1),IF(I15="Option",G15*D15*1.025*(1+EscalatorInLease)^2,IF(I15="Market",Retention*G15*D15*(1+EscalatorInLease)^(2+M15)+(1-Retention)*H15*D15*(1+GrowthMarketRent)^2*IF(INT((DATE(2026+2,10,31)-F15)/365.25)=0,(12-DowntimeNew)/12,1),IF(I15="LeaseUp",H15*D15*(1+GrowthMarketRent)^2*IF(2=0,(12-DowntimeNew)/12,1),0)))),((F15-DATE(2026+2,5,1))/365.25)*G15*D15*(1+EscalatorInLease)^(2+M15)+((DATE(2027+2,4,30)-F15)/365.25)*IF(I15="Vacate",H15*D15*(1+GrowthMarketRent)^2*IF(INT((DATE(2026+2,10,31)-F15)/365.25)=0,(12-DowntimeNew)/12,1),IF(I15="Option",G15*D15*1.025*(1+EscalatorInLease)^2,IF(I15="Market",Retention*G15*D15*(1+EscalatorInLease)^(2+M15)+(1-Retention)*H15*D15*(1+GrowthMarketRent)^2*IF(INT((DATE(2026+2,10,31)-F15)/365.25)=0,(12-DowntimeNew)/12,1),IF(I15="LeaseUp",H15*D15*(1+GrowthMarketRent)^2*IF(2=0,(12-DowntimeNew)/12,1),0)))))))),0)</f>
        <v/>
      </c>
      <c r="Q15" s="14">
        <f>IFERROR(IF(I15="LeaseUp",H15*D15*(1+GrowthMarketRent)^3*IF(3=0,(12-DowntimeNew)/12,1),IF(F15="",0,IF(F15&gt;=DATE(2027+3,4,30),G15*D15*(1+EscalatorInLease)^(3+M15),IF(F15&lt;DATE(2026+3,5,1),IF(I15="Vacate",H15*D15*(1+GrowthMarketRent)^3*IF(INT((DATE(2026+3,10,31)-F15)/365.25)=0,(12-DowntimeNew)/12,1),IF(I15="Option",G15*D15*1.025*(1+EscalatorInLease)^3,IF(I15="Market",Retention*G15*D15*(1+EscalatorInLease)^(3+M15)+(1-Retention)*H15*D15*(1+GrowthMarketRent)^3*IF(INT((DATE(2026+3,10,31)-F15)/365.25)=0,(12-DowntimeNew)/12,1),IF(I15="LeaseUp",H15*D15*(1+GrowthMarketRent)^3*IF(3=0,(12-DowntimeNew)/12,1),0)))),((F15-DATE(2026+3,5,1))/365.25)*G15*D15*(1+EscalatorInLease)^(3+M15)+((DATE(2027+3,4,30)-F15)/365.25)*IF(I15="Vacate",H15*D15*(1+GrowthMarketRent)^3*IF(INT((DATE(2026+3,10,31)-F15)/365.25)=0,(12-DowntimeNew)/12,1),IF(I15="Option",G15*D15*1.025*(1+EscalatorInLease)^3,IF(I15="Market",Retention*G15*D15*(1+EscalatorInLease)^(3+M15)+(1-Retention)*H15*D15*(1+GrowthMarketRent)^3*IF(INT((DATE(2026+3,10,31)-F15)/365.25)=0,(12-DowntimeNew)/12,1),IF(I15="LeaseUp",H15*D15*(1+GrowthMarketRent)^3*IF(3=0,(12-DowntimeNew)/12,1),0)))))))),0)</f>
        <v/>
      </c>
      <c r="R15" s="14">
        <f>IFERROR(IF(I15="LeaseUp",H15*D15*(1+GrowthMarketRent)^4*IF(4=0,(12-DowntimeNew)/12,1),IF(F15="",0,IF(F15&gt;=DATE(2027+4,4,30),G15*D15*(1+EscalatorInLease)^(4+M15),IF(F15&lt;DATE(2026+4,5,1),IF(I15="Vacate",H15*D15*(1+GrowthMarketRent)^4*IF(INT((DATE(2026+4,10,31)-F15)/365.25)=0,(12-DowntimeNew)/12,1),IF(I15="Option",G15*D15*1.025*(1+EscalatorInLease)^4,IF(I15="Market",Retention*G15*D15*(1+EscalatorInLease)^(4+M15)+(1-Retention)*H15*D15*(1+GrowthMarketRent)^4*IF(INT((DATE(2026+4,10,31)-F15)/365.25)=0,(12-DowntimeNew)/12,1),IF(I15="LeaseUp",H15*D15*(1+GrowthMarketRent)^4*IF(4=0,(12-DowntimeNew)/12,1),0)))),((F15-DATE(2026+4,5,1))/365.25)*G15*D15*(1+EscalatorInLease)^(4+M15)+((DATE(2027+4,4,30)-F15)/365.25)*IF(I15="Vacate",H15*D15*(1+GrowthMarketRent)^4*IF(INT((DATE(2026+4,10,31)-F15)/365.25)=0,(12-DowntimeNew)/12,1),IF(I15="Option",G15*D15*1.025*(1+EscalatorInLease)^4,IF(I15="Market",Retention*G15*D15*(1+EscalatorInLease)^(4+M15)+(1-Retention)*H15*D15*(1+GrowthMarketRent)^4*IF(INT((DATE(2026+4,10,31)-F15)/365.25)=0,(12-DowntimeNew)/12,1),IF(I15="LeaseUp",H15*D15*(1+GrowthMarketRent)^4*IF(4=0,(12-DowntimeNew)/12,1),0)))))))),0)</f>
        <v/>
      </c>
      <c r="S15" s="14">
        <f>IFERROR(IF(I15="LeaseUp",H15*D15*(1+GrowthMarketRent)^5*IF(5=0,(12-DowntimeNew)/12,1),IF(F15="",0,IF(F15&gt;=DATE(2027+5,4,30),G15*D15*(1+EscalatorInLease)^(5+M15),IF(F15&lt;DATE(2026+5,5,1),IF(I15="Vacate",H15*D15*(1+GrowthMarketRent)^5*IF(INT((DATE(2026+5,10,31)-F15)/365.25)=0,(12-DowntimeNew)/12,1),IF(I15="Option",G15*D15*1.025*(1+EscalatorInLease)^5,IF(I15="Market",Retention*G15*D15*(1+EscalatorInLease)^(5+M15)+(1-Retention)*H15*D15*(1+GrowthMarketRent)^5*IF(INT((DATE(2026+5,10,31)-F15)/365.25)=0,(12-DowntimeNew)/12,1),IF(I15="LeaseUp",H15*D15*(1+GrowthMarketRent)^5*IF(5=0,(12-DowntimeNew)/12,1),0)))),((F15-DATE(2026+5,5,1))/365.25)*G15*D15*(1+EscalatorInLease)^(5+M15)+((DATE(2027+5,4,30)-F15)/365.25)*IF(I15="Vacate",H15*D15*(1+GrowthMarketRent)^5*IF(INT((DATE(2026+5,10,31)-F15)/365.25)=0,(12-DowntimeNew)/12,1),IF(I15="Option",G15*D15*1.025*(1+EscalatorInLease)^5,IF(I15="Market",Retention*G15*D15*(1+EscalatorInLease)^(5+M15)+(1-Retention)*H15*D15*(1+GrowthMarketRent)^5*IF(INT((DATE(2026+5,10,31)-F15)/365.25)=0,(12-DowntimeNew)/12,1),IF(I15="LeaseUp",H15*D15*(1+GrowthMarketRent)^5*IF(5=0,(12-DowntimeNew)/12,1),0)))))))),0)</f>
        <v/>
      </c>
      <c r="T15" s="14">
        <f>IFERROR(IF(I15="LeaseUp",H15*D15*(1+GrowthMarketRent)^6*IF(6=0,(12-DowntimeNew)/12,1),IF(F15="",0,IF(F15&gt;=DATE(2027+6,4,30),G15*D15*(1+EscalatorInLease)^(6+M15),IF(F15&lt;DATE(2026+6,5,1),IF(I15="Vacate",H15*D15*(1+GrowthMarketRent)^6*IF(INT((DATE(2026+6,10,31)-F15)/365.25)=0,(12-DowntimeNew)/12,1),IF(I15="Option",G15*D15*1.025*(1+EscalatorInLease)^6,IF(I15="Market",Retention*G15*D15*(1+EscalatorInLease)^(6+M15)+(1-Retention)*H15*D15*(1+GrowthMarketRent)^6*IF(INT((DATE(2026+6,10,31)-F15)/365.25)=0,(12-DowntimeNew)/12,1),IF(I15="LeaseUp",H15*D15*(1+GrowthMarketRent)^6*IF(6=0,(12-DowntimeNew)/12,1),0)))),((F15-DATE(2026+6,5,1))/365.25)*G15*D15*(1+EscalatorInLease)^(6+M15)+((DATE(2027+6,4,30)-F15)/365.25)*IF(I15="Vacate",H15*D15*(1+GrowthMarketRent)^6*IF(INT((DATE(2026+6,10,31)-F15)/365.25)=0,(12-DowntimeNew)/12,1),IF(I15="Option",G15*D15*1.025*(1+EscalatorInLease)^6,IF(I15="Market",Retention*G15*D15*(1+EscalatorInLease)^(6+M15)+(1-Retention)*H15*D15*(1+GrowthMarketRent)^6*IF(INT((DATE(2026+6,10,31)-F15)/365.25)=0,(12-DowntimeNew)/12,1),IF(I15="LeaseUp",H15*D15*(1+GrowthMarketRent)^6*IF(6=0,(12-DowntimeNew)/12,1),0)))))))),0)</f>
        <v/>
      </c>
      <c r="U15" s="14">
        <f>IFERROR(IF(I15="LeaseUp",H15*D15*(1+GrowthMarketRent)^7*IF(7=0,(12-DowntimeNew)/12,1),IF(F15="",0,IF(F15&gt;=DATE(2027+7,4,30),G15*D15*(1+EscalatorInLease)^(7+M15),IF(F15&lt;DATE(2026+7,5,1),IF(I15="Vacate",H15*D15*(1+GrowthMarketRent)^7*IF(INT((DATE(2026+7,10,31)-F15)/365.25)=0,(12-DowntimeNew)/12,1),IF(I15="Option",G15*D15*1.025*(1+EscalatorInLease)^7,IF(I15="Market",Retention*G15*D15*(1+EscalatorInLease)^(7+M15)+(1-Retention)*H15*D15*(1+GrowthMarketRent)^7*IF(INT((DATE(2026+7,10,31)-F15)/365.25)=0,(12-DowntimeNew)/12,1),IF(I15="LeaseUp",H15*D15*(1+GrowthMarketRent)^7*IF(7=0,(12-DowntimeNew)/12,1),0)))),((F15-DATE(2026+7,5,1))/365.25)*G15*D15*(1+EscalatorInLease)^(7+M15)+((DATE(2027+7,4,30)-F15)/365.25)*IF(I15="Vacate",H15*D15*(1+GrowthMarketRent)^7*IF(INT((DATE(2026+7,10,31)-F15)/365.25)=0,(12-DowntimeNew)/12,1),IF(I15="Option",G15*D15*1.025*(1+EscalatorInLease)^7,IF(I15="Market",Retention*G15*D15*(1+EscalatorInLease)^(7+M15)+(1-Retention)*H15*D15*(1+GrowthMarketRent)^7*IF(INT((DATE(2026+7,10,31)-F15)/365.25)=0,(12-DowntimeNew)/12,1),IF(I15="LeaseUp",H15*D15*(1+GrowthMarketRent)^7*IF(7=0,(12-DowntimeNew)/12,1),0)))))))),0)</f>
        <v/>
      </c>
      <c r="V15" s="14">
        <f>IFERROR(IF(I15="LeaseUp",H15*D15*(1+GrowthMarketRent)^8*IF(8=0,(12-DowntimeNew)/12,1),IF(F15="",0,IF(F15&gt;=DATE(2027+8,4,30),G15*D15*(1+EscalatorInLease)^(8+M15),IF(F15&lt;DATE(2026+8,5,1),IF(I15="Vacate",H15*D15*(1+GrowthMarketRent)^8*IF(INT((DATE(2026+8,10,31)-F15)/365.25)=0,(12-DowntimeNew)/12,1),IF(I15="Option",G15*D15*1.025*(1+EscalatorInLease)^8,IF(I15="Market",Retention*G15*D15*(1+EscalatorInLease)^(8+M15)+(1-Retention)*H15*D15*(1+GrowthMarketRent)^8*IF(INT((DATE(2026+8,10,31)-F15)/365.25)=0,(12-DowntimeNew)/12,1),IF(I15="LeaseUp",H15*D15*(1+GrowthMarketRent)^8*IF(8=0,(12-DowntimeNew)/12,1),0)))),((F15-DATE(2026+8,5,1))/365.25)*G15*D15*(1+EscalatorInLease)^(8+M15)+((DATE(2027+8,4,30)-F15)/365.25)*IF(I15="Vacate",H15*D15*(1+GrowthMarketRent)^8*IF(INT((DATE(2026+8,10,31)-F15)/365.25)=0,(12-DowntimeNew)/12,1),IF(I15="Option",G15*D15*1.025*(1+EscalatorInLease)^8,IF(I15="Market",Retention*G15*D15*(1+EscalatorInLease)^(8+M15)+(1-Retention)*H15*D15*(1+GrowthMarketRent)^8*IF(INT((DATE(2026+8,10,31)-F15)/365.25)=0,(12-DowntimeNew)/12,1),IF(I15="LeaseUp",H15*D15*(1+GrowthMarketRent)^8*IF(8=0,(12-DowntimeNew)/12,1),0)))))))),0)</f>
        <v/>
      </c>
      <c r="W15" s="14">
        <f>IFERROR(IF(I15="LeaseUp",H15*D15*(1+GrowthMarketRent)^9*IF(9=0,(12-DowntimeNew)/12,1),IF(F15="",0,IF(F15&gt;=DATE(2027+9,4,30),G15*D15*(1+EscalatorInLease)^(9+M15),IF(F15&lt;DATE(2026+9,5,1),IF(I15="Vacate",H15*D15*(1+GrowthMarketRent)^9*IF(INT((DATE(2026+9,10,31)-F15)/365.25)=0,(12-DowntimeNew)/12,1),IF(I15="Option",G15*D15*1.025*(1+EscalatorInLease)^9,IF(I15="Market",Retention*G15*D15*(1+EscalatorInLease)^(9+M15)+(1-Retention)*H15*D15*(1+GrowthMarketRent)^9*IF(INT((DATE(2026+9,10,31)-F15)/365.25)=0,(12-DowntimeNew)/12,1),IF(I15="LeaseUp",H15*D15*(1+GrowthMarketRent)^9*IF(9=0,(12-DowntimeNew)/12,1),0)))),((F15-DATE(2026+9,5,1))/365.25)*G15*D15*(1+EscalatorInLease)^(9+M15)+((DATE(2027+9,4,30)-F15)/365.25)*IF(I15="Vacate",H15*D15*(1+GrowthMarketRent)^9*IF(INT((DATE(2026+9,10,31)-F15)/365.25)=0,(12-DowntimeNew)/12,1),IF(I15="Option",G15*D15*1.025*(1+EscalatorInLease)^9,IF(I15="Market",Retention*G15*D15*(1+EscalatorInLease)^(9+M15)+(1-Retention)*H15*D15*(1+GrowthMarketRent)^9*IF(INT((DATE(2026+9,10,31)-F15)/365.25)=0,(12-DowntimeNew)/12,1),IF(I15="LeaseUp",H15*D15*(1+GrowthMarketRent)^9*IF(9=0,(12-DowntimeNew)/12,1),0)))))))),0)</f>
        <v/>
      </c>
      <c r="X15" s="14">
        <f>IFERROR(IF(I15="LeaseUp",H15*D15*(1+GrowthMarketRent)^10*IF(10=0,(12-DowntimeNew)/12,1),IF(F15="",0,IF(F15&gt;=DATE(2027+10,4,30),G15*D15*(1+EscalatorInLease)^(10+M15),IF(F15&lt;DATE(2026+10,5,1),IF(I15="Vacate",H15*D15*(1+GrowthMarketRent)^10*IF(INT((DATE(2026+10,10,31)-F15)/365.25)=0,(12-DowntimeNew)/12,1),IF(I15="Option",G15*D15*1.025*(1+EscalatorInLease)^10,IF(I15="Market",Retention*G15*D15*(1+EscalatorInLease)^(10+M15)+(1-Retention)*H15*D15*(1+GrowthMarketRent)^10*IF(INT((DATE(2026+10,10,31)-F15)/365.25)=0,(12-DowntimeNew)/12,1),IF(I15="LeaseUp",H15*D15*(1+GrowthMarketRent)^10*IF(10=0,(12-DowntimeNew)/12,1),0)))),((F15-DATE(2026+10,5,1))/365.25)*G15*D15*(1+EscalatorInLease)^(10+M15)+((DATE(2027+10,4,30)-F15)/365.25)*IF(I15="Vacate",H15*D15*(1+GrowthMarketRent)^10*IF(INT((DATE(2026+10,10,31)-F15)/365.25)=0,(12-DowntimeNew)/12,1),IF(I15="Option",G15*D15*1.025*(1+EscalatorInLease)^10,IF(I15="Market",Retention*G15*D15*(1+EscalatorInLease)^(10+M15)+(1-Retention)*H15*D15*(1+GrowthMarketRent)^10*IF(INT((DATE(2026+10,10,31)-F15)/365.25)=0,(12-DowntimeNew)/12,1),IF(I15="LeaseUp",H15*D15*(1+GrowthMarketRent)^10*IF(10=0,(12-DowntimeNew)/12,1),0)))))))),0)</f>
        <v/>
      </c>
      <c r="Y15" s="14">
        <f>IFERROR(IF(AND(I15="LeaseUp",0=0),(IF(I15="Vacate",TINew*D15,IF(I15="Market",Retention*TIRenewal*D15+(1-Retention)*TINew*D15,IF(I15="LeaseUp",TINew*D15,IF(I15="Option",TIRenewal*D15,0)))))+(IF(I15="Vacate",LCNew*H15*D15*(1+GrowthMarketRent)^0,IF(I15="Market",Retention*LCRenewal*H15*D15*(1+GrowthMarketRent)^0+(1-Retention)*LCNew*H15*D15*(1+GrowthMarketRent)^0,IF(I15="LeaseUp",LCNew*H15*D15*(1+GrowthMarketRent)^0,IF(I15="Option",LCRenewal*H15*D15*(1+GrowthMarketRent)^0,0))))),IF(F15="",0,IF(AND(F15&gt;=DATE(2026+0,5,1),F15&lt;=DATE(2027+0,4,30)),(IF(I15="Vacate",TINew*D15,IF(I15="Market",Retention*TIRenewal*D15+(1-Retention)*TINew*D15,IF(I15="LeaseUp",TINew*D15,IF(I15="Option",TIRenewal*D15,0)))))+(IF(I15="Vacate",LCNew*H15*D15*(1+GrowthMarketRent)^0,IF(I15="Market",Retention*LCRenewal*H15*D15*(1+GrowthMarketRent)^0+(1-Retention)*LCNew*H15*D15*(1+GrowthMarketRent)^0,IF(I15="LeaseUp",LCNew*H15*D15*(1+GrowthMarketRent)^0,IF(I15="Option",LCRenewal*H15*D15*(1+GrowthMarketRent)^0,0))))),0))),0)</f>
        <v/>
      </c>
      <c r="Z15" s="14">
        <f>IFERROR(IF(AND(I15="LeaseUp",1=0),(IF(I15="Vacate",TINew*D15,IF(I15="Market",Retention*TIRenewal*D15+(1-Retention)*TINew*D15,IF(I15="LeaseUp",TINew*D15,IF(I15="Option",TIRenewal*D15,0)))))+(IF(I15="Vacate",LCNew*H15*D15*(1+GrowthMarketRent)^1,IF(I15="Market",Retention*LCRenewal*H15*D15*(1+GrowthMarketRent)^1+(1-Retention)*LCNew*H15*D15*(1+GrowthMarketRent)^1,IF(I15="LeaseUp",LCNew*H15*D15*(1+GrowthMarketRent)^1,IF(I15="Option",LCRenewal*H15*D15*(1+GrowthMarketRent)^1,0))))),IF(F15="",0,IF(AND(F15&gt;=DATE(2026+1,5,1),F15&lt;=DATE(2027+1,4,30)),(IF(I15="Vacate",TINew*D15,IF(I15="Market",Retention*TIRenewal*D15+(1-Retention)*TINew*D15,IF(I15="LeaseUp",TINew*D15,IF(I15="Option",TIRenewal*D15,0)))))+(IF(I15="Vacate",LCNew*H15*D15*(1+GrowthMarketRent)^1,IF(I15="Market",Retention*LCRenewal*H15*D15*(1+GrowthMarketRent)^1+(1-Retention)*LCNew*H15*D15*(1+GrowthMarketRent)^1,IF(I15="LeaseUp",LCNew*H15*D15*(1+GrowthMarketRent)^1,IF(I15="Option",LCRenewal*H15*D15*(1+GrowthMarketRent)^1,0))))),0))),0)</f>
        <v/>
      </c>
      <c r="AA15" s="14">
        <f>IFERROR(IF(AND(I15="LeaseUp",2=0),(IF(I15="Vacate",TINew*D15,IF(I15="Market",Retention*TIRenewal*D15+(1-Retention)*TINew*D15,IF(I15="LeaseUp",TINew*D15,IF(I15="Option",TIRenewal*D15,0)))))+(IF(I15="Vacate",LCNew*H15*D15*(1+GrowthMarketRent)^2,IF(I15="Market",Retention*LCRenewal*H15*D15*(1+GrowthMarketRent)^2+(1-Retention)*LCNew*H15*D15*(1+GrowthMarketRent)^2,IF(I15="LeaseUp",LCNew*H15*D15*(1+GrowthMarketRent)^2,IF(I15="Option",LCRenewal*H15*D15*(1+GrowthMarketRent)^2,0))))),IF(F15="",0,IF(AND(F15&gt;=DATE(2026+2,5,1),F15&lt;=DATE(2027+2,4,30)),(IF(I15="Vacate",TINew*D15,IF(I15="Market",Retention*TIRenewal*D15+(1-Retention)*TINew*D15,IF(I15="LeaseUp",TINew*D15,IF(I15="Option",TIRenewal*D15,0)))))+(IF(I15="Vacate",LCNew*H15*D15*(1+GrowthMarketRent)^2,IF(I15="Market",Retention*LCRenewal*H15*D15*(1+GrowthMarketRent)^2+(1-Retention)*LCNew*H15*D15*(1+GrowthMarketRent)^2,IF(I15="LeaseUp",LCNew*H15*D15*(1+GrowthMarketRent)^2,IF(I15="Option",LCRenewal*H15*D15*(1+GrowthMarketRent)^2,0))))),0))),0)</f>
        <v/>
      </c>
      <c r="AB15" s="14">
        <f>IFERROR(IF(AND(I15="LeaseUp",3=0),(IF(I15="Vacate",TINew*D15,IF(I15="Market",Retention*TIRenewal*D15+(1-Retention)*TINew*D15,IF(I15="LeaseUp",TINew*D15,IF(I15="Option",TIRenewal*D15,0)))))+(IF(I15="Vacate",LCNew*H15*D15*(1+GrowthMarketRent)^3,IF(I15="Market",Retention*LCRenewal*H15*D15*(1+GrowthMarketRent)^3+(1-Retention)*LCNew*H15*D15*(1+GrowthMarketRent)^3,IF(I15="LeaseUp",LCNew*H15*D15*(1+GrowthMarketRent)^3,IF(I15="Option",LCRenewal*H15*D15*(1+GrowthMarketRent)^3,0))))),IF(F15="",0,IF(AND(F15&gt;=DATE(2026+3,5,1),F15&lt;=DATE(2027+3,4,30)),(IF(I15="Vacate",TINew*D15,IF(I15="Market",Retention*TIRenewal*D15+(1-Retention)*TINew*D15,IF(I15="LeaseUp",TINew*D15,IF(I15="Option",TIRenewal*D15,0)))))+(IF(I15="Vacate",LCNew*H15*D15*(1+GrowthMarketRent)^3,IF(I15="Market",Retention*LCRenewal*H15*D15*(1+GrowthMarketRent)^3+(1-Retention)*LCNew*H15*D15*(1+GrowthMarketRent)^3,IF(I15="LeaseUp",LCNew*H15*D15*(1+GrowthMarketRent)^3,IF(I15="Option",LCRenewal*H15*D15*(1+GrowthMarketRent)^3,0))))),0))),0)</f>
        <v/>
      </c>
      <c r="AC15" s="14">
        <f>IFERROR(IF(AND(I15="LeaseUp",4=0),(IF(I15="Vacate",TINew*D15,IF(I15="Market",Retention*TIRenewal*D15+(1-Retention)*TINew*D15,IF(I15="LeaseUp",TINew*D15,IF(I15="Option",TIRenewal*D15,0)))))+(IF(I15="Vacate",LCNew*H15*D15*(1+GrowthMarketRent)^4,IF(I15="Market",Retention*LCRenewal*H15*D15*(1+GrowthMarketRent)^4+(1-Retention)*LCNew*H15*D15*(1+GrowthMarketRent)^4,IF(I15="LeaseUp",LCNew*H15*D15*(1+GrowthMarketRent)^4,IF(I15="Option",LCRenewal*H15*D15*(1+GrowthMarketRent)^4,0))))),IF(F15="",0,IF(AND(F15&gt;=DATE(2026+4,5,1),F15&lt;=DATE(2027+4,4,30)),(IF(I15="Vacate",TINew*D15,IF(I15="Market",Retention*TIRenewal*D15+(1-Retention)*TINew*D15,IF(I15="LeaseUp",TINew*D15,IF(I15="Option",TIRenewal*D15,0)))))+(IF(I15="Vacate",LCNew*H15*D15*(1+GrowthMarketRent)^4,IF(I15="Market",Retention*LCRenewal*H15*D15*(1+GrowthMarketRent)^4+(1-Retention)*LCNew*H15*D15*(1+GrowthMarketRent)^4,IF(I15="LeaseUp",LCNew*H15*D15*(1+GrowthMarketRent)^4,IF(I15="Option",LCRenewal*H15*D15*(1+GrowthMarketRent)^4,0))))),0))),0)</f>
        <v/>
      </c>
      <c r="AD15" s="14">
        <f>IFERROR(IF(AND(I15="LeaseUp",5=0),(IF(I15="Vacate",TINew*D15,IF(I15="Market",Retention*TIRenewal*D15+(1-Retention)*TINew*D15,IF(I15="LeaseUp",TINew*D15,IF(I15="Option",TIRenewal*D15,0)))))+(IF(I15="Vacate",LCNew*H15*D15*(1+GrowthMarketRent)^5,IF(I15="Market",Retention*LCRenewal*H15*D15*(1+GrowthMarketRent)^5+(1-Retention)*LCNew*H15*D15*(1+GrowthMarketRent)^5,IF(I15="LeaseUp",LCNew*H15*D15*(1+GrowthMarketRent)^5,IF(I15="Option",LCRenewal*H15*D15*(1+GrowthMarketRent)^5,0))))),IF(F15="",0,IF(AND(F15&gt;=DATE(2026+5,5,1),F15&lt;=DATE(2027+5,4,30)),(IF(I15="Vacate",TINew*D15,IF(I15="Market",Retention*TIRenewal*D15+(1-Retention)*TINew*D15,IF(I15="LeaseUp",TINew*D15,IF(I15="Option",TIRenewal*D15,0)))))+(IF(I15="Vacate",LCNew*H15*D15*(1+GrowthMarketRent)^5,IF(I15="Market",Retention*LCRenewal*H15*D15*(1+GrowthMarketRent)^5+(1-Retention)*LCNew*H15*D15*(1+GrowthMarketRent)^5,IF(I15="LeaseUp",LCNew*H15*D15*(1+GrowthMarketRent)^5,IF(I15="Option",LCRenewal*H15*D15*(1+GrowthMarketRent)^5,0))))),0))),0)</f>
        <v/>
      </c>
      <c r="AE15" s="14">
        <f>IFERROR(IF(AND(I15="LeaseUp",6=0),(IF(I15="Vacate",TINew*D15,IF(I15="Market",Retention*TIRenewal*D15+(1-Retention)*TINew*D15,IF(I15="LeaseUp",TINew*D15,IF(I15="Option",TIRenewal*D15,0)))))+(IF(I15="Vacate",LCNew*H15*D15*(1+GrowthMarketRent)^6,IF(I15="Market",Retention*LCRenewal*H15*D15*(1+GrowthMarketRent)^6+(1-Retention)*LCNew*H15*D15*(1+GrowthMarketRent)^6,IF(I15="LeaseUp",LCNew*H15*D15*(1+GrowthMarketRent)^6,IF(I15="Option",LCRenewal*H15*D15*(1+GrowthMarketRent)^6,0))))),IF(F15="",0,IF(AND(F15&gt;=DATE(2026+6,5,1),F15&lt;=DATE(2027+6,4,30)),(IF(I15="Vacate",TINew*D15,IF(I15="Market",Retention*TIRenewal*D15+(1-Retention)*TINew*D15,IF(I15="LeaseUp",TINew*D15,IF(I15="Option",TIRenewal*D15,0)))))+(IF(I15="Vacate",LCNew*H15*D15*(1+GrowthMarketRent)^6,IF(I15="Market",Retention*LCRenewal*H15*D15*(1+GrowthMarketRent)^6+(1-Retention)*LCNew*H15*D15*(1+GrowthMarketRent)^6,IF(I15="LeaseUp",LCNew*H15*D15*(1+GrowthMarketRent)^6,IF(I15="Option",LCRenewal*H15*D15*(1+GrowthMarketRent)^6,0))))),0))),0)</f>
        <v/>
      </c>
      <c r="AF15" s="14">
        <f>IFERROR(IF(AND(I15="LeaseUp",7=0),(IF(I15="Vacate",TINew*D15,IF(I15="Market",Retention*TIRenewal*D15+(1-Retention)*TINew*D15,IF(I15="LeaseUp",TINew*D15,IF(I15="Option",TIRenewal*D15,0)))))+(IF(I15="Vacate",LCNew*H15*D15*(1+GrowthMarketRent)^7,IF(I15="Market",Retention*LCRenewal*H15*D15*(1+GrowthMarketRent)^7+(1-Retention)*LCNew*H15*D15*(1+GrowthMarketRent)^7,IF(I15="LeaseUp",LCNew*H15*D15*(1+GrowthMarketRent)^7,IF(I15="Option",LCRenewal*H15*D15*(1+GrowthMarketRent)^7,0))))),IF(F15="",0,IF(AND(F15&gt;=DATE(2026+7,5,1),F15&lt;=DATE(2027+7,4,30)),(IF(I15="Vacate",TINew*D15,IF(I15="Market",Retention*TIRenewal*D15+(1-Retention)*TINew*D15,IF(I15="LeaseUp",TINew*D15,IF(I15="Option",TIRenewal*D15,0)))))+(IF(I15="Vacate",LCNew*H15*D15*(1+GrowthMarketRent)^7,IF(I15="Market",Retention*LCRenewal*H15*D15*(1+GrowthMarketRent)^7+(1-Retention)*LCNew*H15*D15*(1+GrowthMarketRent)^7,IF(I15="LeaseUp",LCNew*H15*D15*(1+GrowthMarketRent)^7,IF(I15="Option",LCRenewal*H15*D15*(1+GrowthMarketRent)^7,0))))),0))),0)</f>
        <v/>
      </c>
      <c r="AG15" s="14">
        <f>IFERROR(IF(AND(I15="LeaseUp",8=0),(IF(I15="Vacate",TINew*D15,IF(I15="Market",Retention*TIRenewal*D15+(1-Retention)*TINew*D15,IF(I15="LeaseUp",TINew*D15,IF(I15="Option",TIRenewal*D15,0)))))+(IF(I15="Vacate",LCNew*H15*D15*(1+GrowthMarketRent)^8,IF(I15="Market",Retention*LCRenewal*H15*D15*(1+GrowthMarketRent)^8+(1-Retention)*LCNew*H15*D15*(1+GrowthMarketRent)^8,IF(I15="LeaseUp",LCNew*H15*D15*(1+GrowthMarketRent)^8,IF(I15="Option",LCRenewal*H15*D15*(1+GrowthMarketRent)^8,0))))),IF(F15="",0,IF(AND(F15&gt;=DATE(2026+8,5,1),F15&lt;=DATE(2027+8,4,30)),(IF(I15="Vacate",TINew*D15,IF(I15="Market",Retention*TIRenewal*D15+(1-Retention)*TINew*D15,IF(I15="LeaseUp",TINew*D15,IF(I15="Option",TIRenewal*D15,0)))))+(IF(I15="Vacate",LCNew*H15*D15*(1+GrowthMarketRent)^8,IF(I15="Market",Retention*LCRenewal*H15*D15*(1+GrowthMarketRent)^8+(1-Retention)*LCNew*H15*D15*(1+GrowthMarketRent)^8,IF(I15="LeaseUp",LCNew*H15*D15*(1+GrowthMarketRent)^8,IF(I15="Option",LCRenewal*H15*D15*(1+GrowthMarketRent)^8,0))))),0))),0)</f>
        <v/>
      </c>
      <c r="AH15" s="14">
        <f>IFERROR(IF(AND(I15="LeaseUp",9=0),(IF(I15="Vacate",TINew*D15,IF(I15="Market",Retention*TIRenewal*D15+(1-Retention)*TINew*D15,IF(I15="LeaseUp",TINew*D15,IF(I15="Option",TIRenewal*D15,0)))))+(IF(I15="Vacate",LCNew*H15*D15*(1+GrowthMarketRent)^9,IF(I15="Market",Retention*LCRenewal*H15*D15*(1+GrowthMarketRent)^9+(1-Retention)*LCNew*H15*D15*(1+GrowthMarketRent)^9,IF(I15="LeaseUp",LCNew*H15*D15*(1+GrowthMarketRent)^9,IF(I15="Option",LCRenewal*H15*D15*(1+GrowthMarketRent)^9,0))))),IF(F15="",0,IF(AND(F15&gt;=DATE(2026+9,5,1),F15&lt;=DATE(2027+9,4,30)),(IF(I15="Vacate",TINew*D15,IF(I15="Market",Retention*TIRenewal*D15+(1-Retention)*TINew*D15,IF(I15="LeaseUp",TINew*D15,IF(I15="Option",TIRenewal*D15,0)))))+(IF(I15="Vacate",LCNew*H15*D15*(1+GrowthMarketRent)^9,IF(I15="Market",Retention*LCRenewal*H15*D15*(1+GrowthMarketRent)^9+(1-Retention)*LCNew*H15*D15*(1+GrowthMarketRent)^9,IF(I15="LeaseUp",LCNew*H15*D15*(1+GrowthMarketRent)^9,IF(I15="Option",LCRenewal*H15*D15*(1+GrowthMarketRent)^9,0))))),0))),0)</f>
        <v/>
      </c>
      <c r="AI15" s="14">
        <f>IFERROR(IF(AND(I15="LeaseUp",10=0),(IF(I15="Vacate",TINew*D15,IF(I15="Market",Retention*TIRenewal*D15+(1-Retention)*TINew*D15,IF(I15="LeaseUp",TINew*D15,IF(I15="Option",TIRenewal*D15,0)))))+(IF(I15="Vacate",LCNew*H15*D15*(1+GrowthMarketRent)^10,IF(I15="Market",Retention*LCRenewal*H15*D15*(1+GrowthMarketRent)^10+(1-Retention)*LCNew*H15*D15*(1+GrowthMarketRent)^10,IF(I15="LeaseUp",LCNew*H15*D15*(1+GrowthMarketRent)^10,IF(I15="Option",LCRenewal*H15*D15*(1+GrowthMarketRent)^10,0))))),IF(F15="",0,IF(AND(F15&gt;=DATE(2026+10,5,1),F15&lt;=DATE(2027+10,4,30)),(IF(I15="Vacate",TINew*D15,IF(I15="Market",Retention*TIRenewal*D15+(1-Retention)*TINew*D15,IF(I15="LeaseUp",TINew*D15,IF(I15="Option",TIRenewal*D15,0)))))+(IF(I15="Vacate",LCNew*H15*D15*(1+GrowthMarketRent)^10,IF(I15="Market",Retention*LCRenewal*H15*D15*(1+GrowthMarketRent)^10+(1-Retention)*LCNew*H15*D15*(1+GrowthMarketRent)^10,IF(I15="LeaseUp",LCNew*H15*D15*(1+GrowthMarketRent)^10,IF(I15="Option",LCRenewal*H15*D15*(1+GrowthMarketRent)^10,0))))),0))),0)</f>
        <v/>
      </c>
    </row>
    <row r="16">
      <c r="A16" t="inlineStr">
        <is>
          <t>Carrollton</t>
        </is>
      </c>
      <c r="B16" t="inlineStr">
        <is>
          <t>204</t>
        </is>
      </c>
      <c r="C16" t="inlineStr">
        <is>
          <t>J. Auto Solutions LLC</t>
        </is>
      </c>
      <c r="D16" s="32" t="n">
        <v>1870</v>
      </c>
      <c r="E16" s="33" t="n">
        <v>46082</v>
      </c>
      <c r="F16" s="33" t="n">
        <v>46419</v>
      </c>
      <c r="G16" s="34" t="n">
        <v>16</v>
      </c>
      <c r="H16" s="16">
        <f>VLOOKUP("Carrollton — "&amp;J16,MLA!$A$5:$L$11,3,FALSE)</f>
        <v/>
      </c>
      <c r="I16" s="11" t="inlineStr">
        <is>
          <t>Market</t>
        </is>
      </c>
      <c r="J16" t="inlineStr">
        <is>
          <t>Studio</t>
        </is>
      </c>
      <c r="K16" t="inlineStr">
        <is>
          <t>Occupied</t>
        </is>
      </c>
      <c r="L16" t="inlineStr">
        <is>
          <t>Studio; Guarantor: Xuan Luo</t>
        </is>
      </c>
      <c r="M16" s="20">
        <f>IF(E16="",0,(AnalysisStart-E16)/365.25)</f>
        <v/>
      </c>
      <c r="N16" s="14">
        <f>IFERROR(IF(I16="LeaseUp",H16*D16*(1+GrowthMarketRent)^0*IF(0=0,(12-DowntimeNew)/12,1),IF(F16="",0,IF(F16&gt;=DATE(2027+0,4,30),G16*D16*(1+EscalatorInLease)^(0+M16),IF(F16&lt;DATE(2026+0,5,1),IF(I16="Vacate",H16*D16*(1+GrowthMarketRent)^0*IF(INT((DATE(2026+0,10,31)-F16)/365.25)=0,(12-DowntimeNew)/12,1),IF(I16="Option",G16*D16*1.025*(1+EscalatorInLease)^0,IF(I16="Market",Retention*G16*D16*(1+EscalatorInLease)^(0+M16)+(1-Retention)*H16*D16*(1+GrowthMarketRent)^0*IF(INT((DATE(2026+0,10,31)-F16)/365.25)=0,(12-DowntimeNew)/12,1),IF(I16="LeaseUp",H16*D16*(1+GrowthMarketRent)^0*IF(0=0,(12-DowntimeNew)/12,1),0)))),((F16-DATE(2026+0,5,1))/365.25)*G16*D16*(1+EscalatorInLease)^(0+M16)+((DATE(2027+0,4,30)-F16)/365.25)*IF(I16="Vacate",H16*D16*(1+GrowthMarketRent)^0*IF(INT((DATE(2026+0,10,31)-F16)/365.25)=0,(12-DowntimeNew)/12,1),IF(I16="Option",G16*D16*1.025*(1+EscalatorInLease)^0,IF(I16="Market",Retention*G16*D16*(1+EscalatorInLease)^(0+M16)+(1-Retention)*H16*D16*(1+GrowthMarketRent)^0*IF(INT((DATE(2026+0,10,31)-F16)/365.25)=0,(12-DowntimeNew)/12,1),IF(I16="LeaseUp",H16*D16*(1+GrowthMarketRent)^0*IF(0=0,(12-DowntimeNew)/12,1),0)))))))),0)</f>
        <v/>
      </c>
      <c r="O16" s="14">
        <f>IFERROR(IF(I16="LeaseUp",H16*D16*(1+GrowthMarketRent)^1*IF(1=0,(12-DowntimeNew)/12,1),IF(F16="",0,IF(F16&gt;=DATE(2027+1,4,30),G16*D16*(1+EscalatorInLease)^(1+M16),IF(F16&lt;DATE(2026+1,5,1),IF(I16="Vacate",H16*D16*(1+GrowthMarketRent)^1*IF(INT((DATE(2026+1,10,31)-F16)/365.25)=0,(12-DowntimeNew)/12,1),IF(I16="Option",G16*D16*1.025*(1+EscalatorInLease)^1,IF(I16="Market",Retention*G16*D16*(1+EscalatorInLease)^(1+M16)+(1-Retention)*H16*D16*(1+GrowthMarketRent)^1*IF(INT((DATE(2026+1,10,31)-F16)/365.25)=0,(12-DowntimeNew)/12,1),IF(I16="LeaseUp",H16*D16*(1+GrowthMarketRent)^1*IF(1=0,(12-DowntimeNew)/12,1),0)))),((F16-DATE(2026+1,5,1))/365.25)*G16*D16*(1+EscalatorInLease)^(1+M16)+((DATE(2027+1,4,30)-F16)/365.25)*IF(I16="Vacate",H16*D16*(1+GrowthMarketRent)^1*IF(INT((DATE(2026+1,10,31)-F16)/365.25)=0,(12-DowntimeNew)/12,1),IF(I16="Option",G16*D16*1.025*(1+EscalatorInLease)^1,IF(I16="Market",Retention*G16*D16*(1+EscalatorInLease)^(1+M16)+(1-Retention)*H16*D16*(1+GrowthMarketRent)^1*IF(INT((DATE(2026+1,10,31)-F16)/365.25)=0,(12-DowntimeNew)/12,1),IF(I16="LeaseUp",H16*D16*(1+GrowthMarketRent)^1*IF(1=0,(12-DowntimeNew)/12,1),0)))))))),0)</f>
        <v/>
      </c>
      <c r="P16" s="14">
        <f>IFERROR(IF(I16="LeaseUp",H16*D16*(1+GrowthMarketRent)^2*IF(2=0,(12-DowntimeNew)/12,1),IF(F16="",0,IF(F16&gt;=DATE(2027+2,4,30),G16*D16*(1+EscalatorInLease)^(2+M16),IF(F16&lt;DATE(2026+2,5,1),IF(I16="Vacate",H16*D16*(1+GrowthMarketRent)^2*IF(INT((DATE(2026+2,10,31)-F16)/365.25)=0,(12-DowntimeNew)/12,1),IF(I16="Option",G16*D16*1.025*(1+EscalatorInLease)^2,IF(I16="Market",Retention*G16*D16*(1+EscalatorInLease)^(2+M16)+(1-Retention)*H16*D16*(1+GrowthMarketRent)^2*IF(INT((DATE(2026+2,10,31)-F16)/365.25)=0,(12-DowntimeNew)/12,1),IF(I16="LeaseUp",H16*D16*(1+GrowthMarketRent)^2*IF(2=0,(12-DowntimeNew)/12,1),0)))),((F16-DATE(2026+2,5,1))/365.25)*G16*D16*(1+EscalatorInLease)^(2+M16)+((DATE(2027+2,4,30)-F16)/365.25)*IF(I16="Vacate",H16*D16*(1+GrowthMarketRent)^2*IF(INT((DATE(2026+2,10,31)-F16)/365.25)=0,(12-DowntimeNew)/12,1),IF(I16="Option",G16*D16*1.025*(1+EscalatorInLease)^2,IF(I16="Market",Retention*G16*D16*(1+EscalatorInLease)^(2+M16)+(1-Retention)*H16*D16*(1+GrowthMarketRent)^2*IF(INT((DATE(2026+2,10,31)-F16)/365.25)=0,(12-DowntimeNew)/12,1),IF(I16="LeaseUp",H16*D16*(1+GrowthMarketRent)^2*IF(2=0,(12-DowntimeNew)/12,1),0)))))))),0)</f>
        <v/>
      </c>
      <c r="Q16" s="14">
        <f>IFERROR(IF(I16="LeaseUp",H16*D16*(1+GrowthMarketRent)^3*IF(3=0,(12-DowntimeNew)/12,1),IF(F16="",0,IF(F16&gt;=DATE(2027+3,4,30),G16*D16*(1+EscalatorInLease)^(3+M16),IF(F16&lt;DATE(2026+3,5,1),IF(I16="Vacate",H16*D16*(1+GrowthMarketRent)^3*IF(INT((DATE(2026+3,10,31)-F16)/365.25)=0,(12-DowntimeNew)/12,1),IF(I16="Option",G16*D16*1.025*(1+EscalatorInLease)^3,IF(I16="Market",Retention*G16*D16*(1+EscalatorInLease)^(3+M16)+(1-Retention)*H16*D16*(1+GrowthMarketRent)^3*IF(INT((DATE(2026+3,10,31)-F16)/365.25)=0,(12-DowntimeNew)/12,1),IF(I16="LeaseUp",H16*D16*(1+GrowthMarketRent)^3*IF(3=0,(12-DowntimeNew)/12,1),0)))),((F16-DATE(2026+3,5,1))/365.25)*G16*D16*(1+EscalatorInLease)^(3+M16)+((DATE(2027+3,4,30)-F16)/365.25)*IF(I16="Vacate",H16*D16*(1+GrowthMarketRent)^3*IF(INT((DATE(2026+3,10,31)-F16)/365.25)=0,(12-DowntimeNew)/12,1),IF(I16="Option",G16*D16*1.025*(1+EscalatorInLease)^3,IF(I16="Market",Retention*G16*D16*(1+EscalatorInLease)^(3+M16)+(1-Retention)*H16*D16*(1+GrowthMarketRent)^3*IF(INT((DATE(2026+3,10,31)-F16)/365.25)=0,(12-DowntimeNew)/12,1),IF(I16="LeaseUp",H16*D16*(1+GrowthMarketRent)^3*IF(3=0,(12-DowntimeNew)/12,1),0)))))))),0)</f>
        <v/>
      </c>
      <c r="R16" s="14">
        <f>IFERROR(IF(I16="LeaseUp",H16*D16*(1+GrowthMarketRent)^4*IF(4=0,(12-DowntimeNew)/12,1),IF(F16="",0,IF(F16&gt;=DATE(2027+4,4,30),G16*D16*(1+EscalatorInLease)^(4+M16),IF(F16&lt;DATE(2026+4,5,1),IF(I16="Vacate",H16*D16*(1+GrowthMarketRent)^4*IF(INT((DATE(2026+4,10,31)-F16)/365.25)=0,(12-DowntimeNew)/12,1),IF(I16="Option",G16*D16*1.025*(1+EscalatorInLease)^4,IF(I16="Market",Retention*G16*D16*(1+EscalatorInLease)^(4+M16)+(1-Retention)*H16*D16*(1+GrowthMarketRent)^4*IF(INT((DATE(2026+4,10,31)-F16)/365.25)=0,(12-DowntimeNew)/12,1),IF(I16="LeaseUp",H16*D16*(1+GrowthMarketRent)^4*IF(4=0,(12-DowntimeNew)/12,1),0)))),((F16-DATE(2026+4,5,1))/365.25)*G16*D16*(1+EscalatorInLease)^(4+M16)+((DATE(2027+4,4,30)-F16)/365.25)*IF(I16="Vacate",H16*D16*(1+GrowthMarketRent)^4*IF(INT((DATE(2026+4,10,31)-F16)/365.25)=0,(12-DowntimeNew)/12,1),IF(I16="Option",G16*D16*1.025*(1+EscalatorInLease)^4,IF(I16="Market",Retention*G16*D16*(1+EscalatorInLease)^(4+M16)+(1-Retention)*H16*D16*(1+GrowthMarketRent)^4*IF(INT((DATE(2026+4,10,31)-F16)/365.25)=0,(12-DowntimeNew)/12,1),IF(I16="LeaseUp",H16*D16*(1+GrowthMarketRent)^4*IF(4=0,(12-DowntimeNew)/12,1),0)))))))),0)</f>
        <v/>
      </c>
      <c r="S16" s="14">
        <f>IFERROR(IF(I16="LeaseUp",H16*D16*(1+GrowthMarketRent)^5*IF(5=0,(12-DowntimeNew)/12,1),IF(F16="",0,IF(F16&gt;=DATE(2027+5,4,30),G16*D16*(1+EscalatorInLease)^(5+M16),IF(F16&lt;DATE(2026+5,5,1),IF(I16="Vacate",H16*D16*(1+GrowthMarketRent)^5*IF(INT((DATE(2026+5,10,31)-F16)/365.25)=0,(12-DowntimeNew)/12,1),IF(I16="Option",G16*D16*1.025*(1+EscalatorInLease)^5,IF(I16="Market",Retention*G16*D16*(1+EscalatorInLease)^(5+M16)+(1-Retention)*H16*D16*(1+GrowthMarketRent)^5*IF(INT((DATE(2026+5,10,31)-F16)/365.25)=0,(12-DowntimeNew)/12,1),IF(I16="LeaseUp",H16*D16*(1+GrowthMarketRent)^5*IF(5=0,(12-DowntimeNew)/12,1),0)))),((F16-DATE(2026+5,5,1))/365.25)*G16*D16*(1+EscalatorInLease)^(5+M16)+((DATE(2027+5,4,30)-F16)/365.25)*IF(I16="Vacate",H16*D16*(1+GrowthMarketRent)^5*IF(INT((DATE(2026+5,10,31)-F16)/365.25)=0,(12-DowntimeNew)/12,1),IF(I16="Option",G16*D16*1.025*(1+EscalatorInLease)^5,IF(I16="Market",Retention*G16*D16*(1+EscalatorInLease)^(5+M16)+(1-Retention)*H16*D16*(1+GrowthMarketRent)^5*IF(INT((DATE(2026+5,10,31)-F16)/365.25)=0,(12-DowntimeNew)/12,1),IF(I16="LeaseUp",H16*D16*(1+GrowthMarketRent)^5*IF(5=0,(12-DowntimeNew)/12,1),0)))))))),0)</f>
        <v/>
      </c>
      <c r="T16" s="14">
        <f>IFERROR(IF(I16="LeaseUp",H16*D16*(1+GrowthMarketRent)^6*IF(6=0,(12-DowntimeNew)/12,1),IF(F16="",0,IF(F16&gt;=DATE(2027+6,4,30),G16*D16*(1+EscalatorInLease)^(6+M16),IF(F16&lt;DATE(2026+6,5,1),IF(I16="Vacate",H16*D16*(1+GrowthMarketRent)^6*IF(INT((DATE(2026+6,10,31)-F16)/365.25)=0,(12-DowntimeNew)/12,1),IF(I16="Option",G16*D16*1.025*(1+EscalatorInLease)^6,IF(I16="Market",Retention*G16*D16*(1+EscalatorInLease)^(6+M16)+(1-Retention)*H16*D16*(1+GrowthMarketRent)^6*IF(INT((DATE(2026+6,10,31)-F16)/365.25)=0,(12-DowntimeNew)/12,1),IF(I16="LeaseUp",H16*D16*(1+GrowthMarketRent)^6*IF(6=0,(12-DowntimeNew)/12,1),0)))),((F16-DATE(2026+6,5,1))/365.25)*G16*D16*(1+EscalatorInLease)^(6+M16)+((DATE(2027+6,4,30)-F16)/365.25)*IF(I16="Vacate",H16*D16*(1+GrowthMarketRent)^6*IF(INT((DATE(2026+6,10,31)-F16)/365.25)=0,(12-DowntimeNew)/12,1),IF(I16="Option",G16*D16*1.025*(1+EscalatorInLease)^6,IF(I16="Market",Retention*G16*D16*(1+EscalatorInLease)^(6+M16)+(1-Retention)*H16*D16*(1+GrowthMarketRent)^6*IF(INT((DATE(2026+6,10,31)-F16)/365.25)=0,(12-DowntimeNew)/12,1),IF(I16="LeaseUp",H16*D16*(1+GrowthMarketRent)^6*IF(6=0,(12-DowntimeNew)/12,1),0)))))))),0)</f>
        <v/>
      </c>
      <c r="U16" s="14">
        <f>IFERROR(IF(I16="LeaseUp",H16*D16*(1+GrowthMarketRent)^7*IF(7=0,(12-DowntimeNew)/12,1),IF(F16="",0,IF(F16&gt;=DATE(2027+7,4,30),G16*D16*(1+EscalatorInLease)^(7+M16),IF(F16&lt;DATE(2026+7,5,1),IF(I16="Vacate",H16*D16*(1+GrowthMarketRent)^7*IF(INT((DATE(2026+7,10,31)-F16)/365.25)=0,(12-DowntimeNew)/12,1),IF(I16="Option",G16*D16*1.025*(1+EscalatorInLease)^7,IF(I16="Market",Retention*G16*D16*(1+EscalatorInLease)^(7+M16)+(1-Retention)*H16*D16*(1+GrowthMarketRent)^7*IF(INT((DATE(2026+7,10,31)-F16)/365.25)=0,(12-DowntimeNew)/12,1),IF(I16="LeaseUp",H16*D16*(1+GrowthMarketRent)^7*IF(7=0,(12-DowntimeNew)/12,1),0)))),((F16-DATE(2026+7,5,1))/365.25)*G16*D16*(1+EscalatorInLease)^(7+M16)+((DATE(2027+7,4,30)-F16)/365.25)*IF(I16="Vacate",H16*D16*(1+GrowthMarketRent)^7*IF(INT((DATE(2026+7,10,31)-F16)/365.25)=0,(12-DowntimeNew)/12,1),IF(I16="Option",G16*D16*1.025*(1+EscalatorInLease)^7,IF(I16="Market",Retention*G16*D16*(1+EscalatorInLease)^(7+M16)+(1-Retention)*H16*D16*(1+GrowthMarketRent)^7*IF(INT((DATE(2026+7,10,31)-F16)/365.25)=0,(12-DowntimeNew)/12,1),IF(I16="LeaseUp",H16*D16*(1+GrowthMarketRent)^7*IF(7=0,(12-DowntimeNew)/12,1),0)))))))),0)</f>
        <v/>
      </c>
      <c r="V16" s="14">
        <f>IFERROR(IF(I16="LeaseUp",H16*D16*(1+GrowthMarketRent)^8*IF(8=0,(12-DowntimeNew)/12,1),IF(F16="",0,IF(F16&gt;=DATE(2027+8,4,30),G16*D16*(1+EscalatorInLease)^(8+M16),IF(F16&lt;DATE(2026+8,5,1),IF(I16="Vacate",H16*D16*(1+GrowthMarketRent)^8*IF(INT((DATE(2026+8,10,31)-F16)/365.25)=0,(12-DowntimeNew)/12,1),IF(I16="Option",G16*D16*1.025*(1+EscalatorInLease)^8,IF(I16="Market",Retention*G16*D16*(1+EscalatorInLease)^(8+M16)+(1-Retention)*H16*D16*(1+GrowthMarketRent)^8*IF(INT((DATE(2026+8,10,31)-F16)/365.25)=0,(12-DowntimeNew)/12,1),IF(I16="LeaseUp",H16*D16*(1+GrowthMarketRent)^8*IF(8=0,(12-DowntimeNew)/12,1),0)))),((F16-DATE(2026+8,5,1))/365.25)*G16*D16*(1+EscalatorInLease)^(8+M16)+((DATE(2027+8,4,30)-F16)/365.25)*IF(I16="Vacate",H16*D16*(1+GrowthMarketRent)^8*IF(INT((DATE(2026+8,10,31)-F16)/365.25)=0,(12-DowntimeNew)/12,1),IF(I16="Option",G16*D16*1.025*(1+EscalatorInLease)^8,IF(I16="Market",Retention*G16*D16*(1+EscalatorInLease)^(8+M16)+(1-Retention)*H16*D16*(1+GrowthMarketRent)^8*IF(INT((DATE(2026+8,10,31)-F16)/365.25)=0,(12-DowntimeNew)/12,1),IF(I16="LeaseUp",H16*D16*(1+GrowthMarketRent)^8*IF(8=0,(12-DowntimeNew)/12,1),0)))))))),0)</f>
        <v/>
      </c>
      <c r="W16" s="14">
        <f>IFERROR(IF(I16="LeaseUp",H16*D16*(1+GrowthMarketRent)^9*IF(9=0,(12-DowntimeNew)/12,1),IF(F16="",0,IF(F16&gt;=DATE(2027+9,4,30),G16*D16*(1+EscalatorInLease)^(9+M16),IF(F16&lt;DATE(2026+9,5,1),IF(I16="Vacate",H16*D16*(1+GrowthMarketRent)^9*IF(INT((DATE(2026+9,10,31)-F16)/365.25)=0,(12-DowntimeNew)/12,1),IF(I16="Option",G16*D16*1.025*(1+EscalatorInLease)^9,IF(I16="Market",Retention*G16*D16*(1+EscalatorInLease)^(9+M16)+(1-Retention)*H16*D16*(1+GrowthMarketRent)^9*IF(INT((DATE(2026+9,10,31)-F16)/365.25)=0,(12-DowntimeNew)/12,1),IF(I16="LeaseUp",H16*D16*(1+GrowthMarketRent)^9*IF(9=0,(12-DowntimeNew)/12,1),0)))),((F16-DATE(2026+9,5,1))/365.25)*G16*D16*(1+EscalatorInLease)^(9+M16)+((DATE(2027+9,4,30)-F16)/365.25)*IF(I16="Vacate",H16*D16*(1+GrowthMarketRent)^9*IF(INT((DATE(2026+9,10,31)-F16)/365.25)=0,(12-DowntimeNew)/12,1),IF(I16="Option",G16*D16*1.025*(1+EscalatorInLease)^9,IF(I16="Market",Retention*G16*D16*(1+EscalatorInLease)^(9+M16)+(1-Retention)*H16*D16*(1+GrowthMarketRent)^9*IF(INT((DATE(2026+9,10,31)-F16)/365.25)=0,(12-DowntimeNew)/12,1),IF(I16="LeaseUp",H16*D16*(1+GrowthMarketRent)^9*IF(9=0,(12-DowntimeNew)/12,1),0)))))))),0)</f>
        <v/>
      </c>
      <c r="X16" s="14">
        <f>IFERROR(IF(I16="LeaseUp",H16*D16*(1+GrowthMarketRent)^10*IF(10=0,(12-DowntimeNew)/12,1),IF(F16="",0,IF(F16&gt;=DATE(2027+10,4,30),G16*D16*(1+EscalatorInLease)^(10+M16),IF(F16&lt;DATE(2026+10,5,1),IF(I16="Vacate",H16*D16*(1+GrowthMarketRent)^10*IF(INT((DATE(2026+10,10,31)-F16)/365.25)=0,(12-DowntimeNew)/12,1),IF(I16="Option",G16*D16*1.025*(1+EscalatorInLease)^10,IF(I16="Market",Retention*G16*D16*(1+EscalatorInLease)^(10+M16)+(1-Retention)*H16*D16*(1+GrowthMarketRent)^10*IF(INT((DATE(2026+10,10,31)-F16)/365.25)=0,(12-DowntimeNew)/12,1),IF(I16="LeaseUp",H16*D16*(1+GrowthMarketRent)^10*IF(10=0,(12-DowntimeNew)/12,1),0)))),((F16-DATE(2026+10,5,1))/365.25)*G16*D16*(1+EscalatorInLease)^(10+M16)+((DATE(2027+10,4,30)-F16)/365.25)*IF(I16="Vacate",H16*D16*(1+GrowthMarketRent)^10*IF(INT((DATE(2026+10,10,31)-F16)/365.25)=0,(12-DowntimeNew)/12,1),IF(I16="Option",G16*D16*1.025*(1+EscalatorInLease)^10,IF(I16="Market",Retention*G16*D16*(1+EscalatorInLease)^(10+M16)+(1-Retention)*H16*D16*(1+GrowthMarketRent)^10*IF(INT((DATE(2026+10,10,31)-F16)/365.25)=0,(12-DowntimeNew)/12,1),IF(I16="LeaseUp",H16*D16*(1+GrowthMarketRent)^10*IF(10=0,(12-DowntimeNew)/12,1),0)))))))),0)</f>
        <v/>
      </c>
      <c r="Y16" s="14">
        <f>IFERROR(IF(AND(I16="LeaseUp",0=0),(IF(I16="Vacate",TINew*D16,IF(I16="Market",Retention*TIRenewal*D16+(1-Retention)*TINew*D16,IF(I16="LeaseUp",TINew*D16,IF(I16="Option",TIRenewal*D16,0)))))+(IF(I16="Vacate",LCNew*H16*D16*(1+GrowthMarketRent)^0,IF(I16="Market",Retention*LCRenewal*H16*D16*(1+GrowthMarketRent)^0+(1-Retention)*LCNew*H16*D16*(1+GrowthMarketRent)^0,IF(I16="LeaseUp",LCNew*H16*D16*(1+GrowthMarketRent)^0,IF(I16="Option",LCRenewal*H16*D16*(1+GrowthMarketRent)^0,0))))),IF(F16="",0,IF(AND(F16&gt;=DATE(2026+0,5,1),F16&lt;=DATE(2027+0,4,30)),(IF(I16="Vacate",TINew*D16,IF(I16="Market",Retention*TIRenewal*D16+(1-Retention)*TINew*D16,IF(I16="LeaseUp",TINew*D16,IF(I16="Option",TIRenewal*D16,0)))))+(IF(I16="Vacate",LCNew*H16*D16*(1+GrowthMarketRent)^0,IF(I16="Market",Retention*LCRenewal*H16*D16*(1+GrowthMarketRent)^0+(1-Retention)*LCNew*H16*D16*(1+GrowthMarketRent)^0,IF(I16="LeaseUp",LCNew*H16*D16*(1+GrowthMarketRent)^0,IF(I16="Option",LCRenewal*H16*D16*(1+GrowthMarketRent)^0,0))))),0))),0)</f>
        <v/>
      </c>
      <c r="Z16" s="14">
        <f>IFERROR(IF(AND(I16="LeaseUp",1=0),(IF(I16="Vacate",TINew*D16,IF(I16="Market",Retention*TIRenewal*D16+(1-Retention)*TINew*D16,IF(I16="LeaseUp",TINew*D16,IF(I16="Option",TIRenewal*D16,0)))))+(IF(I16="Vacate",LCNew*H16*D16*(1+GrowthMarketRent)^1,IF(I16="Market",Retention*LCRenewal*H16*D16*(1+GrowthMarketRent)^1+(1-Retention)*LCNew*H16*D16*(1+GrowthMarketRent)^1,IF(I16="LeaseUp",LCNew*H16*D16*(1+GrowthMarketRent)^1,IF(I16="Option",LCRenewal*H16*D16*(1+GrowthMarketRent)^1,0))))),IF(F16="",0,IF(AND(F16&gt;=DATE(2026+1,5,1),F16&lt;=DATE(2027+1,4,30)),(IF(I16="Vacate",TINew*D16,IF(I16="Market",Retention*TIRenewal*D16+(1-Retention)*TINew*D16,IF(I16="LeaseUp",TINew*D16,IF(I16="Option",TIRenewal*D16,0)))))+(IF(I16="Vacate",LCNew*H16*D16*(1+GrowthMarketRent)^1,IF(I16="Market",Retention*LCRenewal*H16*D16*(1+GrowthMarketRent)^1+(1-Retention)*LCNew*H16*D16*(1+GrowthMarketRent)^1,IF(I16="LeaseUp",LCNew*H16*D16*(1+GrowthMarketRent)^1,IF(I16="Option",LCRenewal*H16*D16*(1+GrowthMarketRent)^1,0))))),0))),0)</f>
        <v/>
      </c>
      <c r="AA16" s="14">
        <f>IFERROR(IF(AND(I16="LeaseUp",2=0),(IF(I16="Vacate",TINew*D16,IF(I16="Market",Retention*TIRenewal*D16+(1-Retention)*TINew*D16,IF(I16="LeaseUp",TINew*D16,IF(I16="Option",TIRenewal*D16,0)))))+(IF(I16="Vacate",LCNew*H16*D16*(1+GrowthMarketRent)^2,IF(I16="Market",Retention*LCRenewal*H16*D16*(1+GrowthMarketRent)^2+(1-Retention)*LCNew*H16*D16*(1+GrowthMarketRent)^2,IF(I16="LeaseUp",LCNew*H16*D16*(1+GrowthMarketRent)^2,IF(I16="Option",LCRenewal*H16*D16*(1+GrowthMarketRent)^2,0))))),IF(F16="",0,IF(AND(F16&gt;=DATE(2026+2,5,1),F16&lt;=DATE(2027+2,4,30)),(IF(I16="Vacate",TINew*D16,IF(I16="Market",Retention*TIRenewal*D16+(1-Retention)*TINew*D16,IF(I16="LeaseUp",TINew*D16,IF(I16="Option",TIRenewal*D16,0)))))+(IF(I16="Vacate",LCNew*H16*D16*(1+GrowthMarketRent)^2,IF(I16="Market",Retention*LCRenewal*H16*D16*(1+GrowthMarketRent)^2+(1-Retention)*LCNew*H16*D16*(1+GrowthMarketRent)^2,IF(I16="LeaseUp",LCNew*H16*D16*(1+GrowthMarketRent)^2,IF(I16="Option",LCRenewal*H16*D16*(1+GrowthMarketRent)^2,0))))),0))),0)</f>
        <v/>
      </c>
      <c r="AB16" s="14">
        <f>IFERROR(IF(AND(I16="LeaseUp",3=0),(IF(I16="Vacate",TINew*D16,IF(I16="Market",Retention*TIRenewal*D16+(1-Retention)*TINew*D16,IF(I16="LeaseUp",TINew*D16,IF(I16="Option",TIRenewal*D16,0)))))+(IF(I16="Vacate",LCNew*H16*D16*(1+GrowthMarketRent)^3,IF(I16="Market",Retention*LCRenewal*H16*D16*(1+GrowthMarketRent)^3+(1-Retention)*LCNew*H16*D16*(1+GrowthMarketRent)^3,IF(I16="LeaseUp",LCNew*H16*D16*(1+GrowthMarketRent)^3,IF(I16="Option",LCRenewal*H16*D16*(1+GrowthMarketRent)^3,0))))),IF(F16="",0,IF(AND(F16&gt;=DATE(2026+3,5,1),F16&lt;=DATE(2027+3,4,30)),(IF(I16="Vacate",TINew*D16,IF(I16="Market",Retention*TIRenewal*D16+(1-Retention)*TINew*D16,IF(I16="LeaseUp",TINew*D16,IF(I16="Option",TIRenewal*D16,0)))))+(IF(I16="Vacate",LCNew*H16*D16*(1+GrowthMarketRent)^3,IF(I16="Market",Retention*LCRenewal*H16*D16*(1+GrowthMarketRent)^3+(1-Retention)*LCNew*H16*D16*(1+GrowthMarketRent)^3,IF(I16="LeaseUp",LCNew*H16*D16*(1+GrowthMarketRent)^3,IF(I16="Option",LCRenewal*H16*D16*(1+GrowthMarketRent)^3,0))))),0))),0)</f>
        <v/>
      </c>
      <c r="AC16" s="14">
        <f>IFERROR(IF(AND(I16="LeaseUp",4=0),(IF(I16="Vacate",TINew*D16,IF(I16="Market",Retention*TIRenewal*D16+(1-Retention)*TINew*D16,IF(I16="LeaseUp",TINew*D16,IF(I16="Option",TIRenewal*D16,0)))))+(IF(I16="Vacate",LCNew*H16*D16*(1+GrowthMarketRent)^4,IF(I16="Market",Retention*LCRenewal*H16*D16*(1+GrowthMarketRent)^4+(1-Retention)*LCNew*H16*D16*(1+GrowthMarketRent)^4,IF(I16="LeaseUp",LCNew*H16*D16*(1+GrowthMarketRent)^4,IF(I16="Option",LCRenewal*H16*D16*(1+GrowthMarketRent)^4,0))))),IF(F16="",0,IF(AND(F16&gt;=DATE(2026+4,5,1),F16&lt;=DATE(2027+4,4,30)),(IF(I16="Vacate",TINew*D16,IF(I16="Market",Retention*TIRenewal*D16+(1-Retention)*TINew*D16,IF(I16="LeaseUp",TINew*D16,IF(I16="Option",TIRenewal*D16,0)))))+(IF(I16="Vacate",LCNew*H16*D16*(1+GrowthMarketRent)^4,IF(I16="Market",Retention*LCRenewal*H16*D16*(1+GrowthMarketRent)^4+(1-Retention)*LCNew*H16*D16*(1+GrowthMarketRent)^4,IF(I16="LeaseUp",LCNew*H16*D16*(1+GrowthMarketRent)^4,IF(I16="Option",LCRenewal*H16*D16*(1+GrowthMarketRent)^4,0))))),0))),0)</f>
        <v/>
      </c>
      <c r="AD16" s="14">
        <f>IFERROR(IF(AND(I16="LeaseUp",5=0),(IF(I16="Vacate",TINew*D16,IF(I16="Market",Retention*TIRenewal*D16+(1-Retention)*TINew*D16,IF(I16="LeaseUp",TINew*D16,IF(I16="Option",TIRenewal*D16,0)))))+(IF(I16="Vacate",LCNew*H16*D16*(1+GrowthMarketRent)^5,IF(I16="Market",Retention*LCRenewal*H16*D16*(1+GrowthMarketRent)^5+(1-Retention)*LCNew*H16*D16*(1+GrowthMarketRent)^5,IF(I16="LeaseUp",LCNew*H16*D16*(1+GrowthMarketRent)^5,IF(I16="Option",LCRenewal*H16*D16*(1+GrowthMarketRent)^5,0))))),IF(F16="",0,IF(AND(F16&gt;=DATE(2026+5,5,1),F16&lt;=DATE(2027+5,4,30)),(IF(I16="Vacate",TINew*D16,IF(I16="Market",Retention*TIRenewal*D16+(1-Retention)*TINew*D16,IF(I16="LeaseUp",TINew*D16,IF(I16="Option",TIRenewal*D16,0)))))+(IF(I16="Vacate",LCNew*H16*D16*(1+GrowthMarketRent)^5,IF(I16="Market",Retention*LCRenewal*H16*D16*(1+GrowthMarketRent)^5+(1-Retention)*LCNew*H16*D16*(1+GrowthMarketRent)^5,IF(I16="LeaseUp",LCNew*H16*D16*(1+GrowthMarketRent)^5,IF(I16="Option",LCRenewal*H16*D16*(1+GrowthMarketRent)^5,0))))),0))),0)</f>
        <v/>
      </c>
      <c r="AE16" s="14">
        <f>IFERROR(IF(AND(I16="LeaseUp",6=0),(IF(I16="Vacate",TINew*D16,IF(I16="Market",Retention*TIRenewal*D16+(1-Retention)*TINew*D16,IF(I16="LeaseUp",TINew*D16,IF(I16="Option",TIRenewal*D16,0)))))+(IF(I16="Vacate",LCNew*H16*D16*(1+GrowthMarketRent)^6,IF(I16="Market",Retention*LCRenewal*H16*D16*(1+GrowthMarketRent)^6+(1-Retention)*LCNew*H16*D16*(1+GrowthMarketRent)^6,IF(I16="LeaseUp",LCNew*H16*D16*(1+GrowthMarketRent)^6,IF(I16="Option",LCRenewal*H16*D16*(1+GrowthMarketRent)^6,0))))),IF(F16="",0,IF(AND(F16&gt;=DATE(2026+6,5,1),F16&lt;=DATE(2027+6,4,30)),(IF(I16="Vacate",TINew*D16,IF(I16="Market",Retention*TIRenewal*D16+(1-Retention)*TINew*D16,IF(I16="LeaseUp",TINew*D16,IF(I16="Option",TIRenewal*D16,0)))))+(IF(I16="Vacate",LCNew*H16*D16*(1+GrowthMarketRent)^6,IF(I16="Market",Retention*LCRenewal*H16*D16*(1+GrowthMarketRent)^6+(1-Retention)*LCNew*H16*D16*(1+GrowthMarketRent)^6,IF(I16="LeaseUp",LCNew*H16*D16*(1+GrowthMarketRent)^6,IF(I16="Option",LCRenewal*H16*D16*(1+GrowthMarketRent)^6,0))))),0))),0)</f>
        <v/>
      </c>
      <c r="AF16" s="14">
        <f>IFERROR(IF(AND(I16="LeaseUp",7=0),(IF(I16="Vacate",TINew*D16,IF(I16="Market",Retention*TIRenewal*D16+(1-Retention)*TINew*D16,IF(I16="LeaseUp",TINew*D16,IF(I16="Option",TIRenewal*D16,0)))))+(IF(I16="Vacate",LCNew*H16*D16*(1+GrowthMarketRent)^7,IF(I16="Market",Retention*LCRenewal*H16*D16*(1+GrowthMarketRent)^7+(1-Retention)*LCNew*H16*D16*(1+GrowthMarketRent)^7,IF(I16="LeaseUp",LCNew*H16*D16*(1+GrowthMarketRent)^7,IF(I16="Option",LCRenewal*H16*D16*(1+GrowthMarketRent)^7,0))))),IF(F16="",0,IF(AND(F16&gt;=DATE(2026+7,5,1),F16&lt;=DATE(2027+7,4,30)),(IF(I16="Vacate",TINew*D16,IF(I16="Market",Retention*TIRenewal*D16+(1-Retention)*TINew*D16,IF(I16="LeaseUp",TINew*D16,IF(I16="Option",TIRenewal*D16,0)))))+(IF(I16="Vacate",LCNew*H16*D16*(1+GrowthMarketRent)^7,IF(I16="Market",Retention*LCRenewal*H16*D16*(1+GrowthMarketRent)^7+(1-Retention)*LCNew*H16*D16*(1+GrowthMarketRent)^7,IF(I16="LeaseUp",LCNew*H16*D16*(1+GrowthMarketRent)^7,IF(I16="Option",LCRenewal*H16*D16*(1+GrowthMarketRent)^7,0))))),0))),0)</f>
        <v/>
      </c>
      <c r="AG16" s="14">
        <f>IFERROR(IF(AND(I16="LeaseUp",8=0),(IF(I16="Vacate",TINew*D16,IF(I16="Market",Retention*TIRenewal*D16+(1-Retention)*TINew*D16,IF(I16="LeaseUp",TINew*D16,IF(I16="Option",TIRenewal*D16,0)))))+(IF(I16="Vacate",LCNew*H16*D16*(1+GrowthMarketRent)^8,IF(I16="Market",Retention*LCRenewal*H16*D16*(1+GrowthMarketRent)^8+(1-Retention)*LCNew*H16*D16*(1+GrowthMarketRent)^8,IF(I16="LeaseUp",LCNew*H16*D16*(1+GrowthMarketRent)^8,IF(I16="Option",LCRenewal*H16*D16*(1+GrowthMarketRent)^8,0))))),IF(F16="",0,IF(AND(F16&gt;=DATE(2026+8,5,1),F16&lt;=DATE(2027+8,4,30)),(IF(I16="Vacate",TINew*D16,IF(I16="Market",Retention*TIRenewal*D16+(1-Retention)*TINew*D16,IF(I16="LeaseUp",TINew*D16,IF(I16="Option",TIRenewal*D16,0)))))+(IF(I16="Vacate",LCNew*H16*D16*(1+GrowthMarketRent)^8,IF(I16="Market",Retention*LCRenewal*H16*D16*(1+GrowthMarketRent)^8+(1-Retention)*LCNew*H16*D16*(1+GrowthMarketRent)^8,IF(I16="LeaseUp",LCNew*H16*D16*(1+GrowthMarketRent)^8,IF(I16="Option",LCRenewal*H16*D16*(1+GrowthMarketRent)^8,0))))),0))),0)</f>
        <v/>
      </c>
      <c r="AH16" s="14">
        <f>IFERROR(IF(AND(I16="LeaseUp",9=0),(IF(I16="Vacate",TINew*D16,IF(I16="Market",Retention*TIRenewal*D16+(1-Retention)*TINew*D16,IF(I16="LeaseUp",TINew*D16,IF(I16="Option",TIRenewal*D16,0)))))+(IF(I16="Vacate",LCNew*H16*D16*(1+GrowthMarketRent)^9,IF(I16="Market",Retention*LCRenewal*H16*D16*(1+GrowthMarketRent)^9+(1-Retention)*LCNew*H16*D16*(1+GrowthMarketRent)^9,IF(I16="LeaseUp",LCNew*H16*D16*(1+GrowthMarketRent)^9,IF(I16="Option",LCRenewal*H16*D16*(1+GrowthMarketRent)^9,0))))),IF(F16="",0,IF(AND(F16&gt;=DATE(2026+9,5,1),F16&lt;=DATE(2027+9,4,30)),(IF(I16="Vacate",TINew*D16,IF(I16="Market",Retention*TIRenewal*D16+(1-Retention)*TINew*D16,IF(I16="LeaseUp",TINew*D16,IF(I16="Option",TIRenewal*D16,0)))))+(IF(I16="Vacate",LCNew*H16*D16*(1+GrowthMarketRent)^9,IF(I16="Market",Retention*LCRenewal*H16*D16*(1+GrowthMarketRent)^9+(1-Retention)*LCNew*H16*D16*(1+GrowthMarketRent)^9,IF(I16="LeaseUp",LCNew*H16*D16*(1+GrowthMarketRent)^9,IF(I16="Option",LCRenewal*H16*D16*(1+GrowthMarketRent)^9,0))))),0))),0)</f>
        <v/>
      </c>
      <c r="AI16" s="14">
        <f>IFERROR(IF(AND(I16="LeaseUp",10=0),(IF(I16="Vacate",TINew*D16,IF(I16="Market",Retention*TIRenewal*D16+(1-Retention)*TINew*D16,IF(I16="LeaseUp",TINew*D16,IF(I16="Option",TIRenewal*D16,0)))))+(IF(I16="Vacate",LCNew*H16*D16*(1+GrowthMarketRent)^10,IF(I16="Market",Retention*LCRenewal*H16*D16*(1+GrowthMarketRent)^10+(1-Retention)*LCNew*H16*D16*(1+GrowthMarketRent)^10,IF(I16="LeaseUp",LCNew*H16*D16*(1+GrowthMarketRent)^10,IF(I16="Option",LCRenewal*H16*D16*(1+GrowthMarketRent)^10,0))))),IF(F16="",0,IF(AND(F16&gt;=DATE(2026+10,5,1),F16&lt;=DATE(2027+10,4,30)),(IF(I16="Vacate",TINew*D16,IF(I16="Market",Retention*TIRenewal*D16+(1-Retention)*TINew*D16,IF(I16="LeaseUp",TINew*D16,IF(I16="Option",TIRenewal*D16,0)))))+(IF(I16="Vacate",LCNew*H16*D16*(1+GrowthMarketRent)^10,IF(I16="Market",Retention*LCRenewal*H16*D16*(1+GrowthMarketRent)^10+(1-Retention)*LCNew*H16*D16*(1+GrowthMarketRent)^10,IF(I16="LeaseUp",LCNew*H16*D16*(1+GrowthMarketRent)^10,IF(I16="Option",LCRenewal*H16*D16*(1+GrowthMarketRent)^10,0))))),0))),0)</f>
        <v/>
      </c>
    </row>
    <row r="17">
      <c r="A17" t="inlineStr">
        <is>
          <t>Carrollton</t>
        </is>
      </c>
      <c r="B17" t="inlineStr">
        <is>
          <t>208</t>
        </is>
      </c>
      <c r="C17" t="inlineStr">
        <is>
          <t>LK Tools Inc.</t>
        </is>
      </c>
      <c r="D17" s="32" t="n">
        <v>1870</v>
      </c>
      <c r="E17" s="33" t="n">
        <v>45839</v>
      </c>
      <c r="F17" s="33" t="n">
        <v>47088</v>
      </c>
      <c r="G17" s="34" t="n">
        <v>14</v>
      </c>
      <c r="H17" s="16">
        <f>VLOOKUP("Carrollton — "&amp;J17,MLA!$A$5:$L$11,3,FALSE)</f>
        <v/>
      </c>
      <c r="I17" s="11" t="inlineStr">
        <is>
          <t>Market</t>
        </is>
      </c>
      <c r="J17" t="inlineStr">
        <is>
          <t>Studio</t>
        </is>
      </c>
      <c r="K17" t="inlineStr">
        <is>
          <t>Occupied</t>
        </is>
      </c>
      <c r="L17" t="inlineStr">
        <is>
          <t>Studio; Guarantor: Justin Baucum</t>
        </is>
      </c>
      <c r="M17" s="20">
        <f>IF(E17="",0,(AnalysisStart-E17)/365.25)</f>
        <v/>
      </c>
      <c r="N17" s="14">
        <f>IFERROR(IF(I17="LeaseUp",H17*D17*(1+GrowthMarketRent)^0*IF(0=0,(12-DowntimeNew)/12,1),IF(F17="",0,IF(F17&gt;=DATE(2027+0,4,30),G17*D17*(1+EscalatorInLease)^(0+M17),IF(F17&lt;DATE(2026+0,5,1),IF(I17="Vacate",H17*D17*(1+GrowthMarketRent)^0*IF(INT((DATE(2026+0,10,31)-F17)/365.25)=0,(12-DowntimeNew)/12,1),IF(I17="Option",G17*D17*1.025*(1+EscalatorInLease)^0,IF(I17="Market",Retention*G17*D17*(1+EscalatorInLease)^(0+M17)+(1-Retention)*H17*D17*(1+GrowthMarketRent)^0*IF(INT((DATE(2026+0,10,31)-F17)/365.25)=0,(12-DowntimeNew)/12,1),IF(I17="LeaseUp",H17*D17*(1+GrowthMarketRent)^0*IF(0=0,(12-DowntimeNew)/12,1),0)))),((F17-DATE(2026+0,5,1))/365.25)*G17*D17*(1+EscalatorInLease)^(0+M17)+((DATE(2027+0,4,30)-F17)/365.25)*IF(I17="Vacate",H17*D17*(1+GrowthMarketRent)^0*IF(INT((DATE(2026+0,10,31)-F17)/365.25)=0,(12-DowntimeNew)/12,1),IF(I17="Option",G17*D17*1.025*(1+EscalatorInLease)^0,IF(I17="Market",Retention*G17*D17*(1+EscalatorInLease)^(0+M17)+(1-Retention)*H17*D17*(1+GrowthMarketRent)^0*IF(INT((DATE(2026+0,10,31)-F17)/365.25)=0,(12-DowntimeNew)/12,1),IF(I17="LeaseUp",H17*D17*(1+GrowthMarketRent)^0*IF(0=0,(12-DowntimeNew)/12,1),0)))))))),0)</f>
        <v/>
      </c>
      <c r="O17" s="14">
        <f>IFERROR(IF(I17="LeaseUp",H17*D17*(1+GrowthMarketRent)^1*IF(1=0,(12-DowntimeNew)/12,1),IF(F17="",0,IF(F17&gt;=DATE(2027+1,4,30),G17*D17*(1+EscalatorInLease)^(1+M17),IF(F17&lt;DATE(2026+1,5,1),IF(I17="Vacate",H17*D17*(1+GrowthMarketRent)^1*IF(INT((DATE(2026+1,10,31)-F17)/365.25)=0,(12-DowntimeNew)/12,1),IF(I17="Option",G17*D17*1.025*(1+EscalatorInLease)^1,IF(I17="Market",Retention*G17*D17*(1+EscalatorInLease)^(1+M17)+(1-Retention)*H17*D17*(1+GrowthMarketRent)^1*IF(INT((DATE(2026+1,10,31)-F17)/365.25)=0,(12-DowntimeNew)/12,1),IF(I17="LeaseUp",H17*D17*(1+GrowthMarketRent)^1*IF(1=0,(12-DowntimeNew)/12,1),0)))),((F17-DATE(2026+1,5,1))/365.25)*G17*D17*(1+EscalatorInLease)^(1+M17)+((DATE(2027+1,4,30)-F17)/365.25)*IF(I17="Vacate",H17*D17*(1+GrowthMarketRent)^1*IF(INT((DATE(2026+1,10,31)-F17)/365.25)=0,(12-DowntimeNew)/12,1),IF(I17="Option",G17*D17*1.025*(1+EscalatorInLease)^1,IF(I17="Market",Retention*G17*D17*(1+EscalatorInLease)^(1+M17)+(1-Retention)*H17*D17*(1+GrowthMarketRent)^1*IF(INT((DATE(2026+1,10,31)-F17)/365.25)=0,(12-DowntimeNew)/12,1),IF(I17="LeaseUp",H17*D17*(1+GrowthMarketRent)^1*IF(1=0,(12-DowntimeNew)/12,1),0)))))))),0)</f>
        <v/>
      </c>
      <c r="P17" s="14">
        <f>IFERROR(IF(I17="LeaseUp",H17*D17*(1+GrowthMarketRent)^2*IF(2=0,(12-DowntimeNew)/12,1),IF(F17="",0,IF(F17&gt;=DATE(2027+2,4,30),G17*D17*(1+EscalatorInLease)^(2+M17),IF(F17&lt;DATE(2026+2,5,1),IF(I17="Vacate",H17*D17*(1+GrowthMarketRent)^2*IF(INT((DATE(2026+2,10,31)-F17)/365.25)=0,(12-DowntimeNew)/12,1),IF(I17="Option",G17*D17*1.025*(1+EscalatorInLease)^2,IF(I17="Market",Retention*G17*D17*(1+EscalatorInLease)^(2+M17)+(1-Retention)*H17*D17*(1+GrowthMarketRent)^2*IF(INT((DATE(2026+2,10,31)-F17)/365.25)=0,(12-DowntimeNew)/12,1),IF(I17="LeaseUp",H17*D17*(1+GrowthMarketRent)^2*IF(2=0,(12-DowntimeNew)/12,1),0)))),((F17-DATE(2026+2,5,1))/365.25)*G17*D17*(1+EscalatorInLease)^(2+M17)+((DATE(2027+2,4,30)-F17)/365.25)*IF(I17="Vacate",H17*D17*(1+GrowthMarketRent)^2*IF(INT((DATE(2026+2,10,31)-F17)/365.25)=0,(12-DowntimeNew)/12,1),IF(I17="Option",G17*D17*1.025*(1+EscalatorInLease)^2,IF(I17="Market",Retention*G17*D17*(1+EscalatorInLease)^(2+M17)+(1-Retention)*H17*D17*(1+GrowthMarketRent)^2*IF(INT((DATE(2026+2,10,31)-F17)/365.25)=0,(12-DowntimeNew)/12,1),IF(I17="LeaseUp",H17*D17*(1+GrowthMarketRent)^2*IF(2=0,(12-DowntimeNew)/12,1),0)))))))),0)</f>
        <v/>
      </c>
      <c r="Q17" s="14">
        <f>IFERROR(IF(I17="LeaseUp",H17*D17*(1+GrowthMarketRent)^3*IF(3=0,(12-DowntimeNew)/12,1),IF(F17="",0,IF(F17&gt;=DATE(2027+3,4,30),G17*D17*(1+EscalatorInLease)^(3+M17),IF(F17&lt;DATE(2026+3,5,1),IF(I17="Vacate",H17*D17*(1+GrowthMarketRent)^3*IF(INT((DATE(2026+3,10,31)-F17)/365.25)=0,(12-DowntimeNew)/12,1),IF(I17="Option",G17*D17*1.025*(1+EscalatorInLease)^3,IF(I17="Market",Retention*G17*D17*(1+EscalatorInLease)^(3+M17)+(1-Retention)*H17*D17*(1+GrowthMarketRent)^3*IF(INT((DATE(2026+3,10,31)-F17)/365.25)=0,(12-DowntimeNew)/12,1),IF(I17="LeaseUp",H17*D17*(1+GrowthMarketRent)^3*IF(3=0,(12-DowntimeNew)/12,1),0)))),((F17-DATE(2026+3,5,1))/365.25)*G17*D17*(1+EscalatorInLease)^(3+M17)+((DATE(2027+3,4,30)-F17)/365.25)*IF(I17="Vacate",H17*D17*(1+GrowthMarketRent)^3*IF(INT((DATE(2026+3,10,31)-F17)/365.25)=0,(12-DowntimeNew)/12,1),IF(I17="Option",G17*D17*1.025*(1+EscalatorInLease)^3,IF(I17="Market",Retention*G17*D17*(1+EscalatorInLease)^(3+M17)+(1-Retention)*H17*D17*(1+GrowthMarketRent)^3*IF(INT((DATE(2026+3,10,31)-F17)/365.25)=0,(12-DowntimeNew)/12,1),IF(I17="LeaseUp",H17*D17*(1+GrowthMarketRent)^3*IF(3=0,(12-DowntimeNew)/12,1),0)))))))),0)</f>
        <v/>
      </c>
      <c r="R17" s="14">
        <f>IFERROR(IF(I17="LeaseUp",H17*D17*(1+GrowthMarketRent)^4*IF(4=0,(12-DowntimeNew)/12,1),IF(F17="",0,IF(F17&gt;=DATE(2027+4,4,30),G17*D17*(1+EscalatorInLease)^(4+M17),IF(F17&lt;DATE(2026+4,5,1),IF(I17="Vacate",H17*D17*(1+GrowthMarketRent)^4*IF(INT((DATE(2026+4,10,31)-F17)/365.25)=0,(12-DowntimeNew)/12,1),IF(I17="Option",G17*D17*1.025*(1+EscalatorInLease)^4,IF(I17="Market",Retention*G17*D17*(1+EscalatorInLease)^(4+M17)+(1-Retention)*H17*D17*(1+GrowthMarketRent)^4*IF(INT((DATE(2026+4,10,31)-F17)/365.25)=0,(12-DowntimeNew)/12,1),IF(I17="LeaseUp",H17*D17*(1+GrowthMarketRent)^4*IF(4=0,(12-DowntimeNew)/12,1),0)))),((F17-DATE(2026+4,5,1))/365.25)*G17*D17*(1+EscalatorInLease)^(4+M17)+((DATE(2027+4,4,30)-F17)/365.25)*IF(I17="Vacate",H17*D17*(1+GrowthMarketRent)^4*IF(INT((DATE(2026+4,10,31)-F17)/365.25)=0,(12-DowntimeNew)/12,1),IF(I17="Option",G17*D17*1.025*(1+EscalatorInLease)^4,IF(I17="Market",Retention*G17*D17*(1+EscalatorInLease)^(4+M17)+(1-Retention)*H17*D17*(1+GrowthMarketRent)^4*IF(INT((DATE(2026+4,10,31)-F17)/365.25)=0,(12-DowntimeNew)/12,1),IF(I17="LeaseUp",H17*D17*(1+GrowthMarketRent)^4*IF(4=0,(12-DowntimeNew)/12,1),0)))))))),0)</f>
        <v/>
      </c>
      <c r="S17" s="14">
        <f>IFERROR(IF(I17="LeaseUp",H17*D17*(1+GrowthMarketRent)^5*IF(5=0,(12-DowntimeNew)/12,1),IF(F17="",0,IF(F17&gt;=DATE(2027+5,4,30),G17*D17*(1+EscalatorInLease)^(5+M17),IF(F17&lt;DATE(2026+5,5,1),IF(I17="Vacate",H17*D17*(1+GrowthMarketRent)^5*IF(INT((DATE(2026+5,10,31)-F17)/365.25)=0,(12-DowntimeNew)/12,1),IF(I17="Option",G17*D17*1.025*(1+EscalatorInLease)^5,IF(I17="Market",Retention*G17*D17*(1+EscalatorInLease)^(5+M17)+(1-Retention)*H17*D17*(1+GrowthMarketRent)^5*IF(INT((DATE(2026+5,10,31)-F17)/365.25)=0,(12-DowntimeNew)/12,1),IF(I17="LeaseUp",H17*D17*(1+GrowthMarketRent)^5*IF(5=0,(12-DowntimeNew)/12,1),0)))),((F17-DATE(2026+5,5,1))/365.25)*G17*D17*(1+EscalatorInLease)^(5+M17)+((DATE(2027+5,4,30)-F17)/365.25)*IF(I17="Vacate",H17*D17*(1+GrowthMarketRent)^5*IF(INT((DATE(2026+5,10,31)-F17)/365.25)=0,(12-DowntimeNew)/12,1),IF(I17="Option",G17*D17*1.025*(1+EscalatorInLease)^5,IF(I17="Market",Retention*G17*D17*(1+EscalatorInLease)^(5+M17)+(1-Retention)*H17*D17*(1+GrowthMarketRent)^5*IF(INT((DATE(2026+5,10,31)-F17)/365.25)=0,(12-DowntimeNew)/12,1),IF(I17="LeaseUp",H17*D17*(1+GrowthMarketRent)^5*IF(5=0,(12-DowntimeNew)/12,1),0)))))))),0)</f>
        <v/>
      </c>
      <c r="T17" s="14">
        <f>IFERROR(IF(I17="LeaseUp",H17*D17*(1+GrowthMarketRent)^6*IF(6=0,(12-DowntimeNew)/12,1),IF(F17="",0,IF(F17&gt;=DATE(2027+6,4,30),G17*D17*(1+EscalatorInLease)^(6+M17),IF(F17&lt;DATE(2026+6,5,1),IF(I17="Vacate",H17*D17*(1+GrowthMarketRent)^6*IF(INT((DATE(2026+6,10,31)-F17)/365.25)=0,(12-DowntimeNew)/12,1),IF(I17="Option",G17*D17*1.025*(1+EscalatorInLease)^6,IF(I17="Market",Retention*G17*D17*(1+EscalatorInLease)^(6+M17)+(1-Retention)*H17*D17*(1+GrowthMarketRent)^6*IF(INT((DATE(2026+6,10,31)-F17)/365.25)=0,(12-DowntimeNew)/12,1),IF(I17="LeaseUp",H17*D17*(1+GrowthMarketRent)^6*IF(6=0,(12-DowntimeNew)/12,1),0)))),((F17-DATE(2026+6,5,1))/365.25)*G17*D17*(1+EscalatorInLease)^(6+M17)+((DATE(2027+6,4,30)-F17)/365.25)*IF(I17="Vacate",H17*D17*(1+GrowthMarketRent)^6*IF(INT((DATE(2026+6,10,31)-F17)/365.25)=0,(12-DowntimeNew)/12,1),IF(I17="Option",G17*D17*1.025*(1+EscalatorInLease)^6,IF(I17="Market",Retention*G17*D17*(1+EscalatorInLease)^(6+M17)+(1-Retention)*H17*D17*(1+GrowthMarketRent)^6*IF(INT((DATE(2026+6,10,31)-F17)/365.25)=0,(12-DowntimeNew)/12,1),IF(I17="LeaseUp",H17*D17*(1+GrowthMarketRent)^6*IF(6=0,(12-DowntimeNew)/12,1),0)))))))),0)</f>
        <v/>
      </c>
      <c r="U17" s="14">
        <f>IFERROR(IF(I17="LeaseUp",H17*D17*(1+GrowthMarketRent)^7*IF(7=0,(12-DowntimeNew)/12,1),IF(F17="",0,IF(F17&gt;=DATE(2027+7,4,30),G17*D17*(1+EscalatorInLease)^(7+M17),IF(F17&lt;DATE(2026+7,5,1),IF(I17="Vacate",H17*D17*(1+GrowthMarketRent)^7*IF(INT((DATE(2026+7,10,31)-F17)/365.25)=0,(12-DowntimeNew)/12,1),IF(I17="Option",G17*D17*1.025*(1+EscalatorInLease)^7,IF(I17="Market",Retention*G17*D17*(1+EscalatorInLease)^(7+M17)+(1-Retention)*H17*D17*(1+GrowthMarketRent)^7*IF(INT((DATE(2026+7,10,31)-F17)/365.25)=0,(12-DowntimeNew)/12,1),IF(I17="LeaseUp",H17*D17*(1+GrowthMarketRent)^7*IF(7=0,(12-DowntimeNew)/12,1),0)))),((F17-DATE(2026+7,5,1))/365.25)*G17*D17*(1+EscalatorInLease)^(7+M17)+((DATE(2027+7,4,30)-F17)/365.25)*IF(I17="Vacate",H17*D17*(1+GrowthMarketRent)^7*IF(INT((DATE(2026+7,10,31)-F17)/365.25)=0,(12-DowntimeNew)/12,1),IF(I17="Option",G17*D17*1.025*(1+EscalatorInLease)^7,IF(I17="Market",Retention*G17*D17*(1+EscalatorInLease)^(7+M17)+(1-Retention)*H17*D17*(1+GrowthMarketRent)^7*IF(INT((DATE(2026+7,10,31)-F17)/365.25)=0,(12-DowntimeNew)/12,1),IF(I17="LeaseUp",H17*D17*(1+GrowthMarketRent)^7*IF(7=0,(12-DowntimeNew)/12,1),0)))))))),0)</f>
        <v/>
      </c>
      <c r="V17" s="14">
        <f>IFERROR(IF(I17="LeaseUp",H17*D17*(1+GrowthMarketRent)^8*IF(8=0,(12-DowntimeNew)/12,1),IF(F17="",0,IF(F17&gt;=DATE(2027+8,4,30),G17*D17*(1+EscalatorInLease)^(8+M17),IF(F17&lt;DATE(2026+8,5,1),IF(I17="Vacate",H17*D17*(1+GrowthMarketRent)^8*IF(INT((DATE(2026+8,10,31)-F17)/365.25)=0,(12-DowntimeNew)/12,1),IF(I17="Option",G17*D17*1.025*(1+EscalatorInLease)^8,IF(I17="Market",Retention*G17*D17*(1+EscalatorInLease)^(8+M17)+(1-Retention)*H17*D17*(1+GrowthMarketRent)^8*IF(INT((DATE(2026+8,10,31)-F17)/365.25)=0,(12-DowntimeNew)/12,1),IF(I17="LeaseUp",H17*D17*(1+GrowthMarketRent)^8*IF(8=0,(12-DowntimeNew)/12,1),0)))),((F17-DATE(2026+8,5,1))/365.25)*G17*D17*(1+EscalatorInLease)^(8+M17)+((DATE(2027+8,4,30)-F17)/365.25)*IF(I17="Vacate",H17*D17*(1+GrowthMarketRent)^8*IF(INT((DATE(2026+8,10,31)-F17)/365.25)=0,(12-DowntimeNew)/12,1),IF(I17="Option",G17*D17*1.025*(1+EscalatorInLease)^8,IF(I17="Market",Retention*G17*D17*(1+EscalatorInLease)^(8+M17)+(1-Retention)*H17*D17*(1+GrowthMarketRent)^8*IF(INT((DATE(2026+8,10,31)-F17)/365.25)=0,(12-DowntimeNew)/12,1),IF(I17="LeaseUp",H17*D17*(1+GrowthMarketRent)^8*IF(8=0,(12-DowntimeNew)/12,1),0)))))))),0)</f>
        <v/>
      </c>
      <c r="W17" s="14">
        <f>IFERROR(IF(I17="LeaseUp",H17*D17*(1+GrowthMarketRent)^9*IF(9=0,(12-DowntimeNew)/12,1),IF(F17="",0,IF(F17&gt;=DATE(2027+9,4,30),G17*D17*(1+EscalatorInLease)^(9+M17),IF(F17&lt;DATE(2026+9,5,1),IF(I17="Vacate",H17*D17*(1+GrowthMarketRent)^9*IF(INT((DATE(2026+9,10,31)-F17)/365.25)=0,(12-DowntimeNew)/12,1),IF(I17="Option",G17*D17*1.025*(1+EscalatorInLease)^9,IF(I17="Market",Retention*G17*D17*(1+EscalatorInLease)^(9+M17)+(1-Retention)*H17*D17*(1+GrowthMarketRent)^9*IF(INT((DATE(2026+9,10,31)-F17)/365.25)=0,(12-DowntimeNew)/12,1),IF(I17="LeaseUp",H17*D17*(1+GrowthMarketRent)^9*IF(9=0,(12-DowntimeNew)/12,1),0)))),((F17-DATE(2026+9,5,1))/365.25)*G17*D17*(1+EscalatorInLease)^(9+M17)+((DATE(2027+9,4,30)-F17)/365.25)*IF(I17="Vacate",H17*D17*(1+GrowthMarketRent)^9*IF(INT((DATE(2026+9,10,31)-F17)/365.25)=0,(12-DowntimeNew)/12,1),IF(I17="Option",G17*D17*1.025*(1+EscalatorInLease)^9,IF(I17="Market",Retention*G17*D17*(1+EscalatorInLease)^(9+M17)+(1-Retention)*H17*D17*(1+GrowthMarketRent)^9*IF(INT((DATE(2026+9,10,31)-F17)/365.25)=0,(12-DowntimeNew)/12,1),IF(I17="LeaseUp",H17*D17*(1+GrowthMarketRent)^9*IF(9=0,(12-DowntimeNew)/12,1),0)))))))),0)</f>
        <v/>
      </c>
      <c r="X17" s="14">
        <f>IFERROR(IF(I17="LeaseUp",H17*D17*(1+GrowthMarketRent)^10*IF(10=0,(12-DowntimeNew)/12,1),IF(F17="",0,IF(F17&gt;=DATE(2027+10,4,30),G17*D17*(1+EscalatorInLease)^(10+M17),IF(F17&lt;DATE(2026+10,5,1),IF(I17="Vacate",H17*D17*(1+GrowthMarketRent)^10*IF(INT((DATE(2026+10,10,31)-F17)/365.25)=0,(12-DowntimeNew)/12,1),IF(I17="Option",G17*D17*1.025*(1+EscalatorInLease)^10,IF(I17="Market",Retention*G17*D17*(1+EscalatorInLease)^(10+M17)+(1-Retention)*H17*D17*(1+GrowthMarketRent)^10*IF(INT((DATE(2026+10,10,31)-F17)/365.25)=0,(12-DowntimeNew)/12,1),IF(I17="LeaseUp",H17*D17*(1+GrowthMarketRent)^10*IF(10=0,(12-DowntimeNew)/12,1),0)))),((F17-DATE(2026+10,5,1))/365.25)*G17*D17*(1+EscalatorInLease)^(10+M17)+((DATE(2027+10,4,30)-F17)/365.25)*IF(I17="Vacate",H17*D17*(1+GrowthMarketRent)^10*IF(INT((DATE(2026+10,10,31)-F17)/365.25)=0,(12-DowntimeNew)/12,1),IF(I17="Option",G17*D17*1.025*(1+EscalatorInLease)^10,IF(I17="Market",Retention*G17*D17*(1+EscalatorInLease)^(10+M17)+(1-Retention)*H17*D17*(1+GrowthMarketRent)^10*IF(INT((DATE(2026+10,10,31)-F17)/365.25)=0,(12-DowntimeNew)/12,1),IF(I17="LeaseUp",H17*D17*(1+GrowthMarketRent)^10*IF(10=0,(12-DowntimeNew)/12,1),0)))))))),0)</f>
        <v/>
      </c>
      <c r="Y17" s="14">
        <f>IFERROR(IF(AND(I17="LeaseUp",0=0),(IF(I17="Vacate",TINew*D17,IF(I17="Market",Retention*TIRenewal*D17+(1-Retention)*TINew*D17,IF(I17="LeaseUp",TINew*D17,IF(I17="Option",TIRenewal*D17,0)))))+(IF(I17="Vacate",LCNew*H17*D17*(1+GrowthMarketRent)^0,IF(I17="Market",Retention*LCRenewal*H17*D17*(1+GrowthMarketRent)^0+(1-Retention)*LCNew*H17*D17*(1+GrowthMarketRent)^0,IF(I17="LeaseUp",LCNew*H17*D17*(1+GrowthMarketRent)^0,IF(I17="Option",LCRenewal*H17*D17*(1+GrowthMarketRent)^0,0))))),IF(F17="",0,IF(AND(F17&gt;=DATE(2026+0,5,1),F17&lt;=DATE(2027+0,4,30)),(IF(I17="Vacate",TINew*D17,IF(I17="Market",Retention*TIRenewal*D17+(1-Retention)*TINew*D17,IF(I17="LeaseUp",TINew*D17,IF(I17="Option",TIRenewal*D17,0)))))+(IF(I17="Vacate",LCNew*H17*D17*(1+GrowthMarketRent)^0,IF(I17="Market",Retention*LCRenewal*H17*D17*(1+GrowthMarketRent)^0+(1-Retention)*LCNew*H17*D17*(1+GrowthMarketRent)^0,IF(I17="LeaseUp",LCNew*H17*D17*(1+GrowthMarketRent)^0,IF(I17="Option",LCRenewal*H17*D17*(1+GrowthMarketRent)^0,0))))),0))),0)</f>
        <v/>
      </c>
      <c r="Z17" s="14">
        <f>IFERROR(IF(AND(I17="LeaseUp",1=0),(IF(I17="Vacate",TINew*D17,IF(I17="Market",Retention*TIRenewal*D17+(1-Retention)*TINew*D17,IF(I17="LeaseUp",TINew*D17,IF(I17="Option",TIRenewal*D17,0)))))+(IF(I17="Vacate",LCNew*H17*D17*(1+GrowthMarketRent)^1,IF(I17="Market",Retention*LCRenewal*H17*D17*(1+GrowthMarketRent)^1+(1-Retention)*LCNew*H17*D17*(1+GrowthMarketRent)^1,IF(I17="LeaseUp",LCNew*H17*D17*(1+GrowthMarketRent)^1,IF(I17="Option",LCRenewal*H17*D17*(1+GrowthMarketRent)^1,0))))),IF(F17="",0,IF(AND(F17&gt;=DATE(2026+1,5,1),F17&lt;=DATE(2027+1,4,30)),(IF(I17="Vacate",TINew*D17,IF(I17="Market",Retention*TIRenewal*D17+(1-Retention)*TINew*D17,IF(I17="LeaseUp",TINew*D17,IF(I17="Option",TIRenewal*D17,0)))))+(IF(I17="Vacate",LCNew*H17*D17*(1+GrowthMarketRent)^1,IF(I17="Market",Retention*LCRenewal*H17*D17*(1+GrowthMarketRent)^1+(1-Retention)*LCNew*H17*D17*(1+GrowthMarketRent)^1,IF(I17="LeaseUp",LCNew*H17*D17*(1+GrowthMarketRent)^1,IF(I17="Option",LCRenewal*H17*D17*(1+GrowthMarketRent)^1,0))))),0))),0)</f>
        <v/>
      </c>
      <c r="AA17" s="14">
        <f>IFERROR(IF(AND(I17="LeaseUp",2=0),(IF(I17="Vacate",TINew*D17,IF(I17="Market",Retention*TIRenewal*D17+(1-Retention)*TINew*D17,IF(I17="LeaseUp",TINew*D17,IF(I17="Option",TIRenewal*D17,0)))))+(IF(I17="Vacate",LCNew*H17*D17*(1+GrowthMarketRent)^2,IF(I17="Market",Retention*LCRenewal*H17*D17*(1+GrowthMarketRent)^2+(1-Retention)*LCNew*H17*D17*(1+GrowthMarketRent)^2,IF(I17="LeaseUp",LCNew*H17*D17*(1+GrowthMarketRent)^2,IF(I17="Option",LCRenewal*H17*D17*(1+GrowthMarketRent)^2,0))))),IF(F17="",0,IF(AND(F17&gt;=DATE(2026+2,5,1),F17&lt;=DATE(2027+2,4,30)),(IF(I17="Vacate",TINew*D17,IF(I17="Market",Retention*TIRenewal*D17+(1-Retention)*TINew*D17,IF(I17="LeaseUp",TINew*D17,IF(I17="Option",TIRenewal*D17,0)))))+(IF(I17="Vacate",LCNew*H17*D17*(1+GrowthMarketRent)^2,IF(I17="Market",Retention*LCRenewal*H17*D17*(1+GrowthMarketRent)^2+(1-Retention)*LCNew*H17*D17*(1+GrowthMarketRent)^2,IF(I17="LeaseUp",LCNew*H17*D17*(1+GrowthMarketRent)^2,IF(I17="Option",LCRenewal*H17*D17*(1+GrowthMarketRent)^2,0))))),0))),0)</f>
        <v/>
      </c>
      <c r="AB17" s="14">
        <f>IFERROR(IF(AND(I17="LeaseUp",3=0),(IF(I17="Vacate",TINew*D17,IF(I17="Market",Retention*TIRenewal*D17+(1-Retention)*TINew*D17,IF(I17="LeaseUp",TINew*D17,IF(I17="Option",TIRenewal*D17,0)))))+(IF(I17="Vacate",LCNew*H17*D17*(1+GrowthMarketRent)^3,IF(I17="Market",Retention*LCRenewal*H17*D17*(1+GrowthMarketRent)^3+(1-Retention)*LCNew*H17*D17*(1+GrowthMarketRent)^3,IF(I17="LeaseUp",LCNew*H17*D17*(1+GrowthMarketRent)^3,IF(I17="Option",LCRenewal*H17*D17*(1+GrowthMarketRent)^3,0))))),IF(F17="",0,IF(AND(F17&gt;=DATE(2026+3,5,1),F17&lt;=DATE(2027+3,4,30)),(IF(I17="Vacate",TINew*D17,IF(I17="Market",Retention*TIRenewal*D17+(1-Retention)*TINew*D17,IF(I17="LeaseUp",TINew*D17,IF(I17="Option",TIRenewal*D17,0)))))+(IF(I17="Vacate",LCNew*H17*D17*(1+GrowthMarketRent)^3,IF(I17="Market",Retention*LCRenewal*H17*D17*(1+GrowthMarketRent)^3+(1-Retention)*LCNew*H17*D17*(1+GrowthMarketRent)^3,IF(I17="LeaseUp",LCNew*H17*D17*(1+GrowthMarketRent)^3,IF(I17="Option",LCRenewal*H17*D17*(1+GrowthMarketRent)^3,0))))),0))),0)</f>
        <v/>
      </c>
      <c r="AC17" s="14">
        <f>IFERROR(IF(AND(I17="LeaseUp",4=0),(IF(I17="Vacate",TINew*D17,IF(I17="Market",Retention*TIRenewal*D17+(1-Retention)*TINew*D17,IF(I17="LeaseUp",TINew*D17,IF(I17="Option",TIRenewal*D17,0)))))+(IF(I17="Vacate",LCNew*H17*D17*(1+GrowthMarketRent)^4,IF(I17="Market",Retention*LCRenewal*H17*D17*(1+GrowthMarketRent)^4+(1-Retention)*LCNew*H17*D17*(1+GrowthMarketRent)^4,IF(I17="LeaseUp",LCNew*H17*D17*(1+GrowthMarketRent)^4,IF(I17="Option",LCRenewal*H17*D17*(1+GrowthMarketRent)^4,0))))),IF(F17="",0,IF(AND(F17&gt;=DATE(2026+4,5,1),F17&lt;=DATE(2027+4,4,30)),(IF(I17="Vacate",TINew*D17,IF(I17="Market",Retention*TIRenewal*D17+(1-Retention)*TINew*D17,IF(I17="LeaseUp",TINew*D17,IF(I17="Option",TIRenewal*D17,0)))))+(IF(I17="Vacate",LCNew*H17*D17*(1+GrowthMarketRent)^4,IF(I17="Market",Retention*LCRenewal*H17*D17*(1+GrowthMarketRent)^4+(1-Retention)*LCNew*H17*D17*(1+GrowthMarketRent)^4,IF(I17="LeaseUp",LCNew*H17*D17*(1+GrowthMarketRent)^4,IF(I17="Option",LCRenewal*H17*D17*(1+GrowthMarketRent)^4,0))))),0))),0)</f>
        <v/>
      </c>
      <c r="AD17" s="14">
        <f>IFERROR(IF(AND(I17="LeaseUp",5=0),(IF(I17="Vacate",TINew*D17,IF(I17="Market",Retention*TIRenewal*D17+(1-Retention)*TINew*D17,IF(I17="LeaseUp",TINew*D17,IF(I17="Option",TIRenewal*D17,0)))))+(IF(I17="Vacate",LCNew*H17*D17*(1+GrowthMarketRent)^5,IF(I17="Market",Retention*LCRenewal*H17*D17*(1+GrowthMarketRent)^5+(1-Retention)*LCNew*H17*D17*(1+GrowthMarketRent)^5,IF(I17="LeaseUp",LCNew*H17*D17*(1+GrowthMarketRent)^5,IF(I17="Option",LCRenewal*H17*D17*(1+GrowthMarketRent)^5,0))))),IF(F17="",0,IF(AND(F17&gt;=DATE(2026+5,5,1),F17&lt;=DATE(2027+5,4,30)),(IF(I17="Vacate",TINew*D17,IF(I17="Market",Retention*TIRenewal*D17+(1-Retention)*TINew*D17,IF(I17="LeaseUp",TINew*D17,IF(I17="Option",TIRenewal*D17,0)))))+(IF(I17="Vacate",LCNew*H17*D17*(1+GrowthMarketRent)^5,IF(I17="Market",Retention*LCRenewal*H17*D17*(1+GrowthMarketRent)^5+(1-Retention)*LCNew*H17*D17*(1+GrowthMarketRent)^5,IF(I17="LeaseUp",LCNew*H17*D17*(1+GrowthMarketRent)^5,IF(I17="Option",LCRenewal*H17*D17*(1+GrowthMarketRent)^5,0))))),0))),0)</f>
        <v/>
      </c>
      <c r="AE17" s="14">
        <f>IFERROR(IF(AND(I17="LeaseUp",6=0),(IF(I17="Vacate",TINew*D17,IF(I17="Market",Retention*TIRenewal*D17+(1-Retention)*TINew*D17,IF(I17="LeaseUp",TINew*D17,IF(I17="Option",TIRenewal*D17,0)))))+(IF(I17="Vacate",LCNew*H17*D17*(1+GrowthMarketRent)^6,IF(I17="Market",Retention*LCRenewal*H17*D17*(1+GrowthMarketRent)^6+(1-Retention)*LCNew*H17*D17*(1+GrowthMarketRent)^6,IF(I17="LeaseUp",LCNew*H17*D17*(1+GrowthMarketRent)^6,IF(I17="Option",LCRenewal*H17*D17*(1+GrowthMarketRent)^6,0))))),IF(F17="",0,IF(AND(F17&gt;=DATE(2026+6,5,1),F17&lt;=DATE(2027+6,4,30)),(IF(I17="Vacate",TINew*D17,IF(I17="Market",Retention*TIRenewal*D17+(1-Retention)*TINew*D17,IF(I17="LeaseUp",TINew*D17,IF(I17="Option",TIRenewal*D17,0)))))+(IF(I17="Vacate",LCNew*H17*D17*(1+GrowthMarketRent)^6,IF(I17="Market",Retention*LCRenewal*H17*D17*(1+GrowthMarketRent)^6+(1-Retention)*LCNew*H17*D17*(1+GrowthMarketRent)^6,IF(I17="LeaseUp",LCNew*H17*D17*(1+GrowthMarketRent)^6,IF(I17="Option",LCRenewal*H17*D17*(1+GrowthMarketRent)^6,0))))),0))),0)</f>
        <v/>
      </c>
      <c r="AF17" s="14">
        <f>IFERROR(IF(AND(I17="LeaseUp",7=0),(IF(I17="Vacate",TINew*D17,IF(I17="Market",Retention*TIRenewal*D17+(1-Retention)*TINew*D17,IF(I17="LeaseUp",TINew*D17,IF(I17="Option",TIRenewal*D17,0)))))+(IF(I17="Vacate",LCNew*H17*D17*(1+GrowthMarketRent)^7,IF(I17="Market",Retention*LCRenewal*H17*D17*(1+GrowthMarketRent)^7+(1-Retention)*LCNew*H17*D17*(1+GrowthMarketRent)^7,IF(I17="LeaseUp",LCNew*H17*D17*(1+GrowthMarketRent)^7,IF(I17="Option",LCRenewal*H17*D17*(1+GrowthMarketRent)^7,0))))),IF(F17="",0,IF(AND(F17&gt;=DATE(2026+7,5,1),F17&lt;=DATE(2027+7,4,30)),(IF(I17="Vacate",TINew*D17,IF(I17="Market",Retention*TIRenewal*D17+(1-Retention)*TINew*D17,IF(I17="LeaseUp",TINew*D17,IF(I17="Option",TIRenewal*D17,0)))))+(IF(I17="Vacate",LCNew*H17*D17*(1+GrowthMarketRent)^7,IF(I17="Market",Retention*LCRenewal*H17*D17*(1+GrowthMarketRent)^7+(1-Retention)*LCNew*H17*D17*(1+GrowthMarketRent)^7,IF(I17="LeaseUp",LCNew*H17*D17*(1+GrowthMarketRent)^7,IF(I17="Option",LCRenewal*H17*D17*(1+GrowthMarketRent)^7,0))))),0))),0)</f>
        <v/>
      </c>
      <c r="AG17" s="14">
        <f>IFERROR(IF(AND(I17="LeaseUp",8=0),(IF(I17="Vacate",TINew*D17,IF(I17="Market",Retention*TIRenewal*D17+(1-Retention)*TINew*D17,IF(I17="LeaseUp",TINew*D17,IF(I17="Option",TIRenewal*D17,0)))))+(IF(I17="Vacate",LCNew*H17*D17*(1+GrowthMarketRent)^8,IF(I17="Market",Retention*LCRenewal*H17*D17*(1+GrowthMarketRent)^8+(1-Retention)*LCNew*H17*D17*(1+GrowthMarketRent)^8,IF(I17="LeaseUp",LCNew*H17*D17*(1+GrowthMarketRent)^8,IF(I17="Option",LCRenewal*H17*D17*(1+GrowthMarketRent)^8,0))))),IF(F17="",0,IF(AND(F17&gt;=DATE(2026+8,5,1),F17&lt;=DATE(2027+8,4,30)),(IF(I17="Vacate",TINew*D17,IF(I17="Market",Retention*TIRenewal*D17+(1-Retention)*TINew*D17,IF(I17="LeaseUp",TINew*D17,IF(I17="Option",TIRenewal*D17,0)))))+(IF(I17="Vacate",LCNew*H17*D17*(1+GrowthMarketRent)^8,IF(I17="Market",Retention*LCRenewal*H17*D17*(1+GrowthMarketRent)^8+(1-Retention)*LCNew*H17*D17*(1+GrowthMarketRent)^8,IF(I17="LeaseUp",LCNew*H17*D17*(1+GrowthMarketRent)^8,IF(I17="Option",LCRenewal*H17*D17*(1+GrowthMarketRent)^8,0))))),0))),0)</f>
        <v/>
      </c>
      <c r="AH17" s="14">
        <f>IFERROR(IF(AND(I17="LeaseUp",9=0),(IF(I17="Vacate",TINew*D17,IF(I17="Market",Retention*TIRenewal*D17+(1-Retention)*TINew*D17,IF(I17="LeaseUp",TINew*D17,IF(I17="Option",TIRenewal*D17,0)))))+(IF(I17="Vacate",LCNew*H17*D17*(1+GrowthMarketRent)^9,IF(I17="Market",Retention*LCRenewal*H17*D17*(1+GrowthMarketRent)^9+(1-Retention)*LCNew*H17*D17*(1+GrowthMarketRent)^9,IF(I17="LeaseUp",LCNew*H17*D17*(1+GrowthMarketRent)^9,IF(I17="Option",LCRenewal*H17*D17*(1+GrowthMarketRent)^9,0))))),IF(F17="",0,IF(AND(F17&gt;=DATE(2026+9,5,1),F17&lt;=DATE(2027+9,4,30)),(IF(I17="Vacate",TINew*D17,IF(I17="Market",Retention*TIRenewal*D17+(1-Retention)*TINew*D17,IF(I17="LeaseUp",TINew*D17,IF(I17="Option",TIRenewal*D17,0)))))+(IF(I17="Vacate",LCNew*H17*D17*(1+GrowthMarketRent)^9,IF(I17="Market",Retention*LCRenewal*H17*D17*(1+GrowthMarketRent)^9+(1-Retention)*LCNew*H17*D17*(1+GrowthMarketRent)^9,IF(I17="LeaseUp",LCNew*H17*D17*(1+GrowthMarketRent)^9,IF(I17="Option",LCRenewal*H17*D17*(1+GrowthMarketRent)^9,0))))),0))),0)</f>
        <v/>
      </c>
      <c r="AI17" s="14">
        <f>IFERROR(IF(AND(I17="LeaseUp",10=0),(IF(I17="Vacate",TINew*D17,IF(I17="Market",Retention*TIRenewal*D17+(1-Retention)*TINew*D17,IF(I17="LeaseUp",TINew*D17,IF(I17="Option",TIRenewal*D17,0)))))+(IF(I17="Vacate",LCNew*H17*D17*(1+GrowthMarketRent)^10,IF(I17="Market",Retention*LCRenewal*H17*D17*(1+GrowthMarketRent)^10+(1-Retention)*LCNew*H17*D17*(1+GrowthMarketRent)^10,IF(I17="LeaseUp",LCNew*H17*D17*(1+GrowthMarketRent)^10,IF(I17="Option",LCRenewal*H17*D17*(1+GrowthMarketRent)^10,0))))),IF(F17="",0,IF(AND(F17&gt;=DATE(2026+10,5,1),F17&lt;=DATE(2027+10,4,30)),(IF(I17="Vacate",TINew*D17,IF(I17="Market",Retention*TIRenewal*D17+(1-Retention)*TINew*D17,IF(I17="LeaseUp",TINew*D17,IF(I17="Option",TIRenewal*D17,0)))))+(IF(I17="Vacate",LCNew*H17*D17*(1+GrowthMarketRent)^10,IF(I17="Market",Retention*LCRenewal*H17*D17*(1+GrowthMarketRent)^10+(1-Retention)*LCNew*H17*D17*(1+GrowthMarketRent)^10,IF(I17="LeaseUp",LCNew*H17*D17*(1+GrowthMarketRent)^10,IF(I17="Option",LCRenewal*H17*D17*(1+GrowthMarketRent)^10,0))))),0))),0)</f>
        <v/>
      </c>
    </row>
    <row r="18">
      <c r="A18" t="inlineStr">
        <is>
          <t>Carrollton</t>
        </is>
      </c>
      <c r="B18" t="inlineStr">
        <is>
          <t>212</t>
        </is>
      </c>
      <c r="C18" t="inlineStr">
        <is>
          <t>Isembard Corporation</t>
        </is>
      </c>
      <c r="D18" s="32" t="n">
        <v>3230</v>
      </c>
      <c r="E18" s="33" t="n">
        <v>45658</v>
      </c>
      <c r="F18" s="33" t="n">
        <v>47453</v>
      </c>
      <c r="G18" s="34" t="n">
        <v>17.4250773993808</v>
      </c>
      <c r="H18" s="16">
        <f>VLOOKUP("Carrollton — "&amp;J18,MLA!$A$5:$L$11,3,FALSE)</f>
        <v/>
      </c>
      <c r="I18" s="11" t="inlineStr">
        <is>
          <t>Market</t>
        </is>
      </c>
      <c r="J18" t="inlineStr">
        <is>
          <t>Studio</t>
        </is>
      </c>
      <c r="K18" t="inlineStr">
        <is>
          <t>Occupied</t>
        </is>
      </c>
      <c r="L18" t="inlineStr">
        <is>
          <t>Studio; Guarantor: Sean Pae</t>
        </is>
      </c>
      <c r="M18" s="20">
        <f>IF(E18="",0,(AnalysisStart-E18)/365.25)</f>
        <v/>
      </c>
      <c r="N18" s="14">
        <f>IFERROR(IF(I18="LeaseUp",H18*D18*(1+GrowthMarketRent)^0*IF(0=0,(12-DowntimeNew)/12,1),IF(F18="",0,IF(F18&gt;=DATE(2027+0,4,30),G18*D18*(1+EscalatorInLease)^(0+M18),IF(F18&lt;DATE(2026+0,5,1),IF(I18="Vacate",H18*D18*(1+GrowthMarketRent)^0*IF(INT((DATE(2026+0,10,31)-F18)/365.25)=0,(12-DowntimeNew)/12,1),IF(I18="Option",G18*D18*1.025*(1+EscalatorInLease)^0,IF(I18="Market",Retention*G18*D18*(1+EscalatorInLease)^(0+M18)+(1-Retention)*H18*D18*(1+GrowthMarketRent)^0*IF(INT((DATE(2026+0,10,31)-F18)/365.25)=0,(12-DowntimeNew)/12,1),IF(I18="LeaseUp",H18*D18*(1+GrowthMarketRent)^0*IF(0=0,(12-DowntimeNew)/12,1),0)))),((F18-DATE(2026+0,5,1))/365.25)*G18*D18*(1+EscalatorInLease)^(0+M18)+((DATE(2027+0,4,30)-F18)/365.25)*IF(I18="Vacate",H18*D18*(1+GrowthMarketRent)^0*IF(INT((DATE(2026+0,10,31)-F18)/365.25)=0,(12-DowntimeNew)/12,1),IF(I18="Option",G18*D18*1.025*(1+EscalatorInLease)^0,IF(I18="Market",Retention*G18*D18*(1+EscalatorInLease)^(0+M18)+(1-Retention)*H18*D18*(1+GrowthMarketRent)^0*IF(INT((DATE(2026+0,10,31)-F18)/365.25)=0,(12-DowntimeNew)/12,1),IF(I18="LeaseUp",H18*D18*(1+GrowthMarketRent)^0*IF(0=0,(12-DowntimeNew)/12,1),0)))))))),0)</f>
        <v/>
      </c>
      <c r="O18" s="14">
        <f>IFERROR(IF(I18="LeaseUp",H18*D18*(1+GrowthMarketRent)^1*IF(1=0,(12-DowntimeNew)/12,1),IF(F18="",0,IF(F18&gt;=DATE(2027+1,4,30),G18*D18*(1+EscalatorInLease)^(1+M18),IF(F18&lt;DATE(2026+1,5,1),IF(I18="Vacate",H18*D18*(1+GrowthMarketRent)^1*IF(INT((DATE(2026+1,10,31)-F18)/365.25)=0,(12-DowntimeNew)/12,1),IF(I18="Option",G18*D18*1.025*(1+EscalatorInLease)^1,IF(I18="Market",Retention*G18*D18*(1+EscalatorInLease)^(1+M18)+(1-Retention)*H18*D18*(1+GrowthMarketRent)^1*IF(INT((DATE(2026+1,10,31)-F18)/365.25)=0,(12-DowntimeNew)/12,1),IF(I18="LeaseUp",H18*D18*(1+GrowthMarketRent)^1*IF(1=0,(12-DowntimeNew)/12,1),0)))),((F18-DATE(2026+1,5,1))/365.25)*G18*D18*(1+EscalatorInLease)^(1+M18)+((DATE(2027+1,4,30)-F18)/365.25)*IF(I18="Vacate",H18*D18*(1+GrowthMarketRent)^1*IF(INT((DATE(2026+1,10,31)-F18)/365.25)=0,(12-DowntimeNew)/12,1),IF(I18="Option",G18*D18*1.025*(1+EscalatorInLease)^1,IF(I18="Market",Retention*G18*D18*(1+EscalatorInLease)^(1+M18)+(1-Retention)*H18*D18*(1+GrowthMarketRent)^1*IF(INT((DATE(2026+1,10,31)-F18)/365.25)=0,(12-DowntimeNew)/12,1),IF(I18="LeaseUp",H18*D18*(1+GrowthMarketRent)^1*IF(1=0,(12-DowntimeNew)/12,1),0)))))))),0)</f>
        <v/>
      </c>
      <c r="P18" s="14">
        <f>IFERROR(IF(I18="LeaseUp",H18*D18*(1+GrowthMarketRent)^2*IF(2=0,(12-DowntimeNew)/12,1),IF(F18="",0,IF(F18&gt;=DATE(2027+2,4,30),G18*D18*(1+EscalatorInLease)^(2+M18),IF(F18&lt;DATE(2026+2,5,1),IF(I18="Vacate",H18*D18*(1+GrowthMarketRent)^2*IF(INT((DATE(2026+2,10,31)-F18)/365.25)=0,(12-DowntimeNew)/12,1),IF(I18="Option",G18*D18*1.025*(1+EscalatorInLease)^2,IF(I18="Market",Retention*G18*D18*(1+EscalatorInLease)^(2+M18)+(1-Retention)*H18*D18*(1+GrowthMarketRent)^2*IF(INT((DATE(2026+2,10,31)-F18)/365.25)=0,(12-DowntimeNew)/12,1),IF(I18="LeaseUp",H18*D18*(1+GrowthMarketRent)^2*IF(2=0,(12-DowntimeNew)/12,1),0)))),((F18-DATE(2026+2,5,1))/365.25)*G18*D18*(1+EscalatorInLease)^(2+M18)+((DATE(2027+2,4,30)-F18)/365.25)*IF(I18="Vacate",H18*D18*(1+GrowthMarketRent)^2*IF(INT((DATE(2026+2,10,31)-F18)/365.25)=0,(12-DowntimeNew)/12,1),IF(I18="Option",G18*D18*1.025*(1+EscalatorInLease)^2,IF(I18="Market",Retention*G18*D18*(1+EscalatorInLease)^(2+M18)+(1-Retention)*H18*D18*(1+GrowthMarketRent)^2*IF(INT((DATE(2026+2,10,31)-F18)/365.25)=0,(12-DowntimeNew)/12,1),IF(I18="LeaseUp",H18*D18*(1+GrowthMarketRent)^2*IF(2=0,(12-DowntimeNew)/12,1),0)))))))),0)</f>
        <v/>
      </c>
      <c r="Q18" s="14">
        <f>IFERROR(IF(I18="LeaseUp",H18*D18*(1+GrowthMarketRent)^3*IF(3=0,(12-DowntimeNew)/12,1),IF(F18="",0,IF(F18&gt;=DATE(2027+3,4,30),G18*D18*(1+EscalatorInLease)^(3+M18),IF(F18&lt;DATE(2026+3,5,1),IF(I18="Vacate",H18*D18*(1+GrowthMarketRent)^3*IF(INT((DATE(2026+3,10,31)-F18)/365.25)=0,(12-DowntimeNew)/12,1),IF(I18="Option",G18*D18*1.025*(1+EscalatorInLease)^3,IF(I18="Market",Retention*G18*D18*(1+EscalatorInLease)^(3+M18)+(1-Retention)*H18*D18*(1+GrowthMarketRent)^3*IF(INT((DATE(2026+3,10,31)-F18)/365.25)=0,(12-DowntimeNew)/12,1),IF(I18="LeaseUp",H18*D18*(1+GrowthMarketRent)^3*IF(3=0,(12-DowntimeNew)/12,1),0)))),((F18-DATE(2026+3,5,1))/365.25)*G18*D18*(1+EscalatorInLease)^(3+M18)+((DATE(2027+3,4,30)-F18)/365.25)*IF(I18="Vacate",H18*D18*(1+GrowthMarketRent)^3*IF(INT((DATE(2026+3,10,31)-F18)/365.25)=0,(12-DowntimeNew)/12,1),IF(I18="Option",G18*D18*1.025*(1+EscalatorInLease)^3,IF(I18="Market",Retention*G18*D18*(1+EscalatorInLease)^(3+M18)+(1-Retention)*H18*D18*(1+GrowthMarketRent)^3*IF(INT((DATE(2026+3,10,31)-F18)/365.25)=0,(12-DowntimeNew)/12,1),IF(I18="LeaseUp",H18*D18*(1+GrowthMarketRent)^3*IF(3=0,(12-DowntimeNew)/12,1),0)))))))),0)</f>
        <v/>
      </c>
      <c r="R18" s="14">
        <f>IFERROR(IF(I18="LeaseUp",H18*D18*(1+GrowthMarketRent)^4*IF(4=0,(12-DowntimeNew)/12,1),IF(F18="",0,IF(F18&gt;=DATE(2027+4,4,30),G18*D18*(1+EscalatorInLease)^(4+M18),IF(F18&lt;DATE(2026+4,5,1),IF(I18="Vacate",H18*D18*(1+GrowthMarketRent)^4*IF(INT((DATE(2026+4,10,31)-F18)/365.25)=0,(12-DowntimeNew)/12,1),IF(I18="Option",G18*D18*1.025*(1+EscalatorInLease)^4,IF(I18="Market",Retention*G18*D18*(1+EscalatorInLease)^(4+M18)+(1-Retention)*H18*D18*(1+GrowthMarketRent)^4*IF(INT((DATE(2026+4,10,31)-F18)/365.25)=0,(12-DowntimeNew)/12,1),IF(I18="LeaseUp",H18*D18*(1+GrowthMarketRent)^4*IF(4=0,(12-DowntimeNew)/12,1),0)))),((F18-DATE(2026+4,5,1))/365.25)*G18*D18*(1+EscalatorInLease)^(4+M18)+((DATE(2027+4,4,30)-F18)/365.25)*IF(I18="Vacate",H18*D18*(1+GrowthMarketRent)^4*IF(INT((DATE(2026+4,10,31)-F18)/365.25)=0,(12-DowntimeNew)/12,1),IF(I18="Option",G18*D18*1.025*(1+EscalatorInLease)^4,IF(I18="Market",Retention*G18*D18*(1+EscalatorInLease)^(4+M18)+(1-Retention)*H18*D18*(1+GrowthMarketRent)^4*IF(INT((DATE(2026+4,10,31)-F18)/365.25)=0,(12-DowntimeNew)/12,1),IF(I18="LeaseUp",H18*D18*(1+GrowthMarketRent)^4*IF(4=0,(12-DowntimeNew)/12,1),0)))))))),0)</f>
        <v/>
      </c>
      <c r="S18" s="14">
        <f>IFERROR(IF(I18="LeaseUp",H18*D18*(1+GrowthMarketRent)^5*IF(5=0,(12-DowntimeNew)/12,1),IF(F18="",0,IF(F18&gt;=DATE(2027+5,4,30),G18*D18*(1+EscalatorInLease)^(5+M18),IF(F18&lt;DATE(2026+5,5,1),IF(I18="Vacate",H18*D18*(1+GrowthMarketRent)^5*IF(INT((DATE(2026+5,10,31)-F18)/365.25)=0,(12-DowntimeNew)/12,1),IF(I18="Option",G18*D18*1.025*(1+EscalatorInLease)^5,IF(I18="Market",Retention*G18*D18*(1+EscalatorInLease)^(5+M18)+(1-Retention)*H18*D18*(1+GrowthMarketRent)^5*IF(INT((DATE(2026+5,10,31)-F18)/365.25)=0,(12-DowntimeNew)/12,1),IF(I18="LeaseUp",H18*D18*(1+GrowthMarketRent)^5*IF(5=0,(12-DowntimeNew)/12,1),0)))),((F18-DATE(2026+5,5,1))/365.25)*G18*D18*(1+EscalatorInLease)^(5+M18)+((DATE(2027+5,4,30)-F18)/365.25)*IF(I18="Vacate",H18*D18*(1+GrowthMarketRent)^5*IF(INT((DATE(2026+5,10,31)-F18)/365.25)=0,(12-DowntimeNew)/12,1),IF(I18="Option",G18*D18*1.025*(1+EscalatorInLease)^5,IF(I18="Market",Retention*G18*D18*(1+EscalatorInLease)^(5+M18)+(1-Retention)*H18*D18*(1+GrowthMarketRent)^5*IF(INT((DATE(2026+5,10,31)-F18)/365.25)=0,(12-DowntimeNew)/12,1),IF(I18="LeaseUp",H18*D18*(1+GrowthMarketRent)^5*IF(5=0,(12-DowntimeNew)/12,1),0)))))))),0)</f>
        <v/>
      </c>
      <c r="T18" s="14">
        <f>IFERROR(IF(I18="LeaseUp",H18*D18*(1+GrowthMarketRent)^6*IF(6=0,(12-DowntimeNew)/12,1),IF(F18="",0,IF(F18&gt;=DATE(2027+6,4,30),G18*D18*(1+EscalatorInLease)^(6+M18),IF(F18&lt;DATE(2026+6,5,1),IF(I18="Vacate",H18*D18*(1+GrowthMarketRent)^6*IF(INT((DATE(2026+6,10,31)-F18)/365.25)=0,(12-DowntimeNew)/12,1),IF(I18="Option",G18*D18*1.025*(1+EscalatorInLease)^6,IF(I18="Market",Retention*G18*D18*(1+EscalatorInLease)^(6+M18)+(1-Retention)*H18*D18*(1+GrowthMarketRent)^6*IF(INT((DATE(2026+6,10,31)-F18)/365.25)=0,(12-DowntimeNew)/12,1),IF(I18="LeaseUp",H18*D18*(1+GrowthMarketRent)^6*IF(6=0,(12-DowntimeNew)/12,1),0)))),((F18-DATE(2026+6,5,1))/365.25)*G18*D18*(1+EscalatorInLease)^(6+M18)+((DATE(2027+6,4,30)-F18)/365.25)*IF(I18="Vacate",H18*D18*(1+GrowthMarketRent)^6*IF(INT((DATE(2026+6,10,31)-F18)/365.25)=0,(12-DowntimeNew)/12,1),IF(I18="Option",G18*D18*1.025*(1+EscalatorInLease)^6,IF(I18="Market",Retention*G18*D18*(1+EscalatorInLease)^(6+M18)+(1-Retention)*H18*D18*(1+GrowthMarketRent)^6*IF(INT((DATE(2026+6,10,31)-F18)/365.25)=0,(12-DowntimeNew)/12,1),IF(I18="LeaseUp",H18*D18*(1+GrowthMarketRent)^6*IF(6=0,(12-DowntimeNew)/12,1),0)))))))),0)</f>
        <v/>
      </c>
      <c r="U18" s="14">
        <f>IFERROR(IF(I18="LeaseUp",H18*D18*(1+GrowthMarketRent)^7*IF(7=0,(12-DowntimeNew)/12,1),IF(F18="",0,IF(F18&gt;=DATE(2027+7,4,30),G18*D18*(1+EscalatorInLease)^(7+M18),IF(F18&lt;DATE(2026+7,5,1),IF(I18="Vacate",H18*D18*(1+GrowthMarketRent)^7*IF(INT((DATE(2026+7,10,31)-F18)/365.25)=0,(12-DowntimeNew)/12,1),IF(I18="Option",G18*D18*1.025*(1+EscalatorInLease)^7,IF(I18="Market",Retention*G18*D18*(1+EscalatorInLease)^(7+M18)+(1-Retention)*H18*D18*(1+GrowthMarketRent)^7*IF(INT((DATE(2026+7,10,31)-F18)/365.25)=0,(12-DowntimeNew)/12,1),IF(I18="LeaseUp",H18*D18*(1+GrowthMarketRent)^7*IF(7=0,(12-DowntimeNew)/12,1),0)))),((F18-DATE(2026+7,5,1))/365.25)*G18*D18*(1+EscalatorInLease)^(7+M18)+((DATE(2027+7,4,30)-F18)/365.25)*IF(I18="Vacate",H18*D18*(1+GrowthMarketRent)^7*IF(INT((DATE(2026+7,10,31)-F18)/365.25)=0,(12-DowntimeNew)/12,1),IF(I18="Option",G18*D18*1.025*(1+EscalatorInLease)^7,IF(I18="Market",Retention*G18*D18*(1+EscalatorInLease)^(7+M18)+(1-Retention)*H18*D18*(1+GrowthMarketRent)^7*IF(INT((DATE(2026+7,10,31)-F18)/365.25)=0,(12-DowntimeNew)/12,1),IF(I18="LeaseUp",H18*D18*(1+GrowthMarketRent)^7*IF(7=0,(12-DowntimeNew)/12,1),0)))))))),0)</f>
        <v/>
      </c>
      <c r="V18" s="14">
        <f>IFERROR(IF(I18="LeaseUp",H18*D18*(1+GrowthMarketRent)^8*IF(8=0,(12-DowntimeNew)/12,1),IF(F18="",0,IF(F18&gt;=DATE(2027+8,4,30),G18*D18*(1+EscalatorInLease)^(8+M18),IF(F18&lt;DATE(2026+8,5,1),IF(I18="Vacate",H18*D18*(1+GrowthMarketRent)^8*IF(INT((DATE(2026+8,10,31)-F18)/365.25)=0,(12-DowntimeNew)/12,1),IF(I18="Option",G18*D18*1.025*(1+EscalatorInLease)^8,IF(I18="Market",Retention*G18*D18*(1+EscalatorInLease)^(8+M18)+(1-Retention)*H18*D18*(1+GrowthMarketRent)^8*IF(INT((DATE(2026+8,10,31)-F18)/365.25)=0,(12-DowntimeNew)/12,1),IF(I18="LeaseUp",H18*D18*(1+GrowthMarketRent)^8*IF(8=0,(12-DowntimeNew)/12,1),0)))),((F18-DATE(2026+8,5,1))/365.25)*G18*D18*(1+EscalatorInLease)^(8+M18)+((DATE(2027+8,4,30)-F18)/365.25)*IF(I18="Vacate",H18*D18*(1+GrowthMarketRent)^8*IF(INT((DATE(2026+8,10,31)-F18)/365.25)=0,(12-DowntimeNew)/12,1),IF(I18="Option",G18*D18*1.025*(1+EscalatorInLease)^8,IF(I18="Market",Retention*G18*D18*(1+EscalatorInLease)^(8+M18)+(1-Retention)*H18*D18*(1+GrowthMarketRent)^8*IF(INT((DATE(2026+8,10,31)-F18)/365.25)=0,(12-DowntimeNew)/12,1),IF(I18="LeaseUp",H18*D18*(1+GrowthMarketRent)^8*IF(8=0,(12-DowntimeNew)/12,1),0)))))))),0)</f>
        <v/>
      </c>
      <c r="W18" s="14">
        <f>IFERROR(IF(I18="LeaseUp",H18*D18*(1+GrowthMarketRent)^9*IF(9=0,(12-DowntimeNew)/12,1),IF(F18="",0,IF(F18&gt;=DATE(2027+9,4,30),G18*D18*(1+EscalatorInLease)^(9+M18),IF(F18&lt;DATE(2026+9,5,1),IF(I18="Vacate",H18*D18*(1+GrowthMarketRent)^9*IF(INT((DATE(2026+9,10,31)-F18)/365.25)=0,(12-DowntimeNew)/12,1),IF(I18="Option",G18*D18*1.025*(1+EscalatorInLease)^9,IF(I18="Market",Retention*G18*D18*(1+EscalatorInLease)^(9+M18)+(1-Retention)*H18*D18*(1+GrowthMarketRent)^9*IF(INT((DATE(2026+9,10,31)-F18)/365.25)=0,(12-DowntimeNew)/12,1),IF(I18="LeaseUp",H18*D18*(1+GrowthMarketRent)^9*IF(9=0,(12-DowntimeNew)/12,1),0)))),((F18-DATE(2026+9,5,1))/365.25)*G18*D18*(1+EscalatorInLease)^(9+M18)+((DATE(2027+9,4,30)-F18)/365.25)*IF(I18="Vacate",H18*D18*(1+GrowthMarketRent)^9*IF(INT((DATE(2026+9,10,31)-F18)/365.25)=0,(12-DowntimeNew)/12,1),IF(I18="Option",G18*D18*1.025*(1+EscalatorInLease)^9,IF(I18="Market",Retention*G18*D18*(1+EscalatorInLease)^(9+M18)+(1-Retention)*H18*D18*(1+GrowthMarketRent)^9*IF(INT((DATE(2026+9,10,31)-F18)/365.25)=0,(12-DowntimeNew)/12,1),IF(I18="LeaseUp",H18*D18*(1+GrowthMarketRent)^9*IF(9=0,(12-DowntimeNew)/12,1),0)))))))),0)</f>
        <v/>
      </c>
      <c r="X18" s="14">
        <f>IFERROR(IF(I18="LeaseUp",H18*D18*(1+GrowthMarketRent)^10*IF(10=0,(12-DowntimeNew)/12,1),IF(F18="",0,IF(F18&gt;=DATE(2027+10,4,30),G18*D18*(1+EscalatorInLease)^(10+M18),IF(F18&lt;DATE(2026+10,5,1),IF(I18="Vacate",H18*D18*(1+GrowthMarketRent)^10*IF(INT((DATE(2026+10,10,31)-F18)/365.25)=0,(12-DowntimeNew)/12,1),IF(I18="Option",G18*D18*1.025*(1+EscalatorInLease)^10,IF(I18="Market",Retention*G18*D18*(1+EscalatorInLease)^(10+M18)+(1-Retention)*H18*D18*(1+GrowthMarketRent)^10*IF(INT((DATE(2026+10,10,31)-F18)/365.25)=0,(12-DowntimeNew)/12,1),IF(I18="LeaseUp",H18*D18*(1+GrowthMarketRent)^10*IF(10=0,(12-DowntimeNew)/12,1),0)))),((F18-DATE(2026+10,5,1))/365.25)*G18*D18*(1+EscalatorInLease)^(10+M18)+((DATE(2027+10,4,30)-F18)/365.25)*IF(I18="Vacate",H18*D18*(1+GrowthMarketRent)^10*IF(INT((DATE(2026+10,10,31)-F18)/365.25)=0,(12-DowntimeNew)/12,1),IF(I18="Option",G18*D18*1.025*(1+EscalatorInLease)^10,IF(I18="Market",Retention*G18*D18*(1+EscalatorInLease)^(10+M18)+(1-Retention)*H18*D18*(1+GrowthMarketRent)^10*IF(INT((DATE(2026+10,10,31)-F18)/365.25)=0,(12-DowntimeNew)/12,1),IF(I18="LeaseUp",H18*D18*(1+GrowthMarketRent)^10*IF(10=0,(12-DowntimeNew)/12,1),0)))))))),0)</f>
        <v/>
      </c>
      <c r="Y18" s="14">
        <f>IFERROR(IF(AND(I18="LeaseUp",0=0),(IF(I18="Vacate",TINew*D18,IF(I18="Market",Retention*TIRenewal*D18+(1-Retention)*TINew*D18,IF(I18="LeaseUp",TINew*D18,IF(I18="Option",TIRenewal*D18,0)))))+(IF(I18="Vacate",LCNew*H18*D18*(1+GrowthMarketRent)^0,IF(I18="Market",Retention*LCRenewal*H18*D18*(1+GrowthMarketRent)^0+(1-Retention)*LCNew*H18*D18*(1+GrowthMarketRent)^0,IF(I18="LeaseUp",LCNew*H18*D18*(1+GrowthMarketRent)^0,IF(I18="Option",LCRenewal*H18*D18*(1+GrowthMarketRent)^0,0))))),IF(F18="",0,IF(AND(F18&gt;=DATE(2026+0,5,1),F18&lt;=DATE(2027+0,4,30)),(IF(I18="Vacate",TINew*D18,IF(I18="Market",Retention*TIRenewal*D18+(1-Retention)*TINew*D18,IF(I18="LeaseUp",TINew*D18,IF(I18="Option",TIRenewal*D18,0)))))+(IF(I18="Vacate",LCNew*H18*D18*(1+GrowthMarketRent)^0,IF(I18="Market",Retention*LCRenewal*H18*D18*(1+GrowthMarketRent)^0+(1-Retention)*LCNew*H18*D18*(1+GrowthMarketRent)^0,IF(I18="LeaseUp",LCNew*H18*D18*(1+GrowthMarketRent)^0,IF(I18="Option",LCRenewal*H18*D18*(1+GrowthMarketRent)^0,0))))),0))),0)</f>
        <v/>
      </c>
      <c r="Z18" s="14">
        <f>IFERROR(IF(AND(I18="LeaseUp",1=0),(IF(I18="Vacate",TINew*D18,IF(I18="Market",Retention*TIRenewal*D18+(1-Retention)*TINew*D18,IF(I18="LeaseUp",TINew*D18,IF(I18="Option",TIRenewal*D18,0)))))+(IF(I18="Vacate",LCNew*H18*D18*(1+GrowthMarketRent)^1,IF(I18="Market",Retention*LCRenewal*H18*D18*(1+GrowthMarketRent)^1+(1-Retention)*LCNew*H18*D18*(1+GrowthMarketRent)^1,IF(I18="LeaseUp",LCNew*H18*D18*(1+GrowthMarketRent)^1,IF(I18="Option",LCRenewal*H18*D18*(1+GrowthMarketRent)^1,0))))),IF(F18="",0,IF(AND(F18&gt;=DATE(2026+1,5,1),F18&lt;=DATE(2027+1,4,30)),(IF(I18="Vacate",TINew*D18,IF(I18="Market",Retention*TIRenewal*D18+(1-Retention)*TINew*D18,IF(I18="LeaseUp",TINew*D18,IF(I18="Option",TIRenewal*D18,0)))))+(IF(I18="Vacate",LCNew*H18*D18*(1+GrowthMarketRent)^1,IF(I18="Market",Retention*LCRenewal*H18*D18*(1+GrowthMarketRent)^1+(1-Retention)*LCNew*H18*D18*(1+GrowthMarketRent)^1,IF(I18="LeaseUp",LCNew*H18*D18*(1+GrowthMarketRent)^1,IF(I18="Option",LCRenewal*H18*D18*(1+GrowthMarketRent)^1,0))))),0))),0)</f>
        <v/>
      </c>
      <c r="AA18" s="14">
        <f>IFERROR(IF(AND(I18="LeaseUp",2=0),(IF(I18="Vacate",TINew*D18,IF(I18="Market",Retention*TIRenewal*D18+(1-Retention)*TINew*D18,IF(I18="LeaseUp",TINew*D18,IF(I18="Option",TIRenewal*D18,0)))))+(IF(I18="Vacate",LCNew*H18*D18*(1+GrowthMarketRent)^2,IF(I18="Market",Retention*LCRenewal*H18*D18*(1+GrowthMarketRent)^2+(1-Retention)*LCNew*H18*D18*(1+GrowthMarketRent)^2,IF(I18="LeaseUp",LCNew*H18*D18*(1+GrowthMarketRent)^2,IF(I18="Option",LCRenewal*H18*D18*(1+GrowthMarketRent)^2,0))))),IF(F18="",0,IF(AND(F18&gt;=DATE(2026+2,5,1),F18&lt;=DATE(2027+2,4,30)),(IF(I18="Vacate",TINew*D18,IF(I18="Market",Retention*TIRenewal*D18+(1-Retention)*TINew*D18,IF(I18="LeaseUp",TINew*D18,IF(I18="Option",TIRenewal*D18,0)))))+(IF(I18="Vacate",LCNew*H18*D18*(1+GrowthMarketRent)^2,IF(I18="Market",Retention*LCRenewal*H18*D18*(1+GrowthMarketRent)^2+(1-Retention)*LCNew*H18*D18*(1+GrowthMarketRent)^2,IF(I18="LeaseUp",LCNew*H18*D18*(1+GrowthMarketRent)^2,IF(I18="Option",LCRenewal*H18*D18*(1+GrowthMarketRent)^2,0))))),0))),0)</f>
        <v/>
      </c>
      <c r="AB18" s="14">
        <f>IFERROR(IF(AND(I18="LeaseUp",3=0),(IF(I18="Vacate",TINew*D18,IF(I18="Market",Retention*TIRenewal*D18+(1-Retention)*TINew*D18,IF(I18="LeaseUp",TINew*D18,IF(I18="Option",TIRenewal*D18,0)))))+(IF(I18="Vacate",LCNew*H18*D18*(1+GrowthMarketRent)^3,IF(I18="Market",Retention*LCRenewal*H18*D18*(1+GrowthMarketRent)^3+(1-Retention)*LCNew*H18*D18*(1+GrowthMarketRent)^3,IF(I18="LeaseUp",LCNew*H18*D18*(1+GrowthMarketRent)^3,IF(I18="Option",LCRenewal*H18*D18*(1+GrowthMarketRent)^3,0))))),IF(F18="",0,IF(AND(F18&gt;=DATE(2026+3,5,1),F18&lt;=DATE(2027+3,4,30)),(IF(I18="Vacate",TINew*D18,IF(I18="Market",Retention*TIRenewal*D18+(1-Retention)*TINew*D18,IF(I18="LeaseUp",TINew*D18,IF(I18="Option",TIRenewal*D18,0)))))+(IF(I18="Vacate",LCNew*H18*D18*(1+GrowthMarketRent)^3,IF(I18="Market",Retention*LCRenewal*H18*D18*(1+GrowthMarketRent)^3+(1-Retention)*LCNew*H18*D18*(1+GrowthMarketRent)^3,IF(I18="LeaseUp",LCNew*H18*D18*(1+GrowthMarketRent)^3,IF(I18="Option",LCRenewal*H18*D18*(1+GrowthMarketRent)^3,0))))),0))),0)</f>
        <v/>
      </c>
      <c r="AC18" s="14">
        <f>IFERROR(IF(AND(I18="LeaseUp",4=0),(IF(I18="Vacate",TINew*D18,IF(I18="Market",Retention*TIRenewal*D18+(1-Retention)*TINew*D18,IF(I18="LeaseUp",TINew*D18,IF(I18="Option",TIRenewal*D18,0)))))+(IF(I18="Vacate",LCNew*H18*D18*(1+GrowthMarketRent)^4,IF(I18="Market",Retention*LCRenewal*H18*D18*(1+GrowthMarketRent)^4+(1-Retention)*LCNew*H18*D18*(1+GrowthMarketRent)^4,IF(I18="LeaseUp",LCNew*H18*D18*(1+GrowthMarketRent)^4,IF(I18="Option",LCRenewal*H18*D18*(1+GrowthMarketRent)^4,0))))),IF(F18="",0,IF(AND(F18&gt;=DATE(2026+4,5,1),F18&lt;=DATE(2027+4,4,30)),(IF(I18="Vacate",TINew*D18,IF(I18="Market",Retention*TIRenewal*D18+(1-Retention)*TINew*D18,IF(I18="LeaseUp",TINew*D18,IF(I18="Option",TIRenewal*D18,0)))))+(IF(I18="Vacate",LCNew*H18*D18*(1+GrowthMarketRent)^4,IF(I18="Market",Retention*LCRenewal*H18*D18*(1+GrowthMarketRent)^4+(1-Retention)*LCNew*H18*D18*(1+GrowthMarketRent)^4,IF(I18="LeaseUp",LCNew*H18*D18*(1+GrowthMarketRent)^4,IF(I18="Option",LCRenewal*H18*D18*(1+GrowthMarketRent)^4,0))))),0))),0)</f>
        <v/>
      </c>
      <c r="AD18" s="14">
        <f>IFERROR(IF(AND(I18="LeaseUp",5=0),(IF(I18="Vacate",TINew*D18,IF(I18="Market",Retention*TIRenewal*D18+(1-Retention)*TINew*D18,IF(I18="LeaseUp",TINew*D18,IF(I18="Option",TIRenewal*D18,0)))))+(IF(I18="Vacate",LCNew*H18*D18*(1+GrowthMarketRent)^5,IF(I18="Market",Retention*LCRenewal*H18*D18*(1+GrowthMarketRent)^5+(1-Retention)*LCNew*H18*D18*(1+GrowthMarketRent)^5,IF(I18="LeaseUp",LCNew*H18*D18*(1+GrowthMarketRent)^5,IF(I18="Option",LCRenewal*H18*D18*(1+GrowthMarketRent)^5,0))))),IF(F18="",0,IF(AND(F18&gt;=DATE(2026+5,5,1),F18&lt;=DATE(2027+5,4,30)),(IF(I18="Vacate",TINew*D18,IF(I18="Market",Retention*TIRenewal*D18+(1-Retention)*TINew*D18,IF(I18="LeaseUp",TINew*D18,IF(I18="Option",TIRenewal*D18,0)))))+(IF(I18="Vacate",LCNew*H18*D18*(1+GrowthMarketRent)^5,IF(I18="Market",Retention*LCRenewal*H18*D18*(1+GrowthMarketRent)^5+(1-Retention)*LCNew*H18*D18*(1+GrowthMarketRent)^5,IF(I18="LeaseUp",LCNew*H18*D18*(1+GrowthMarketRent)^5,IF(I18="Option",LCRenewal*H18*D18*(1+GrowthMarketRent)^5,0))))),0))),0)</f>
        <v/>
      </c>
      <c r="AE18" s="14">
        <f>IFERROR(IF(AND(I18="LeaseUp",6=0),(IF(I18="Vacate",TINew*D18,IF(I18="Market",Retention*TIRenewal*D18+(1-Retention)*TINew*D18,IF(I18="LeaseUp",TINew*D18,IF(I18="Option",TIRenewal*D18,0)))))+(IF(I18="Vacate",LCNew*H18*D18*(1+GrowthMarketRent)^6,IF(I18="Market",Retention*LCRenewal*H18*D18*(1+GrowthMarketRent)^6+(1-Retention)*LCNew*H18*D18*(1+GrowthMarketRent)^6,IF(I18="LeaseUp",LCNew*H18*D18*(1+GrowthMarketRent)^6,IF(I18="Option",LCRenewal*H18*D18*(1+GrowthMarketRent)^6,0))))),IF(F18="",0,IF(AND(F18&gt;=DATE(2026+6,5,1),F18&lt;=DATE(2027+6,4,30)),(IF(I18="Vacate",TINew*D18,IF(I18="Market",Retention*TIRenewal*D18+(1-Retention)*TINew*D18,IF(I18="LeaseUp",TINew*D18,IF(I18="Option",TIRenewal*D18,0)))))+(IF(I18="Vacate",LCNew*H18*D18*(1+GrowthMarketRent)^6,IF(I18="Market",Retention*LCRenewal*H18*D18*(1+GrowthMarketRent)^6+(1-Retention)*LCNew*H18*D18*(1+GrowthMarketRent)^6,IF(I18="LeaseUp",LCNew*H18*D18*(1+GrowthMarketRent)^6,IF(I18="Option",LCRenewal*H18*D18*(1+GrowthMarketRent)^6,0))))),0))),0)</f>
        <v/>
      </c>
      <c r="AF18" s="14">
        <f>IFERROR(IF(AND(I18="LeaseUp",7=0),(IF(I18="Vacate",TINew*D18,IF(I18="Market",Retention*TIRenewal*D18+(1-Retention)*TINew*D18,IF(I18="LeaseUp",TINew*D18,IF(I18="Option",TIRenewal*D18,0)))))+(IF(I18="Vacate",LCNew*H18*D18*(1+GrowthMarketRent)^7,IF(I18="Market",Retention*LCRenewal*H18*D18*(1+GrowthMarketRent)^7+(1-Retention)*LCNew*H18*D18*(1+GrowthMarketRent)^7,IF(I18="LeaseUp",LCNew*H18*D18*(1+GrowthMarketRent)^7,IF(I18="Option",LCRenewal*H18*D18*(1+GrowthMarketRent)^7,0))))),IF(F18="",0,IF(AND(F18&gt;=DATE(2026+7,5,1),F18&lt;=DATE(2027+7,4,30)),(IF(I18="Vacate",TINew*D18,IF(I18="Market",Retention*TIRenewal*D18+(1-Retention)*TINew*D18,IF(I18="LeaseUp",TINew*D18,IF(I18="Option",TIRenewal*D18,0)))))+(IF(I18="Vacate",LCNew*H18*D18*(1+GrowthMarketRent)^7,IF(I18="Market",Retention*LCRenewal*H18*D18*(1+GrowthMarketRent)^7+(1-Retention)*LCNew*H18*D18*(1+GrowthMarketRent)^7,IF(I18="LeaseUp",LCNew*H18*D18*(1+GrowthMarketRent)^7,IF(I18="Option",LCRenewal*H18*D18*(1+GrowthMarketRent)^7,0))))),0))),0)</f>
        <v/>
      </c>
      <c r="AG18" s="14">
        <f>IFERROR(IF(AND(I18="LeaseUp",8=0),(IF(I18="Vacate",TINew*D18,IF(I18="Market",Retention*TIRenewal*D18+(1-Retention)*TINew*D18,IF(I18="LeaseUp",TINew*D18,IF(I18="Option",TIRenewal*D18,0)))))+(IF(I18="Vacate",LCNew*H18*D18*(1+GrowthMarketRent)^8,IF(I18="Market",Retention*LCRenewal*H18*D18*(1+GrowthMarketRent)^8+(1-Retention)*LCNew*H18*D18*(1+GrowthMarketRent)^8,IF(I18="LeaseUp",LCNew*H18*D18*(1+GrowthMarketRent)^8,IF(I18="Option",LCRenewal*H18*D18*(1+GrowthMarketRent)^8,0))))),IF(F18="",0,IF(AND(F18&gt;=DATE(2026+8,5,1),F18&lt;=DATE(2027+8,4,30)),(IF(I18="Vacate",TINew*D18,IF(I18="Market",Retention*TIRenewal*D18+(1-Retention)*TINew*D18,IF(I18="LeaseUp",TINew*D18,IF(I18="Option",TIRenewal*D18,0)))))+(IF(I18="Vacate",LCNew*H18*D18*(1+GrowthMarketRent)^8,IF(I18="Market",Retention*LCRenewal*H18*D18*(1+GrowthMarketRent)^8+(1-Retention)*LCNew*H18*D18*(1+GrowthMarketRent)^8,IF(I18="LeaseUp",LCNew*H18*D18*(1+GrowthMarketRent)^8,IF(I18="Option",LCRenewal*H18*D18*(1+GrowthMarketRent)^8,0))))),0))),0)</f>
        <v/>
      </c>
      <c r="AH18" s="14">
        <f>IFERROR(IF(AND(I18="LeaseUp",9=0),(IF(I18="Vacate",TINew*D18,IF(I18="Market",Retention*TIRenewal*D18+(1-Retention)*TINew*D18,IF(I18="LeaseUp",TINew*D18,IF(I18="Option",TIRenewal*D18,0)))))+(IF(I18="Vacate",LCNew*H18*D18*(1+GrowthMarketRent)^9,IF(I18="Market",Retention*LCRenewal*H18*D18*(1+GrowthMarketRent)^9+(1-Retention)*LCNew*H18*D18*(1+GrowthMarketRent)^9,IF(I18="LeaseUp",LCNew*H18*D18*(1+GrowthMarketRent)^9,IF(I18="Option",LCRenewal*H18*D18*(1+GrowthMarketRent)^9,0))))),IF(F18="",0,IF(AND(F18&gt;=DATE(2026+9,5,1),F18&lt;=DATE(2027+9,4,30)),(IF(I18="Vacate",TINew*D18,IF(I18="Market",Retention*TIRenewal*D18+(1-Retention)*TINew*D18,IF(I18="LeaseUp",TINew*D18,IF(I18="Option",TIRenewal*D18,0)))))+(IF(I18="Vacate",LCNew*H18*D18*(1+GrowthMarketRent)^9,IF(I18="Market",Retention*LCRenewal*H18*D18*(1+GrowthMarketRent)^9+(1-Retention)*LCNew*H18*D18*(1+GrowthMarketRent)^9,IF(I18="LeaseUp",LCNew*H18*D18*(1+GrowthMarketRent)^9,IF(I18="Option",LCRenewal*H18*D18*(1+GrowthMarketRent)^9,0))))),0))),0)</f>
        <v/>
      </c>
      <c r="AI18" s="14">
        <f>IFERROR(IF(AND(I18="LeaseUp",10=0),(IF(I18="Vacate",TINew*D18,IF(I18="Market",Retention*TIRenewal*D18+(1-Retention)*TINew*D18,IF(I18="LeaseUp",TINew*D18,IF(I18="Option",TIRenewal*D18,0)))))+(IF(I18="Vacate",LCNew*H18*D18*(1+GrowthMarketRent)^10,IF(I18="Market",Retention*LCRenewal*H18*D18*(1+GrowthMarketRent)^10+(1-Retention)*LCNew*H18*D18*(1+GrowthMarketRent)^10,IF(I18="LeaseUp",LCNew*H18*D18*(1+GrowthMarketRent)^10,IF(I18="Option",LCRenewal*H18*D18*(1+GrowthMarketRent)^10,0))))),IF(F18="",0,IF(AND(F18&gt;=DATE(2026+10,5,1),F18&lt;=DATE(2027+10,4,30)),(IF(I18="Vacate",TINew*D18,IF(I18="Market",Retention*TIRenewal*D18+(1-Retention)*TINew*D18,IF(I18="LeaseUp",TINew*D18,IF(I18="Option",TIRenewal*D18,0)))))+(IF(I18="Vacate",LCNew*H18*D18*(1+GrowthMarketRent)^10,IF(I18="Market",Retention*LCRenewal*H18*D18*(1+GrowthMarketRent)^10+(1-Retention)*LCNew*H18*D18*(1+GrowthMarketRent)^10,IF(I18="LeaseUp",LCNew*H18*D18*(1+GrowthMarketRent)^10,IF(I18="Option",LCRenewal*H18*D18*(1+GrowthMarketRent)^10,0))))),0))),0)</f>
        <v/>
      </c>
    </row>
    <row r="19">
      <c r="A19" t="inlineStr">
        <is>
          <t>Carrollton</t>
        </is>
      </c>
      <c r="B19" t="inlineStr">
        <is>
          <t>220</t>
        </is>
      </c>
      <c r="C19" t="inlineStr">
        <is>
          <t>Cryofuture Inc.</t>
        </is>
      </c>
      <c r="D19" s="32" t="n">
        <v>3230</v>
      </c>
      <c r="E19" s="33" t="n">
        <v>45383</v>
      </c>
      <c r="F19" s="33" t="n">
        <v>46631</v>
      </c>
      <c r="G19" s="34" t="n">
        <v>15.4965944272446</v>
      </c>
      <c r="H19" s="16">
        <f>VLOOKUP("Carrollton — "&amp;J19,MLA!$A$5:$L$11,3,FALSE)</f>
        <v/>
      </c>
      <c r="I19" s="11" t="inlineStr">
        <is>
          <t>Vacate</t>
        </is>
      </c>
      <c r="J19" t="inlineStr">
        <is>
          <t>Studio</t>
        </is>
      </c>
      <c r="K19" t="inlineStr">
        <is>
          <t>Occupied</t>
        </is>
      </c>
      <c r="L19" t="inlineStr">
        <is>
          <t>Studio; assumed to vacate; Guarantor: Angel Naomi Baker</t>
        </is>
      </c>
      <c r="M19" s="20">
        <f>IF(E19="",0,(AnalysisStart-E19)/365.25)</f>
        <v/>
      </c>
      <c r="N19" s="14">
        <f>IFERROR(IF(I19="LeaseUp",H19*D19*(1+GrowthMarketRent)^0*IF(0=0,(12-DowntimeNew)/12,1),IF(F19="",0,IF(F19&gt;=DATE(2027+0,4,30),G19*D19*(1+EscalatorInLease)^(0+M19),IF(F19&lt;DATE(2026+0,5,1),IF(I19="Vacate",H19*D19*(1+GrowthMarketRent)^0*IF(INT((DATE(2026+0,10,31)-F19)/365.25)=0,(12-DowntimeNew)/12,1),IF(I19="Option",G19*D19*1.025*(1+EscalatorInLease)^0,IF(I19="Market",Retention*G19*D19*(1+EscalatorInLease)^(0+M19)+(1-Retention)*H19*D19*(1+GrowthMarketRent)^0*IF(INT((DATE(2026+0,10,31)-F19)/365.25)=0,(12-DowntimeNew)/12,1),IF(I19="LeaseUp",H19*D19*(1+GrowthMarketRent)^0*IF(0=0,(12-DowntimeNew)/12,1),0)))),((F19-DATE(2026+0,5,1))/365.25)*G19*D19*(1+EscalatorInLease)^(0+M19)+((DATE(2027+0,4,30)-F19)/365.25)*IF(I19="Vacate",H19*D19*(1+GrowthMarketRent)^0*IF(INT((DATE(2026+0,10,31)-F19)/365.25)=0,(12-DowntimeNew)/12,1),IF(I19="Option",G19*D19*1.025*(1+EscalatorInLease)^0,IF(I19="Market",Retention*G19*D19*(1+EscalatorInLease)^(0+M19)+(1-Retention)*H19*D19*(1+GrowthMarketRent)^0*IF(INT((DATE(2026+0,10,31)-F19)/365.25)=0,(12-DowntimeNew)/12,1),IF(I19="LeaseUp",H19*D19*(1+GrowthMarketRent)^0*IF(0=0,(12-DowntimeNew)/12,1),0)))))))),0)</f>
        <v/>
      </c>
      <c r="O19" s="14">
        <f>IFERROR(IF(I19="LeaseUp",H19*D19*(1+GrowthMarketRent)^1*IF(1=0,(12-DowntimeNew)/12,1),IF(F19="",0,IF(F19&gt;=DATE(2027+1,4,30),G19*D19*(1+EscalatorInLease)^(1+M19),IF(F19&lt;DATE(2026+1,5,1),IF(I19="Vacate",H19*D19*(1+GrowthMarketRent)^1*IF(INT((DATE(2026+1,10,31)-F19)/365.25)=0,(12-DowntimeNew)/12,1),IF(I19="Option",G19*D19*1.025*(1+EscalatorInLease)^1,IF(I19="Market",Retention*G19*D19*(1+EscalatorInLease)^(1+M19)+(1-Retention)*H19*D19*(1+GrowthMarketRent)^1*IF(INT((DATE(2026+1,10,31)-F19)/365.25)=0,(12-DowntimeNew)/12,1),IF(I19="LeaseUp",H19*D19*(1+GrowthMarketRent)^1*IF(1=0,(12-DowntimeNew)/12,1),0)))),((F19-DATE(2026+1,5,1))/365.25)*G19*D19*(1+EscalatorInLease)^(1+M19)+((DATE(2027+1,4,30)-F19)/365.25)*IF(I19="Vacate",H19*D19*(1+GrowthMarketRent)^1*IF(INT((DATE(2026+1,10,31)-F19)/365.25)=0,(12-DowntimeNew)/12,1),IF(I19="Option",G19*D19*1.025*(1+EscalatorInLease)^1,IF(I19="Market",Retention*G19*D19*(1+EscalatorInLease)^(1+M19)+(1-Retention)*H19*D19*(1+GrowthMarketRent)^1*IF(INT((DATE(2026+1,10,31)-F19)/365.25)=0,(12-DowntimeNew)/12,1),IF(I19="LeaseUp",H19*D19*(1+GrowthMarketRent)^1*IF(1=0,(12-DowntimeNew)/12,1),0)))))))),0)</f>
        <v/>
      </c>
      <c r="P19" s="14">
        <f>IFERROR(IF(I19="LeaseUp",H19*D19*(1+GrowthMarketRent)^2*IF(2=0,(12-DowntimeNew)/12,1),IF(F19="",0,IF(F19&gt;=DATE(2027+2,4,30),G19*D19*(1+EscalatorInLease)^(2+M19),IF(F19&lt;DATE(2026+2,5,1),IF(I19="Vacate",H19*D19*(1+GrowthMarketRent)^2*IF(INT((DATE(2026+2,10,31)-F19)/365.25)=0,(12-DowntimeNew)/12,1),IF(I19="Option",G19*D19*1.025*(1+EscalatorInLease)^2,IF(I19="Market",Retention*G19*D19*(1+EscalatorInLease)^(2+M19)+(1-Retention)*H19*D19*(1+GrowthMarketRent)^2*IF(INT((DATE(2026+2,10,31)-F19)/365.25)=0,(12-DowntimeNew)/12,1),IF(I19="LeaseUp",H19*D19*(1+GrowthMarketRent)^2*IF(2=0,(12-DowntimeNew)/12,1),0)))),((F19-DATE(2026+2,5,1))/365.25)*G19*D19*(1+EscalatorInLease)^(2+M19)+((DATE(2027+2,4,30)-F19)/365.25)*IF(I19="Vacate",H19*D19*(1+GrowthMarketRent)^2*IF(INT((DATE(2026+2,10,31)-F19)/365.25)=0,(12-DowntimeNew)/12,1),IF(I19="Option",G19*D19*1.025*(1+EscalatorInLease)^2,IF(I19="Market",Retention*G19*D19*(1+EscalatorInLease)^(2+M19)+(1-Retention)*H19*D19*(1+GrowthMarketRent)^2*IF(INT((DATE(2026+2,10,31)-F19)/365.25)=0,(12-DowntimeNew)/12,1),IF(I19="LeaseUp",H19*D19*(1+GrowthMarketRent)^2*IF(2=0,(12-DowntimeNew)/12,1),0)))))))),0)</f>
        <v/>
      </c>
      <c r="Q19" s="14">
        <f>IFERROR(IF(I19="LeaseUp",H19*D19*(1+GrowthMarketRent)^3*IF(3=0,(12-DowntimeNew)/12,1),IF(F19="",0,IF(F19&gt;=DATE(2027+3,4,30),G19*D19*(1+EscalatorInLease)^(3+M19),IF(F19&lt;DATE(2026+3,5,1),IF(I19="Vacate",H19*D19*(1+GrowthMarketRent)^3*IF(INT((DATE(2026+3,10,31)-F19)/365.25)=0,(12-DowntimeNew)/12,1),IF(I19="Option",G19*D19*1.025*(1+EscalatorInLease)^3,IF(I19="Market",Retention*G19*D19*(1+EscalatorInLease)^(3+M19)+(1-Retention)*H19*D19*(1+GrowthMarketRent)^3*IF(INT((DATE(2026+3,10,31)-F19)/365.25)=0,(12-DowntimeNew)/12,1),IF(I19="LeaseUp",H19*D19*(1+GrowthMarketRent)^3*IF(3=0,(12-DowntimeNew)/12,1),0)))),((F19-DATE(2026+3,5,1))/365.25)*G19*D19*(1+EscalatorInLease)^(3+M19)+((DATE(2027+3,4,30)-F19)/365.25)*IF(I19="Vacate",H19*D19*(1+GrowthMarketRent)^3*IF(INT((DATE(2026+3,10,31)-F19)/365.25)=0,(12-DowntimeNew)/12,1),IF(I19="Option",G19*D19*1.025*(1+EscalatorInLease)^3,IF(I19="Market",Retention*G19*D19*(1+EscalatorInLease)^(3+M19)+(1-Retention)*H19*D19*(1+GrowthMarketRent)^3*IF(INT((DATE(2026+3,10,31)-F19)/365.25)=0,(12-DowntimeNew)/12,1),IF(I19="LeaseUp",H19*D19*(1+GrowthMarketRent)^3*IF(3=0,(12-DowntimeNew)/12,1),0)))))))),0)</f>
        <v/>
      </c>
      <c r="R19" s="14">
        <f>IFERROR(IF(I19="LeaseUp",H19*D19*(1+GrowthMarketRent)^4*IF(4=0,(12-DowntimeNew)/12,1),IF(F19="",0,IF(F19&gt;=DATE(2027+4,4,30),G19*D19*(1+EscalatorInLease)^(4+M19),IF(F19&lt;DATE(2026+4,5,1),IF(I19="Vacate",H19*D19*(1+GrowthMarketRent)^4*IF(INT((DATE(2026+4,10,31)-F19)/365.25)=0,(12-DowntimeNew)/12,1),IF(I19="Option",G19*D19*1.025*(1+EscalatorInLease)^4,IF(I19="Market",Retention*G19*D19*(1+EscalatorInLease)^(4+M19)+(1-Retention)*H19*D19*(1+GrowthMarketRent)^4*IF(INT((DATE(2026+4,10,31)-F19)/365.25)=0,(12-DowntimeNew)/12,1),IF(I19="LeaseUp",H19*D19*(1+GrowthMarketRent)^4*IF(4=0,(12-DowntimeNew)/12,1),0)))),((F19-DATE(2026+4,5,1))/365.25)*G19*D19*(1+EscalatorInLease)^(4+M19)+((DATE(2027+4,4,30)-F19)/365.25)*IF(I19="Vacate",H19*D19*(1+GrowthMarketRent)^4*IF(INT((DATE(2026+4,10,31)-F19)/365.25)=0,(12-DowntimeNew)/12,1),IF(I19="Option",G19*D19*1.025*(1+EscalatorInLease)^4,IF(I19="Market",Retention*G19*D19*(1+EscalatorInLease)^(4+M19)+(1-Retention)*H19*D19*(1+GrowthMarketRent)^4*IF(INT((DATE(2026+4,10,31)-F19)/365.25)=0,(12-DowntimeNew)/12,1),IF(I19="LeaseUp",H19*D19*(1+GrowthMarketRent)^4*IF(4=0,(12-DowntimeNew)/12,1),0)))))))),0)</f>
        <v/>
      </c>
      <c r="S19" s="14">
        <f>IFERROR(IF(I19="LeaseUp",H19*D19*(1+GrowthMarketRent)^5*IF(5=0,(12-DowntimeNew)/12,1),IF(F19="",0,IF(F19&gt;=DATE(2027+5,4,30),G19*D19*(1+EscalatorInLease)^(5+M19),IF(F19&lt;DATE(2026+5,5,1),IF(I19="Vacate",H19*D19*(1+GrowthMarketRent)^5*IF(INT((DATE(2026+5,10,31)-F19)/365.25)=0,(12-DowntimeNew)/12,1),IF(I19="Option",G19*D19*1.025*(1+EscalatorInLease)^5,IF(I19="Market",Retention*G19*D19*(1+EscalatorInLease)^(5+M19)+(1-Retention)*H19*D19*(1+GrowthMarketRent)^5*IF(INT((DATE(2026+5,10,31)-F19)/365.25)=0,(12-DowntimeNew)/12,1),IF(I19="LeaseUp",H19*D19*(1+GrowthMarketRent)^5*IF(5=0,(12-DowntimeNew)/12,1),0)))),((F19-DATE(2026+5,5,1))/365.25)*G19*D19*(1+EscalatorInLease)^(5+M19)+((DATE(2027+5,4,30)-F19)/365.25)*IF(I19="Vacate",H19*D19*(1+GrowthMarketRent)^5*IF(INT((DATE(2026+5,10,31)-F19)/365.25)=0,(12-DowntimeNew)/12,1),IF(I19="Option",G19*D19*1.025*(1+EscalatorInLease)^5,IF(I19="Market",Retention*G19*D19*(1+EscalatorInLease)^(5+M19)+(1-Retention)*H19*D19*(1+GrowthMarketRent)^5*IF(INT((DATE(2026+5,10,31)-F19)/365.25)=0,(12-DowntimeNew)/12,1),IF(I19="LeaseUp",H19*D19*(1+GrowthMarketRent)^5*IF(5=0,(12-DowntimeNew)/12,1),0)))))))),0)</f>
        <v/>
      </c>
      <c r="T19" s="14">
        <f>IFERROR(IF(I19="LeaseUp",H19*D19*(1+GrowthMarketRent)^6*IF(6=0,(12-DowntimeNew)/12,1),IF(F19="",0,IF(F19&gt;=DATE(2027+6,4,30),G19*D19*(1+EscalatorInLease)^(6+M19),IF(F19&lt;DATE(2026+6,5,1),IF(I19="Vacate",H19*D19*(1+GrowthMarketRent)^6*IF(INT((DATE(2026+6,10,31)-F19)/365.25)=0,(12-DowntimeNew)/12,1),IF(I19="Option",G19*D19*1.025*(1+EscalatorInLease)^6,IF(I19="Market",Retention*G19*D19*(1+EscalatorInLease)^(6+M19)+(1-Retention)*H19*D19*(1+GrowthMarketRent)^6*IF(INT((DATE(2026+6,10,31)-F19)/365.25)=0,(12-DowntimeNew)/12,1),IF(I19="LeaseUp",H19*D19*(1+GrowthMarketRent)^6*IF(6=0,(12-DowntimeNew)/12,1),0)))),((F19-DATE(2026+6,5,1))/365.25)*G19*D19*(1+EscalatorInLease)^(6+M19)+((DATE(2027+6,4,30)-F19)/365.25)*IF(I19="Vacate",H19*D19*(1+GrowthMarketRent)^6*IF(INT((DATE(2026+6,10,31)-F19)/365.25)=0,(12-DowntimeNew)/12,1),IF(I19="Option",G19*D19*1.025*(1+EscalatorInLease)^6,IF(I19="Market",Retention*G19*D19*(1+EscalatorInLease)^(6+M19)+(1-Retention)*H19*D19*(1+GrowthMarketRent)^6*IF(INT((DATE(2026+6,10,31)-F19)/365.25)=0,(12-DowntimeNew)/12,1),IF(I19="LeaseUp",H19*D19*(1+GrowthMarketRent)^6*IF(6=0,(12-DowntimeNew)/12,1),0)))))))),0)</f>
        <v/>
      </c>
      <c r="U19" s="14">
        <f>IFERROR(IF(I19="LeaseUp",H19*D19*(1+GrowthMarketRent)^7*IF(7=0,(12-DowntimeNew)/12,1),IF(F19="",0,IF(F19&gt;=DATE(2027+7,4,30),G19*D19*(1+EscalatorInLease)^(7+M19),IF(F19&lt;DATE(2026+7,5,1),IF(I19="Vacate",H19*D19*(1+GrowthMarketRent)^7*IF(INT((DATE(2026+7,10,31)-F19)/365.25)=0,(12-DowntimeNew)/12,1),IF(I19="Option",G19*D19*1.025*(1+EscalatorInLease)^7,IF(I19="Market",Retention*G19*D19*(1+EscalatorInLease)^(7+M19)+(1-Retention)*H19*D19*(1+GrowthMarketRent)^7*IF(INT((DATE(2026+7,10,31)-F19)/365.25)=0,(12-DowntimeNew)/12,1),IF(I19="LeaseUp",H19*D19*(1+GrowthMarketRent)^7*IF(7=0,(12-DowntimeNew)/12,1),0)))),((F19-DATE(2026+7,5,1))/365.25)*G19*D19*(1+EscalatorInLease)^(7+M19)+((DATE(2027+7,4,30)-F19)/365.25)*IF(I19="Vacate",H19*D19*(1+GrowthMarketRent)^7*IF(INT((DATE(2026+7,10,31)-F19)/365.25)=0,(12-DowntimeNew)/12,1),IF(I19="Option",G19*D19*1.025*(1+EscalatorInLease)^7,IF(I19="Market",Retention*G19*D19*(1+EscalatorInLease)^(7+M19)+(1-Retention)*H19*D19*(1+GrowthMarketRent)^7*IF(INT((DATE(2026+7,10,31)-F19)/365.25)=0,(12-DowntimeNew)/12,1),IF(I19="LeaseUp",H19*D19*(1+GrowthMarketRent)^7*IF(7=0,(12-DowntimeNew)/12,1),0)))))))),0)</f>
        <v/>
      </c>
      <c r="V19" s="14">
        <f>IFERROR(IF(I19="LeaseUp",H19*D19*(1+GrowthMarketRent)^8*IF(8=0,(12-DowntimeNew)/12,1),IF(F19="",0,IF(F19&gt;=DATE(2027+8,4,30),G19*D19*(1+EscalatorInLease)^(8+M19),IF(F19&lt;DATE(2026+8,5,1),IF(I19="Vacate",H19*D19*(1+GrowthMarketRent)^8*IF(INT((DATE(2026+8,10,31)-F19)/365.25)=0,(12-DowntimeNew)/12,1),IF(I19="Option",G19*D19*1.025*(1+EscalatorInLease)^8,IF(I19="Market",Retention*G19*D19*(1+EscalatorInLease)^(8+M19)+(1-Retention)*H19*D19*(1+GrowthMarketRent)^8*IF(INT((DATE(2026+8,10,31)-F19)/365.25)=0,(12-DowntimeNew)/12,1),IF(I19="LeaseUp",H19*D19*(1+GrowthMarketRent)^8*IF(8=0,(12-DowntimeNew)/12,1),0)))),((F19-DATE(2026+8,5,1))/365.25)*G19*D19*(1+EscalatorInLease)^(8+M19)+((DATE(2027+8,4,30)-F19)/365.25)*IF(I19="Vacate",H19*D19*(1+GrowthMarketRent)^8*IF(INT((DATE(2026+8,10,31)-F19)/365.25)=0,(12-DowntimeNew)/12,1),IF(I19="Option",G19*D19*1.025*(1+EscalatorInLease)^8,IF(I19="Market",Retention*G19*D19*(1+EscalatorInLease)^(8+M19)+(1-Retention)*H19*D19*(1+GrowthMarketRent)^8*IF(INT((DATE(2026+8,10,31)-F19)/365.25)=0,(12-DowntimeNew)/12,1),IF(I19="LeaseUp",H19*D19*(1+GrowthMarketRent)^8*IF(8=0,(12-DowntimeNew)/12,1),0)))))))),0)</f>
        <v/>
      </c>
      <c r="W19" s="14">
        <f>IFERROR(IF(I19="LeaseUp",H19*D19*(1+GrowthMarketRent)^9*IF(9=0,(12-DowntimeNew)/12,1),IF(F19="",0,IF(F19&gt;=DATE(2027+9,4,30),G19*D19*(1+EscalatorInLease)^(9+M19),IF(F19&lt;DATE(2026+9,5,1),IF(I19="Vacate",H19*D19*(1+GrowthMarketRent)^9*IF(INT((DATE(2026+9,10,31)-F19)/365.25)=0,(12-DowntimeNew)/12,1),IF(I19="Option",G19*D19*1.025*(1+EscalatorInLease)^9,IF(I19="Market",Retention*G19*D19*(1+EscalatorInLease)^(9+M19)+(1-Retention)*H19*D19*(1+GrowthMarketRent)^9*IF(INT((DATE(2026+9,10,31)-F19)/365.25)=0,(12-DowntimeNew)/12,1),IF(I19="LeaseUp",H19*D19*(1+GrowthMarketRent)^9*IF(9=0,(12-DowntimeNew)/12,1),0)))),((F19-DATE(2026+9,5,1))/365.25)*G19*D19*(1+EscalatorInLease)^(9+M19)+((DATE(2027+9,4,30)-F19)/365.25)*IF(I19="Vacate",H19*D19*(1+GrowthMarketRent)^9*IF(INT((DATE(2026+9,10,31)-F19)/365.25)=0,(12-DowntimeNew)/12,1),IF(I19="Option",G19*D19*1.025*(1+EscalatorInLease)^9,IF(I19="Market",Retention*G19*D19*(1+EscalatorInLease)^(9+M19)+(1-Retention)*H19*D19*(1+GrowthMarketRent)^9*IF(INT((DATE(2026+9,10,31)-F19)/365.25)=0,(12-DowntimeNew)/12,1),IF(I19="LeaseUp",H19*D19*(1+GrowthMarketRent)^9*IF(9=0,(12-DowntimeNew)/12,1),0)))))))),0)</f>
        <v/>
      </c>
      <c r="X19" s="14">
        <f>IFERROR(IF(I19="LeaseUp",H19*D19*(1+GrowthMarketRent)^10*IF(10=0,(12-DowntimeNew)/12,1),IF(F19="",0,IF(F19&gt;=DATE(2027+10,4,30),G19*D19*(1+EscalatorInLease)^(10+M19),IF(F19&lt;DATE(2026+10,5,1),IF(I19="Vacate",H19*D19*(1+GrowthMarketRent)^10*IF(INT((DATE(2026+10,10,31)-F19)/365.25)=0,(12-DowntimeNew)/12,1),IF(I19="Option",G19*D19*1.025*(1+EscalatorInLease)^10,IF(I19="Market",Retention*G19*D19*(1+EscalatorInLease)^(10+M19)+(1-Retention)*H19*D19*(1+GrowthMarketRent)^10*IF(INT((DATE(2026+10,10,31)-F19)/365.25)=0,(12-DowntimeNew)/12,1),IF(I19="LeaseUp",H19*D19*(1+GrowthMarketRent)^10*IF(10=0,(12-DowntimeNew)/12,1),0)))),((F19-DATE(2026+10,5,1))/365.25)*G19*D19*(1+EscalatorInLease)^(10+M19)+((DATE(2027+10,4,30)-F19)/365.25)*IF(I19="Vacate",H19*D19*(1+GrowthMarketRent)^10*IF(INT((DATE(2026+10,10,31)-F19)/365.25)=0,(12-DowntimeNew)/12,1),IF(I19="Option",G19*D19*1.025*(1+EscalatorInLease)^10,IF(I19="Market",Retention*G19*D19*(1+EscalatorInLease)^(10+M19)+(1-Retention)*H19*D19*(1+GrowthMarketRent)^10*IF(INT((DATE(2026+10,10,31)-F19)/365.25)=0,(12-DowntimeNew)/12,1),IF(I19="LeaseUp",H19*D19*(1+GrowthMarketRent)^10*IF(10=0,(12-DowntimeNew)/12,1),0)))))))),0)</f>
        <v/>
      </c>
      <c r="Y19" s="14">
        <f>IFERROR(IF(AND(I19="LeaseUp",0=0),(IF(I19="Vacate",TINew*D19,IF(I19="Market",Retention*TIRenewal*D19+(1-Retention)*TINew*D19,IF(I19="LeaseUp",TINew*D19,IF(I19="Option",TIRenewal*D19,0)))))+(IF(I19="Vacate",LCNew*H19*D19*(1+GrowthMarketRent)^0,IF(I19="Market",Retention*LCRenewal*H19*D19*(1+GrowthMarketRent)^0+(1-Retention)*LCNew*H19*D19*(1+GrowthMarketRent)^0,IF(I19="LeaseUp",LCNew*H19*D19*(1+GrowthMarketRent)^0,IF(I19="Option",LCRenewal*H19*D19*(1+GrowthMarketRent)^0,0))))),IF(F19="",0,IF(AND(F19&gt;=DATE(2026+0,5,1),F19&lt;=DATE(2027+0,4,30)),(IF(I19="Vacate",TINew*D19,IF(I19="Market",Retention*TIRenewal*D19+(1-Retention)*TINew*D19,IF(I19="LeaseUp",TINew*D19,IF(I19="Option",TIRenewal*D19,0)))))+(IF(I19="Vacate",LCNew*H19*D19*(1+GrowthMarketRent)^0,IF(I19="Market",Retention*LCRenewal*H19*D19*(1+GrowthMarketRent)^0+(1-Retention)*LCNew*H19*D19*(1+GrowthMarketRent)^0,IF(I19="LeaseUp",LCNew*H19*D19*(1+GrowthMarketRent)^0,IF(I19="Option",LCRenewal*H19*D19*(1+GrowthMarketRent)^0,0))))),0))),0)</f>
        <v/>
      </c>
      <c r="Z19" s="14">
        <f>IFERROR(IF(AND(I19="LeaseUp",1=0),(IF(I19="Vacate",TINew*D19,IF(I19="Market",Retention*TIRenewal*D19+(1-Retention)*TINew*D19,IF(I19="LeaseUp",TINew*D19,IF(I19="Option",TIRenewal*D19,0)))))+(IF(I19="Vacate",LCNew*H19*D19*(1+GrowthMarketRent)^1,IF(I19="Market",Retention*LCRenewal*H19*D19*(1+GrowthMarketRent)^1+(1-Retention)*LCNew*H19*D19*(1+GrowthMarketRent)^1,IF(I19="LeaseUp",LCNew*H19*D19*(1+GrowthMarketRent)^1,IF(I19="Option",LCRenewal*H19*D19*(1+GrowthMarketRent)^1,0))))),IF(F19="",0,IF(AND(F19&gt;=DATE(2026+1,5,1),F19&lt;=DATE(2027+1,4,30)),(IF(I19="Vacate",TINew*D19,IF(I19="Market",Retention*TIRenewal*D19+(1-Retention)*TINew*D19,IF(I19="LeaseUp",TINew*D19,IF(I19="Option",TIRenewal*D19,0)))))+(IF(I19="Vacate",LCNew*H19*D19*(1+GrowthMarketRent)^1,IF(I19="Market",Retention*LCRenewal*H19*D19*(1+GrowthMarketRent)^1+(1-Retention)*LCNew*H19*D19*(1+GrowthMarketRent)^1,IF(I19="LeaseUp",LCNew*H19*D19*(1+GrowthMarketRent)^1,IF(I19="Option",LCRenewal*H19*D19*(1+GrowthMarketRent)^1,0))))),0))),0)</f>
        <v/>
      </c>
      <c r="AA19" s="14">
        <f>IFERROR(IF(AND(I19="LeaseUp",2=0),(IF(I19="Vacate",TINew*D19,IF(I19="Market",Retention*TIRenewal*D19+(1-Retention)*TINew*D19,IF(I19="LeaseUp",TINew*D19,IF(I19="Option",TIRenewal*D19,0)))))+(IF(I19="Vacate",LCNew*H19*D19*(1+GrowthMarketRent)^2,IF(I19="Market",Retention*LCRenewal*H19*D19*(1+GrowthMarketRent)^2+(1-Retention)*LCNew*H19*D19*(1+GrowthMarketRent)^2,IF(I19="LeaseUp",LCNew*H19*D19*(1+GrowthMarketRent)^2,IF(I19="Option",LCRenewal*H19*D19*(1+GrowthMarketRent)^2,0))))),IF(F19="",0,IF(AND(F19&gt;=DATE(2026+2,5,1),F19&lt;=DATE(2027+2,4,30)),(IF(I19="Vacate",TINew*D19,IF(I19="Market",Retention*TIRenewal*D19+(1-Retention)*TINew*D19,IF(I19="LeaseUp",TINew*D19,IF(I19="Option",TIRenewal*D19,0)))))+(IF(I19="Vacate",LCNew*H19*D19*(1+GrowthMarketRent)^2,IF(I19="Market",Retention*LCRenewal*H19*D19*(1+GrowthMarketRent)^2+(1-Retention)*LCNew*H19*D19*(1+GrowthMarketRent)^2,IF(I19="LeaseUp",LCNew*H19*D19*(1+GrowthMarketRent)^2,IF(I19="Option",LCRenewal*H19*D19*(1+GrowthMarketRent)^2,0))))),0))),0)</f>
        <v/>
      </c>
      <c r="AB19" s="14">
        <f>IFERROR(IF(AND(I19="LeaseUp",3=0),(IF(I19="Vacate",TINew*D19,IF(I19="Market",Retention*TIRenewal*D19+(1-Retention)*TINew*D19,IF(I19="LeaseUp",TINew*D19,IF(I19="Option",TIRenewal*D19,0)))))+(IF(I19="Vacate",LCNew*H19*D19*(1+GrowthMarketRent)^3,IF(I19="Market",Retention*LCRenewal*H19*D19*(1+GrowthMarketRent)^3+(1-Retention)*LCNew*H19*D19*(1+GrowthMarketRent)^3,IF(I19="LeaseUp",LCNew*H19*D19*(1+GrowthMarketRent)^3,IF(I19="Option",LCRenewal*H19*D19*(1+GrowthMarketRent)^3,0))))),IF(F19="",0,IF(AND(F19&gt;=DATE(2026+3,5,1),F19&lt;=DATE(2027+3,4,30)),(IF(I19="Vacate",TINew*D19,IF(I19="Market",Retention*TIRenewal*D19+(1-Retention)*TINew*D19,IF(I19="LeaseUp",TINew*D19,IF(I19="Option",TIRenewal*D19,0)))))+(IF(I19="Vacate",LCNew*H19*D19*(1+GrowthMarketRent)^3,IF(I19="Market",Retention*LCRenewal*H19*D19*(1+GrowthMarketRent)^3+(1-Retention)*LCNew*H19*D19*(1+GrowthMarketRent)^3,IF(I19="LeaseUp",LCNew*H19*D19*(1+GrowthMarketRent)^3,IF(I19="Option",LCRenewal*H19*D19*(1+GrowthMarketRent)^3,0))))),0))),0)</f>
        <v/>
      </c>
      <c r="AC19" s="14">
        <f>IFERROR(IF(AND(I19="LeaseUp",4=0),(IF(I19="Vacate",TINew*D19,IF(I19="Market",Retention*TIRenewal*D19+(1-Retention)*TINew*D19,IF(I19="LeaseUp",TINew*D19,IF(I19="Option",TIRenewal*D19,0)))))+(IF(I19="Vacate",LCNew*H19*D19*(1+GrowthMarketRent)^4,IF(I19="Market",Retention*LCRenewal*H19*D19*(1+GrowthMarketRent)^4+(1-Retention)*LCNew*H19*D19*(1+GrowthMarketRent)^4,IF(I19="LeaseUp",LCNew*H19*D19*(1+GrowthMarketRent)^4,IF(I19="Option",LCRenewal*H19*D19*(1+GrowthMarketRent)^4,0))))),IF(F19="",0,IF(AND(F19&gt;=DATE(2026+4,5,1),F19&lt;=DATE(2027+4,4,30)),(IF(I19="Vacate",TINew*D19,IF(I19="Market",Retention*TIRenewal*D19+(1-Retention)*TINew*D19,IF(I19="LeaseUp",TINew*D19,IF(I19="Option",TIRenewal*D19,0)))))+(IF(I19="Vacate",LCNew*H19*D19*(1+GrowthMarketRent)^4,IF(I19="Market",Retention*LCRenewal*H19*D19*(1+GrowthMarketRent)^4+(1-Retention)*LCNew*H19*D19*(1+GrowthMarketRent)^4,IF(I19="LeaseUp",LCNew*H19*D19*(1+GrowthMarketRent)^4,IF(I19="Option",LCRenewal*H19*D19*(1+GrowthMarketRent)^4,0))))),0))),0)</f>
        <v/>
      </c>
      <c r="AD19" s="14">
        <f>IFERROR(IF(AND(I19="LeaseUp",5=0),(IF(I19="Vacate",TINew*D19,IF(I19="Market",Retention*TIRenewal*D19+(1-Retention)*TINew*D19,IF(I19="LeaseUp",TINew*D19,IF(I19="Option",TIRenewal*D19,0)))))+(IF(I19="Vacate",LCNew*H19*D19*(1+GrowthMarketRent)^5,IF(I19="Market",Retention*LCRenewal*H19*D19*(1+GrowthMarketRent)^5+(1-Retention)*LCNew*H19*D19*(1+GrowthMarketRent)^5,IF(I19="LeaseUp",LCNew*H19*D19*(1+GrowthMarketRent)^5,IF(I19="Option",LCRenewal*H19*D19*(1+GrowthMarketRent)^5,0))))),IF(F19="",0,IF(AND(F19&gt;=DATE(2026+5,5,1),F19&lt;=DATE(2027+5,4,30)),(IF(I19="Vacate",TINew*D19,IF(I19="Market",Retention*TIRenewal*D19+(1-Retention)*TINew*D19,IF(I19="LeaseUp",TINew*D19,IF(I19="Option",TIRenewal*D19,0)))))+(IF(I19="Vacate",LCNew*H19*D19*(1+GrowthMarketRent)^5,IF(I19="Market",Retention*LCRenewal*H19*D19*(1+GrowthMarketRent)^5+(1-Retention)*LCNew*H19*D19*(1+GrowthMarketRent)^5,IF(I19="LeaseUp",LCNew*H19*D19*(1+GrowthMarketRent)^5,IF(I19="Option",LCRenewal*H19*D19*(1+GrowthMarketRent)^5,0))))),0))),0)</f>
        <v/>
      </c>
      <c r="AE19" s="14">
        <f>IFERROR(IF(AND(I19="LeaseUp",6=0),(IF(I19="Vacate",TINew*D19,IF(I19="Market",Retention*TIRenewal*D19+(1-Retention)*TINew*D19,IF(I19="LeaseUp",TINew*D19,IF(I19="Option",TIRenewal*D19,0)))))+(IF(I19="Vacate",LCNew*H19*D19*(1+GrowthMarketRent)^6,IF(I19="Market",Retention*LCRenewal*H19*D19*(1+GrowthMarketRent)^6+(1-Retention)*LCNew*H19*D19*(1+GrowthMarketRent)^6,IF(I19="LeaseUp",LCNew*H19*D19*(1+GrowthMarketRent)^6,IF(I19="Option",LCRenewal*H19*D19*(1+GrowthMarketRent)^6,0))))),IF(F19="",0,IF(AND(F19&gt;=DATE(2026+6,5,1),F19&lt;=DATE(2027+6,4,30)),(IF(I19="Vacate",TINew*D19,IF(I19="Market",Retention*TIRenewal*D19+(1-Retention)*TINew*D19,IF(I19="LeaseUp",TINew*D19,IF(I19="Option",TIRenewal*D19,0)))))+(IF(I19="Vacate",LCNew*H19*D19*(1+GrowthMarketRent)^6,IF(I19="Market",Retention*LCRenewal*H19*D19*(1+GrowthMarketRent)^6+(1-Retention)*LCNew*H19*D19*(1+GrowthMarketRent)^6,IF(I19="LeaseUp",LCNew*H19*D19*(1+GrowthMarketRent)^6,IF(I19="Option",LCRenewal*H19*D19*(1+GrowthMarketRent)^6,0))))),0))),0)</f>
        <v/>
      </c>
      <c r="AF19" s="14">
        <f>IFERROR(IF(AND(I19="LeaseUp",7=0),(IF(I19="Vacate",TINew*D19,IF(I19="Market",Retention*TIRenewal*D19+(1-Retention)*TINew*D19,IF(I19="LeaseUp",TINew*D19,IF(I19="Option",TIRenewal*D19,0)))))+(IF(I19="Vacate",LCNew*H19*D19*(1+GrowthMarketRent)^7,IF(I19="Market",Retention*LCRenewal*H19*D19*(1+GrowthMarketRent)^7+(1-Retention)*LCNew*H19*D19*(1+GrowthMarketRent)^7,IF(I19="LeaseUp",LCNew*H19*D19*(1+GrowthMarketRent)^7,IF(I19="Option",LCRenewal*H19*D19*(1+GrowthMarketRent)^7,0))))),IF(F19="",0,IF(AND(F19&gt;=DATE(2026+7,5,1),F19&lt;=DATE(2027+7,4,30)),(IF(I19="Vacate",TINew*D19,IF(I19="Market",Retention*TIRenewal*D19+(1-Retention)*TINew*D19,IF(I19="LeaseUp",TINew*D19,IF(I19="Option",TIRenewal*D19,0)))))+(IF(I19="Vacate",LCNew*H19*D19*(1+GrowthMarketRent)^7,IF(I19="Market",Retention*LCRenewal*H19*D19*(1+GrowthMarketRent)^7+(1-Retention)*LCNew*H19*D19*(1+GrowthMarketRent)^7,IF(I19="LeaseUp",LCNew*H19*D19*(1+GrowthMarketRent)^7,IF(I19="Option",LCRenewal*H19*D19*(1+GrowthMarketRent)^7,0))))),0))),0)</f>
        <v/>
      </c>
      <c r="AG19" s="14">
        <f>IFERROR(IF(AND(I19="LeaseUp",8=0),(IF(I19="Vacate",TINew*D19,IF(I19="Market",Retention*TIRenewal*D19+(1-Retention)*TINew*D19,IF(I19="LeaseUp",TINew*D19,IF(I19="Option",TIRenewal*D19,0)))))+(IF(I19="Vacate",LCNew*H19*D19*(1+GrowthMarketRent)^8,IF(I19="Market",Retention*LCRenewal*H19*D19*(1+GrowthMarketRent)^8+(1-Retention)*LCNew*H19*D19*(1+GrowthMarketRent)^8,IF(I19="LeaseUp",LCNew*H19*D19*(1+GrowthMarketRent)^8,IF(I19="Option",LCRenewal*H19*D19*(1+GrowthMarketRent)^8,0))))),IF(F19="",0,IF(AND(F19&gt;=DATE(2026+8,5,1),F19&lt;=DATE(2027+8,4,30)),(IF(I19="Vacate",TINew*D19,IF(I19="Market",Retention*TIRenewal*D19+(1-Retention)*TINew*D19,IF(I19="LeaseUp",TINew*D19,IF(I19="Option",TIRenewal*D19,0)))))+(IF(I19="Vacate",LCNew*H19*D19*(1+GrowthMarketRent)^8,IF(I19="Market",Retention*LCRenewal*H19*D19*(1+GrowthMarketRent)^8+(1-Retention)*LCNew*H19*D19*(1+GrowthMarketRent)^8,IF(I19="LeaseUp",LCNew*H19*D19*(1+GrowthMarketRent)^8,IF(I19="Option",LCRenewal*H19*D19*(1+GrowthMarketRent)^8,0))))),0))),0)</f>
        <v/>
      </c>
      <c r="AH19" s="14">
        <f>IFERROR(IF(AND(I19="LeaseUp",9=0),(IF(I19="Vacate",TINew*D19,IF(I19="Market",Retention*TIRenewal*D19+(1-Retention)*TINew*D19,IF(I19="LeaseUp",TINew*D19,IF(I19="Option",TIRenewal*D19,0)))))+(IF(I19="Vacate",LCNew*H19*D19*(1+GrowthMarketRent)^9,IF(I19="Market",Retention*LCRenewal*H19*D19*(1+GrowthMarketRent)^9+(1-Retention)*LCNew*H19*D19*(1+GrowthMarketRent)^9,IF(I19="LeaseUp",LCNew*H19*D19*(1+GrowthMarketRent)^9,IF(I19="Option",LCRenewal*H19*D19*(1+GrowthMarketRent)^9,0))))),IF(F19="",0,IF(AND(F19&gt;=DATE(2026+9,5,1),F19&lt;=DATE(2027+9,4,30)),(IF(I19="Vacate",TINew*D19,IF(I19="Market",Retention*TIRenewal*D19+(1-Retention)*TINew*D19,IF(I19="LeaseUp",TINew*D19,IF(I19="Option",TIRenewal*D19,0)))))+(IF(I19="Vacate",LCNew*H19*D19*(1+GrowthMarketRent)^9,IF(I19="Market",Retention*LCRenewal*H19*D19*(1+GrowthMarketRent)^9+(1-Retention)*LCNew*H19*D19*(1+GrowthMarketRent)^9,IF(I19="LeaseUp",LCNew*H19*D19*(1+GrowthMarketRent)^9,IF(I19="Option",LCRenewal*H19*D19*(1+GrowthMarketRent)^9,0))))),0))),0)</f>
        <v/>
      </c>
      <c r="AI19" s="14">
        <f>IFERROR(IF(AND(I19="LeaseUp",10=0),(IF(I19="Vacate",TINew*D19,IF(I19="Market",Retention*TIRenewal*D19+(1-Retention)*TINew*D19,IF(I19="LeaseUp",TINew*D19,IF(I19="Option",TIRenewal*D19,0)))))+(IF(I19="Vacate",LCNew*H19*D19*(1+GrowthMarketRent)^10,IF(I19="Market",Retention*LCRenewal*H19*D19*(1+GrowthMarketRent)^10+(1-Retention)*LCNew*H19*D19*(1+GrowthMarketRent)^10,IF(I19="LeaseUp",LCNew*H19*D19*(1+GrowthMarketRent)^10,IF(I19="Option",LCRenewal*H19*D19*(1+GrowthMarketRent)^10,0))))),IF(F19="",0,IF(AND(F19&gt;=DATE(2026+10,5,1),F19&lt;=DATE(2027+10,4,30)),(IF(I19="Vacate",TINew*D19,IF(I19="Market",Retention*TIRenewal*D19+(1-Retention)*TINew*D19,IF(I19="LeaseUp",TINew*D19,IF(I19="Option",TIRenewal*D19,0)))))+(IF(I19="Vacate",LCNew*H19*D19*(1+GrowthMarketRent)^10,IF(I19="Market",Retention*LCRenewal*H19*D19*(1+GrowthMarketRent)^10+(1-Retention)*LCNew*H19*D19*(1+GrowthMarketRent)^10,IF(I19="LeaseUp",LCNew*H19*D19*(1+GrowthMarketRent)^10,IF(I19="Option",LCRenewal*H19*D19*(1+GrowthMarketRent)^10,0))))),0))),0)</f>
        <v/>
      </c>
    </row>
    <row r="20">
      <c r="A20" t="inlineStr">
        <is>
          <t>Carrollton</t>
        </is>
      </c>
      <c r="B20" t="inlineStr">
        <is>
          <t>228</t>
        </is>
      </c>
      <c r="C20" t="inlineStr">
        <is>
          <t>MD Management Holdings LLC</t>
        </is>
      </c>
      <c r="D20" s="32" t="n">
        <v>1870</v>
      </c>
      <c r="E20" s="33" t="n">
        <v>45870</v>
      </c>
      <c r="F20" s="33" t="n">
        <v>46569</v>
      </c>
      <c r="G20" s="34" t="n">
        <v>14</v>
      </c>
      <c r="H20" s="16">
        <f>VLOOKUP("Carrollton — "&amp;J20,MLA!$A$5:$L$11,3,FALSE)</f>
        <v/>
      </c>
      <c r="I20" s="11" t="inlineStr">
        <is>
          <t>Market</t>
        </is>
      </c>
      <c r="J20" t="inlineStr">
        <is>
          <t>Studio</t>
        </is>
      </c>
      <c r="K20" t="inlineStr">
        <is>
          <t>Occupied</t>
        </is>
      </c>
      <c r="L20" t="inlineStr">
        <is>
          <t>Studio; Guarantor: Micah Driver</t>
        </is>
      </c>
      <c r="M20" s="20">
        <f>IF(E20="",0,(AnalysisStart-E20)/365.25)</f>
        <v/>
      </c>
      <c r="N20" s="14">
        <f>IFERROR(IF(I20="LeaseUp",H20*D20*(1+GrowthMarketRent)^0*IF(0=0,(12-DowntimeNew)/12,1),IF(F20="",0,IF(F20&gt;=DATE(2027+0,4,30),G20*D20*(1+EscalatorInLease)^(0+M20),IF(F20&lt;DATE(2026+0,5,1),IF(I20="Vacate",H20*D20*(1+GrowthMarketRent)^0*IF(INT((DATE(2026+0,10,31)-F20)/365.25)=0,(12-DowntimeNew)/12,1),IF(I20="Option",G20*D20*1.025*(1+EscalatorInLease)^0,IF(I20="Market",Retention*G20*D20*(1+EscalatorInLease)^(0+M20)+(1-Retention)*H20*D20*(1+GrowthMarketRent)^0*IF(INT((DATE(2026+0,10,31)-F20)/365.25)=0,(12-DowntimeNew)/12,1),IF(I20="LeaseUp",H20*D20*(1+GrowthMarketRent)^0*IF(0=0,(12-DowntimeNew)/12,1),0)))),((F20-DATE(2026+0,5,1))/365.25)*G20*D20*(1+EscalatorInLease)^(0+M20)+((DATE(2027+0,4,30)-F20)/365.25)*IF(I20="Vacate",H20*D20*(1+GrowthMarketRent)^0*IF(INT((DATE(2026+0,10,31)-F20)/365.25)=0,(12-DowntimeNew)/12,1),IF(I20="Option",G20*D20*1.025*(1+EscalatorInLease)^0,IF(I20="Market",Retention*G20*D20*(1+EscalatorInLease)^(0+M20)+(1-Retention)*H20*D20*(1+GrowthMarketRent)^0*IF(INT((DATE(2026+0,10,31)-F20)/365.25)=0,(12-DowntimeNew)/12,1),IF(I20="LeaseUp",H20*D20*(1+GrowthMarketRent)^0*IF(0=0,(12-DowntimeNew)/12,1),0)))))))),0)</f>
        <v/>
      </c>
      <c r="O20" s="14">
        <f>IFERROR(IF(I20="LeaseUp",H20*D20*(1+GrowthMarketRent)^1*IF(1=0,(12-DowntimeNew)/12,1),IF(F20="",0,IF(F20&gt;=DATE(2027+1,4,30),G20*D20*(1+EscalatorInLease)^(1+M20),IF(F20&lt;DATE(2026+1,5,1),IF(I20="Vacate",H20*D20*(1+GrowthMarketRent)^1*IF(INT((DATE(2026+1,10,31)-F20)/365.25)=0,(12-DowntimeNew)/12,1),IF(I20="Option",G20*D20*1.025*(1+EscalatorInLease)^1,IF(I20="Market",Retention*G20*D20*(1+EscalatorInLease)^(1+M20)+(1-Retention)*H20*D20*(1+GrowthMarketRent)^1*IF(INT((DATE(2026+1,10,31)-F20)/365.25)=0,(12-DowntimeNew)/12,1),IF(I20="LeaseUp",H20*D20*(1+GrowthMarketRent)^1*IF(1=0,(12-DowntimeNew)/12,1),0)))),((F20-DATE(2026+1,5,1))/365.25)*G20*D20*(1+EscalatorInLease)^(1+M20)+((DATE(2027+1,4,30)-F20)/365.25)*IF(I20="Vacate",H20*D20*(1+GrowthMarketRent)^1*IF(INT((DATE(2026+1,10,31)-F20)/365.25)=0,(12-DowntimeNew)/12,1),IF(I20="Option",G20*D20*1.025*(1+EscalatorInLease)^1,IF(I20="Market",Retention*G20*D20*(1+EscalatorInLease)^(1+M20)+(1-Retention)*H20*D20*(1+GrowthMarketRent)^1*IF(INT((DATE(2026+1,10,31)-F20)/365.25)=0,(12-DowntimeNew)/12,1),IF(I20="LeaseUp",H20*D20*(1+GrowthMarketRent)^1*IF(1=0,(12-DowntimeNew)/12,1),0)))))))),0)</f>
        <v/>
      </c>
      <c r="P20" s="14">
        <f>IFERROR(IF(I20="LeaseUp",H20*D20*(1+GrowthMarketRent)^2*IF(2=0,(12-DowntimeNew)/12,1),IF(F20="",0,IF(F20&gt;=DATE(2027+2,4,30),G20*D20*(1+EscalatorInLease)^(2+M20),IF(F20&lt;DATE(2026+2,5,1),IF(I20="Vacate",H20*D20*(1+GrowthMarketRent)^2*IF(INT((DATE(2026+2,10,31)-F20)/365.25)=0,(12-DowntimeNew)/12,1),IF(I20="Option",G20*D20*1.025*(1+EscalatorInLease)^2,IF(I20="Market",Retention*G20*D20*(1+EscalatorInLease)^(2+M20)+(1-Retention)*H20*D20*(1+GrowthMarketRent)^2*IF(INT((DATE(2026+2,10,31)-F20)/365.25)=0,(12-DowntimeNew)/12,1),IF(I20="LeaseUp",H20*D20*(1+GrowthMarketRent)^2*IF(2=0,(12-DowntimeNew)/12,1),0)))),((F20-DATE(2026+2,5,1))/365.25)*G20*D20*(1+EscalatorInLease)^(2+M20)+((DATE(2027+2,4,30)-F20)/365.25)*IF(I20="Vacate",H20*D20*(1+GrowthMarketRent)^2*IF(INT((DATE(2026+2,10,31)-F20)/365.25)=0,(12-DowntimeNew)/12,1),IF(I20="Option",G20*D20*1.025*(1+EscalatorInLease)^2,IF(I20="Market",Retention*G20*D20*(1+EscalatorInLease)^(2+M20)+(1-Retention)*H20*D20*(1+GrowthMarketRent)^2*IF(INT((DATE(2026+2,10,31)-F20)/365.25)=0,(12-DowntimeNew)/12,1),IF(I20="LeaseUp",H20*D20*(1+GrowthMarketRent)^2*IF(2=0,(12-DowntimeNew)/12,1),0)))))))),0)</f>
        <v/>
      </c>
      <c r="Q20" s="14">
        <f>IFERROR(IF(I20="LeaseUp",H20*D20*(1+GrowthMarketRent)^3*IF(3=0,(12-DowntimeNew)/12,1),IF(F20="",0,IF(F20&gt;=DATE(2027+3,4,30),G20*D20*(1+EscalatorInLease)^(3+M20),IF(F20&lt;DATE(2026+3,5,1),IF(I20="Vacate",H20*D20*(1+GrowthMarketRent)^3*IF(INT((DATE(2026+3,10,31)-F20)/365.25)=0,(12-DowntimeNew)/12,1),IF(I20="Option",G20*D20*1.025*(1+EscalatorInLease)^3,IF(I20="Market",Retention*G20*D20*(1+EscalatorInLease)^(3+M20)+(1-Retention)*H20*D20*(1+GrowthMarketRent)^3*IF(INT((DATE(2026+3,10,31)-F20)/365.25)=0,(12-DowntimeNew)/12,1),IF(I20="LeaseUp",H20*D20*(1+GrowthMarketRent)^3*IF(3=0,(12-DowntimeNew)/12,1),0)))),((F20-DATE(2026+3,5,1))/365.25)*G20*D20*(1+EscalatorInLease)^(3+M20)+((DATE(2027+3,4,30)-F20)/365.25)*IF(I20="Vacate",H20*D20*(1+GrowthMarketRent)^3*IF(INT((DATE(2026+3,10,31)-F20)/365.25)=0,(12-DowntimeNew)/12,1),IF(I20="Option",G20*D20*1.025*(1+EscalatorInLease)^3,IF(I20="Market",Retention*G20*D20*(1+EscalatorInLease)^(3+M20)+(1-Retention)*H20*D20*(1+GrowthMarketRent)^3*IF(INT((DATE(2026+3,10,31)-F20)/365.25)=0,(12-DowntimeNew)/12,1),IF(I20="LeaseUp",H20*D20*(1+GrowthMarketRent)^3*IF(3=0,(12-DowntimeNew)/12,1),0)))))))),0)</f>
        <v/>
      </c>
      <c r="R20" s="14">
        <f>IFERROR(IF(I20="LeaseUp",H20*D20*(1+GrowthMarketRent)^4*IF(4=0,(12-DowntimeNew)/12,1),IF(F20="",0,IF(F20&gt;=DATE(2027+4,4,30),G20*D20*(1+EscalatorInLease)^(4+M20),IF(F20&lt;DATE(2026+4,5,1),IF(I20="Vacate",H20*D20*(1+GrowthMarketRent)^4*IF(INT((DATE(2026+4,10,31)-F20)/365.25)=0,(12-DowntimeNew)/12,1),IF(I20="Option",G20*D20*1.025*(1+EscalatorInLease)^4,IF(I20="Market",Retention*G20*D20*(1+EscalatorInLease)^(4+M20)+(1-Retention)*H20*D20*(1+GrowthMarketRent)^4*IF(INT((DATE(2026+4,10,31)-F20)/365.25)=0,(12-DowntimeNew)/12,1),IF(I20="LeaseUp",H20*D20*(1+GrowthMarketRent)^4*IF(4=0,(12-DowntimeNew)/12,1),0)))),((F20-DATE(2026+4,5,1))/365.25)*G20*D20*(1+EscalatorInLease)^(4+M20)+((DATE(2027+4,4,30)-F20)/365.25)*IF(I20="Vacate",H20*D20*(1+GrowthMarketRent)^4*IF(INT((DATE(2026+4,10,31)-F20)/365.25)=0,(12-DowntimeNew)/12,1),IF(I20="Option",G20*D20*1.025*(1+EscalatorInLease)^4,IF(I20="Market",Retention*G20*D20*(1+EscalatorInLease)^(4+M20)+(1-Retention)*H20*D20*(1+GrowthMarketRent)^4*IF(INT((DATE(2026+4,10,31)-F20)/365.25)=0,(12-DowntimeNew)/12,1),IF(I20="LeaseUp",H20*D20*(1+GrowthMarketRent)^4*IF(4=0,(12-DowntimeNew)/12,1),0)))))))),0)</f>
        <v/>
      </c>
      <c r="S20" s="14">
        <f>IFERROR(IF(I20="LeaseUp",H20*D20*(1+GrowthMarketRent)^5*IF(5=0,(12-DowntimeNew)/12,1),IF(F20="",0,IF(F20&gt;=DATE(2027+5,4,30),G20*D20*(1+EscalatorInLease)^(5+M20),IF(F20&lt;DATE(2026+5,5,1),IF(I20="Vacate",H20*D20*(1+GrowthMarketRent)^5*IF(INT((DATE(2026+5,10,31)-F20)/365.25)=0,(12-DowntimeNew)/12,1),IF(I20="Option",G20*D20*1.025*(1+EscalatorInLease)^5,IF(I20="Market",Retention*G20*D20*(1+EscalatorInLease)^(5+M20)+(1-Retention)*H20*D20*(1+GrowthMarketRent)^5*IF(INT((DATE(2026+5,10,31)-F20)/365.25)=0,(12-DowntimeNew)/12,1),IF(I20="LeaseUp",H20*D20*(1+GrowthMarketRent)^5*IF(5=0,(12-DowntimeNew)/12,1),0)))),((F20-DATE(2026+5,5,1))/365.25)*G20*D20*(1+EscalatorInLease)^(5+M20)+((DATE(2027+5,4,30)-F20)/365.25)*IF(I20="Vacate",H20*D20*(1+GrowthMarketRent)^5*IF(INT((DATE(2026+5,10,31)-F20)/365.25)=0,(12-DowntimeNew)/12,1),IF(I20="Option",G20*D20*1.025*(1+EscalatorInLease)^5,IF(I20="Market",Retention*G20*D20*(1+EscalatorInLease)^(5+M20)+(1-Retention)*H20*D20*(1+GrowthMarketRent)^5*IF(INT((DATE(2026+5,10,31)-F20)/365.25)=0,(12-DowntimeNew)/12,1),IF(I20="LeaseUp",H20*D20*(1+GrowthMarketRent)^5*IF(5=0,(12-DowntimeNew)/12,1),0)))))))),0)</f>
        <v/>
      </c>
      <c r="T20" s="14">
        <f>IFERROR(IF(I20="LeaseUp",H20*D20*(1+GrowthMarketRent)^6*IF(6=0,(12-DowntimeNew)/12,1),IF(F20="",0,IF(F20&gt;=DATE(2027+6,4,30),G20*D20*(1+EscalatorInLease)^(6+M20),IF(F20&lt;DATE(2026+6,5,1),IF(I20="Vacate",H20*D20*(1+GrowthMarketRent)^6*IF(INT((DATE(2026+6,10,31)-F20)/365.25)=0,(12-DowntimeNew)/12,1),IF(I20="Option",G20*D20*1.025*(1+EscalatorInLease)^6,IF(I20="Market",Retention*G20*D20*(1+EscalatorInLease)^(6+M20)+(1-Retention)*H20*D20*(1+GrowthMarketRent)^6*IF(INT((DATE(2026+6,10,31)-F20)/365.25)=0,(12-DowntimeNew)/12,1),IF(I20="LeaseUp",H20*D20*(1+GrowthMarketRent)^6*IF(6=0,(12-DowntimeNew)/12,1),0)))),((F20-DATE(2026+6,5,1))/365.25)*G20*D20*(1+EscalatorInLease)^(6+M20)+((DATE(2027+6,4,30)-F20)/365.25)*IF(I20="Vacate",H20*D20*(1+GrowthMarketRent)^6*IF(INT((DATE(2026+6,10,31)-F20)/365.25)=0,(12-DowntimeNew)/12,1),IF(I20="Option",G20*D20*1.025*(1+EscalatorInLease)^6,IF(I20="Market",Retention*G20*D20*(1+EscalatorInLease)^(6+M20)+(1-Retention)*H20*D20*(1+GrowthMarketRent)^6*IF(INT((DATE(2026+6,10,31)-F20)/365.25)=0,(12-DowntimeNew)/12,1),IF(I20="LeaseUp",H20*D20*(1+GrowthMarketRent)^6*IF(6=0,(12-DowntimeNew)/12,1),0)))))))),0)</f>
        <v/>
      </c>
      <c r="U20" s="14">
        <f>IFERROR(IF(I20="LeaseUp",H20*D20*(1+GrowthMarketRent)^7*IF(7=0,(12-DowntimeNew)/12,1),IF(F20="",0,IF(F20&gt;=DATE(2027+7,4,30),G20*D20*(1+EscalatorInLease)^(7+M20),IF(F20&lt;DATE(2026+7,5,1),IF(I20="Vacate",H20*D20*(1+GrowthMarketRent)^7*IF(INT((DATE(2026+7,10,31)-F20)/365.25)=0,(12-DowntimeNew)/12,1),IF(I20="Option",G20*D20*1.025*(1+EscalatorInLease)^7,IF(I20="Market",Retention*G20*D20*(1+EscalatorInLease)^(7+M20)+(1-Retention)*H20*D20*(1+GrowthMarketRent)^7*IF(INT((DATE(2026+7,10,31)-F20)/365.25)=0,(12-DowntimeNew)/12,1),IF(I20="LeaseUp",H20*D20*(1+GrowthMarketRent)^7*IF(7=0,(12-DowntimeNew)/12,1),0)))),((F20-DATE(2026+7,5,1))/365.25)*G20*D20*(1+EscalatorInLease)^(7+M20)+((DATE(2027+7,4,30)-F20)/365.25)*IF(I20="Vacate",H20*D20*(1+GrowthMarketRent)^7*IF(INT((DATE(2026+7,10,31)-F20)/365.25)=0,(12-DowntimeNew)/12,1),IF(I20="Option",G20*D20*1.025*(1+EscalatorInLease)^7,IF(I20="Market",Retention*G20*D20*(1+EscalatorInLease)^(7+M20)+(1-Retention)*H20*D20*(1+GrowthMarketRent)^7*IF(INT((DATE(2026+7,10,31)-F20)/365.25)=0,(12-DowntimeNew)/12,1),IF(I20="LeaseUp",H20*D20*(1+GrowthMarketRent)^7*IF(7=0,(12-DowntimeNew)/12,1),0)))))))),0)</f>
        <v/>
      </c>
      <c r="V20" s="14">
        <f>IFERROR(IF(I20="LeaseUp",H20*D20*(1+GrowthMarketRent)^8*IF(8=0,(12-DowntimeNew)/12,1),IF(F20="",0,IF(F20&gt;=DATE(2027+8,4,30),G20*D20*(1+EscalatorInLease)^(8+M20),IF(F20&lt;DATE(2026+8,5,1),IF(I20="Vacate",H20*D20*(1+GrowthMarketRent)^8*IF(INT((DATE(2026+8,10,31)-F20)/365.25)=0,(12-DowntimeNew)/12,1),IF(I20="Option",G20*D20*1.025*(1+EscalatorInLease)^8,IF(I20="Market",Retention*G20*D20*(1+EscalatorInLease)^(8+M20)+(1-Retention)*H20*D20*(1+GrowthMarketRent)^8*IF(INT((DATE(2026+8,10,31)-F20)/365.25)=0,(12-DowntimeNew)/12,1),IF(I20="LeaseUp",H20*D20*(1+GrowthMarketRent)^8*IF(8=0,(12-DowntimeNew)/12,1),0)))),((F20-DATE(2026+8,5,1))/365.25)*G20*D20*(1+EscalatorInLease)^(8+M20)+((DATE(2027+8,4,30)-F20)/365.25)*IF(I20="Vacate",H20*D20*(1+GrowthMarketRent)^8*IF(INT((DATE(2026+8,10,31)-F20)/365.25)=0,(12-DowntimeNew)/12,1),IF(I20="Option",G20*D20*1.025*(1+EscalatorInLease)^8,IF(I20="Market",Retention*G20*D20*(1+EscalatorInLease)^(8+M20)+(1-Retention)*H20*D20*(1+GrowthMarketRent)^8*IF(INT((DATE(2026+8,10,31)-F20)/365.25)=0,(12-DowntimeNew)/12,1),IF(I20="LeaseUp",H20*D20*(1+GrowthMarketRent)^8*IF(8=0,(12-DowntimeNew)/12,1),0)))))))),0)</f>
        <v/>
      </c>
      <c r="W20" s="14">
        <f>IFERROR(IF(I20="LeaseUp",H20*D20*(1+GrowthMarketRent)^9*IF(9=0,(12-DowntimeNew)/12,1),IF(F20="",0,IF(F20&gt;=DATE(2027+9,4,30),G20*D20*(1+EscalatorInLease)^(9+M20),IF(F20&lt;DATE(2026+9,5,1),IF(I20="Vacate",H20*D20*(1+GrowthMarketRent)^9*IF(INT((DATE(2026+9,10,31)-F20)/365.25)=0,(12-DowntimeNew)/12,1),IF(I20="Option",G20*D20*1.025*(1+EscalatorInLease)^9,IF(I20="Market",Retention*G20*D20*(1+EscalatorInLease)^(9+M20)+(1-Retention)*H20*D20*(1+GrowthMarketRent)^9*IF(INT((DATE(2026+9,10,31)-F20)/365.25)=0,(12-DowntimeNew)/12,1),IF(I20="LeaseUp",H20*D20*(1+GrowthMarketRent)^9*IF(9=0,(12-DowntimeNew)/12,1),0)))),((F20-DATE(2026+9,5,1))/365.25)*G20*D20*(1+EscalatorInLease)^(9+M20)+((DATE(2027+9,4,30)-F20)/365.25)*IF(I20="Vacate",H20*D20*(1+GrowthMarketRent)^9*IF(INT((DATE(2026+9,10,31)-F20)/365.25)=0,(12-DowntimeNew)/12,1),IF(I20="Option",G20*D20*1.025*(1+EscalatorInLease)^9,IF(I20="Market",Retention*G20*D20*(1+EscalatorInLease)^(9+M20)+(1-Retention)*H20*D20*(1+GrowthMarketRent)^9*IF(INT((DATE(2026+9,10,31)-F20)/365.25)=0,(12-DowntimeNew)/12,1),IF(I20="LeaseUp",H20*D20*(1+GrowthMarketRent)^9*IF(9=0,(12-DowntimeNew)/12,1),0)))))))),0)</f>
        <v/>
      </c>
      <c r="X20" s="14">
        <f>IFERROR(IF(I20="LeaseUp",H20*D20*(1+GrowthMarketRent)^10*IF(10=0,(12-DowntimeNew)/12,1),IF(F20="",0,IF(F20&gt;=DATE(2027+10,4,30),G20*D20*(1+EscalatorInLease)^(10+M20),IF(F20&lt;DATE(2026+10,5,1),IF(I20="Vacate",H20*D20*(1+GrowthMarketRent)^10*IF(INT((DATE(2026+10,10,31)-F20)/365.25)=0,(12-DowntimeNew)/12,1),IF(I20="Option",G20*D20*1.025*(1+EscalatorInLease)^10,IF(I20="Market",Retention*G20*D20*(1+EscalatorInLease)^(10+M20)+(1-Retention)*H20*D20*(1+GrowthMarketRent)^10*IF(INT((DATE(2026+10,10,31)-F20)/365.25)=0,(12-DowntimeNew)/12,1),IF(I20="LeaseUp",H20*D20*(1+GrowthMarketRent)^10*IF(10=0,(12-DowntimeNew)/12,1),0)))),((F20-DATE(2026+10,5,1))/365.25)*G20*D20*(1+EscalatorInLease)^(10+M20)+((DATE(2027+10,4,30)-F20)/365.25)*IF(I20="Vacate",H20*D20*(1+GrowthMarketRent)^10*IF(INT((DATE(2026+10,10,31)-F20)/365.25)=0,(12-DowntimeNew)/12,1),IF(I20="Option",G20*D20*1.025*(1+EscalatorInLease)^10,IF(I20="Market",Retention*G20*D20*(1+EscalatorInLease)^(10+M20)+(1-Retention)*H20*D20*(1+GrowthMarketRent)^10*IF(INT((DATE(2026+10,10,31)-F20)/365.25)=0,(12-DowntimeNew)/12,1),IF(I20="LeaseUp",H20*D20*(1+GrowthMarketRent)^10*IF(10=0,(12-DowntimeNew)/12,1),0)))))))),0)</f>
        <v/>
      </c>
      <c r="Y20" s="14">
        <f>IFERROR(IF(AND(I20="LeaseUp",0=0),(IF(I20="Vacate",TINew*D20,IF(I20="Market",Retention*TIRenewal*D20+(1-Retention)*TINew*D20,IF(I20="LeaseUp",TINew*D20,IF(I20="Option",TIRenewal*D20,0)))))+(IF(I20="Vacate",LCNew*H20*D20*(1+GrowthMarketRent)^0,IF(I20="Market",Retention*LCRenewal*H20*D20*(1+GrowthMarketRent)^0+(1-Retention)*LCNew*H20*D20*(1+GrowthMarketRent)^0,IF(I20="LeaseUp",LCNew*H20*D20*(1+GrowthMarketRent)^0,IF(I20="Option",LCRenewal*H20*D20*(1+GrowthMarketRent)^0,0))))),IF(F20="",0,IF(AND(F20&gt;=DATE(2026+0,5,1),F20&lt;=DATE(2027+0,4,30)),(IF(I20="Vacate",TINew*D20,IF(I20="Market",Retention*TIRenewal*D20+(1-Retention)*TINew*D20,IF(I20="LeaseUp",TINew*D20,IF(I20="Option",TIRenewal*D20,0)))))+(IF(I20="Vacate",LCNew*H20*D20*(1+GrowthMarketRent)^0,IF(I20="Market",Retention*LCRenewal*H20*D20*(1+GrowthMarketRent)^0+(1-Retention)*LCNew*H20*D20*(1+GrowthMarketRent)^0,IF(I20="LeaseUp",LCNew*H20*D20*(1+GrowthMarketRent)^0,IF(I20="Option",LCRenewal*H20*D20*(1+GrowthMarketRent)^0,0))))),0))),0)</f>
        <v/>
      </c>
      <c r="Z20" s="14">
        <f>IFERROR(IF(AND(I20="LeaseUp",1=0),(IF(I20="Vacate",TINew*D20,IF(I20="Market",Retention*TIRenewal*D20+(1-Retention)*TINew*D20,IF(I20="LeaseUp",TINew*D20,IF(I20="Option",TIRenewal*D20,0)))))+(IF(I20="Vacate",LCNew*H20*D20*(1+GrowthMarketRent)^1,IF(I20="Market",Retention*LCRenewal*H20*D20*(1+GrowthMarketRent)^1+(1-Retention)*LCNew*H20*D20*(1+GrowthMarketRent)^1,IF(I20="LeaseUp",LCNew*H20*D20*(1+GrowthMarketRent)^1,IF(I20="Option",LCRenewal*H20*D20*(1+GrowthMarketRent)^1,0))))),IF(F20="",0,IF(AND(F20&gt;=DATE(2026+1,5,1),F20&lt;=DATE(2027+1,4,30)),(IF(I20="Vacate",TINew*D20,IF(I20="Market",Retention*TIRenewal*D20+(1-Retention)*TINew*D20,IF(I20="LeaseUp",TINew*D20,IF(I20="Option",TIRenewal*D20,0)))))+(IF(I20="Vacate",LCNew*H20*D20*(1+GrowthMarketRent)^1,IF(I20="Market",Retention*LCRenewal*H20*D20*(1+GrowthMarketRent)^1+(1-Retention)*LCNew*H20*D20*(1+GrowthMarketRent)^1,IF(I20="LeaseUp",LCNew*H20*D20*(1+GrowthMarketRent)^1,IF(I20="Option",LCRenewal*H20*D20*(1+GrowthMarketRent)^1,0))))),0))),0)</f>
        <v/>
      </c>
      <c r="AA20" s="14">
        <f>IFERROR(IF(AND(I20="LeaseUp",2=0),(IF(I20="Vacate",TINew*D20,IF(I20="Market",Retention*TIRenewal*D20+(1-Retention)*TINew*D20,IF(I20="LeaseUp",TINew*D20,IF(I20="Option",TIRenewal*D20,0)))))+(IF(I20="Vacate",LCNew*H20*D20*(1+GrowthMarketRent)^2,IF(I20="Market",Retention*LCRenewal*H20*D20*(1+GrowthMarketRent)^2+(1-Retention)*LCNew*H20*D20*(1+GrowthMarketRent)^2,IF(I20="LeaseUp",LCNew*H20*D20*(1+GrowthMarketRent)^2,IF(I20="Option",LCRenewal*H20*D20*(1+GrowthMarketRent)^2,0))))),IF(F20="",0,IF(AND(F20&gt;=DATE(2026+2,5,1),F20&lt;=DATE(2027+2,4,30)),(IF(I20="Vacate",TINew*D20,IF(I20="Market",Retention*TIRenewal*D20+(1-Retention)*TINew*D20,IF(I20="LeaseUp",TINew*D20,IF(I20="Option",TIRenewal*D20,0)))))+(IF(I20="Vacate",LCNew*H20*D20*(1+GrowthMarketRent)^2,IF(I20="Market",Retention*LCRenewal*H20*D20*(1+GrowthMarketRent)^2+(1-Retention)*LCNew*H20*D20*(1+GrowthMarketRent)^2,IF(I20="LeaseUp",LCNew*H20*D20*(1+GrowthMarketRent)^2,IF(I20="Option",LCRenewal*H20*D20*(1+GrowthMarketRent)^2,0))))),0))),0)</f>
        <v/>
      </c>
      <c r="AB20" s="14">
        <f>IFERROR(IF(AND(I20="LeaseUp",3=0),(IF(I20="Vacate",TINew*D20,IF(I20="Market",Retention*TIRenewal*D20+(1-Retention)*TINew*D20,IF(I20="LeaseUp",TINew*D20,IF(I20="Option",TIRenewal*D20,0)))))+(IF(I20="Vacate",LCNew*H20*D20*(1+GrowthMarketRent)^3,IF(I20="Market",Retention*LCRenewal*H20*D20*(1+GrowthMarketRent)^3+(1-Retention)*LCNew*H20*D20*(1+GrowthMarketRent)^3,IF(I20="LeaseUp",LCNew*H20*D20*(1+GrowthMarketRent)^3,IF(I20="Option",LCRenewal*H20*D20*(1+GrowthMarketRent)^3,0))))),IF(F20="",0,IF(AND(F20&gt;=DATE(2026+3,5,1),F20&lt;=DATE(2027+3,4,30)),(IF(I20="Vacate",TINew*D20,IF(I20="Market",Retention*TIRenewal*D20+(1-Retention)*TINew*D20,IF(I20="LeaseUp",TINew*D20,IF(I20="Option",TIRenewal*D20,0)))))+(IF(I20="Vacate",LCNew*H20*D20*(1+GrowthMarketRent)^3,IF(I20="Market",Retention*LCRenewal*H20*D20*(1+GrowthMarketRent)^3+(1-Retention)*LCNew*H20*D20*(1+GrowthMarketRent)^3,IF(I20="LeaseUp",LCNew*H20*D20*(1+GrowthMarketRent)^3,IF(I20="Option",LCRenewal*H20*D20*(1+GrowthMarketRent)^3,0))))),0))),0)</f>
        <v/>
      </c>
      <c r="AC20" s="14">
        <f>IFERROR(IF(AND(I20="LeaseUp",4=0),(IF(I20="Vacate",TINew*D20,IF(I20="Market",Retention*TIRenewal*D20+(1-Retention)*TINew*D20,IF(I20="LeaseUp",TINew*D20,IF(I20="Option",TIRenewal*D20,0)))))+(IF(I20="Vacate",LCNew*H20*D20*(1+GrowthMarketRent)^4,IF(I20="Market",Retention*LCRenewal*H20*D20*(1+GrowthMarketRent)^4+(1-Retention)*LCNew*H20*D20*(1+GrowthMarketRent)^4,IF(I20="LeaseUp",LCNew*H20*D20*(1+GrowthMarketRent)^4,IF(I20="Option",LCRenewal*H20*D20*(1+GrowthMarketRent)^4,0))))),IF(F20="",0,IF(AND(F20&gt;=DATE(2026+4,5,1),F20&lt;=DATE(2027+4,4,30)),(IF(I20="Vacate",TINew*D20,IF(I20="Market",Retention*TIRenewal*D20+(1-Retention)*TINew*D20,IF(I20="LeaseUp",TINew*D20,IF(I20="Option",TIRenewal*D20,0)))))+(IF(I20="Vacate",LCNew*H20*D20*(1+GrowthMarketRent)^4,IF(I20="Market",Retention*LCRenewal*H20*D20*(1+GrowthMarketRent)^4+(1-Retention)*LCNew*H20*D20*(1+GrowthMarketRent)^4,IF(I20="LeaseUp",LCNew*H20*D20*(1+GrowthMarketRent)^4,IF(I20="Option",LCRenewal*H20*D20*(1+GrowthMarketRent)^4,0))))),0))),0)</f>
        <v/>
      </c>
      <c r="AD20" s="14">
        <f>IFERROR(IF(AND(I20="LeaseUp",5=0),(IF(I20="Vacate",TINew*D20,IF(I20="Market",Retention*TIRenewal*D20+(1-Retention)*TINew*D20,IF(I20="LeaseUp",TINew*D20,IF(I20="Option",TIRenewal*D20,0)))))+(IF(I20="Vacate",LCNew*H20*D20*(1+GrowthMarketRent)^5,IF(I20="Market",Retention*LCRenewal*H20*D20*(1+GrowthMarketRent)^5+(1-Retention)*LCNew*H20*D20*(1+GrowthMarketRent)^5,IF(I20="LeaseUp",LCNew*H20*D20*(1+GrowthMarketRent)^5,IF(I20="Option",LCRenewal*H20*D20*(1+GrowthMarketRent)^5,0))))),IF(F20="",0,IF(AND(F20&gt;=DATE(2026+5,5,1),F20&lt;=DATE(2027+5,4,30)),(IF(I20="Vacate",TINew*D20,IF(I20="Market",Retention*TIRenewal*D20+(1-Retention)*TINew*D20,IF(I20="LeaseUp",TINew*D20,IF(I20="Option",TIRenewal*D20,0)))))+(IF(I20="Vacate",LCNew*H20*D20*(1+GrowthMarketRent)^5,IF(I20="Market",Retention*LCRenewal*H20*D20*(1+GrowthMarketRent)^5+(1-Retention)*LCNew*H20*D20*(1+GrowthMarketRent)^5,IF(I20="LeaseUp",LCNew*H20*D20*(1+GrowthMarketRent)^5,IF(I20="Option",LCRenewal*H20*D20*(1+GrowthMarketRent)^5,0))))),0))),0)</f>
        <v/>
      </c>
      <c r="AE20" s="14">
        <f>IFERROR(IF(AND(I20="LeaseUp",6=0),(IF(I20="Vacate",TINew*D20,IF(I20="Market",Retention*TIRenewal*D20+(1-Retention)*TINew*D20,IF(I20="LeaseUp",TINew*D20,IF(I20="Option",TIRenewal*D20,0)))))+(IF(I20="Vacate",LCNew*H20*D20*(1+GrowthMarketRent)^6,IF(I20="Market",Retention*LCRenewal*H20*D20*(1+GrowthMarketRent)^6+(1-Retention)*LCNew*H20*D20*(1+GrowthMarketRent)^6,IF(I20="LeaseUp",LCNew*H20*D20*(1+GrowthMarketRent)^6,IF(I20="Option",LCRenewal*H20*D20*(1+GrowthMarketRent)^6,0))))),IF(F20="",0,IF(AND(F20&gt;=DATE(2026+6,5,1),F20&lt;=DATE(2027+6,4,30)),(IF(I20="Vacate",TINew*D20,IF(I20="Market",Retention*TIRenewal*D20+(1-Retention)*TINew*D20,IF(I20="LeaseUp",TINew*D20,IF(I20="Option",TIRenewal*D20,0)))))+(IF(I20="Vacate",LCNew*H20*D20*(1+GrowthMarketRent)^6,IF(I20="Market",Retention*LCRenewal*H20*D20*(1+GrowthMarketRent)^6+(1-Retention)*LCNew*H20*D20*(1+GrowthMarketRent)^6,IF(I20="LeaseUp",LCNew*H20*D20*(1+GrowthMarketRent)^6,IF(I20="Option",LCRenewal*H20*D20*(1+GrowthMarketRent)^6,0))))),0))),0)</f>
        <v/>
      </c>
      <c r="AF20" s="14">
        <f>IFERROR(IF(AND(I20="LeaseUp",7=0),(IF(I20="Vacate",TINew*D20,IF(I20="Market",Retention*TIRenewal*D20+(1-Retention)*TINew*D20,IF(I20="LeaseUp",TINew*D20,IF(I20="Option",TIRenewal*D20,0)))))+(IF(I20="Vacate",LCNew*H20*D20*(1+GrowthMarketRent)^7,IF(I20="Market",Retention*LCRenewal*H20*D20*(1+GrowthMarketRent)^7+(1-Retention)*LCNew*H20*D20*(1+GrowthMarketRent)^7,IF(I20="LeaseUp",LCNew*H20*D20*(1+GrowthMarketRent)^7,IF(I20="Option",LCRenewal*H20*D20*(1+GrowthMarketRent)^7,0))))),IF(F20="",0,IF(AND(F20&gt;=DATE(2026+7,5,1),F20&lt;=DATE(2027+7,4,30)),(IF(I20="Vacate",TINew*D20,IF(I20="Market",Retention*TIRenewal*D20+(1-Retention)*TINew*D20,IF(I20="LeaseUp",TINew*D20,IF(I20="Option",TIRenewal*D20,0)))))+(IF(I20="Vacate",LCNew*H20*D20*(1+GrowthMarketRent)^7,IF(I20="Market",Retention*LCRenewal*H20*D20*(1+GrowthMarketRent)^7+(1-Retention)*LCNew*H20*D20*(1+GrowthMarketRent)^7,IF(I20="LeaseUp",LCNew*H20*D20*(1+GrowthMarketRent)^7,IF(I20="Option",LCRenewal*H20*D20*(1+GrowthMarketRent)^7,0))))),0))),0)</f>
        <v/>
      </c>
      <c r="AG20" s="14">
        <f>IFERROR(IF(AND(I20="LeaseUp",8=0),(IF(I20="Vacate",TINew*D20,IF(I20="Market",Retention*TIRenewal*D20+(1-Retention)*TINew*D20,IF(I20="LeaseUp",TINew*D20,IF(I20="Option",TIRenewal*D20,0)))))+(IF(I20="Vacate",LCNew*H20*D20*(1+GrowthMarketRent)^8,IF(I20="Market",Retention*LCRenewal*H20*D20*(1+GrowthMarketRent)^8+(1-Retention)*LCNew*H20*D20*(1+GrowthMarketRent)^8,IF(I20="LeaseUp",LCNew*H20*D20*(1+GrowthMarketRent)^8,IF(I20="Option",LCRenewal*H20*D20*(1+GrowthMarketRent)^8,0))))),IF(F20="",0,IF(AND(F20&gt;=DATE(2026+8,5,1),F20&lt;=DATE(2027+8,4,30)),(IF(I20="Vacate",TINew*D20,IF(I20="Market",Retention*TIRenewal*D20+(1-Retention)*TINew*D20,IF(I20="LeaseUp",TINew*D20,IF(I20="Option",TIRenewal*D20,0)))))+(IF(I20="Vacate",LCNew*H20*D20*(1+GrowthMarketRent)^8,IF(I20="Market",Retention*LCRenewal*H20*D20*(1+GrowthMarketRent)^8+(1-Retention)*LCNew*H20*D20*(1+GrowthMarketRent)^8,IF(I20="LeaseUp",LCNew*H20*D20*(1+GrowthMarketRent)^8,IF(I20="Option",LCRenewal*H20*D20*(1+GrowthMarketRent)^8,0))))),0))),0)</f>
        <v/>
      </c>
      <c r="AH20" s="14">
        <f>IFERROR(IF(AND(I20="LeaseUp",9=0),(IF(I20="Vacate",TINew*D20,IF(I20="Market",Retention*TIRenewal*D20+(1-Retention)*TINew*D20,IF(I20="LeaseUp",TINew*D20,IF(I20="Option",TIRenewal*D20,0)))))+(IF(I20="Vacate",LCNew*H20*D20*(1+GrowthMarketRent)^9,IF(I20="Market",Retention*LCRenewal*H20*D20*(1+GrowthMarketRent)^9+(1-Retention)*LCNew*H20*D20*(1+GrowthMarketRent)^9,IF(I20="LeaseUp",LCNew*H20*D20*(1+GrowthMarketRent)^9,IF(I20="Option",LCRenewal*H20*D20*(1+GrowthMarketRent)^9,0))))),IF(F20="",0,IF(AND(F20&gt;=DATE(2026+9,5,1),F20&lt;=DATE(2027+9,4,30)),(IF(I20="Vacate",TINew*D20,IF(I20="Market",Retention*TIRenewal*D20+(1-Retention)*TINew*D20,IF(I20="LeaseUp",TINew*D20,IF(I20="Option",TIRenewal*D20,0)))))+(IF(I20="Vacate",LCNew*H20*D20*(1+GrowthMarketRent)^9,IF(I20="Market",Retention*LCRenewal*H20*D20*(1+GrowthMarketRent)^9+(1-Retention)*LCNew*H20*D20*(1+GrowthMarketRent)^9,IF(I20="LeaseUp",LCNew*H20*D20*(1+GrowthMarketRent)^9,IF(I20="Option",LCRenewal*H20*D20*(1+GrowthMarketRent)^9,0))))),0))),0)</f>
        <v/>
      </c>
      <c r="AI20" s="14">
        <f>IFERROR(IF(AND(I20="LeaseUp",10=0),(IF(I20="Vacate",TINew*D20,IF(I20="Market",Retention*TIRenewal*D20+(1-Retention)*TINew*D20,IF(I20="LeaseUp",TINew*D20,IF(I20="Option",TIRenewal*D20,0)))))+(IF(I20="Vacate",LCNew*H20*D20*(1+GrowthMarketRent)^10,IF(I20="Market",Retention*LCRenewal*H20*D20*(1+GrowthMarketRent)^10+(1-Retention)*LCNew*H20*D20*(1+GrowthMarketRent)^10,IF(I20="LeaseUp",LCNew*H20*D20*(1+GrowthMarketRent)^10,IF(I20="Option",LCRenewal*H20*D20*(1+GrowthMarketRent)^10,0))))),IF(F20="",0,IF(AND(F20&gt;=DATE(2026+10,5,1),F20&lt;=DATE(2027+10,4,30)),(IF(I20="Vacate",TINew*D20,IF(I20="Market",Retention*TIRenewal*D20+(1-Retention)*TINew*D20,IF(I20="LeaseUp",TINew*D20,IF(I20="Option",TIRenewal*D20,0)))))+(IF(I20="Vacate",LCNew*H20*D20*(1+GrowthMarketRent)^10,IF(I20="Market",Retention*LCRenewal*H20*D20*(1+GrowthMarketRent)^10+(1-Retention)*LCNew*H20*D20*(1+GrowthMarketRent)^10,IF(I20="LeaseUp",LCNew*H20*D20*(1+GrowthMarketRent)^10,IF(I20="Option",LCRenewal*H20*D20*(1+GrowthMarketRent)^10,0))))),0))),0)</f>
        <v/>
      </c>
    </row>
    <row r="21">
      <c r="A21" t="inlineStr">
        <is>
          <t>Carrollton</t>
        </is>
      </c>
      <c r="B21" t="inlineStr">
        <is>
          <t>232</t>
        </is>
      </c>
      <c r="C21" t="inlineStr">
        <is>
          <t>MD Management Holdings LLC</t>
        </is>
      </c>
      <c r="D21" s="32" t="n">
        <v>1870</v>
      </c>
      <c r="E21" s="33" t="n">
        <v>45870</v>
      </c>
      <c r="F21" s="33" t="n">
        <v>46569</v>
      </c>
      <c r="G21" s="34" t="n">
        <v>14</v>
      </c>
      <c r="H21" s="16">
        <f>VLOOKUP("Carrollton — "&amp;J21,MLA!$A$5:$L$11,3,FALSE)</f>
        <v/>
      </c>
      <c r="I21" s="11" t="inlineStr">
        <is>
          <t>Market</t>
        </is>
      </c>
      <c r="J21" t="inlineStr">
        <is>
          <t>Studio</t>
        </is>
      </c>
      <c r="K21" t="inlineStr">
        <is>
          <t>Occupied</t>
        </is>
      </c>
      <c r="L21" t="inlineStr">
        <is>
          <t>Studio; Guarantor: Micah Driver</t>
        </is>
      </c>
      <c r="M21" s="20">
        <f>IF(E21="",0,(AnalysisStart-E21)/365.25)</f>
        <v/>
      </c>
      <c r="N21" s="14">
        <f>IFERROR(IF(I21="LeaseUp",H21*D21*(1+GrowthMarketRent)^0*IF(0=0,(12-DowntimeNew)/12,1),IF(F21="",0,IF(F21&gt;=DATE(2027+0,4,30),G21*D21*(1+EscalatorInLease)^(0+M21),IF(F21&lt;DATE(2026+0,5,1),IF(I21="Vacate",H21*D21*(1+GrowthMarketRent)^0*IF(INT((DATE(2026+0,10,31)-F21)/365.25)=0,(12-DowntimeNew)/12,1),IF(I21="Option",G21*D21*1.025*(1+EscalatorInLease)^0,IF(I21="Market",Retention*G21*D21*(1+EscalatorInLease)^(0+M21)+(1-Retention)*H21*D21*(1+GrowthMarketRent)^0*IF(INT((DATE(2026+0,10,31)-F21)/365.25)=0,(12-DowntimeNew)/12,1),IF(I21="LeaseUp",H21*D21*(1+GrowthMarketRent)^0*IF(0=0,(12-DowntimeNew)/12,1),0)))),((F21-DATE(2026+0,5,1))/365.25)*G21*D21*(1+EscalatorInLease)^(0+M21)+((DATE(2027+0,4,30)-F21)/365.25)*IF(I21="Vacate",H21*D21*(1+GrowthMarketRent)^0*IF(INT((DATE(2026+0,10,31)-F21)/365.25)=0,(12-DowntimeNew)/12,1),IF(I21="Option",G21*D21*1.025*(1+EscalatorInLease)^0,IF(I21="Market",Retention*G21*D21*(1+EscalatorInLease)^(0+M21)+(1-Retention)*H21*D21*(1+GrowthMarketRent)^0*IF(INT((DATE(2026+0,10,31)-F21)/365.25)=0,(12-DowntimeNew)/12,1),IF(I21="LeaseUp",H21*D21*(1+GrowthMarketRent)^0*IF(0=0,(12-DowntimeNew)/12,1),0)))))))),0)</f>
        <v/>
      </c>
      <c r="O21" s="14">
        <f>IFERROR(IF(I21="LeaseUp",H21*D21*(1+GrowthMarketRent)^1*IF(1=0,(12-DowntimeNew)/12,1),IF(F21="",0,IF(F21&gt;=DATE(2027+1,4,30),G21*D21*(1+EscalatorInLease)^(1+M21),IF(F21&lt;DATE(2026+1,5,1),IF(I21="Vacate",H21*D21*(1+GrowthMarketRent)^1*IF(INT((DATE(2026+1,10,31)-F21)/365.25)=0,(12-DowntimeNew)/12,1),IF(I21="Option",G21*D21*1.025*(1+EscalatorInLease)^1,IF(I21="Market",Retention*G21*D21*(1+EscalatorInLease)^(1+M21)+(1-Retention)*H21*D21*(1+GrowthMarketRent)^1*IF(INT((DATE(2026+1,10,31)-F21)/365.25)=0,(12-DowntimeNew)/12,1),IF(I21="LeaseUp",H21*D21*(1+GrowthMarketRent)^1*IF(1=0,(12-DowntimeNew)/12,1),0)))),((F21-DATE(2026+1,5,1))/365.25)*G21*D21*(1+EscalatorInLease)^(1+M21)+((DATE(2027+1,4,30)-F21)/365.25)*IF(I21="Vacate",H21*D21*(1+GrowthMarketRent)^1*IF(INT((DATE(2026+1,10,31)-F21)/365.25)=0,(12-DowntimeNew)/12,1),IF(I21="Option",G21*D21*1.025*(1+EscalatorInLease)^1,IF(I21="Market",Retention*G21*D21*(1+EscalatorInLease)^(1+M21)+(1-Retention)*H21*D21*(1+GrowthMarketRent)^1*IF(INT((DATE(2026+1,10,31)-F21)/365.25)=0,(12-DowntimeNew)/12,1),IF(I21="LeaseUp",H21*D21*(1+GrowthMarketRent)^1*IF(1=0,(12-DowntimeNew)/12,1),0)))))))),0)</f>
        <v/>
      </c>
      <c r="P21" s="14">
        <f>IFERROR(IF(I21="LeaseUp",H21*D21*(1+GrowthMarketRent)^2*IF(2=0,(12-DowntimeNew)/12,1),IF(F21="",0,IF(F21&gt;=DATE(2027+2,4,30),G21*D21*(1+EscalatorInLease)^(2+M21),IF(F21&lt;DATE(2026+2,5,1),IF(I21="Vacate",H21*D21*(1+GrowthMarketRent)^2*IF(INT((DATE(2026+2,10,31)-F21)/365.25)=0,(12-DowntimeNew)/12,1),IF(I21="Option",G21*D21*1.025*(1+EscalatorInLease)^2,IF(I21="Market",Retention*G21*D21*(1+EscalatorInLease)^(2+M21)+(1-Retention)*H21*D21*(1+GrowthMarketRent)^2*IF(INT((DATE(2026+2,10,31)-F21)/365.25)=0,(12-DowntimeNew)/12,1),IF(I21="LeaseUp",H21*D21*(1+GrowthMarketRent)^2*IF(2=0,(12-DowntimeNew)/12,1),0)))),((F21-DATE(2026+2,5,1))/365.25)*G21*D21*(1+EscalatorInLease)^(2+M21)+((DATE(2027+2,4,30)-F21)/365.25)*IF(I21="Vacate",H21*D21*(1+GrowthMarketRent)^2*IF(INT((DATE(2026+2,10,31)-F21)/365.25)=0,(12-DowntimeNew)/12,1),IF(I21="Option",G21*D21*1.025*(1+EscalatorInLease)^2,IF(I21="Market",Retention*G21*D21*(1+EscalatorInLease)^(2+M21)+(1-Retention)*H21*D21*(1+GrowthMarketRent)^2*IF(INT((DATE(2026+2,10,31)-F21)/365.25)=0,(12-DowntimeNew)/12,1),IF(I21="LeaseUp",H21*D21*(1+GrowthMarketRent)^2*IF(2=0,(12-DowntimeNew)/12,1),0)))))))),0)</f>
        <v/>
      </c>
      <c r="Q21" s="14">
        <f>IFERROR(IF(I21="LeaseUp",H21*D21*(1+GrowthMarketRent)^3*IF(3=0,(12-DowntimeNew)/12,1),IF(F21="",0,IF(F21&gt;=DATE(2027+3,4,30),G21*D21*(1+EscalatorInLease)^(3+M21),IF(F21&lt;DATE(2026+3,5,1),IF(I21="Vacate",H21*D21*(1+GrowthMarketRent)^3*IF(INT((DATE(2026+3,10,31)-F21)/365.25)=0,(12-DowntimeNew)/12,1),IF(I21="Option",G21*D21*1.025*(1+EscalatorInLease)^3,IF(I21="Market",Retention*G21*D21*(1+EscalatorInLease)^(3+M21)+(1-Retention)*H21*D21*(1+GrowthMarketRent)^3*IF(INT((DATE(2026+3,10,31)-F21)/365.25)=0,(12-DowntimeNew)/12,1),IF(I21="LeaseUp",H21*D21*(1+GrowthMarketRent)^3*IF(3=0,(12-DowntimeNew)/12,1),0)))),((F21-DATE(2026+3,5,1))/365.25)*G21*D21*(1+EscalatorInLease)^(3+M21)+((DATE(2027+3,4,30)-F21)/365.25)*IF(I21="Vacate",H21*D21*(1+GrowthMarketRent)^3*IF(INT((DATE(2026+3,10,31)-F21)/365.25)=0,(12-DowntimeNew)/12,1),IF(I21="Option",G21*D21*1.025*(1+EscalatorInLease)^3,IF(I21="Market",Retention*G21*D21*(1+EscalatorInLease)^(3+M21)+(1-Retention)*H21*D21*(1+GrowthMarketRent)^3*IF(INT((DATE(2026+3,10,31)-F21)/365.25)=0,(12-DowntimeNew)/12,1),IF(I21="LeaseUp",H21*D21*(1+GrowthMarketRent)^3*IF(3=0,(12-DowntimeNew)/12,1),0)))))))),0)</f>
        <v/>
      </c>
      <c r="R21" s="14">
        <f>IFERROR(IF(I21="LeaseUp",H21*D21*(1+GrowthMarketRent)^4*IF(4=0,(12-DowntimeNew)/12,1),IF(F21="",0,IF(F21&gt;=DATE(2027+4,4,30),G21*D21*(1+EscalatorInLease)^(4+M21),IF(F21&lt;DATE(2026+4,5,1),IF(I21="Vacate",H21*D21*(1+GrowthMarketRent)^4*IF(INT((DATE(2026+4,10,31)-F21)/365.25)=0,(12-DowntimeNew)/12,1),IF(I21="Option",G21*D21*1.025*(1+EscalatorInLease)^4,IF(I21="Market",Retention*G21*D21*(1+EscalatorInLease)^(4+M21)+(1-Retention)*H21*D21*(1+GrowthMarketRent)^4*IF(INT((DATE(2026+4,10,31)-F21)/365.25)=0,(12-DowntimeNew)/12,1),IF(I21="LeaseUp",H21*D21*(1+GrowthMarketRent)^4*IF(4=0,(12-DowntimeNew)/12,1),0)))),((F21-DATE(2026+4,5,1))/365.25)*G21*D21*(1+EscalatorInLease)^(4+M21)+((DATE(2027+4,4,30)-F21)/365.25)*IF(I21="Vacate",H21*D21*(1+GrowthMarketRent)^4*IF(INT((DATE(2026+4,10,31)-F21)/365.25)=0,(12-DowntimeNew)/12,1),IF(I21="Option",G21*D21*1.025*(1+EscalatorInLease)^4,IF(I21="Market",Retention*G21*D21*(1+EscalatorInLease)^(4+M21)+(1-Retention)*H21*D21*(1+GrowthMarketRent)^4*IF(INT((DATE(2026+4,10,31)-F21)/365.25)=0,(12-DowntimeNew)/12,1),IF(I21="LeaseUp",H21*D21*(1+GrowthMarketRent)^4*IF(4=0,(12-DowntimeNew)/12,1),0)))))))),0)</f>
        <v/>
      </c>
      <c r="S21" s="14">
        <f>IFERROR(IF(I21="LeaseUp",H21*D21*(1+GrowthMarketRent)^5*IF(5=0,(12-DowntimeNew)/12,1),IF(F21="",0,IF(F21&gt;=DATE(2027+5,4,30),G21*D21*(1+EscalatorInLease)^(5+M21),IF(F21&lt;DATE(2026+5,5,1),IF(I21="Vacate",H21*D21*(1+GrowthMarketRent)^5*IF(INT((DATE(2026+5,10,31)-F21)/365.25)=0,(12-DowntimeNew)/12,1),IF(I21="Option",G21*D21*1.025*(1+EscalatorInLease)^5,IF(I21="Market",Retention*G21*D21*(1+EscalatorInLease)^(5+M21)+(1-Retention)*H21*D21*(1+GrowthMarketRent)^5*IF(INT((DATE(2026+5,10,31)-F21)/365.25)=0,(12-DowntimeNew)/12,1),IF(I21="LeaseUp",H21*D21*(1+GrowthMarketRent)^5*IF(5=0,(12-DowntimeNew)/12,1),0)))),((F21-DATE(2026+5,5,1))/365.25)*G21*D21*(1+EscalatorInLease)^(5+M21)+((DATE(2027+5,4,30)-F21)/365.25)*IF(I21="Vacate",H21*D21*(1+GrowthMarketRent)^5*IF(INT((DATE(2026+5,10,31)-F21)/365.25)=0,(12-DowntimeNew)/12,1),IF(I21="Option",G21*D21*1.025*(1+EscalatorInLease)^5,IF(I21="Market",Retention*G21*D21*(1+EscalatorInLease)^(5+M21)+(1-Retention)*H21*D21*(1+GrowthMarketRent)^5*IF(INT((DATE(2026+5,10,31)-F21)/365.25)=0,(12-DowntimeNew)/12,1),IF(I21="LeaseUp",H21*D21*(1+GrowthMarketRent)^5*IF(5=0,(12-DowntimeNew)/12,1),0)))))))),0)</f>
        <v/>
      </c>
      <c r="T21" s="14">
        <f>IFERROR(IF(I21="LeaseUp",H21*D21*(1+GrowthMarketRent)^6*IF(6=0,(12-DowntimeNew)/12,1),IF(F21="",0,IF(F21&gt;=DATE(2027+6,4,30),G21*D21*(1+EscalatorInLease)^(6+M21),IF(F21&lt;DATE(2026+6,5,1),IF(I21="Vacate",H21*D21*(1+GrowthMarketRent)^6*IF(INT((DATE(2026+6,10,31)-F21)/365.25)=0,(12-DowntimeNew)/12,1),IF(I21="Option",G21*D21*1.025*(1+EscalatorInLease)^6,IF(I21="Market",Retention*G21*D21*(1+EscalatorInLease)^(6+M21)+(1-Retention)*H21*D21*(1+GrowthMarketRent)^6*IF(INT((DATE(2026+6,10,31)-F21)/365.25)=0,(12-DowntimeNew)/12,1),IF(I21="LeaseUp",H21*D21*(1+GrowthMarketRent)^6*IF(6=0,(12-DowntimeNew)/12,1),0)))),((F21-DATE(2026+6,5,1))/365.25)*G21*D21*(1+EscalatorInLease)^(6+M21)+((DATE(2027+6,4,30)-F21)/365.25)*IF(I21="Vacate",H21*D21*(1+GrowthMarketRent)^6*IF(INT((DATE(2026+6,10,31)-F21)/365.25)=0,(12-DowntimeNew)/12,1),IF(I21="Option",G21*D21*1.025*(1+EscalatorInLease)^6,IF(I21="Market",Retention*G21*D21*(1+EscalatorInLease)^(6+M21)+(1-Retention)*H21*D21*(1+GrowthMarketRent)^6*IF(INT((DATE(2026+6,10,31)-F21)/365.25)=0,(12-DowntimeNew)/12,1),IF(I21="LeaseUp",H21*D21*(1+GrowthMarketRent)^6*IF(6=0,(12-DowntimeNew)/12,1),0)))))))),0)</f>
        <v/>
      </c>
      <c r="U21" s="14">
        <f>IFERROR(IF(I21="LeaseUp",H21*D21*(1+GrowthMarketRent)^7*IF(7=0,(12-DowntimeNew)/12,1),IF(F21="",0,IF(F21&gt;=DATE(2027+7,4,30),G21*D21*(1+EscalatorInLease)^(7+M21),IF(F21&lt;DATE(2026+7,5,1),IF(I21="Vacate",H21*D21*(1+GrowthMarketRent)^7*IF(INT((DATE(2026+7,10,31)-F21)/365.25)=0,(12-DowntimeNew)/12,1),IF(I21="Option",G21*D21*1.025*(1+EscalatorInLease)^7,IF(I21="Market",Retention*G21*D21*(1+EscalatorInLease)^(7+M21)+(1-Retention)*H21*D21*(1+GrowthMarketRent)^7*IF(INT((DATE(2026+7,10,31)-F21)/365.25)=0,(12-DowntimeNew)/12,1),IF(I21="LeaseUp",H21*D21*(1+GrowthMarketRent)^7*IF(7=0,(12-DowntimeNew)/12,1),0)))),((F21-DATE(2026+7,5,1))/365.25)*G21*D21*(1+EscalatorInLease)^(7+M21)+((DATE(2027+7,4,30)-F21)/365.25)*IF(I21="Vacate",H21*D21*(1+GrowthMarketRent)^7*IF(INT((DATE(2026+7,10,31)-F21)/365.25)=0,(12-DowntimeNew)/12,1),IF(I21="Option",G21*D21*1.025*(1+EscalatorInLease)^7,IF(I21="Market",Retention*G21*D21*(1+EscalatorInLease)^(7+M21)+(1-Retention)*H21*D21*(1+GrowthMarketRent)^7*IF(INT((DATE(2026+7,10,31)-F21)/365.25)=0,(12-DowntimeNew)/12,1),IF(I21="LeaseUp",H21*D21*(1+GrowthMarketRent)^7*IF(7=0,(12-DowntimeNew)/12,1),0)))))))),0)</f>
        <v/>
      </c>
      <c r="V21" s="14">
        <f>IFERROR(IF(I21="LeaseUp",H21*D21*(1+GrowthMarketRent)^8*IF(8=0,(12-DowntimeNew)/12,1),IF(F21="",0,IF(F21&gt;=DATE(2027+8,4,30),G21*D21*(1+EscalatorInLease)^(8+M21),IF(F21&lt;DATE(2026+8,5,1),IF(I21="Vacate",H21*D21*(1+GrowthMarketRent)^8*IF(INT((DATE(2026+8,10,31)-F21)/365.25)=0,(12-DowntimeNew)/12,1),IF(I21="Option",G21*D21*1.025*(1+EscalatorInLease)^8,IF(I21="Market",Retention*G21*D21*(1+EscalatorInLease)^(8+M21)+(1-Retention)*H21*D21*(1+GrowthMarketRent)^8*IF(INT((DATE(2026+8,10,31)-F21)/365.25)=0,(12-DowntimeNew)/12,1),IF(I21="LeaseUp",H21*D21*(1+GrowthMarketRent)^8*IF(8=0,(12-DowntimeNew)/12,1),0)))),((F21-DATE(2026+8,5,1))/365.25)*G21*D21*(1+EscalatorInLease)^(8+M21)+((DATE(2027+8,4,30)-F21)/365.25)*IF(I21="Vacate",H21*D21*(1+GrowthMarketRent)^8*IF(INT((DATE(2026+8,10,31)-F21)/365.25)=0,(12-DowntimeNew)/12,1),IF(I21="Option",G21*D21*1.025*(1+EscalatorInLease)^8,IF(I21="Market",Retention*G21*D21*(1+EscalatorInLease)^(8+M21)+(1-Retention)*H21*D21*(1+GrowthMarketRent)^8*IF(INT((DATE(2026+8,10,31)-F21)/365.25)=0,(12-DowntimeNew)/12,1),IF(I21="LeaseUp",H21*D21*(1+GrowthMarketRent)^8*IF(8=0,(12-DowntimeNew)/12,1),0)))))))),0)</f>
        <v/>
      </c>
      <c r="W21" s="14">
        <f>IFERROR(IF(I21="LeaseUp",H21*D21*(1+GrowthMarketRent)^9*IF(9=0,(12-DowntimeNew)/12,1),IF(F21="",0,IF(F21&gt;=DATE(2027+9,4,30),G21*D21*(1+EscalatorInLease)^(9+M21),IF(F21&lt;DATE(2026+9,5,1),IF(I21="Vacate",H21*D21*(1+GrowthMarketRent)^9*IF(INT((DATE(2026+9,10,31)-F21)/365.25)=0,(12-DowntimeNew)/12,1),IF(I21="Option",G21*D21*1.025*(1+EscalatorInLease)^9,IF(I21="Market",Retention*G21*D21*(1+EscalatorInLease)^(9+M21)+(1-Retention)*H21*D21*(1+GrowthMarketRent)^9*IF(INT((DATE(2026+9,10,31)-F21)/365.25)=0,(12-DowntimeNew)/12,1),IF(I21="LeaseUp",H21*D21*(1+GrowthMarketRent)^9*IF(9=0,(12-DowntimeNew)/12,1),0)))),((F21-DATE(2026+9,5,1))/365.25)*G21*D21*(1+EscalatorInLease)^(9+M21)+((DATE(2027+9,4,30)-F21)/365.25)*IF(I21="Vacate",H21*D21*(1+GrowthMarketRent)^9*IF(INT((DATE(2026+9,10,31)-F21)/365.25)=0,(12-DowntimeNew)/12,1),IF(I21="Option",G21*D21*1.025*(1+EscalatorInLease)^9,IF(I21="Market",Retention*G21*D21*(1+EscalatorInLease)^(9+M21)+(1-Retention)*H21*D21*(1+GrowthMarketRent)^9*IF(INT((DATE(2026+9,10,31)-F21)/365.25)=0,(12-DowntimeNew)/12,1),IF(I21="LeaseUp",H21*D21*(1+GrowthMarketRent)^9*IF(9=0,(12-DowntimeNew)/12,1),0)))))))),0)</f>
        <v/>
      </c>
      <c r="X21" s="14">
        <f>IFERROR(IF(I21="LeaseUp",H21*D21*(1+GrowthMarketRent)^10*IF(10=0,(12-DowntimeNew)/12,1),IF(F21="",0,IF(F21&gt;=DATE(2027+10,4,30),G21*D21*(1+EscalatorInLease)^(10+M21),IF(F21&lt;DATE(2026+10,5,1),IF(I21="Vacate",H21*D21*(1+GrowthMarketRent)^10*IF(INT((DATE(2026+10,10,31)-F21)/365.25)=0,(12-DowntimeNew)/12,1),IF(I21="Option",G21*D21*1.025*(1+EscalatorInLease)^10,IF(I21="Market",Retention*G21*D21*(1+EscalatorInLease)^(10+M21)+(1-Retention)*H21*D21*(1+GrowthMarketRent)^10*IF(INT((DATE(2026+10,10,31)-F21)/365.25)=0,(12-DowntimeNew)/12,1),IF(I21="LeaseUp",H21*D21*(1+GrowthMarketRent)^10*IF(10=0,(12-DowntimeNew)/12,1),0)))),((F21-DATE(2026+10,5,1))/365.25)*G21*D21*(1+EscalatorInLease)^(10+M21)+((DATE(2027+10,4,30)-F21)/365.25)*IF(I21="Vacate",H21*D21*(1+GrowthMarketRent)^10*IF(INT((DATE(2026+10,10,31)-F21)/365.25)=0,(12-DowntimeNew)/12,1),IF(I21="Option",G21*D21*1.025*(1+EscalatorInLease)^10,IF(I21="Market",Retention*G21*D21*(1+EscalatorInLease)^(10+M21)+(1-Retention)*H21*D21*(1+GrowthMarketRent)^10*IF(INT((DATE(2026+10,10,31)-F21)/365.25)=0,(12-DowntimeNew)/12,1),IF(I21="LeaseUp",H21*D21*(1+GrowthMarketRent)^10*IF(10=0,(12-DowntimeNew)/12,1),0)))))))),0)</f>
        <v/>
      </c>
      <c r="Y21" s="14">
        <f>IFERROR(IF(AND(I21="LeaseUp",0=0),(IF(I21="Vacate",TINew*D21,IF(I21="Market",Retention*TIRenewal*D21+(1-Retention)*TINew*D21,IF(I21="LeaseUp",TINew*D21,IF(I21="Option",TIRenewal*D21,0)))))+(IF(I21="Vacate",LCNew*H21*D21*(1+GrowthMarketRent)^0,IF(I21="Market",Retention*LCRenewal*H21*D21*(1+GrowthMarketRent)^0+(1-Retention)*LCNew*H21*D21*(1+GrowthMarketRent)^0,IF(I21="LeaseUp",LCNew*H21*D21*(1+GrowthMarketRent)^0,IF(I21="Option",LCRenewal*H21*D21*(1+GrowthMarketRent)^0,0))))),IF(F21="",0,IF(AND(F21&gt;=DATE(2026+0,5,1),F21&lt;=DATE(2027+0,4,30)),(IF(I21="Vacate",TINew*D21,IF(I21="Market",Retention*TIRenewal*D21+(1-Retention)*TINew*D21,IF(I21="LeaseUp",TINew*D21,IF(I21="Option",TIRenewal*D21,0)))))+(IF(I21="Vacate",LCNew*H21*D21*(1+GrowthMarketRent)^0,IF(I21="Market",Retention*LCRenewal*H21*D21*(1+GrowthMarketRent)^0+(1-Retention)*LCNew*H21*D21*(1+GrowthMarketRent)^0,IF(I21="LeaseUp",LCNew*H21*D21*(1+GrowthMarketRent)^0,IF(I21="Option",LCRenewal*H21*D21*(1+GrowthMarketRent)^0,0))))),0))),0)</f>
        <v/>
      </c>
      <c r="Z21" s="14">
        <f>IFERROR(IF(AND(I21="LeaseUp",1=0),(IF(I21="Vacate",TINew*D21,IF(I21="Market",Retention*TIRenewal*D21+(1-Retention)*TINew*D21,IF(I21="LeaseUp",TINew*D21,IF(I21="Option",TIRenewal*D21,0)))))+(IF(I21="Vacate",LCNew*H21*D21*(1+GrowthMarketRent)^1,IF(I21="Market",Retention*LCRenewal*H21*D21*(1+GrowthMarketRent)^1+(1-Retention)*LCNew*H21*D21*(1+GrowthMarketRent)^1,IF(I21="LeaseUp",LCNew*H21*D21*(1+GrowthMarketRent)^1,IF(I21="Option",LCRenewal*H21*D21*(1+GrowthMarketRent)^1,0))))),IF(F21="",0,IF(AND(F21&gt;=DATE(2026+1,5,1),F21&lt;=DATE(2027+1,4,30)),(IF(I21="Vacate",TINew*D21,IF(I21="Market",Retention*TIRenewal*D21+(1-Retention)*TINew*D21,IF(I21="LeaseUp",TINew*D21,IF(I21="Option",TIRenewal*D21,0)))))+(IF(I21="Vacate",LCNew*H21*D21*(1+GrowthMarketRent)^1,IF(I21="Market",Retention*LCRenewal*H21*D21*(1+GrowthMarketRent)^1+(1-Retention)*LCNew*H21*D21*(1+GrowthMarketRent)^1,IF(I21="LeaseUp",LCNew*H21*D21*(1+GrowthMarketRent)^1,IF(I21="Option",LCRenewal*H21*D21*(1+GrowthMarketRent)^1,0))))),0))),0)</f>
        <v/>
      </c>
      <c r="AA21" s="14">
        <f>IFERROR(IF(AND(I21="LeaseUp",2=0),(IF(I21="Vacate",TINew*D21,IF(I21="Market",Retention*TIRenewal*D21+(1-Retention)*TINew*D21,IF(I21="LeaseUp",TINew*D21,IF(I21="Option",TIRenewal*D21,0)))))+(IF(I21="Vacate",LCNew*H21*D21*(1+GrowthMarketRent)^2,IF(I21="Market",Retention*LCRenewal*H21*D21*(1+GrowthMarketRent)^2+(1-Retention)*LCNew*H21*D21*(1+GrowthMarketRent)^2,IF(I21="LeaseUp",LCNew*H21*D21*(1+GrowthMarketRent)^2,IF(I21="Option",LCRenewal*H21*D21*(1+GrowthMarketRent)^2,0))))),IF(F21="",0,IF(AND(F21&gt;=DATE(2026+2,5,1),F21&lt;=DATE(2027+2,4,30)),(IF(I21="Vacate",TINew*D21,IF(I21="Market",Retention*TIRenewal*D21+(1-Retention)*TINew*D21,IF(I21="LeaseUp",TINew*D21,IF(I21="Option",TIRenewal*D21,0)))))+(IF(I21="Vacate",LCNew*H21*D21*(1+GrowthMarketRent)^2,IF(I21="Market",Retention*LCRenewal*H21*D21*(1+GrowthMarketRent)^2+(1-Retention)*LCNew*H21*D21*(1+GrowthMarketRent)^2,IF(I21="LeaseUp",LCNew*H21*D21*(1+GrowthMarketRent)^2,IF(I21="Option",LCRenewal*H21*D21*(1+GrowthMarketRent)^2,0))))),0))),0)</f>
        <v/>
      </c>
      <c r="AB21" s="14">
        <f>IFERROR(IF(AND(I21="LeaseUp",3=0),(IF(I21="Vacate",TINew*D21,IF(I21="Market",Retention*TIRenewal*D21+(1-Retention)*TINew*D21,IF(I21="LeaseUp",TINew*D21,IF(I21="Option",TIRenewal*D21,0)))))+(IF(I21="Vacate",LCNew*H21*D21*(1+GrowthMarketRent)^3,IF(I21="Market",Retention*LCRenewal*H21*D21*(1+GrowthMarketRent)^3+(1-Retention)*LCNew*H21*D21*(1+GrowthMarketRent)^3,IF(I21="LeaseUp",LCNew*H21*D21*(1+GrowthMarketRent)^3,IF(I21="Option",LCRenewal*H21*D21*(1+GrowthMarketRent)^3,0))))),IF(F21="",0,IF(AND(F21&gt;=DATE(2026+3,5,1),F21&lt;=DATE(2027+3,4,30)),(IF(I21="Vacate",TINew*D21,IF(I21="Market",Retention*TIRenewal*D21+(1-Retention)*TINew*D21,IF(I21="LeaseUp",TINew*D21,IF(I21="Option",TIRenewal*D21,0)))))+(IF(I21="Vacate",LCNew*H21*D21*(1+GrowthMarketRent)^3,IF(I21="Market",Retention*LCRenewal*H21*D21*(1+GrowthMarketRent)^3+(1-Retention)*LCNew*H21*D21*(1+GrowthMarketRent)^3,IF(I21="LeaseUp",LCNew*H21*D21*(1+GrowthMarketRent)^3,IF(I21="Option",LCRenewal*H21*D21*(1+GrowthMarketRent)^3,0))))),0))),0)</f>
        <v/>
      </c>
      <c r="AC21" s="14">
        <f>IFERROR(IF(AND(I21="LeaseUp",4=0),(IF(I21="Vacate",TINew*D21,IF(I21="Market",Retention*TIRenewal*D21+(1-Retention)*TINew*D21,IF(I21="LeaseUp",TINew*D21,IF(I21="Option",TIRenewal*D21,0)))))+(IF(I21="Vacate",LCNew*H21*D21*(1+GrowthMarketRent)^4,IF(I21="Market",Retention*LCRenewal*H21*D21*(1+GrowthMarketRent)^4+(1-Retention)*LCNew*H21*D21*(1+GrowthMarketRent)^4,IF(I21="LeaseUp",LCNew*H21*D21*(1+GrowthMarketRent)^4,IF(I21="Option",LCRenewal*H21*D21*(1+GrowthMarketRent)^4,0))))),IF(F21="",0,IF(AND(F21&gt;=DATE(2026+4,5,1),F21&lt;=DATE(2027+4,4,30)),(IF(I21="Vacate",TINew*D21,IF(I21="Market",Retention*TIRenewal*D21+(1-Retention)*TINew*D21,IF(I21="LeaseUp",TINew*D21,IF(I21="Option",TIRenewal*D21,0)))))+(IF(I21="Vacate",LCNew*H21*D21*(1+GrowthMarketRent)^4,IF(I21="Market",Retention*LCRenewal*H21*D21*(1+GrowthMarketRent)^4+(1-Retention)*LCNew*H21*D21*(1+GrowthMarketRent)^4,IF(I21="LeaseUp",LCNew*H21*D21*(1+GrowthMarketRent)^4,IF(I21="Option",LCRenewal*H21*D21*(1+GrowthMarketRent)^4,0))))),0))),0)</f>
        <v/>
      </c>
      <c r="AD21" s="14">
        <f>IFERROR(IF(AND(I21="LeaseUp",5=0),(IF(I21="Vacate",TINew*D21,IF(I21="Market",Retention*TIRenewal*D21+(1-Retention)*TINew*D21,IF(I21="LeaseUp",TINew*D21,IF(I21="Option",TIRenewal*D21,0)))))+(IF(I21="Vacate",LCNew*H21*D21*(1+GrowthMarketRent)^5,IF(I21="Market",Retention*LCRenewal*H21*D21*(1+GrowthMarketRent)^5+(1-Retention)*LCNew*H21*D21*(1+GrowthMarketRent)^5,IF(I21="LeaseUp",LCNew*H21*D21*(1+GrowthMarketRent)^5,IF(I21="Option",LCRenewal*H21*D21*(1+GrowthMarketRent)^5,0))))),IF(F21="",0,IF(AND(F21&gt;=DATE(2026+5,5,1),F21&lt;=DATE(2027+5,4,30)),(IF(I21="Vacate",TINew*D21,IF(I21="Market",Retention*TIRenewal*D21+(1-Retention)*TINew*D21,IF(I21="LeaseUp",TINew*D21,IF(I21="Option",TIRenewal*D21,0)))))+(IF(I21="Vacate",LCNew*H21*D21*(1+GrowthMarketRent)^5,IF(I21="Market",Retention*LCRenewal*H21*D21*(1+GrowthMarketRent)^5+(1-Retention)*LCNew*H21*D21*(1+GrowthMarketRent)^5,IF(I21="LeaseUp",LCNew*H21*D21*(1+GrowthMarketRent)^5,IF(I21="Option",LCRenewal*H21*D21*(1+GrowthMarketRent)^5,0))))),0))),0)</f>
        <v/>
      </c>
      <c r="AE21" s="14">
        <f>IFERROR(IF(AND(I21="LeaseUp",6=0),(IF(I21="Vacate",TINew*D21,IF(I21="Market",Retention*TIRenewal*D21+(1-Retention)*TINew*D21,IF(I21="LeaseUp",TINew*D21,IF(I21="Option",TIRenewal*D21,0)))))+(IF(I21="Vacate",LCNew*H21*D21*(1+GrowthMarketRent)^6,IF(I21="Market",Retention*LCRenewal*H21*D21*(1+GrowthMarketRent)^6+(1-Retention)*LCNew*H21*D21*(1+GrowthMarketRent)^6,IF(I21="LeaseUp",LCNew*H21*D21*(1+GrowthMarketRent)^6,IF(I21="Option",LCRenewal*H21*D21*(1+GrowthMarketRent)^6,0))))),IF(F21="",0,IF(AND(F21&gt;=DATE(2026+6,5,1),F21&lt;=DATE(2027+6,4,30)),(IF(I21="Vacate",TINew*D21,IF(I21="Market",Retention*TIRenewal*D21+(1-Retention)*TINew*D21,IF(I21="LeaseUp",TINew*D21,IF(I21="Option",TIRenewal*D21,0)))))+(IF(I21="Vacate",LCNew*H21*D21*(1+GrowthMarketRent)^6,IF(I21="Market",Retention*LCRenewal*H21*D21*(1+GrowthMarketRent)^6+(1-Retention)*LCNew*H21*D21*(1+GrowthMarketRent)^6,IF(I21="LeaseUp",LCNew*H21*D21*(1+GrowthMarketRent)^6,IF(I21="Option",LCRenewal*H21*D21*(1+GrowthMarketRent)^6,0))))),0))),0)</f>
        <v/>
      </c>
      <c r="AF21" s="14">
        <f>IFERROR(IF(AND(I21="LeaseUp",7=0),(IF(I21="Vacate",TINew*D21,IF(I21="Market",Retention*TIRenewal*D21+(1-Retention)*TINew*D21,IF(I21="LeaseUp",TINew*D21,IF(I21="Option",TIRenewal*D21,0)))))+(IF(I21="Vacate",LCNew*H21*D21*(1+GrowthMarketRent)^7,IF(I21="Market",Retention*LCRenewal*H21*D21*(1+GrowthMarketRent)^7+(1-Retention)*LCNew*H21*D21*(1+GrowthMarketRent)^7,IF(I21="LeaseUp",LCNew*H21*D21*(1+GrowthMarketRent)^7,IF(I21="Option",LCRenewal*H21*D21*(1+GrowthMarketRent)^7,0))))),IF(F21="",0,IF(AND(F21&gt;=DATE(2026+7,5,1),F21&lt;=DATE(2027+7,4,30)),(IF(I21="Vacate",TINew*D21,IF(I21="Market",Retention*TIRenewal*D21+(1-Retention)*TINew*D21,IF(I21="LeaseUp",TINew*D21,IF(I21="Option",TIRenewal*D21,0)))))+(IF(I21="Vacate",LCNew*H21*D21*(1+GrowthMarketRent)^7,IF(I21="Market",Retention*LCRenewal*H21*D21*(1+GrowthMarketRent)^7+(1-Retention)*LCNew*H21*D21*(1+GrowthMarketRent)^7,IF(I21="LeaseUp",LCNew*H21*D21*(1+GrowthMarketRent)^7,IF(I21="Option",LCRenewal*H21*D21*(1+GrowthMarketRent)^7,0))))),0))),0)</f>
        <v/>
      </c>
      <c r="AG21" s="14">
        <f>IFERROR(IF(AND(I21="LeaseUp",8=0),(IF(I21="Vacate",TINew*D21,IF(I21="Market",Retention*TIRenewal*D21+(1-Retention)*TINew*D21,IF(I21="LeaseUp",TINew*D21,IF(I21="Option",TIRenewal*D21,0)))))+(IF(I21="Vacate",LCNew*H21*D21*(1+GrowthMarketRent)^8,IF(I21="Market",Retention*LCRenewal*H21*D21*(1+GrowthMarketRent)^8+(1-Retention)*LCNew*H21*D21*(1+GrowthMarketRent)^8,IF(I21="LeaseUp",LCNew*H21*D21*(1+GrowthMarketRent)^8,IF(I21="Option",LCRenewal*H21*D21*(1+GrowthMarketRent)^8,0))))),IF(F21="",0,IF(AND(F21&gt;=DATE(2026+8,5,1),F21&lt;=DATE(2027+8,4,30)),(IF(I21="Vacate",TINew*D21,IF(I21="Market",Retention*TIRenewal*D21+(1-Retention)*TINew*D21,IF(I21="LeaseUp",TINew*D21,IF(I21="Option",TIRenewal*D21,0)))))+(IF(I21="Vacate",LCNew*H21*D21*(1+GrowthMarketRent)^8,IF(I21="Market",Retention*LCRenewal*H21*D21*(1+GrowthMarketRent)^8+(1-Retention)*LCNew*H21*D21*(1+GrowthMarketRent)^8,IF(I21="LeaseUp",LCNew*H21*D21*(1+GrowthMarketRent)^8,IF(I21="Option",LCRenewal*H21*D21*(1+GrowthMarketRent)^8,0))))),0))),0)</f>
        <v/>
      </c>
      <c r="AH21" s="14">
        <f>IFERROR(IF(AND(I21="LeaseUp",9=0),(IF(I21="Vacate",TINew*D21,IF(I21="Market",Retention*TIRenewal*D21+(1-Retention)*TINew*D21,IF(I21="LeaseUp",TINew*D21,IF(I21="Option",TIRenewal*D21,0)))))+(IF(I21="Vacate",LCNew*H21*D21*(1+GrowthMarketRent)^9,IF(I21="Market",Retention*LCRenewal*H21*D21*(1+GrowthMarketRent)^9+(1-Retention)*LCNew*H21*D21*(1+GrowthMarketRent)^9,IF(I21="LeaseUp",LCNew*H21*D21*(1+GrowthMarketRent)^9,IF(I21="Option",LCRenewal*H21*D21*(1+GrowthMarketRent)^9,0))))),IF(F21="",0,IF(AND(F21&gt;=DATE(2026+9,5,1),F21&lt;=DATE(2027+9,4,30)),(IF(I21="Vacate",TINew*D21,IF(I21="Market",Retention*TIRenewal*D21+(1-Retention)*TINew*D21,IF(I21="LeaseUp",TINew*D21,IF(I21="Option",TIRenewal*D21,0)))))+(IF(I21="Vacate",LCNew*H21*D21*(1+GrowthMarketRent)^9,IF(I21="Market",Retention*LCRenewal*H21*D21*(1+GrowthMarketRent)^9+(1-Retention)*LCNew*H21*D21*(1+GrowthMarketRent)^9,IF(I21="LeaseUp",LCNew*H21*D21*(1+GrowthMarketRent)^9,IF(I21="Option",LCRenewal*H21*D21*(1+GrowthMarketRent)^9,0))))),0))),0)</f>
        <v/>
      </c>
      <c r="AI21" s="14">
        <f>IFERROR(IF(AND(I21="LeaseUp",10=0),(IF(I21="Vacate",TINew*D21,IF(I21="Market",Retention*TIRenewal*D21+(1-Retention)*TINew*D21,IF(I21="LeaseUp",TINew*D21,IF(I21="Option",TIRenewal*D21,0)))))+(IF(I21="Vacate",LCNew*H21*D21*(1+GrowthMarketRent)^10,IF(I21="Market",Retention*LCRenewal*H21*D21*(1+GrowthMarketRent)^10+(1-Retention)*LCNew*H21*D21*(1+GrowthMarketRent)^10,IF(I21="LeaseUp",LCNew*H21*D21*(1+GrowthMarketRent)^10,IF(I21="Option",LCRenewal*H21*D21*(1+GrowthMarketRent)^10,0))))),IF(F21="",0,IF(AND(F21&gt;=DATE(2026+10,5,1),F21&lt;=DATE(2027+10,4,30)),(IF(I21="Vacate",TINew*D21,IF(I21="Market",Retention*TIRenewal*D21+(1-Retention)*TINew*D21,IF(I21="LeaseUp",TINew*D21,IF(I21="Option",TIRenewal*D21,0)))))+(IF(I21="Vacate",LCNew*H21*D21*(1+GrowthMarketRent)^10,IF(I21="Market",Retention*LCRenewal*H21*D21*(1+GrowthMarketRent)^10+(1-Retention)*LCNew*H21*D21*(1+GrowthMarketRent)^10,IF(I21="LeaseUp",LCNew*H21*D21*(1+GrowthMarketRent)^10,IF(I21="Option",LCRenewal*H21*D21*(1+GrowthMarketRent)^10,0))))),0))),0)</f>
        <v/>
      </c>
    </row>
    <row r="22">
      <c r="A22" t="inlineStr">
        <is>
          <t>Carrollton</t>
        </is>
      </c>
      <c r="B22" t="inlineStr">
        <is>
          <t>236</t>
        </is>
      </c>
      <c r="C22" t="inlineStr">
        <is>
          <t>Republic RX LLC</t>
        </is>
      </c>
      <c r="D22" s="32" t="n">
        <v>1870</v>
      </c>
      <c r="E22" s="33" t="n">
        <v>45505</v>
      </c>
      <c r="F22" s="33" t="n">
        <v>46784</v>
      </c>
      <c r="G22" s="34" t="n">
        <v>16.4</v>
      </c>
      <c r="H22" s="16">
        <f>VLOOKUP("Carrollton — "&amp;J22,MLA!$A$5:$L$11,3,FALSE)</f>
        <v/>
      </c>
      <c r="I22" s="11" t="inlineStr">
        <is>
          <t>Market</t>
        </is>
      </c>
      <c r="J22" t="inlineStr">
        <is>
          <t>Studio</t>
        </is>
      </c>
      <c r="K22" t="inlineStr">
        <is>
          <t>Occupied</t>
        </is>
      </c>
      <c r="L22" t="inlineStr">
        <is>
          <t>Studio; Guarantor: Tung Nguyen</t>
        </is>
      </c>
      <c r="M22" s="20">
        <f>IF(E22="",0,(AnalysisStart-E22)/365.25)</f>
        <v/>
      </c>
      <c r="N22" s="14">
        <f>IFERROR(IF(I22="LeaseUp",H22*D22*(1+GrowthMarketRent)^0*IF(0=0,(12-DowntimeNew)/12,1),IF(F22="",0,IF(F22&gt;=DATE(2027+0,4,30),G22*D22*(1+EscalatorInLease)^(0+M22),IF(F22&lt;DATE(2026+0,5,1),IF(I22="Vacate",H22*D22*(1+GrowthMarketRent)^0*IF(INT((DATE(2026+0,10,31)-F22)/365.25)=0,(12-DowntimeNew)/12,1),IF(I22="Option",G22*D22*1.025*(1+EscalatorInLease)^0,IF(I22="Market",Retention*G22*D22*(1+EscalatorInLease)^(0+M22)+(1-Retention)*H22*D22*(1+GrowthMarketRent)^0*IF(INT((DATE(2026+0,10,31)-F22)/365.25)=0,(12-DowntimeNew)/12,1),IF(I22="LeaseUp",H22*D22*(1+GrowthMarketRent)^0*IF(0=0,(12-DowntimeNew)/12,1),0)))),((F22-DATE(2026+0,5,1))/365.25)*G22*D22*(1+EscalatorInLease)^(0+M22)+((DATE(2027+0,4,30)-F22)/365.25)*IF(I22="Vacate",H22*D22*(1+GrowthMarketRent)^0*IF(INT((DATE(2026+0,10,31)-F22)/365.25)=0,(12-DowntimeNew)/12,1),IF(I22="Option",G22*D22*1.025*(1+EscalatorInLease)^0,IF(I22="Market",Retention*G22*D22*(1+EscalatorInLease)^(0+M22)+(1-Retention)*H22*D22*(1+GrowthMarketRent)^0*IF(INT((DATE(2026+0,10,31)-F22)/365.25)=0,(12-DowntimeNew)/12,1),IF(I22="LeaseUp",H22*D22*(1+GrowthMarketRent)^0*IF(0=0,(12-DowntimeNew)/12,1),0)))))))),0)</f>
        <v/>
      </c>
      <c r="O22" s="14">
        <f>IFERROR(IF(I22="LeaseUp",H22*D22*(1+GrowthMarketRent)^1*IF(1=0,(12-DowntimeNew)/12,1),IF(F22="",0,IF(F22&gt;=DATE(2027+1,4,30),G22*D22*(1+EscalatorInLease)^(1+M22),IF(F22&lt;DATE(2026+1,5,1),IF(I22="Vacate",H22*D22*(1+GrowthMarketRent)^1*IF(INT((DATE(2026+1,10,31)-F22)/365.25)=0,(12-DowntimeNew)/12,1),IF(I22="Option",G22*D22*1.025*(1+EscalatorInLease)^1,IF(I22="Market",Retention*G22*D22*(1+EscalatorInLease)^(1+M22)+(1-Retention)*H22*D22*(1+GrowthMarketRent)^1*IF(INT((DATE(2026+1,10,31)-F22)/365.25)=0,(12-DowntimeNew)/12,1),IF(I22="LeaseUp",H22*D22*(1+GrowthMarketRent)^1*IF(1=0,(12-DowntimeNew)/12,1),0)))),((F22-DATE(2026+1,5,1))/365.25)*G22*D22*(1+EscalatorInLease)^(1+M22)+((DATE(2027+1,4,30)-F22)/365.25)*IF(I22="Vacate",H22*D22*(1+GrowthMarketRent)^1*IF(INT((DATE(2026+1,10,31)-F22)/365.25)=0,(12-DowntimeNew)/12,1),IF(I22="Option",G22*D22*1.025*(1+EscalatorInLease)^1,IF(I22="Market",Retention*G22*D22*(1+EscalatorInLease)^(1+M22)+(1-Retention)*H22*D22*(1+GrowthMarketRent)^1*IF(INT((DATE(2026+1,10,31)-F22)/365.25)=0,(12-DowntimeNew)/12,1),IF(I22="LeaseUp",H22*D22*(1+GrowthMarketRent)^1*IF(1=0,(12-DowntimeNew)/12,1),0)))))))),0)</f>
        <v/>
      </c>
      <c r="P22" s="14">
        <f>IFERROR(IF(I22="LeaseUp",H22*D22*(1+GrowthMarketRent)^2*IF(2=0,(12-DowntimeNew)/12,1),IF(F22="",0,IF(F22&gt;=DATE(2027+2,4,30),G22*D22*(1+EscalatorInLease)^(2+M22),IF(F22&lt;DATE(2026+2,5,1),IF(I22="Vacate",H22*D22*(1+GrowthMarketRent)^2*IF(INT((DATE(2026+2,10,31)-F22)/365.25)=0,(12-DowntimeNew)/12,1),IF(I22="Option",G22*D22*1.025*(1+EscalatorInLease)^2,IF(I22="Market",Retention*G22*D22*(1+EscalatorInLease)^(2+M22)+(1-Retention)*H22*D22*(1+GrowthMarketRent)^2*IF(INT((DATE(2026+2,10,31)-F22)/365.25)=0,(12-DowntimeNew)/12,1),IF(I22="LeaseUp",H22*D22*(1+GrowthMarketRent)^2*IF(2=0,(12-DowntimeNew)/12,1),0)))),((F22-DATE(2026+2,5,1))/365.25)*G22*D22*(1+EscalatorInLease)^(2+M22)+((DATE(2027+2,4,30)-F22)/365.25)*IF(I22="Vacate",H22*D22*(1+GrowthMarketRent)^2*IF(INT((DATE(2026+2,10,31)-F22)/365.25)=0,(12-DowntimeNew)/12,1),IF(I22="Option",G22*D22*1.025*(1+EscalatorInLease)^2,IF(I22="Market",Retention*G22*D22*(1+EscalatorInLease)^(2+M22)+(1-Retention)*H22*D22*(1+GrowthMarketRent)^2*IF(INT((DATE(2026+2,10,31)-F22)/365.25)=0,(12-DowntimeNew)/12,1),IF(I22="LeaseUp",H22*D22*(1+GrowthMarketRent)^2*IF(2=0,(12-DowntimeNew)/12,1),0)))))))),0)</f>
        <v/>
      </c>
      <c r="Q22" s="14">
        <f>IFERROR(IF(I22="LeaseUp",H22*D22*(1+GrowthMarketRent)^3*IF(3=0,(12-DowntimeNew)/12,1),IF(F22="",0,IF(F22&gt;=DATE(2027+3,4,30),G22*D22*(1+EscalatorInLease)^(3+M22),IF(F22&lt;DATE(2026+3,5,1),IF(I22="Vacate",H22*D22*(1+GrowthMarketRent)^3*IF(INT((DATE(2026+3,10,31)-F22)/365.25)=0,(12-DowntimeNew)/12,1),IF(I22="Option",G22*D22*1.025*(1+EscalatorInLease)^3,IF(I22="Market",Retention*G22*D22*(1+EscalatorInLease)^(3+M22)+(1-Retention)*H22*D22*(1+GrowthMarketRent)^3*IF(INT((DATE(2026+3,10,31)-F22)/365.25)=0,(12-DowntimeNew)/12,1),IF(I22="LeaseUp",H22*D22*(1+GrowthMarketRent)^3*IF(3=0,(12-DowntimeNew)/12,1),0)))),((F22-DATE(2026+3,5,1))/365.25)*G22*D22*(1+EscalatorInLease)^(3+M22)+((DATE(2027+3,4,30)-F22)/365.25)*IF(I22="Vacate",H22*D22*(1+GrowthMarketRent)^3*IF(INT((DATE(2026+3,10,31)-F22)/365.25)=0,(12-DowntimeNew)/12,1),IF(I22="Option",G22*D22*1.025*(1+EscalatorInLease)^3,IF(I22="Market",Retention*G22*D22*(1+EscalatorInLease)^(3+M22)+(1-Retention)*H22*D22*(1+GrowthMarketRent)^3*IF(INT((DATE(2026+3,10,31)-F22)/365.25)=0,(12-DowntimeNew)/12,1),IF(I22="LeaseUp",H22*D22*(1+GrowthMarketRent)^3*IF(3=0,(12-DowntimeNew)/12,1),0)))))))),0)</f>
        <v/>
      </c>
      <c r="R22" s="14">
        <f>IFERROR(IF(I22="LeaseUp",H22*D22*(1+GrowthMarketRent)^4*IF(4=0,(12-DowntimeNew)/12,1),IF(F22="",0,IF(F22&gt;=DATE(2027+4,4,30),G22*D22*(1+EscalatorInLease)^(4+M22),IF(F22&lt;DATE(2026+4,5,1),IF(I22="Vacate",H22*D22*(1+GrowthMarketRent)^4*IF(INT((DATE(2026+4,10,31)-F22)/365.25)=0,(12-DowntimeNew)/12,1),IF(I22="Option",G22*D22*1.025*(1+EscalatorInLease)^4,IF(I22="Market",Retention*G22*D22*(1+EscalatorInLease)^(4+M22)+(1-Retention)*H22*D22*(1+GrowthMarketRent)^4*IF(INT((DATE(2026+4,10,31)-F22)/365.25)=0,(12-DowntimeNew)/12,1),IF(I22="LeaseUp",H22*D22*(1+GrowthMarketRent)^4*IF(4=0,(12-DowntimeNew)/12,1),0)))),((F22-DATE(2026+4,5,1))/365.25)*G22*D22*(1+EscalatorInLease)^(4+M22)+((DATE(2027+4,4,30)-F22)/365.25)*IF(I22="Vacate",H22*D22*(1+GrowthMarketRent)^4*IF(INT((DATE(2026+4,10,31)-F22)/365.25)=0,(12-DowntimeNew)/12,1),IF(I22="Option",G22*D22*1.025*(1+EscalatorInLease)^4,IF(I22="Market",Retention*G22*D22*(1+EscalatorInLease)^(4+M22)+(1-Retention)*H22*D22*(1+GrowthMarketRent)^4*IF(INT((DATE(2026+4,10,31)-F22)/365.25)=0,(12-DowntimeNew)/12,1),IF(I22="LeaseUp",H22*D22*(1+GrowthMarketRent)^4*IF(4=0,(12-DowntimeNew)/12,1),0)))))))),0)</f>
        <v/>
      </c>
      <c r="S22" s="14">
        <f>IFERROR(IF(I22="LeaseUp",H22*D22*(1+GrowthMarketRent)^5*IF(5=0,(12-DowntimeNew)/12,1),IF(F22="",0,IF(F22&gt;=DATE(2027+5,4,30),G22*D22*(1+EscalatorInLease)^(5+M22),IF(F22&lt;DATE(2026+5,5,1),IF(I22="Vacate",H22*D22*(1+GrowthMarketRent)^5*IF(INT((DATE(2026+5,10,31)-F22)/365.25)=0,(12-DowntimeNew)/12,1),IF(I22="Option",G22*D22*1.025*(1+EscalatorInLease)^5,IF(I22="Market",Retention*G22*D22*(1+EscalatorInLease)^(5+M22)+(1-Retention)*H22*D22*(1+GrowthMarketRent)^5*IF(INT((DATE(2026+5,10,31)-F22)/365.25)=0,(12-DowntimeNew)/12,1),IF(I22="LeaseUp",H22*D22*(1+GrowthMarketRent)^5*IF(5=0,(12-DowntimeNew)/12,1),0)))),((F22-DATE(2026+5,5,1))/365.25)*G22*D22*(1+EscalatorInLease)^(5+M22)+((DATE(2027+5,4,30)-F22)/365.25)*IF(I22="Vacate",H22*D22*(1+GrowthMarketRent)^5*IF(INT((DATE(2026+5,10,31)-F22)/365.25)=0,(12-DowntimeNew)/12,1),IF(I22="Option",G22*D22*1.025*(1+EscalatorInLease)^5,IF(I22="Market",Retention*G22*D22*(1+EscalatorInLease)^(5+M22)+(1-Retention)*H22*D22*(1+GrowthMarketRent)^5*IF(INT((DATE(2026+5,10,31)-F22)/365.25)=0,(12-DowntimeNew)/12,1),IF(I22="LeaseUp",H22*D22*(1+GrowthMarketRent)^5*IF(5=0,(12-DowntimeNew)/12,1),0)))))))),0)</f>
        <v/>
      </c>
      <c r="T22" s="14">
        <f>IFERROR(IF(I22="LeaseUp",H22*D22*(1+GrowthMarketRent)^6*IF(6=0,(12-DowntimeNew)/12,1),IF(F22="",0,IF(F22&gt;=DATE(2027+6,4,30),G22*D22*(1+EscalatorInLease)^(6+M22),IF(F22&lt;DATE(2026+6,5,1),IF(I22="Vacate",H22*D22*(1+GrowthMarketRent)^6*IF(INT((DATE(2026+6,10,31)-F22)/365.25)=0,(12-DowntimeNew)/12,1),IF(I22="Option",G22*D22*1.025*(1+EscalatorInLease)^6,IF(I22="Market",Retention*G22*D22*(1+EscalatorInLease)^(6+M22)+(1-Retention)*H22*D22*(1+GrowthMarketRent)^6*IF(INT((DATE(2026+6,10,31)-F22)/365.25)=0,(12-DowntimeNew)/12,1),IF(I22="LeaseUp",H22*D22*(1+GrowthMarketRent)^6*IF(6=0,(12-DowntimeNew)/12,1),0)))),((F22-DATE(2026+6,5,1))/365.25)*G22*D22*(1+EscalatorInLease)^(6+M22)+((DATE(2027+6,4,30)-F22)/365.25)*IF(I22="Vacate",H22*D22*(1+GrowthMarketRent)^6*IF(INT((DATE(2026+6,10,31)-F22)/365.25)=0,(12-DowntimeNew)/12,1),IF(I22="Option",G22*D22*1.025*(1+EscalatorInLease)^6,IF(I22="Market",Retention*G22*D22*(1+EscalatorInLease)^(6+M22)+(1-Retention)*H22*D22*(1+GrowthMarketRent)^6*IF(INT((DATE(2026+6,10,31)-F22)/365.25)=0,(12-DowntimeNew)/12,1),IF(I22="LeaseUp",H22*D22*(1+GrowthMarketRent)^6*IF(6=0,(12-DowntimeNew)/12,1),0)))))))),0)</f>
        <v/>
      </c>
      <c r="U22" s="14">
        <f>IFERROR(IF(I22="LeaseUp",H22*D22*(1+GrowthMarketRent)^7*IF(7=0,(12-DowntimeNew)/12,1),IF(F22="",0,IF(F22&gt;=DATE(2027+7,4,30),G22*D22*(1+EscalatorInLease)^(7+M22),IF(F22&lt;DATE(2026+7,5,1),IF(I22="Vacate",H22*D22*(1+GrowthMarketRent)^7*IF(INT((DATE(2026+7,10,31)-F22)/365.25)=0,(12-DowntimeNew)/12,1),IF(I22="Option",G22*D22*1.025*(1+EscalatorInLease)^7,IF(I22="Market",Retention*G22*D22*(1+EscalatorInLease)^(7+M22)+(1-Retention)*H22*D22*(1+GrowthMarketRent)^7*IF(INT((DATE(2026+7,10,31)-F22)/365.25)=0,(12-DowntimeNew)/12,1),IF(I22="LeaseUp",H22*D22*(1+GrowthMarketRent)^7*IF(7=0,(12-DowntimeNew)/12,1),0)))),((F22-DATE(2026+7,5,1))/365.25)*G22*D22*(1+EscalatorInLease)^(7+M22)+((DATE(2027+7,4,30)-F22)/365.25)*IF(I22="Vacate",H22*D22*(1+GrowthMarketRent)^7*IF(INT((DATE(2026+7,10,31)-F22)/365.25)=0,(12-DowntimeNew)/12,1),IF(I22="Option",G22*D22*1.025*(1+EscalatorInLease)^7,IF(I22="Market",Retention*G22*D22*(1+EscalatorInLease)^(7+M22)+(1-Retention)*H22*D22*(1+GrowthMarketRent)^7*IF(INT((DATE(2026+7,10,31)-F22)/365.25)=0,(12-DowntimeNew)/12,1),IF(I22="LeaseUp",H22*D22*(1+GrowthMarketRent)^7*IF(7=0,(12-DowntimeNew)/12,1),0)))))))),0)</f>
        <v/>
      </c>
      <c r="V22" s="14">
        <f>IFERROR(IF(I22="LeaseUp",H22*D22*(1+GrowthMarketRent)^8*IF(8=0,(12-DowntimeNew)/12,1),IF(F22="",0,IF(F22&gt;=DATE(2027+8,4,30),G22*D22*(1+EscalatorInLease)^(8+M22),IF(F22&lt;DATE(2026+8,5,1),IF(I22="Vacate",H22*D22*(1+GrowthMarketRent)^8*IF(INT((DATE(2026+8,10,31)-F22)/365.25)=0,(12-DowntimeNew)/12,1),IF(I22="Option",G22*D22*1.025*(1+EscalatorInLease)^8,IF(I22="Market",Retention*G22*D22*(1+EscalatorInLease)^(8+M22)+(1-Retention)*H22*D22*(1+GrowthMarketRent)^8*IF(INT((DATE(2026+8,10,31)-F22)/365.25)=0,(12-DowntimeNew)/12,1),IF(I22="LeaseUp",H22*D22*(1+GrowthMarketRent)^8*IF(8=0,(12-DowntimeNew)/12,1),0)))),((F22-DATE(2026+8,5,1))/365.25)*G22*D22*(1+EscalatorInLease)^(8+M22)+((DATE(2027+8,4,30)-F22)/365.25)*IF(I22="Vacate",H22*D22*(1+GrowthMarketRent)^8*IF(INT((DATE(2026+8,10,31)-F22)/365.25)=0,(12-DowntimeNew)/12,1),IF(I22="Option",G22*D22*1.025*(1+EscalatorInLease)^8,IF(I22="Market",Retention*G22*D22*(1+EscalatorInLease)^(8+M22)+(1-Retention)*H22*D22*(1+GrowthMarketRent)^8*IF(INT((DATE(2026+8,10,31)-F22)/365.25)=0,(12-DowntimeNew)/12,1),IF(I22="LeaseUp",H22*D22*(1+GrowthMarketRent)^8*IF(8=0,(12-DowntimeNew)/12,1),0)))))))),0)</f>
        <v/>
      </c>
      <c r="W22" s="14">
        <f>IFERROR(IF(I22="LeaseUp",H22*D22*(1+GrowthMarketRent)^9*IF(9=0,(12-DowntimeNew)/12,1),IF(F22="",0,IF(F22&gt;=DATE(2027+9,4,30),G22*D22*(1+EscalatorInLease)^(9+M22),IF(F22&lt;DATE(2026+9,5,1),IF(I22="Vacate",H22*D22*(1+GrowthMarketRent)^9*IF(INT((DATE(2026+9,10,31)-F22)/365.25)=0,(12-DowntimeNew)/12,1),IF(I22="Option",G22*D22*1.025*(1+EscalatorInLease)^9,IF(I22="Market",Retention*G22*D22*(1+EscalatorInLease)^(9+M22)+(1-Retention)*H22*D22*(1+GrowthMarketRent)^9*IF(INT((DATE(2026+9,10,31)-F22)/365.25)=0,(12-DowntimeNew)/12,1),IF(I22="LeaseUp",H22*D22*(1+GrowthMarketRent)^9*IF(9=0,(12-DowntimeNew)/12,1),0)))),((F22-DATE(2026+9,5,1))/365.25)*G22*D22*(1+EscalatorInLease)^(9+M22)+((DATE(2027+9,4,30)-F22)/365.25)*IF(I22="Vacate",H22*D22*(1+GrowthMarketRent)^9*IF(INT((DATE(2026+9,10,31)-F22)/365.25)=0,(12-DowntimeNew)/12,1),IF(I22="Option",G22*D22*1.025*(1+EscalatorInLease)^9,IF(I22="Market",Retention*G22*D22*(1+EscalatorInLease)^(9+M22)+(1-Retention)*H22*D22*(1+GrowthMarketRent)^9*IF(INT((DATE(2026+9,10,31)-F22)/365.25)=0,(12-DowntimeNew)/12,1),IF(I22="LeaseUp",H22*D22*(1+GrowthMarketRent)^9*IF(9=0,(12-DowntimeNew)/12,1),0)))))))),0)</f>
        <v/>
      </c>
      <c r="X22" s="14">
        <f>IFERROR(IF(I22="LeaseUp",H22*D22*(1+GrowthMarketRent)^10*IF(10=0,(12-DowntimeNew)/12,1),IF(F22="",0,IF(F22&gt;=DATE(2027+10,4,30),G22*D22*(1+EscalatorInLease)^(10+M22),IF(F22&lt;DATE(2026+10,5,1),IF(I22="Vacate",H22*D22*(1+GrowthMarketRent)^10*IF(INT((DATE(2026+10,10,31)-F22)/365.25)=0,(12-DowntimeNew)/12,1),IF(I22="Option",G22*D22*1.025*(1+EscalatorInLease)^10,IF(I22="Market",Retention*G22*D22*(1+EscalatorInLease)^(10+M22)+(1-Retention)*H22*D22*(1+GrowthMarketRent)^10*IF(INT((DATE(2026+10,10,31)-F22)/365.25)=0,(12-DowntimeNew)/12,1),IF(I22="LeaseUp",H22*D22*(1+GrowthMarketRent)^10*IF(10=0,(12-DowntimeNew)/12,1),0)))),((F22-DATE(2026+10,5,1))/365.25)*G22*D22*(1+EscalatorInLease)^(10+M22)+((DATE(2027+10,4,30)-F22)/365.25)*IF(I22="Vacate",H22*D22*(1+GrowthMarketRent)^10*IF(INT((DATE(2026+10,10,31)-F22)/365.25)=0,(12-DowntimeNew)/12,1),IF(I22="Option",G22*D22*1.025*(1+EscalatorInLease)^10,IF(I22="Market",Retention*G22*D22*(1+EscalatorInLease)^(10+M22)+(1-Retention)*H22*D22*(1+GrowthMarketRent)^10*IF(INT((DATE(2026+10,10,31)-F22)/365.25)=0,(12-DowntimeNew)/12,1),IF(I22="LeaseUp",H22*D22*(1+GrowthMarketRent)^10*IF(10=0,(12-DowntimeNew)/12,1),0)))))))),0)</f>
        <v/>
      </c>
      <c r="Y22" s="14">
        <f>IFERROR(IF(AND(I22="LeaseUp",0=0),(IF(I22="Vacate",TINew*D22,IF(I22="Market",Retention*TIRenewal*D22+(1-Retention)*TINew*D22,IF(I22="LeaseUp",TINew*D22,IF(I22="Option",TIRenewal*D22,0)))))+(IF(I22="Vacate",LCNew*H22*D22*(1+GrowthMarketRent)^0,IF(I22="Market",Retention*LCRenewal*H22*D22*(1+GrowthMarketRent)^0+(1-Retention)*LCNew*H22*D22*(1+GrowthMarketRent)^0,IF(I22="LeaseUp",LCNew*H22*D22*(1+GrowthMarketRent)^0,IF(I22="Option",LCRenewal*H22*D22*(1+GrowthMarketRent)^0,0))))),IF(F22="",0,IF(AND(F22&gt;=DATE(2026+0,5,1),F22&lt;=DATE(2027+0,4,30)),(IF(I22="Vacate",TINew*D22,IF(I22="Market",Retention*TIRenewal*D22+(1-Retention)*TINew*D22,IF(I22="LeaseUp",TINew*D22,IF(I22="Option",TIRenewal*D22,0)))))+(IF(I22="Vacate",LCNew*H22*D22*(1+GrowthMarketRent)^0,IF(I22="Market",Retention*LCRenewal*H22*D22*(1+GrowthMarketRent)^0+(1-Retention)*LCNew*H22*D22*(1+GrowthMarketRent)^0,IF(I22="LeaseUp",LCNew*H22*D22*(1+GrowthMarketRent)^0,IF(I22="Option",LCRenewal*H22*D22*(1+GrowthMarketRent)^0,0))))),0))),0)</f>
        <v/>
      </c>
      <c r="Z22" s="14">
        <f>IFERROR(IF(AND(I22="LeaseUp",1=0),(IF(I22="Vacate",TINew*D22,IF(I22="Market",Retention*TIRenewal*D22+(1-Retention)*TINew*D22,IF(I22="LeaseUp",TINew*D22,IF(I22="Option",TIRenewal*D22,0)))))+(IF(I22="Vacate",LCNew*H22*D22*(1+GrowthMarketRent)^1,IF(I22="Market",Retention*LCRenewal*H22*D22*(1+GrowthMarketRent)^1+(1-Retention)*LCNew*H22*D22*(1+GrowthMarketRent)^1,IF(I22="LeaseUp",LCNew*H22*D22*(1+GrowthMarketRent)^1,IF(I22="Option",LCRenewal*H22*D22*(1+GrowthMarketRent)^1,0))))),IF(F22="",0,IF(AND(F22&gt;=DATE(2026+1,5,1),F22&lt;=DATE(2027+1,4,30)),(IF(I22="Vacate",TINew*D22,IF(I22="Market",Retention*TIRenewal*D22+(1-Retention)*TINew*D22,IF(I22="LeaseUp",TINew*D22,IF(I22="Option",TIRenewal*D22,0)))))+(IF(I22="Vacate",LCNew*H22*D22*(1+GrowthMarketRent)^1,IF(I22="Market",Retention*LCRenewal*H22*D22*(1+GrowthMarketRent)^1+(1-Retention)*LCNew*H22*D22*(1+GrowthMarketRent)^1,IF(I22="LeaseUp",LCNew*H22*D22*(1+GrowthMarketRent)^1,IF(I22="Option",LCRenewal*H22*D22*(1+GrowthMarketRent)^1,0))))),0))),0)</f>
        <v/>
      </c>
      <c r="AA22" s="14">
        <f>IFERROR(IF(AND(I22="LeaseUp",2=0),(IF(I22="Vacate",TINew*D22,IF(I22="Market",Retention*TIRenewal*D22+(1-Retention)*TINew*D22,IF(I22="LeaseUp",TINew*D22,IF(I22="Option",TIRenewal*D22,0)))))+(IF(I22="Vacate",LCNew*H22*D22*(1+GrowthMarketRent)^2,IF(I22="Market",Retention*LCRenewal*H22*D22*(1+GrowthMarketRent)^2+(1-Retention)*LCNew*H22*D22*(1+GrowthMarketRent)^2,IF(I22="LeaseUp",LCNew*H22*D22*(1+GrowthMarketRent)^2,IF(I22="Option",LCRenewal*H22*D22*(1+GrowthMarketRent)^2,0))))),IF(F22="",0,IF(AND(F22&gt;=DATE(2026+2,5,1),F22&lt;=DATE(2027+2,4,30)),(IF(I22="Vacate",TINew*D22,IF(I22="Market",Retention*TIRenewal*D22+(1-Retention)*TINew*D22,IF(I22="LeaseUp",TINew*D22,IF(I22="Option",TIRenewal*D22,0)))))+(IF(I22="Vacate",LCNew*H22*D22*(1+GrowthMarketRent)^2,IF(I22="Market",Retention*LCRenewal*H22*D22*(1+GrowthMarketRent)^2+(1-Retention)*LCNew*H22*D22*(1+GrowthMarketRent)^2,IF(I22="LeaseUp",LCNew*H22*D22*(1+GrowthMarketRent)^2,IF(I22="Option",LCRenewal*H22*D22*(1+GrowthMarketRent)^2,0))))),0))),0)</f>
        <v/>
      </c>
      <c r="AB22" s="14">
        <f>IFERROR(IF(AND(I22="LeaseUp",3=0),(IF(I22="Vacate",TINew*D22,IF(I22="Market",Retention*TIRenewal*D22+(1-Retention)*TINew*D22,IF(I22="LeaseUp",TINew*D22,IF(I22="Option",TIRenewal*D22,0)))))+(IF(I22="Vacate",LCNew*H22*D22*(1+GrowthMarketRent)^3,IF(I22="Market",Retention*LCRenewal*H22*D22*(1+GrowthMarketRent)^3+(1-Retention)*LCNew*H22*D22*(1+GrowthMarketRent)^3,IF(I22="LeaseUp",LCNew*H22*D22*(1+GrowthMarketRent)^3,IF(I22="Option",LCRenewal*H22*D22*(1+GrowthMarketRent)^3,0))))),IF(F22="",0,IF(AND(F22&gt;=DATE(2026+3,5,1),F22&lt;=DATE(2027+3,4,30)),(IF(I22="Vacate",TINew*D22,IF(I22="Market",Retention*TIRenewal*D22+(1-Retention)*TINew*D22,IF(I22="LeaseUp",TINew*D22,IF(I22="Option",TIRenewal*D22,0)))))+(IF(I22="Vacate",LCNew*H22*D22*(1+GrowthMarketRent)^3,IF(I22="Market",Retention*LCRenewal*H22*D22*(1+GrowthMarketRent)^3+(1-Retention)*LCNew*H22*D22*(1+GrowthMarketRent)^3,IF(I22="LeaseUp",LCNew*H22*D22*(1+GrowthMarketRent)^3,IF(I22="Option",LCRenewal*H22*D22*(1+GrowthMarketRent)^3,0))))),0))),0)</f>
        <v/>
      </c>
      <c r="AC22" s="14">
        <f>IFERROR(IF(AND(I22="LeaseUp",4=0),(IF(I22="Vacate",TINew*D22,IF(I22="Market",Retention*TIRenewal*D22+(1-Retention)*TINew*D22,IF(I22="LeaseUp",TINew*D22,IF(I22="Option",TIRenewal*D22,0)))))+(IF(I22="Vacate",LCNew*H22*D22*(1+GrowthMarketRent)^4,IF(I22="Market",Retention*LCRenewal*H22*D22*(1+GrowthMarketRent)^4+(1-Retention)*LCNew*H22*D22*(1+GrowthMarketRent)^4,IF(I22="LeaseUp",LCNew*H22*D22*(1+GrowthMarketRent)^4,IF(I22="Option",LCRenewal*H22*D22*(1+GrowthMarketRent)^4,0))))),IF(F22="",0,IF(AND(F22&gt;=DATE(2026+4,5,1),F22&lt;=DATE(2027+4,4,30)),(IF(I22="Vacate",TINew*D22,IF(I22="Market",Retention*TIRenewal*D22+(1-Retention)*TINew*D22,IF(I22="LeaseUp",TINew*D22,IF(I22="Option",TIRenewal*D22,0)))))+(IF(I22="Vacate",LCNew*H22*D22*(1+GrowthMarketRent)^4,IF(I22="Market",Retention*LCRenewal*H22*D22*(1+GrowthMarketRent)^4+(1-Retention)*LCNew*H22*D22*(1+GrowthMarketRent)^4,IF(I22="LeaseUp",LCNew*H22*D22*(1+GrowthMarketRent)^4,IF(I22="Option",LCRenewal*H22*D22*(1+GrowthMarketRent)^4,0))))),0))),0)</f>
        <v/>
      </c>
      <c r="AD22" s="14">
        <f>IFERROR(IF(AND(I22="LeaseUp",5=0),(IF(I22="Vacate",TINew*D22,IF(I22="Market",Retention*TIRenewal*D22+(1-Retention)*TINew*D22,IF(I22="LeaseUp",TINew*D22,IF(I22="Option",TIRenewal*D22,0)))))+(IF(I22="Vacate",LCNew*H22*D22*(1+GrowthMarketRent)^5,IF(I22="Market",Retention*LCRenewal*H22*D22*(1+GrowthMarketRent)^5+(1-Retention)*LCNew*H22*D22*(1+GrowthMarketRent)^5,IF(I22="LeaseUp",LCNew*H22*D22*(1+GrowthMarketRent)^5,IF(I22="Option",LCRenewal*H22*D22*(1+GrowthMarketRent)^5,0))))),IF(F22="",0,IF(AND(F22&gt;=DATE(2026+5,5,1),F22&lt;=DATE(2027+5,4,30)),(IF(I22="Vacate",TINew*D22,IF(I22="Market",Retention*TIRenewal*D22+(1-Retention)*TINew*D22,IF(I22="LeaseUp",TINew*D22,IF(I22="Option",TIRenewal*D22,0)))))+(IF(I22="Vacate",LCNew*H22*D22*(1+GrowthMarketRent)^5,IF(I22="Market",Retention*LCRenewal*H22*D22*(1+GrowthMarketRent)^5+(1-Retention)*LCNew*H22*D22*(1+GrowthMarketRent)^5,IF(I22="LeaseUp",LCNew*H22*D22*(1+GrowthMarketRent)^5,IF(I22="Option",LCRenewal*H22*D22*(1+GrowthMarketRent)^5,0))))),0))),0)</f>
        <v/>
      </c>
      <c r="AE22" s="14">
        <f>IFERROR(IF(AND(I22="LeaseUp",6=0),(IF(I22="Vacate",TINew*D22,IF(I22="Market",Retention*TIRenewal*D22+(1-Retention)*TINew*D22,IF(I22="LeaseUp",TINew*D22,IF(I22="Option",TIRenewal*D22,0)))))+(IF(I22="Vacate",LCNew*H22*D22*(1+GrowthMarketRent)^6,IF(I22="Market",Retention*LCRenewal*H22*D22*(1+GrowthMarketRent)^6+(1-Retention)*LCNew*H22*D22*(1+GrowthMarketRent)^6,IF(I22="LeaseUp",LCNew*H22*D22*(1+GrowthMarketRent)^6,IF(I22="Option",LCRenewal*H22*D22*(1+GrowthMarketRent)^6,0))))),IF(F22="",0,IF(AND(F22&gt;=DATE(2026+6,5,1),F22&lt;=DATE(2027+6,4,30)),(IF(I22="Vacate",TINew*D22,IF(I22="Market",Retention*TIRenewal*D22+(1-Retention)*TINew*D22,IF(I22="LeaseUp",TINew*D22,IF(I22="Option",TIRenewal*D22,0)))))+(IF(I22="Vacate",LCNew*H22*D22*(1+GrowthMarketRent)^6,IF(I22="Market",Retention*LCRenewal*H22*D22*(1+GrowthMarketRent)^6+(1-Retention)*LCNew*H22*D22*(1+GrowthMarketRent)^6,IF(I22="LeaseUp",LCNew*H22*D22*(1+GrowthMarketRent)^6,IF(I22="Option",LCRenewal*H22*D22*(1+GrowthMarketRent)^6,0))))),0))),0)</f>
        <v/>
      </c>
      <c r="AF22" s="14">
        <f>IFERROR(IF(AND(I22="LeaseUp",7=0),(IF(I22="Vacate",TINew*D22,IF(I22="Market",Retention*TIRenewal*D22+(1-Retention)*TINew*D22,IF(I22="LeaseUp",TINew*D22,IF(I22="Option",TIRenewal*D22,0)))))+(IF(I22="Vacate",LCNew*H22*D22*(1+GrowthMarketRent)^7,IF(I22="Market",Retention*LCRenewal*H22*D22*(1+GrowthMarketRent)^7+(1-Retention)*LCNew*H22*D22*(1+GrowthMarketRent)^7,IF(I22="LeaseUp",LCNew*H22*D22*(1+GrowthMarketRent)^7,IF(I22="Option",LCRenewal*H22*D22*(1+GrowthMarketRent)^7,0))))),IF(F22="",0,IF(AND(F22&gt;=DATE(2026+7,5,1),F22&lt;=DATE(2027+7,4,30)),(IF(I22="Vacate",TINew*D22,IF(I22="Market",Retention*TIRenewal*D22+(1-Retention)*TINew*D22,IF(I22="LeaseUp",TINew*D22,IF(I22="Option",TIRenewal*D22,0)))))+(IF(I22="Vacate",LCNew*H22*D22*(1+GrowthMarketRent)^7,IF(I22="Market",Retention*LCRenewal*H22*D22*(1+GrowthMarketRent)^7+(1-Retention)*LCNew*H22*D22*(1+GrowthMarketRent)^7,IF(I22="LeaseUp",LCNew*H22*D22*(1+GrowthMarketRent)^7,IF(I22="Option",LCRenewal*H22*D22*(1+GrowthMarketRent)^7,0))))),0))),0)</f>
        <v/>
      </c>
      <c r="AG22" s="14">
        <f>IFERROR(IF(AND(I22="LeaseUp",8=0),(IF(I22="Vacate",TINew*D22,IF(I22="Market",Retention*TIRenewal*D22+(1-Retention)*TINew*D22,IF(I22="LeaseUp",TINew*D22,IF(I22="Option",TIRenewal*D22,0)))))+(IF(I22="Vacate",LCNew*H22*D22*(1+GrowthMarketRent)^8,IF(I22="Market",Retention*LCRenewal*H22*D22*(1+GrowthMarketRent)^8+(1-Retention)*LCNew*H22*D22*(1+GrowthMarketRent)^8,IF(I22="LeaseUp",LCNew*H22*D22*(1+GrowthMarketRent)^8,IF(I22="Option",LCRenewal*H22*D22*(1+GrowthMarketRent)^8,0))))),IF(F22="",0,IF(AND(F22&gt;=DATE(2026+8,5,1),F22&lt;=DATE(2027+8,4,30)),(IF(I22="Vacate",TINew*D22,IF(I22="Market",Retention*TIRenewal*D22+(1-Retention)*TINew*D22,IF(I22="LeaseUp",TINew*D22,IF(I22="Option",TIRenewal*D22,0)))))+(IF(I22="Vacate",LCNew*H22*D22*(1+GrowthMarketRent)^8,IF(I22="Market",Retention*LCRenewal*H22*D22*(1+GrowthMarketRent)^8+(1-Retention)*LCNew*H22*D22*(1+GrowthMarketRent)^8,IF(I22="LeaseUp",LCNew*H22*D22*(1+GrowthMarketRent)^8,IF(I22="Option",LCRenewal*H22*D22*(1+GrowthMarketRent)^8,0))))),0))),0)</f>
        <v/>
      </c>
      <c r="AH22" s="14">
        <f>IFERROR(IF(AND(I22="LeaseUp",9=0),(IF(I22="Vacate",TINew*D22,IF(I22="Market",Retention*TIRenewal*D22+(1-Retention)*TINew*D22,IF(I22="LeaseUp",TINew*D22,IF(I22="Option",TIRenewal*D22,0)))))+(IF(I22="Vacate",LCNew*H22*D22*(1+GrowthMarketRent)^9,IF(I22="Market",Retention*LCRenewal*H22*D22*(1+GrowthMarketRent)^9+(1-Retention)*LCNew*H22*D22*(1+GrowthMarketRent)^9,IF(I22="LeaseUp",LCNew*H22*D22*(1+GrowthMarketRent)^9,IF(I22="Option",LCRenewal*H22*D22*(1+GrowthMarketRent)^9,0))))),IF(F22="",0,IF(AND(F22&gt;=DATE(2026+9,5,1),F22&lt;=DATE(2027+9,4,30)),(IF(I22="Vacate",TINew*D22,IF(I22="Market",Retention*TIRenewal*D22+(1-Retention)*TINew*D22,IF(I22="LeaseUp",TINew*D22,IF(I22="Option",TIRenewal*D22,0)))))+(IF(I22="Vacate",LCNew*H22*D22*(1+GrowthMarketRent)^9,IF(I22="Market",Retention*LCRenewal*H22*D22*(1+GrowthMarketRent)^9+(1-Retention)*LCNew*H22*D22*(1+GrowthMarketRent)^9,IF(I22="LeaseUp",LCNew*H22*D22*(1+GrowthMarketRent)^9,IF(I22="Option",LCRenewal*H22*D22*(1+GrowthMarketRent)^9,0))))),0))),0)</f>
        <v/>
      </c>
      <c r="AI22" s="14">
        <f>IFERROR(IF(AND(I22="LeaseUp",10=0),(IF(I22="Vacate",TINew*D22,IF(I22="Market",Retention*TIRenewal*D22+(1-Retention)*TINew*D22,IF(I22="LeaseUp",TINew*D22,IF(I22="Option",TIRenewal*D22,0)))))+(IF(I22="Vacate",LCNew*H22*D22*(1+GrowthMarketRent)^10,IF(I22="Market",Retention*LCRenewal*H22*D22*(1+GrowthMarketRent)^10+(1-Retention)*LCNew*H22*D22*(1+GrowthMarketRent)^10,IF(I22="LeaseUp",LCNew*H22*D22*(1+GrowthMarketRent)^10,IF(I22="Option",LCRenewal*H22*D22*(1+GrowthMarketRent)^10,0))))),IF(F22="",0,IF(AND(F22&gt;=DATE(2026+10,5,1),F22&lt;=DATE(2027+10,4,30)),(IF(I22="Vacate",TINew*D22,IF(I22="Market",Retention*TIRenewal*D22+(1-Retention)*TINew*D22,IF(I22="LeaseUp",TINew*D22,IF(I22="Option",TIRenewal*D22,0)))))+(IF(I22="Vacate",LCNew*H22*D22*(1+GrowthMarketRent)^10,IF(I22="Market",Retention*LCRenewal*H22*D22*(1+GrowthMarketRent)^10+(1-Retention)*LCNew*H22*D22*(1+GrowthMarketRent)^10,IF(I22="LeaseUp",LCNew*H22*D22*(1+GrowthMarketRent)^10,IF(I22="Option",LCRenewal*H22*D22*(1+GrowthMarketRent)^10,0))))),0))),0)</f>
        <v/>
      </c>
    </row>
    <row r="23">
      <c r="A23" t="inlineStr">
        <is>
          <t>Carrollton</t>
        </is>
      </c>
      <c r="B23" t="inlineStr">
        <is>
          <t>240</t>
        </is>
      </c>
      <c r="C23" t="inlineStr">
        <is>
          <t>VACANT</t>
        </is>
      </c>
      <c r="D23" s="32" t="n">
        <v>1870</v>
      </c>
      <c r="G23" s="34" t="n">
        <v>0</v>
      </c>
      <c r="H23" s="16">
        <f>VLOOKUP("Carrollton — "&amp;J23,MLA!$A$5:$L$11,3,FALSE)</f>
        <v/>
      </c>
      <c r="I23" s="11" t="inlineStr">
        <is>
          <t>LeaseUp</t>
        </is>
      </c>
      <c r="J23" t="inlineStr">
        <is>
          <t>Studio</t>
        </is>
      </c>
      <c r="K23" t="inlineStr">
        <is>
          <t>Vacant</t>
        </is>
      </c>
      <c r="L23" t="inlineStr">
        <is>
          <t>Studio; future lease-up Jul-2026 in OM</t>
        </is>
      </c>
      <c r="M23" s="20">
        <f>IF(E23="",0,(AnalysisStart-E23)/365.25)</f>
        <v/>
      </c>
      <c r="N23" s="14">
        <f>IFERROR(IF(I23="LeaseUp",H23*D23*(1+GrowthMarketRent)^0*IF(0=0,(12-DowntimeNew)/12,1),IF(F23="",0,IF(F23&gt;=DATE(2027+0,4,30),G23*D23*(1+EscalatorInLease)^(0+M23),IF(F23&lt;DATE(2026+0,5,1),IF(I23="Vacate",H23*D23*(1+GrowthMarketRent)^0*IF(INT((DATE(2026+0,10,31)-F23)/365.25)=0,(12-DowntimeNew)/12,1),IF(I23="Option",G23*D23*1.025*(1+EscalatorInLease)^0,IF(I23="Market",Retention*G23*D23*(1+EscalatorInLease)^(0+M23)+(1-Retention)*H23*D23*(1+GrowthMarketRent)^0*IF(INT((DATE(2026+0,10,31)-F23)/365.25)=0,(12-DowntimeNew)/12,1),IF(I23="LeaseUp",H23*D23*(1+GrowthMarketRent)^0*IF(0=0,(12-DowntimeNew)/12,1),0)))),((F23-DATE(2026+0,5,1))/365.25)*G23*D23*(1+EscalatorInLease)^(0+M23)+((DATE(2027+0,4,30)-F23)/365.25)*IF(I23="Vacate",H23*D23*(1+GrowthMarketRent)^0*IF(INT((DATE(2026+0,10,31)-F23)/365.25)=0,(12-DowntimeNew)/12,1),IF(I23="Option",G23*D23*1.025*(1+EscalatorInLease)^0,IF(I23="Market",Retention*G23*D23*(1+EscalatorInLease)^(0+M23)+(1-Retention)*H23*D23*(1+GrowthMarketRent)^0*IF(INT((DATE(2026+0,10,31)-F23)/365.25)=0,(12-DowntimeNew)/12,1),IF(I23="LeaseUp",H23*D23*(1+GrowthMarketRent)^0*IF(0=0,(12-DowntimeNew)/12,1),0)))))))),0)</f>
        <v/>
      </c>
      <c r="O23" s="14">
        <f>IFERROR(IF(I23="LeaseUp",H23*D23*(1+GrowthMarketRent)^1*IF(1=0,(12-DowntimeNew)/12,1),IF(F23="",0,IF(F23&gt;=DATE(2027+1,4,30),G23*D23*(1+EscalatorInLease)^(1+M23),IF(F23&lt;DATE(2026+1,5,1),IF(I23="Vacate",H23*D23*(1+GrowthMarketRent)^1*IF(INT((DATE(2026+1,10,31)-F23)/365.25)=0,(12-DowntimeNew)/12,1),IF(I23="Option",G23*D23*1.025*(1+EscalatorInLease)^1,IF(I23="Market",Retention*G23*D23*(1+EscalatorInLease)^(1+M23)+(1-Retention)*H23*D23*(1+GrowthMarketRent)^1*IF(INT((DATE(2026+1,10,31)-F23)/365.25)=0,(12-DowntimeNew)/12,1),IF(I23="LeaseUp",H23*D23*(1+GrowthMarketRent)^1*IF(1=0,(12-DowntimeNew)/12,1),0)))),((F23-DATE(2026+1,5,1))/365.25)*G23*D23*(1+EscalatorInLease)^(1+M23)+((DATE(2027+1,4,30)-F23)/365.25)*IF(I23="Vacate",H23*D23*(1+GrowthMarketRent)^1*IF(INT((DATE(2026+1,10,31)-F23)/365.25)=0,(12-DowntimeNew)/12,1),IF(I23="Option",G23*D23*1.025*(1+EscalatorInLease)^1,IF(I23="Market",Retention*G23*D23*(1+EscalatorInLease)^(1+M23)+(1-Retention)*H23*D23*(1+GrowthMarketRent)^1*IF(INT((DATE(2026+1,10,31)-F23)/365.25)=0,(12-DowntimeNew)/12,1),IF(I23="LeaseUp",H23*D23*(1+GrowthMarketRent)^1*IF(1=0,(12-DowntimeNew)/12,1),0)))))))),0)</f>
        <v/>
      </c>
      <c r="P23" s="14">
        <f>IFERROR(IF(I23="LeaseUp",H23*D23*(1+GrowthMarketRent)^2*IF(2=0,(12-DowntimeNew)/12,1),IF(F23="",0,IF(F23&gt;=DATE(2027+2,4,30),G23*D23*(1+EscalatorInLease)^(2+M23),IF(F23&lt;DATE(2026+2,5,1),IF(I23="Vacate",H23*D23*(1+GrowthMarketRent)^2*IF(INT((DATE(2026+2,10,31)-F23)/365.25)=0,(12-DowntimeNew)/12,1),IF(I23="Option",G23*D23*1.025*(1+EscalatorInLease)^2,IF(I23="Market",Retention*G23*D23*(1+EscalatorInLease)^(2+M23)+(1-Retention)*H23*D23*(1+GrowthMarketRent)^2*IF(INT((DATE(2026+2,10,31)-F23)/365.25)=0,(12-DowntimeNew)/12,1),IF(I23="LeaseUp",H23*D23*(1+GrowthMarketRent)^2*IF(2=0,(12-DowntimeNew)/12,1),0)))),((F23-DATE(2026+2,5,1))/365.25)*G23*D23*(1+EscalatorInLease)^(2+M23)+((DATE(2027+2,4,30)-F23)/365.25)*IF(I23="Vacate",H23*D23*(1+GrowthMarketRent)^2*IF(INT((DATE(2026+2,10,31)-F23)/365.25)=0,(12-DowntimeNew)/12,1),IF(I23="Option",G23*D23*1.025*(1+EscalatorInLease)^2,IF(I23="Market",Retention*G23*D23*(1+EscalatorInLease)^(2+M23)+(1-Retention)*H23*D23*(1+GrowthMarketRent)^2*IF(INT((DATE(2026+2,10,31)-F23)/365.25)=0,(12-DowntimeNew)/12,1),IF(I23="LeaseUp",H23*D23*(1+GrowthMarketRent)^2*IF(2=0,(12-DowntimeNew)/12,1),0)))))))),0)</f>
        <v/>
      </c>
      <c r="Q23" s="14">
        <f>IFERROR(IF(I23="LeaseUp",H23*D23*(1+GrowthMarketRent)^3*IF(3=0,(12-DowntimeNew)/12,1),IF(F23="",0,IF(F23&gt;=DATE(2027+3,4,30),G23*D23*(1+EscalatorInLease)^(3+M23),IF(F23&lt;DATE(2026+3,5,1),IF(I23="Vacate",H23*D23*(1+GrowthMarketRent)^3*IF(INT((DATE(2026+3,10,31)-F23)/365.25)=0,(12-DowntimeNew)/12,1),IF(I23="Option",G23*D23*1.025*(1+EscalatorInLease)^3,IF(I23="Market",Retention*G23*D23*(1+EscalatorInLease)^(3+M23)+(1-Retention)*H23*D23*(1+GrowthMarketRent)^3*IF(INT((DATE(2026+3,10,31)-F23)/365.25)=0,(12-DowntimeNew)/12,1),IF(I23="LeaseUp",H23*D23*(1+GrowthMarketRent)^3*IF(3=0,(12-DowntimeNew)/12,1),0)))),((F23-DATE(2026+3,5,1))/365.25)*G23*D23*(1+EscalatorInLease)^(3+M23)+((DATE(2027+3,4,30)-F23)/365.25)*IF(I23="Vacate",H23*D23*(1+GrowthMarketRent)^3*IF(INT((DATE(2026+3,10,31)-F23)/365.25)=0,(12-DowntimeNew)/12,1),IF(I23="Option",G23*D23*1.025*(1+EscalatorInLease)^3,IF(I23="Market",Retention*G23*D23*(1+EscalatorInLease)^(3+M23)+(1-Retention)*H23*D23*(1+GrowthMarketRent)^3*IF(INT((DATE(2026+3,10,31)-F23)/365.25)=0,(12-DowntimeNew)/12,1),IF(I23="LeaseUp",H23*D23*(1+GrowthMarketRent)^3*IF(3=0,(12-DowntimeNew)/12,1),0)))))))),0)</f>
        <v/>
      </c>
      <c r="R23" s="14">
        <f>IFERROR(IF(I23="LeaseUp",H23*D23*(1+GrowthMarketRent)^4*IF(4=0,(12-DowntimeNew)/12,1),IF(F23="",0,IF(F23&gt;=DATE(2027+4,4,30),G23*D23*(1+EscalatorInLease)^(4+M23),IF(F23&lt;DATE(2026+4,5,1),IF(I23="Vacate",H23*D23*(1+GrowthMarketRent)^4*IF(INT((DATE(2026+4,10,31)-F23)/365.25)=0,(12-DowntimeNew)/12,1),IF(I23="Option",G23*D23*1.025*(1+EscalatorInLease)^4,IF(I23="Market",Retention*G23*D23*(1+EscalatorInLease)^(4+M23)+(1-Retention)*H23*D23*(1+GrowthMarketRent)^4*IF(INT((DATE(2026+4,10,31)-F23)/365.25)=0,(12-DowntimeNew)/12,1),IF(I23="LeaseUp",H23*D23*(1+GrowthMarketRent)^4*IF(4=0,(12-DowntimeNew)/12,1),0)))),((F23-DATE(2026+4,5,1))/365.25)*G23*D23*(1+EscalatorInLease)^(4+M23)+((DATE(2027+4,4,30)-F23)/365.25)*IF(I23="Vacate",H23*D23*(1+GrowthMarketRent)^4*IF(INT((DATE(2026+4,10,31)-F23)/365.25)=0,(12-DowntimeNew)/12,1),IF(I23="Option",G23*D23*1.025*(1+EscalatorInLease)^4,IF(I23="Market",Retention*G23*D23*(1+EscalatorInLease)^(4+M23)+(1-Retention)*H23*D23*(1+GrowthMarketRent)^4*IF(INT((DATE(2026+4,10,31)-F23)/365.25)=0,(12-DowntimeNew)/12,1),IF(I23="LeaseUp",H23*D23*(1+GrowthMarketRent)^4*IF(4=0,(12-DowntimeNew)/12,1),0)))))))),0)</f>
        <v/>
      </c>
      <c r="S23" s="14">
        <f>IFERROR(IF(I23="LeaseUp",H23*D23*(1+GrowthMarketRent)^5*IF(5=0,(12-DowntimeNew)/12,1),IF(F23="",0,IF(F23&gt;=DATE(2027+5,4,30),G23*D23*(1+EscalatorInLease)^(5+M23),IF(F23&lt;DATE(2026+5,5,1),IF(I23="Vacate",H23*D23*(1+GrowthMarketRent)^5*IF(INT((DATE(2026+5,10,31)-F23)/365.25)=0,(12-DowntimeNew)/12,1),IF(I23="Option",G23*D23*1.025*(1+EscalatorInLease)^5,IF(I23="Market",Retention*G23*D23*(1+EscalatorInLease)^(5+M23)+(1-Retention)*H23*D23*(1+GrowthMarketRent)^5*IF(INT((DATE(2026+5,10,31)-F23)/365.25)=0,(12-DowntimeNew)/12,1),IF(I23="LeaseUp",H23*D23*(1+GrowthMarketRent)^5*IF(5=0,(12-DowntimeNew)/12,1),0)))),((F23-DATE(2026+5,5,1))/365.25)*G23*D23*(1+EscalatorInLease)^(5+M23)+((DATE(2027+5,4,30)-F23)/365.25)*IF(I23="Vacate",H23*D23*(1+GrowthMarketRent)^5*IF(INT((DATE(2026+5,10,31)-F23)/365.25)=0,(12-DowntimeNew)/12,1),IF(I23="Option",G23*D23*1.025*(1+EscalatorInLease)^5,IF(I23="Market",Retention*G23*D23*(1+EscalatorInLease)^(5+M23)+(1-Retention)*H23*D23*(1+GrowthMarketRent)^5*IF(INT((DATE(2026+5,10,31)-F23)/365.25)=0,(12-DowntimeNew)/12,1),IF(I23="LeaseUp",H23*D23*(1+GrowthMarketRent)^5*IF(5=0,(12-DowntimeNew)/12,1),0)))))))),0)</f>
        <v/>
      </c>
      <c r="T23" s="14">
        <f>IFERROR(IF(I23="LeaseUp",H23*D23*(1+GrowthMarketRent)^6*IF(6=0,(12-DowntimeNew)/12,1),IF(F23="",0,IF(F23&gt;=DATE(2027+6,4,30),G23*D23*(1+EscalatorInLease)^(6+M23),IF(F23&lt;DATE(2026+6,5,1),IF(I23="Vacate",H23*D23*(1+GrowthMarketRent)^6*IF(INT((DATE(2026+6,10,31)-F23)/365.25)=0,(12-DowntimeNew)/12,1),IF(I23="Option",G23*D23*1.025*(1+EscalatorInLease)^6,IF(I23="Market",Retention*G23*D23*(1+EscalatorInLease)^(6+M23)+(1-Retention)*H23*D23*(1+GrowthMarketRent)^6*IF(INT((DATE(2026+6,10,31)-F23)/365.25)=0,(12-DowntimeNew)/12,1),IF(I23="LeaseUp",H23*D23*(1+GrowthMarketRent)^6*IF(6=0,(12-DowntimeNew)/12,1),0)))),((F23-DATE(2026+6,5,1))/365.25)*G23*D23*(1+EscalatorInLease)^(6+M23)+((DATE(2027+6,4,30)-F23)/365.25)*IF(I23="Vacate",H23*D23*(1+GrowthMarketRent)^6*IF(INT((DATE(2026+6,10,31)-F23)/365.25)=0,(12-DowntimeNew)/12,1),IF(I23="Option",G23*D23*1.025*(1+EscalatorInLease)^6,IF(I23="Market",Retention*G23*D23*(1+EscalatorInLease)^(6+M23)+(1-Retention)*H23*D23*(1+GrowthMarketRent)^6*IF(INT((DATE(2026+6,10,31)-F23)/365.25)=0,(12-DowntimeNew)/12,1),IF(I23="LeaseUp",H23*D23*(1+GrowthMarketRent)^6*IF(6=0,(12-DowntimeNew)/12,1),0)))))))),0)</f>
        <v/>
      </c>
      <c r="U23" s="14">
        <f>IFERROR(IF(I23="LeaseUp",H23*D23*(1+GrowthMarketRent)^7*IF(7=0,(12-DowntimeNew)/12,1),IF(F23="",0,IF(F23&gt;=DATE(2027+7,4,30),G23*D23*(1+EscalatorInLease)^(7+M23),IF(F23&lt;DATE(2026+7,5,1),IF(I23="Vacate",H23*D23*(1+GrowthMarketRent)^7*IF(INT((DATE(2026+7,10,31)-F23)/365.25)=0,(12-DowntimeNew)/12,1),IF(I23="Option",G23*D23*1.025*(1+EscalatorInLease)^7,IF(I23="Market",Retention*G23*D23*(1+EscalatorInLease)^(7+M23)+(1-Retention)*H23*D23*(1+GrowthMarketRent)^7*IF(INT((DATE(2026+7,10,31)-F23)/365.25)=0,(12-DowntimeNew)/12,1),IF(I23="LeaseUp",H23*D23*(1+GrowthMarketRent)^7*IF(7=0,(12-DowntimeNew)/12,1),0)))),((F23-DATE(2026+7,5,1))/365.25)*G23*D23*(1+EscalatorInLease)^(7+M23)+((DATE(2027+7,4,30)-F23)/365.25)*IF(I23="Vacate",H23*D23*(1+GrowthMarketRent)^7*IF(INT((DATE(2026+7,10,31)-F23)/365.25)=0,(12-DowntimeNew)/12,1),IF(I23="Option",G23*D23*1.025*(1+EscalatorInLease)^7,IF(I23="Market",Retention*G23*D23*(1+EscalatorInLease)^(7+M23)+(1-Retention)*H23*D23*(1+GrowthMarketRent)^7*IF(INT((DATE(2026+7,10,31)-F23)/365.25)=0,(12-DowntimeNew)/12,1),IF(I23="LeaseUp",H23*D23*(1+GrowthMarketRent)^7*IF(7=0,(12-DowntimeNew)/12,1),0)))))))),0)</f>
        <v/>
      </c>
      <c r="V23" s="14">
        <f>IFERROR(IF(I23="LeaseUp",H23*D23*(1+GrowthMarketRent)^8*IF(8=0,(12-DowntimeNew)/12,1),IF(F23="",0,IF(F23&gt;=DATE(2027+8,4,30),G23*D23*(1+EscalatorInLease)^(8+M23),IF(F23&lt;DATE(2026+8,5,1),IF(I23="Vacate",H23*D23*(1+GrowthMarketRent)^8*IF(INT((DATE(2026+8,10,31)-F23)/365.25)=0,(12-DowntimeNew)/12,1),IF(I23="Option",G23*D23*1.025*(1+EscalatorInLease)^8,IF(I23="Market",Retention*G23*D23*(1+EscalatorInLease)^(8+M23)+(1-Retention)*H23*D23*(1+GrowthMarketRent)^8*IF(INT((DATE(2026+8,10,31)-F23)/365.25)=0,(12-DowntimeNew)/12,1),IF(I23="LeaseUp",H23*D23*(1+GrowthMarketRent)^8*IF(8=0,(12-DowntimeNew)/12,1),0)))),((F23-DATE(2026+8,5,1))/365.25)*G23*D23*(1+EscalatorInLease)^(8+M23)+((DATE(2027+8,4,30)-F23)/365.25)*IF(I23="Vacate",H23*D23*(1+GrowthMarketRent)^8*IF(INT((DATE(2026+8,10,31)-F23)/365.25)=0,(12-DowntimeNew)/12,1),IF(I23="Option",G23*D23*1.025*(1+EscalatorInLease)^8,IF(I23="Market",Retention*G23*D23*(1+EscalatorInLease)^(8+M23)+(1-Retention)*H23*D23*(1+GrowthMarketRent)^8*IF(INT((DATE(2026+8,10,31)-F23)/365.25)=0,(12-DowntimeNew)/12,1),IF(I23="LeaseUp",H23*D23*(1+GrowthMarketRent)^8*IF(8=0,(12-DowntimeNew)/12,1),0)))))))),0)</f>
        <v/>
      </c>
      <c r="W23" s="14">
        <f>IFERROR(IF(I23="LeaseUp",H23*D23*(1+GrowthMarketRent)^9*IF(9=0,(12-DowntimeNew)/12,1),IF(F23="",0,IF(F23&gt;=DATE(2027+9,4,30),G23*D23*(1+EscalatorInLease)^(9+M23),IF(F23&lt;DATE(2026+9,5,1),IF(I23="Vacate",H23*D23*(1+GrowthMarketRent)^9*IF(INT((DATE(2026+9,10,31)-F23)/365.25)=0,(12-DowntimeNew)/12,1),IF(I23="Option",G23*D23*1.025*(1+EscalatorInLease)^9,IF(I23="Market",Retention*G23*D23*(1+EscalatorInLease)^(9+M23)+(1-Retention)*H23*D23*(1+GrowthMarketRent)^9*IF(INT((DATE(2026+9,10,31)-F23)/365.25)=0,(12-DowntimeNew)/12,1),IF(I23="LeaseUp",H23*D23*(1+GrowthMarketRent)^9*IF(9=0,(12-DowntimeNew)/12,1),0)))),((F23-DATE(2026+9,5,1))/365.25)*G23*D23*(1+EscalatorInLease)^(9+M23)+((DATE(2027+9,4,30)-F23)/365.25)*IF(I23="Vacate",H23*D23*(1+GrowthMarketRent)^9*IF(INT((DATE(2026+9,10,31)-F23)/365.25)=0,(12-DowntimeNew)/12,1),IF(I23="Option",G23*D23*1.025*(1+EscalatorInLease)^9,IF(I23="Market",Retention*G23*D23*(1+EscalatorInLease)^(9+M23)+(1-Retention)*H23*D23*(1+GrowthMarketRent)^9*IF(INT((DATE(2026+9,10,31)-F23)/365.25)=0,(12-DowntimeNew)/12,1),IF(I23="LeaseUp",H23*D23*(1+GrowthMarketRent)^9*IF(9=0,(12-DowntimeNew)/12,1),0)))))))),0)</f>
        <v/>
      </c>
      <c r="X23" s="14">
        <f>IFERROR(IF(I23="LeaseUp",H23*D23*(1+GrowthMarketRent)^10*IF(10=0,(12-DowntimeNew)/12,1),IF(F23="",0,IF(F23&gt;=DATE(2027+10,4,30),G23*D23*(1+EscalatorInLease)^(10+M23),IF(F23&lt;DATE(2026+10,5,1),IF(I23="Vacate",H23*D23*(1+GrowthMarketRent)^10*IF(INT((DATE(2026+10,10,31)-F23)/365.25)=0,(12-DowntimeNew)/12,1),IF(I23="Option",G23*D23*1.025*(1+EscalatorInLease)^10,IF(I23="Market",Retention*G23*D23*(1+EscalatorInLease)^(10+M23)+(1-Retention)*H23*D23*(1+GrowthMarketRent)^10*IF(INT((DATE(2026+10,10,31)-F23)/365.25)=0,(12-DowntimeNew)/12,1),IF(I23="LeaseUp",H23*D23*(1+GrowthMarketRent)^10*IF(10=0,(12-DowntimeNew)/12,1),0)))),((F23-DATE(2026+10,5,1))/365.25)*G23*D23*(1+EscalatorInLease)^(10+M23)+((DATE(2027+10,4,30)-F23)/365.25)*IF(I23="Vacate",H23*D23*(1+GrowthMarketRent)^10*IF(INT((DATE(2026+10,10,31)-F23)/365.25)=0,(12-DowntimeNew)/12,1),IF(I23="Option",G23*D23*1.025*(1+EscalatorInLease)^10,IF(I23="Market",Retention*G23*D23*(1+EscalatorInLease)^(10+M23)+(1-Retention)*H23*D23*(1+GrowthMarketRent)^10*IF(INT((DATE(2026+10,10,31)-F23)/365.25)=0,(12-DowntimeNew)/12,1),IF(I23="LeaseUp",H23*D23*(1+GrowthMarketRent)^10*IF(10=0,(12-DowntimeNew)/12,1),0)))))))),0)</f>
        <v/>
      </c>
      <c r="Y23" s="14">
        <f>IFERROR(IF(AND(I23="LeaseUp",0=0),(IF(I23="Vacate",TINew*D23,IF(I23="Market",Retention*TIRenewal*D23+(1-Retention)*TINew*D23,IF(I23="LeaseUp",TINew*D23,IF(I23="Option",TIRenewal*D23,0)))))+(IF(I23="Vacate",LCNew*H23*D23*(1+GrowthMarketRent)^0,IF(I23="Market",Retention*LCRenewal*H23*D23*(1+GrowthMarketRent)^0+(1-Retention)*LCNew*H23*D23*(1+GrowthMarketRent)^0,IF(I23="LeaseUp",LCNew*H23*D23*(1+GrowthMarketRent)^0,IF(I23="Option",LCRenewal*H23*D23*(1+GrowthMarketRent)^0,0))))),IF(F23="",0,IF(AND(F23&gt;=DATE(2026+0,5,1),F23&lt;=DATE(2027+0,4,30)),(IF(I23="Vacate",TINew*D23,IF(I23="Market",Retention*TIRenewal*D23+(1-Retention)*TINew*D23,IF(I23="LeaseUp",TINew*D23,IF(I23="Option",TIRenewal*D23,0)))))+(IF(I23="Vacate",LCNew*H23*D23*(1+GrowthMarketRent)^0,IF(I23="Market",Retention*LCRenewal*H23*D23*(1+GrowthMarketRent)^0+(1-Retention)*LCNew*H23*D23*(1+GrowthMarketRent)^0,IF(I23="LeaseUp",LCNew*H23*D23*(1+GrowthMarketRent)^0,IF(I23="Option",LCRenewal*H23*D23*(1+GrowthMarketRent)^0,0))))),0))),0)</f>
        <v/>
      </c>
      <c r="Z23" s="14">
        <f>IFERROR(IF(AND(I23="LeaseUp",1=0),(IF(I23="Vacate",TINew*D23,IF(I23="Market",Retention*TIRenewal*D23+(1-Retention)*TINew*D23,IF(I23="LeaseUp",TINew*D23,IF(I23="Option",TIRenewal*D23,0)))))+(IF(I23="Vacate",LCNew*H23*D23*(1+GrowthMarketRent)^1,IF(I23="Market",Retention*LCRenewal*H23*D23*(1+GrowthMarketRent)^1+(1-Retention)*LCNew*H23*D23*(1+GrowthMarketRent)^1,IF(I23="LeaseUp",LCNew*H23*D23*(1+GrowthMarketRent)^1,IF(I23="Option",LCRenewal*H23*D23*(1+GrowthMarketRent)^1,0))))),IF(F23="",0,IF(AND(F23&gt;=DATE(2026+1,5,1),F23&lt;=DATE(2027+1,4,30)),(IF(I23="Vacate",TINew*D23,IF(I23="Market",Retention*TIRenewal*D23+(1-Retention)*TINew*D23,IF(I23="LeaseUp",TINew*D23,IF(I23="Option",TIRenewal*D23,0)))))+(IF(I23="Vacate",LCNew*H23*D23*(1+GrowthMarketRent)^1,IF(I23="Market",Retention*LCRenewal*H23*D23*(1+GrowthMarketRent)^1+(1-Retention)*LCNew*H23*D23*(1+GrowthMarketRent)^1,IF(I23="LeaseUp",LCNew*H23*D23*(1+GrowthMarketRent)^1,IF(I23="Option",LCRenewal*H23*D23*(1+GrowthMarketRent)^1,0))))),0))),0)</f>
        <v/>
      </c>
      <c r="AA23" s="14">
        <f>IFERROR(IF(AND(I23="LeaseUp",2=0),(IF(I23="Vacate",TINew*D23,IF(I23="Market",Retention*TIRenewal*D23+(1-Retention)*TINew*D23,IF(I23="LeaseUp",TINew*D23,IF(I23="Option",TIRenewal*D23,0)))))+(IF(I23="Vacate",LCNew*H23*D23*(1+GrowthMarketRent)^2,IF(I23="Market",Retention*LCRenewal*H23*D23*(1+GrowthMarketRent)^2+(1-Retention)*LCNew*H23*D23*(1+GrowthMarketRent)^2,IF(I23="LeaseUp",LCNew*H23*D23*(1+GrowthMarketRent)^2,IF(I23="Option",LCRenewal*H23*D23*(1+GrowthMarketRent)^2,0))))),IF(F23="",0,IF(AND(F23&gt;=DATE(2026+2,5,1),F23&lt;=DATE(2027+2,4,30)),(IF(I23="Vacate",TINew*D23,IF(I23="Market",Retention*TIRenewal*D23+(1-Retention)*TINew*D23,IF(I23="LeaseUp",TINew*D23,IF(I23="Option",TIRenewal*D23,0)))))+(IF(I23="Vacate",LCNew*H23*D23*(1+GrowthMarketRent)^2,IF(I23="Market",Retention*LCRenewal*H23*D23*(1+GrowthMarketRent)^2+(1-Retention)*LCNew*H23*D23*(1+GrowthMarketRent)^2,IF(I23="LeaseUp",LCNew*H23*D23*(1+GrowthMarketRent)^2,IF(I23="Option",LCRenewal*H23*D23*(1+GrowthMarketRent)^2,0))))),0))),0)</f>
        <v/>
      </c>
      <c r="AB23" s="14">
        <f>IFERROR(IF(AND(I23="LeaseUp",3=0),(IF(I23="Vacate",TINew*D23,IF(I23="Market",Retention*TIRenewal*D23+(1-Retention)*TINew*D23,IF(I23="LeaseUp",TINew*D23,IF(I23="Option",TIRenewal*D23,0)))))+(IF(I23="Vacate",LCNew*H23*D23*(1+GrowthMarketRent)^3,IF(I23="Market",Retention*LCRenewal*H23*D23*(1+GrowthMarketRent)^3+(1-Retention)*LCNew*H23*D23*(1+GrowthMarketRent)^3,IF(I23="LeaseUp",LCNew*H23*D23*(1+GrowthMarketRent)^3,IF(I23="Option",LCRenewal*H23*D23*(1+GrowthMarketRent)^3,0))))),IF(F23="",0,IF(AND(F23&gt;=DATE(2026+3,5,1),F23&lt;=DATE(2027+3,4,30)),(IF(I23="Vacate",TINew*D23,IF(I23="Market",Retention*TIRenewal*D23+(1-Retention)*TINew*D23,IF(I23="LeaseUp",TINew*D23,IF(I23="Option",TIRenewal*D23,0)))))+(IF(I23="Vacate",LCNew*H23*D23*(1+GrowthMarketRent)^3,IF(I23="Market",Retention*LCRenewal*H23*D23*(1+GrowthMarketRent)^3+(1-Retention)*LCNew*H23*D23*(1+GrowthMarketRent)^3,IF(I23="LeaseUp",LCNew*H23*D23*(1+GrowthMarketRent)^3,IF(I23="Option",LCRenewal*H23*D23*(1+GrowthMarketRent)^3,0))))),0))),0)</f>
        <v/>
      </c>
      <c r="AC23" s="14">
        <f>IFERROR(IF(AND(I23="LeaseUp",4=0),(IF(I23="Vacate",TINew*D23,IF(I23="Market",Retention*TIRenewal*D23+(1-Retention)*TINew*D23,IF(I23="LeaseUp",TINew*D23,IF(I23="Option",TIRenewal*D23,0)))))+(IF(I23="Vacate",LCNew*H23*D23*(1+GrowthMarketRent)^4,IF(I23="Market",Retention*LCRenewal*H23*D23*(1+GrowthMarketRent)^4+(1-Retention)*LCNew*H23*D23*(1+GrowthMarketRent)^4,IF(I23="LeaseUp",LCNew*H23*D23*(1+GrowthMarketRent)^4,IF(I23="Option",LCRenewal*H23*D23*(1+GrowthMarketRent)^4,0))))),IF(F23="",0,IF(AND(F23&gt;=DATE(2026+4,5,1),F23&lt;=DATE(2027+4,4,30)),(IF(I23="Vacate",TINew*D23,IF(I23="Market",Retention*TIRenewal*D23+(1-Retention)*TINew*D23,IF(I23="LeaseUp",TINew*D23,IF(I23="Option",TIRenewal*D23,0)))))+(IF(I23="Vacate",LCNew*H23*D23*(1+GrowthMarketRent)^4,IF(I23="Market",Retention*LCRenewal*H23*D23*(1+GrowthMarketRent)^4+(1-Retention)*LCNew*H23*D23*(1+GrowthMarketRent)^4,IF(I23="LeaseUp",LCNew*H23*D23*(1+GrowthMarketRent)^4,IF(I23="Option",LCRenewal*H23*D23*(1+GrowthMarketRent)^4,0))))),0))),0)</f>
        <v/>
      </c>
      <c r="AD23" s="14">
        <f>IFERROR(IF(AND(I23="LeaseUp",5=0),(IF(I23="Vacate",TINew*D23,IF(I23="Market",Retention*TIRenewal*D23+(1-Retention)*TINew*D23,IF(I23="LeaseUp",TINew*D23,IF(I23="Option",TIRenewal*D23,0)))))+(IF(I23="Vacate",LCNew*H23*D23*(1+GrowthMarketRent)^5,IF(I23="Market",Retention*LCRenewal*H23*D23*(1+GrowthMarketRent)^5+(1-Retention)*LCNew*H23*D23*(1+GrowthMarketRent)^5,IF(I23="LeaseUp",LCNew*H23*D23*(1+GrowthMarketRent)^5,IF(I23="Option",LCRenewal*H23*D23*(1+GrowthMarketRent)^5,0))))),IF(F23="",0,IF(AND(F23&gt;=DATE(2026+5,5,1),F23&lt;=DATE(2027+5,4,30)),(IF(I23="Vacate",TINew*D23,IF(I23="Market",Retention*TIRenewal*D23+(1-Retention)*TINew*D23,IF(I23="LeaseUp",TINew*D23,IF(I23="Option",TIRenewal*D23,0)))))+(IF(I23="Vacate",LCNew*H23*D23*(1+GrowthMarketRent)^5,IF(I23="Market",Retention*LCRenewal*H23*D23*(1+GrowthMarketRent)^5+(1-Retention)*LCNew*H23*D23*(1+GrowthMarketRent)^5,IF(I23="LeaseUp",LCNew*H23*D23*(1+GrowthMarketRent)^5,IF(I23="Option",LCRenewal*H23*D23*(1+GrowthMarketRent)^5,0))))),0))),0)</f>
        <v/>
      </c>
      <c r="AE23" s="14">
        <f>IFERROR(IF(AND(I23="LeaseUp",6=0),(IF(I23="Vacate",TINew*D23,IF(I23="Market",Retention*TIRenewal*D23+(1-Retention)*TINew*D23,IF(I23="LeaseUp",TINew*D23,IF(I23="Option",TIRenewal*D23,0)))))+(IF(I23="Vacate",LCNew*H23*D23*(1+GrowthMarketRent)^6,IF(I23="Market",Retention*LCRenewal*H23*D23*(1+GrowthMarketRent)^6+(1-Retention)*LCNew*H23*D23*(1+GrowthMarketRent)^6,IF(I23="LeaseUp",LCNew*H23*D23*(1+GrowthMarketRent)^6,IF(I23="Option",LCRenewal*H23*D23*(1+GrowthMarketRent)^6,0))))),IF(F23="",0,IF(AND(F23&gt;=DATE(2026+6,5,1),F23&lt;=DATE(2027+6,4,30)),(IF(I23="Vacate",TINew*D23,IF(I23="Market",Retention*TIRenewal*D23+(1-Retention)*TINew*D23,IF(I23="LeaseUp",TINew*D23,IF(I23="Option",TIRenewal*D23,0)))))+(IF(I23="Vacate",LCNew*H23*D23*(1+GrowthMarketRent)^6,IF(I23="Market",Retention*LCRenewal*H23*D23*(1+GrowthMarketRent)^6+(1-Retention)*LCNew*H23*D23*(1+GrowthMarketRent)^6,IF(I23="LeaseUp",LCNew*H23*D23*(1+GrowthMarketRent)^6,IF(I23="Option",LCRenewal*H23*D23*(1+GrowthMarketRent)^6,0))))),0))),0)</f>
        <v/>
      </c>
      <c r="AF23" s="14">
        <f>IFERROR(IF(AND(I23="LeaseUp",7=0),(IF(I23="Vacate",TINew*D23,IF(I23="Market",Retention*TIRenewal*D23+(1-Retention)*TINew*D23,IF(I23="LeaseUp",TINew*D23,IF(I23="Option",TIRenewal*D23,0)))))+(IF(I23="Vacate",LCNew*H23*D23*(1+GrowthMarketRent)^7,IF(I23="Market",Retention*LCRenewal*H23*D23*(1+GrowthMarketRent)^7+(1-Retention)*LCNew*H23*D23*(1+GrowthMarketRent)^7,IF(I23="LeaseUp",LCNew*H23*D23*(1+GrowthMarketRent)^7,IF(I23="Option",LCRenewal*H23*D23*(1+GrowthMarketRent)^7,0))))),IF(F23="",0,IF(AND(F23&gt;=DATE(2026+7,5,1),F23&lt;=DATE(2027+7,4,30)),(IF(I23="Vacate",TINew*D23,IF(I23="Market",Retention*TIRenewal*D23+(1-Retention)*TINew*D23,IF(I23="LeaseUp",TINew*D23,IF(I23="Option",TIRenewal*D23,0)))))+(IF(I23="Vacate",LCNew*H23*D23*(1+GrowthMarketRent)^7,IF(I23="Market",Retention*LCRenewal*H23*D23*(1+GrowthMarketRent)^7+(1-Retention)*LCNew*H23*D23*(1+GrowthMarketRent)^7,IF(I23="LeaseUp",LCNew*H23*D23*(1+GrowthMarketRent)^7,IF(I23="Option",LCRenewal*H23*D23*(1+GrowthMarketRent)^7,0))))),0))),0)</f>
        <v/>
      </c>
      <c r="AG23" s="14">
        <f>IFERROR(IF(AND(I23="LeaseUp",8=0),(IF(I23="Vacate",TINew*D23,IF(I23="Market",Retention*TIRenewal*D23+(1-Retention)*TINew*D23,IF(I23="LeaseUp",TINew*D23,IF(I23="Option",TIRenewal*D23,0)))))+(IF(I23="Vacate",LCNew*H23*D23*(1+GrowthMarketRent)^8,IF(I23="Market",Retention*LCRenewal*H23*D23*(1+GrowthMarketRent)^8+(1-Retention)*LCNew*H23*D23*(1+GrowthMarketRent)^8,IF(I23="LeaseUp",LCNew*H23*D23*(1+GrowthMarketRent)^8,IF(I23="Option",LCRenewal*H23*D23*(1+GrowthMarketRent)^8,0))))),IF(F23="",0,IF(AND(F23&gt;=DATE(2026+8,5,1),F23&lt;=DATE(2027+8,4,30)),(IF(I23="Vacate",TINew*D23,IF(I23="Market",Retention*TIRenewal*D23+(1-Retention)*TINew*D23,IF(I23="LeaseUp",TINew*D23,IF(I23="Option",TIRenewal*D23,0)))))+(IF(I23="Vacate",LCNew*H23*D23*(1+GrowthMarketRent)^8,IF(I23="Market",Retention*LCRenewal*H23*D23*(1+GrowthMarketRent)^8+(1-Retention)*LCNew*H23*D23*(1+GrowthMarketRent)^8,IF(I23="LeaseUp",LCNew*H23*D23*(1+GrowthMarketRent)^8,IF(I23="Option",LCRenewal*H23*D23*(1+GrowthMarketRent)^8,0))))),0))),0)</f>
        <v/>
      </c>
      <c r="AH23" s="14">
        <f>IFERROR(IF(AND(I23="LeaseUp",9=0),(IF(I23="Vacate",TINew*D23,IF(I23="Market",Retention*TIRenewal*D23+(1-Retention)*TINew*D23,IF(I23="LeaseUp",TINew*D23,IF(I23="Option",TIRenewal*D23,0)))))+(IF(I23="Vacate",LCNew*H23*D23*(1+GrowthMarketRent)^9,IF(I23="Market",Retention*LCRenewal*H23*D23*(1+GrowthMarketRent)^9+(1-Retention)*LCNew*H23*D23*(1+GrowthMarketRent)^9,IF(I23="LeaseUp",LCNew*H23*D23*(1+GrowthMarketRent)^9,IF(I23="Option",LCRenewal*H23*D23*(1+GrowthMarketRent)^9,0))))),IF(F23="",0,IF(AND(F23&gt;=DATE(2026+9,5,1),F23&lt;=DATE(2027+9,4,30)),(IF(I23="Vacate",TINew*D23,IF(I23="Market",Retention*TIRenewal*D23+(1-Retention)*TINew*D23,IF(I23="LeaseUp",TINew*D23,IF(I23="Option",TIRenewal*D23,0)))))+(IF(I23="Vacate",LCNew*H23*D23*(1+GrowthMarketRent)^9,IF(I23="Market",Retention*LCRenewal*H23*D23*(1+GrowthMarketRent)^9+(1-Retention)*LCNew*H23*D23*(1+GrowthMarketRent)^9,IF(I23="LeaseUp",LCNew*H23*D23*(1+GrowthMarketRent)^9,IF(I23="Option",LCRenewal*H23*D23*(1+GrowthMarketRent)^9,0))))),0))),0)</f>
        <v/>
      </c>
      <c r="AI23" s="14">
        <f>IFERROR(IF(AND(I23="LeaseUp",10=0),(IF(I23="Vacate",TINew*D23,IF(I23="Market",Retention*TIRenewal*D23+(1-Retention)*TINew*D23,IF(I23="LeaseUp",TINew*D23,IF(I23="Option",TIRenewal*D23,0)))))+(IF(I23="Vacate",LCNew*H23*D23*(1+GrowthMarketRent)^10,IF(I23="Market",Retention*LCRenewal*H23*D23*(1+GrowthMarketRent)^10+(1-Retention)*LCNew*H23*D23*(1+GrowthMarketRent)^10,IF(I23="LeaseUp",LCNew*H23*D23*(1+GrowthMarketRent)^10,IF(I23="Option",LCRenewal*H23*D23*(1+GrowthMarketRent)^10,0))))),IF(F23="",0,IF(AND(F23&gt;=DATE(2026+10,5,1),F23&lt;=DATE(2027+10,4,30)),(IF(I23="Vacate",TINew*D23,IF(I23="Market",Retention*TIRenewal*D23+(1-Retention)*TINew*D23,IF(I23="LeaseUp",TINew*D23,IF(I23="Option",TIRenewal*D23,0)))))+(IF(I23="Vacate",LCNew*H23*D23*(1+GrowthMarketRent)^10,IF(I23="Market",Retention*LCRenewal*H23*D23*(1+GrowthMarketRent)^10+(1-Retention)*LCNew*H23*D23*(1+GrowthMarketRent)^10,IF(I23="LeaseUp",LCNew*H23*D23*(1+GrowthMarketRent)^10,IF(I23="Option",LCRenewal*H23*D23*(1+GrowthMarketRent)^10,0))))),0))),0)</f>
        <v/>
      </c>
    </row>
    <row r="24">
      <c r="A24" t="inlineStr">
        <is>
          <t>Carrollton</t>
        </is>
      </c>
      <c r="B24" t="inlineStr">
        <is>
          <t>300</t>
        </is>
      </c>
      <c r="C24" t="inlineStr">
        <is>
          <t>VACANT</t>
        </is>
      </c>
      <c r="D24" s="32" t="n">
        <v>2580</v>
      </c>
      <c r="G24" s="34" t="n">
        <v>0</v>
      </c>
      <c r="H24" s="16">
        <f>VLOOKUP("Carrollton — "&amp;J24,MLA!$A$5:$L$11,3,FALSE)</f>
        <v/>
      </c>
      <c r="I24" s="11" t="inlineStr">
        <is>
          <t>LeaseUp</t>
        </is>
      </c>
      <c r="J24" t="inlineStr">
        <is>
          <t>Studio</t>
        </is>
      </c>
      <c r="K24" t="inlineStr">
        <is>
          <t>Vacant</t>
        </is>
      </c>
      <c r="L24" t="inlineStr">
        <is>
          <t>Studio; future lease-up Nov-2026 in OM</t>
        </is>
      </c>
      <c r="M24" s="20">
        <f>IF(E24="",0,(AnalysisStart-E24)/365.25)</f>
        <v/>
      </c>
      <c r="N24" s="14">
        <f>IFERROR(IF(I24="LeaseUp",H24*D24*(1+GrowthMarketRent)^0*IF(0=0,(12-DowntimeNew)/12,1),IF(F24="",0,IF(F24&gt;=DATE(2027+0,4,30),G24*D24*(1+EscalatorInLease)^(0+M24),IF(F24&lt;DATE(2026+0,5,1),IF(I24="Vacate",H24*D24*(1+GrowthMarketRent)^0*IF(INT((DATE(2026+0,10,31)-F24)/365.25)=0,(12-DowntimeNew)/12,1),IF(I24="Option",G24*D24*1.025*(1+EscalatorInLease)^0,IF(I24="Market",Retention*G24*D24*(1+EscalatorInLease)^(0+M24)+(1-Retention)*H24*D24*(1+GrowthMarketRent)^0*IF(INT((DATE(2026+0,10,31)-F24)/365.25)=0,(12-DowntimeNew)/12,1),IF(I24="LeaseUp",H24*D24*(1+GrowthMarketRent)^0*IF(0=0,(12-DowntimeNew)/12,1),0)))),((F24-DATE(2026+0,5,1))/365.25)*G24*D24*(1+EscalatorInLease)^(0+M24)+((DATE(2027+0,4,30)-F24)/365.25)*IF(I24="Vacate",H24*D24*(1+GrowthMarketRent)^0*IF(INT((DATE(2026+0,10,31)-F24)/365.25)=0,(12-DowntimeNew)/12,1),IF(I24="Option",G24*D24*1.025*(1+EscalatorInLease)^0,IF(I24="Market",Retention*G24*D24*(1+EscalatorInLease)^(0+M24)+(1-Retention)*H24*D24*(1+GrowthMarketRent)^0*IF(INT((DATE(2026+0,10,31)-F24)/365.25)=0,(12-DowntimeNew)/12,1),IF(I24="LeaseUp",H24*D24*(1+GrowthMarketRent)^0*IF(0=0,(12-DowntimeNew)/12,1),0)))))))),0)</f>
        <v/>
      </c>
      <c r="O24" s="14">
        <f>IFERROR(IF(I24="LeaseUp",H24*D24*(1+GrowthMarketRent)^1*IF(1=0,(12-DowntimeNew)/12,1),IF(F24="",0,IF(F24&gt;=DATE(2027+1,4,30),G24*D24*(1+EscalatorInLease)^(1+M24),IF(F24&lt;DATE(2026+1,5,1),IF(I24="Vacate",H24*D24*(1+GrowthMarketRent)^1*IF(INT((DATE(2026+1,10,31)-F24)/365.25)=0,(12-DowntimeNew)/12,1),IF(I24="Option",G24*D24*1.025*(1+EscalatorInLease)^1,IF(I24="Market",Retention*G24*D24*(1+EscalatorInLease)^(1+M24)+(1-Retention)*H24*D24*(1+GrowthMarketRent)^1*IF(INT((DATE(2026+1,10,31)-F24)/365.25)=0,(12-DowntimeNew)/12,1),IF(I24="LeaseUp",H24*D24*(1+GrowthMarketRent)^1*IF(1=0,(12-DowntimeNew)/12,1),0)))),((F24-DATE(2026+1,5,1))/365.25)*G24*D24*(1+EscalatorInLease)^(1+M24)+((DATE(2027+1,4,30)-F24)/365.25)*IF(I24="Vacate",H24*D24*(1+GrowthMarketRent)^1*IF(INT((DATE(2026+1,10,31)-F24)/365.25)=0,(12-DowntimeNew)/12,1),IF(I24="Option",G24*D24*1.025*(1+EscalatorInLease)^1,IF(I24="Market",Retention*G24*D24*(1+EscalatorInLease)^(1+M24)+(1-Retention)*H24*D24*(1+GrowthMarketRent)^1*IF(INT((DATE(2026+1,10,31)-F24)/365.25)=0,(12-DowntimeNew)/12,1),IF(I24="LeaseUp",H24*D24*(1+GrowthMarketRent)^1*IF(1=0,(12-DowntimeNew)/12,1),0)))))))),0)</f>
        <v/>
      </c>
      <c r="P24" s="14">
        <f>IFERROR(IF(I24="LeaseUp",H24*D24*(1+GrowthMarketRent)^2*IF(2=0,(12-DowntimeNew)/12,1),IF(F24="",0,IF(F24&gt;=DATE(2027+2,4,30),G24*D24*(1+EscalatorInLease)^(2+M24),IF(F24&lt;DATE(2026+2,5,1),IF(I24="Vacate",H24*D24*(1+GrowthMarketRent)^2*IF(INT((DATE(2026+2,10,31)-F24)/365.25)=0,(12-DowntimeNew)/12,1),IF(I24="Option",G24*D24*1.025*(1+EscalatorInLease)^2,IF(I24="Market",Retention*G24*D24*(1+EscalatorInLease)^(2+M24)+(1-Retention)*H24*D24*(1+GrowthMarketRent)^2*IF(INT((DATE(2026+2,10,31)-F24)/365.25)=0,(12-DowntimeNew)/12,1),IF(I24="LeaseUp",H24*D24*(1+GrowthMarketRent)^2*IF(2=0,(12-DowntimeNew)/12,1),0)))),((F24-DATE(2026+2,5,1))/365.25)*G24*D24*(1+EscalatorInLease)^(2+M24)+((DATE(2027+2,4,30)-F24)/365.25)*IF(I24="Vacate",H24*D24*(1+GrowthMarketRent)^2*IF(INT((DATE(2026+2,10,31)-F24)/365.25)=0,(12-DowntimeNew)/12,1),IF(I24="Option",G24*D24*1.025*(1+EscalatorInLease)^2,IF(I24="Market",Retention*G24*D24*(1+EscalatorInLease)^(2+M24)+(1-Retention)*H24*D24*(1+GrowthMarketRent)^2*IF(INT((DATE(2026+2,10,31)-F24)/365.25)=0,(12-DowntimeNew)/12,1),IF(I24="LeaseUp",H24*D24*(1+GrowthMarketRent)^2*IF(2=0,(12-DowntimeNew)/12,1),0)))))))),0)</f>
        <v/>
      </c>
      <c r="Q24" s="14">
        <f>IFERROR(IF(I24="LeaseUp",H24*D24*(1+GrowthMarketRent)^3*IF(3=0,(12-DowntimeNew)/12,1),IF(F24="",0,IF(F24&gt;=DATE(2027+3,4,30),G24*D24*(1+EscalatorInLease)^(3+M24),IF(F24&lt;DATE(2026+3,5,1),IF(I24="Vacate",H24*D24*(1+GrowthMarketRent)^3*IF(INT((DATE(2026+3,10,31)-F24)/365.25)=0,(12-DowntimeNew)/12,1),IF(I24="Option",G24*D24*1.025*(1+EscalatorInLease)^3,IF(I24="Market",Retention*G24*D24*(1+EscalatorInLease)^(3+M24)+(1-Retention)*H24*D24*(1+GrowthMarketRent)^3*IF(INT((DATE(2026+3,10,31)-F24)/365.25)=0,(12-DowntimeNew)/12,1),IF(I24="LeaseUp",H24*D24*(1+GrowthMarketRent)^3*IF(3=0,(12-DowntimeNew)/12,1),0)))),((F24-DATE(2026+3,5,1))/365.25)*G24*D24*(1+EscalatorInLease)^(3+M24)+((DATE(2027+3,4,30)-F24)/365.25)*IF(I24="Vacate",H24*D24*(1+GrowthMarketRent)^3*IF(INT((DATE(2026+3,10,31)-F24)/365.25)=0,(12-DowntimeNew)/12,1),IF(I24="Option",G24*D24*1.025*(1+EscalatorInLease)^3,IF(I24="Market",Retention*G24*D24*(1+EscalatorInLease)^(3+M24)+(1-Retention)*H24*D24*(1+GrowthMarketRent)^3*IF(INT((DATE(2026+3,10,31)-F24)/365.25)=0,(12-DowntimeNew)/12,1),IF(I24="LeaseUp",H24*D24*(1+GrowthMarketRent)^3*IF(3=0,(12-DowntimeNew)/12,1),0)))))))),0)</f>
        <v/>
      </c>
      <c r="R24" s="14">
        <f>IFERROR(IF(I24="LeaseUp",H24*D24*(1+GrowthMarketRent)^4*IF(4=0,(12-DowntimeNew)/12,1),IF(F24="",0,IF(F24&gt;=DATE(2027+4,4,30),G24*D24*(1+EscalatorInLease)^(4+M24),IF(F24&lt;DATE(2026+4,5,1),IF(I24="Vacate",H24*D24*(1+GrowthMarketRent)^4*IF(INT((DATE(2026+4,10,31)-F24)/365.25)=0,(12-DowntimeNew)/12,1),IF(I24="Option",G24*D24*1.025*(1+EscalatorInLease)^4,IF(I24="Market",Retention*G24*D24*(1+EscalatorInLease)^(4+M24)+(1-Retention)*H24*D24*(1+GrowthMarketRent)^4*IF(INT((DATE(2026+4,10,31)-F24)/365.25)=0,(12-DowntimeNew)/12,1),IF(I24="LeaseUp",H24*D24*(1+GrowthMarketRent)^4*IF(4=0,(12-DowntimeNew)/12,1),0)))),((F24-DATE(2026+4,5,1))/365.25)*G24*D24*(1+EscalatorInLease)^(4+M24)+((DATE(2027+4,4,30)-F24)/365.25)*IF(I24="Vacate",H24*D24*(1+GrowthMarketRent)^4*IF(INT((DATE(2026+4,10,31)-F24)/365.25)=0,(12-DowntimeNew)/12,1),IF(I24="Option",G24*D24*1.025*(1+EscalatorInLease)^4,IF(I24="Market",Retention*G24*D24*(1+EscalatorInLease)^(4+M24)+(1-Retention)*H24*D24*(1+GrowthMarketRent)^4*IF(INT((DATE(2026+4,10,31)-F24)/365.25)=0,(12-DowntimeNew)/12,1),IF(I24="LeaseUp",H24*D24*(1+GrowthMarketRent)^4*IF(4=0,(12-DowntimeNew)/12,1),0)))))))),0)</f>
        <v/>
      </c>
      <c r="S24" s="14">
        <f>IFERROR(IF(I24="LeaseUp",H24*D24*(1+GrowthMarketRent)^5*IF(5=0,(12-DowntimeNew)/12,1),IF(F24="",0,IF(F24&gt;=DATE(2027+5,4,30),G24*D24*(1+EscalatorInLease)^(5+M24),IF(F24&lt;DATE(2026+5,5,1),IF(I24="Vacate",H24*D24*(1+GrowthMarketRent)^5*IF(INT((DATE(2026+5,10,31)-F24)/365.25)=0,(12-DowntimeNew)/12,1),IF(I24="Option",G24*D24*1.025*(1+EscalatorInLease)^5,IF(I24="Market",Retention*G24*D24*(1+EscalatorInLease)^(5+M24)+(1-Retention)*H24*D24*(1+GrowthMarketRent)^5*IF(INT((DATE(2026+5,10,31)-F24)/365.25)=0,(12-DowntimeNew)/12,1),IF(I24="LeaseUp",H24*D24*(1+GrowthMarketRent)^5*IF(5=0,(12-DowntimeNew)/12,1),0)))),((F24-DATE(2026+5,5,1))/365.25)*G24*D24*(1+EscalatorInLease)^(5+M24)+((DATE(2027+5,4,30)-F24)/365.25)*IF(I24="Vacate",H24*D24*(1+GrowthMarketRent)^5*IF(INT((DATE(2026+5,10,31)-F24)/365.25)=0,(12-DowntimeNew)/12,1),IF(I24="Option",G24*D24*1.025*(1+EscalatorInLease)^5,IF(I24="Market",Retention*G24*D24*(1+EscalatorInLease)^(5+M24)+(1-Retention)*H24*D24*(1+GrowthMarketRent)^5*IF(INT((DATE(2026+5,10,31)-F24)/365.25)=0,(12-DowntimeNew)/12,1),IF(I24="LeaseUp",H24*D24*(1+GrowthMarketRent)^5*IF(5=0,(12-DowntimeNew)/12,1),0)))))))),0)</f>
        <v/>
      </c>
      <c r="T24" s="14">
        <f>IFERROR(IF(I24="LeaseUp",H24*D24*(1+GrowthMarketRent)^6*IF(6=0,(12-DowntimeNew)/12,1),IF(F24="",0,IF(F24&gt;=DATE(2027+6,4,30),G24*D24*(1+EscalatorInLease)^(6+M24),IF(F24&lt;DATE(2026+6,5,1),IF(I24="Vacate",H24*D24*(1+GrowthMarketRent)^6*IF(INT((DATE(2026+6,10,31)-F24)/365.25)=0,(12-DowntimeNew)/12,1),IF(I24="Option",G24*D24*1.025*(1+EscalatorInLease)^6,IF(I24="Market",Retention*G24*D24*(1+EscalatorInLease)^(6+M24)+(1-Retention)*H24*D24*(1+GrowthMarketRent)^6*IF(INT((DATE(2026+6,10,31)-F24)/365.25)=0,(12-DowntimeNew)/12,1),IF(I24="LeaseUp",H24*D24*(1+GrowthMarketRent)^6*IF(6=0,(12-DowntimeNew)/12,1),0)))),((F24-DATE(2026+6,5,1))/365.25)*G24*D24*(1+EscalatorInLease)^(6+M24)+((DATE(2027+6,4,30)-F24)/365.25)*IF(I24="Vacate",H24*D24*(1+GrowthMarketRent)^6*IF(INT((DATE(2026+6,10,31)-F24)/365.25)=0,(12-DowntimeNew)/12,1),IF(I24="Option",G24*D24*1.025*(1+EscalatorInLease)^6,IF(I24="Market",Retention*G24*D24*(1+EscalatorInLease)^(6+M24)+(1-Retention)*H24*D24*(1+GrowthMarketRent)^6*IF(INT((DATE(2026+6,10,31)-F24)/365.25)=0,(12-DowntimeNew)/12,1),IF(I24="LeaseUp",H24*D24*(1+GrowthMarketRent)^6*IF(6=0,(12-DowntimeNew)/12,1),0)))))))),0)</f>
        <v/>
      </c>
      <c r="U24" s="14">
        <f>IFERROR(IF(I24="LeaseUp",H24*D24*(1+GrowthMarketRent)^7*IF(7=0,(12-DowntimeNew)/12,1),IF(F24="",0,IF(F24&gt;=DATE(2027+7,4,30),G24*D24*(1+EscalatorInLease)^(7+M24),IF(F24&lt;DATE(2026+7,5,1),IF(I24="Vacate",H24*D24*(1+GrowthMarketRent)^7*IF(INT((DATE(2026+7,10,31)-F24)/365.25)=0,(12-DowntimeNew)/12,1),IF(I24="Option",G24*D24*1.025*(1+EscalatorInLease)^7,IF(I24="Market",Retention*G24*D24*(1+EscalatorInLease)^(7+M24)+(1-Retention)*H24*D24*(1+GrowthMarketRent)^7*IF(INT((DATE(2026+7,10,31)-F24)/365.25)=0,(12-DowntimeNew)/12,1),IF(I24="LeaseUp",H24*D24*(1+GrowthMarketRent)^7*IF(7=0,(12-DowntimeNew)/12,1),0)))),((F24-DATE(2026+7,5,1))/365.25)*G24*D24*(1+EscalatorInLease)^(7+M24)+((DATE(2027+7,4,30)-F24)/365.25)*IF(I24="Vacate",H24*D24*(1+GrowthMarketRent)^7*IF(INT((DATE(2026+7,10,31)-F24)/365.25)=0,(12-DowntimeNew)/12,1),IF(I24="Option",G24*D24*1.025*(1+EscalatorInLease)^7,IF(I24="Market",Retention*G24*D24*(1+EscalatorInLease)^(7+M24)+(1-Retention)*H24*D24*(1+GrowthMarketRent)^7*IF(INT((DATE(2026+7,10,31)-F24)/365.25)=0,(12-DowntimeNew)/12,1),IF(I24="LeaseUp",H24*D24*(1+GrowthMarketRent)^7*IF(7=0,(12-DowntimeNew)/12,1),0)))))))),0)</f>
        <v/>
      </c>
      <c r="V24" s="14">
        <f>IFERROR(IF(I24="LeaseUp",H24*D24*(1+GrowthMarketRent)^8*IF(8=0,(12-DowntimeNew)/12,1),IF(F24="",0,IF(F24&gt;=DATE(2027+8,4,30),G24*D24*(1+EscalatorInLease)^(8+M24),IF(F24&lt;DATE(2026+8,5,1),IF(I24="Vacate",H24*D24*(1+GrowthMarketRent)^8*IF(INT((DATE(2026+8,10,31)-F24)/365.25)=0,(12-DowntimeNew)/12,1),IF(I24="Option",G24*D24*1.025*(1+EscalatorInLease)^8,IF(I24="Market",Retention*G24*D24*(1+EscalatorInLease)^(8+M24)+(1-Retention)*H24*D24*(1+GrowthMarketRent)^8*IF(INT((DATE(2026+8,10,31)-F24)/365.25)=0,(12-DowntimeNew)/12,1),IF(I24="LeaseUp",H24*D24*(1+GrowthMarketRent)^8*IF(8=0,(12-DowntimeNew)/12,1),0)))),((F24-DATE(2026+8,5,1))/365.25)*G24*D24*(1+EscalatorInLease)^(8+M24)+((DATE(2027+8,4,30)-F24)/365.25)*IF(I24="Vacate",H24*D24*(1+GrowthMarketRent)^8*IF(INT((DATE(2026+8,10,31)-F24)/365.25)=0,(12-DowntimeNew)/12,1),IF(I24="Option",G24*D24*1.025*(1+EscalatorInLease)^8,IF(I24="Market",Retention*G24*D24*(1+EscalatorInLease)^(8+M24)+(1-Retention)*H24*D24*(1+GrowthMarketRent)^8*IF(INT((DATE(2026+8,10,31)-F24)/365.25)=0,(12-DowntimeNew)/12,1),IF(I24="LeaseUp",H24*D24*(1+GrowthMarketRent)^8*IF(8=0,(12-DowntimeNew)/12,1),0)))))))),0)</f>
        <v/>
      </c>
      <c r="W24" s="14">
        <f>IFERROR(IF(I24="LeaseUp",H24*D24*(1+GrowthMarketRent)^9*IF(9=0,(12-DowntimeNew)/12,1),IF(F24="",0,IF(F24&gt;=DATE(2027+9,4,30),G24*D24*(1+EscalatorInLease)^(9+M24),IF(F24&lt;DATE(2026+9,5,1),IF(I24="Vacate",H24*D24*(1+GrowthMarketRent)^9*IF(INT((DATE(2026+9,10,31)-F24)/365.25)=0,(12-DowntimeNew)/12,1),IF(I24="Option",G24*D24*1.025*(1+EscalatorInLease)^9,IF(I24="Market",Retention*G24*D24*(1+EscalatorInLease)^(9+M24)+(1-Retention)*H24*D24*(1+GrowthMarketRent)^9*IF(INT((DATE(2026+9,10,31)-F24)/365.25)=0,(12-DowntimeNew)/12,1),IF(I24="LeaseUp",H24*D24*(1+GrowthMarketRent)^9*IF(9=0,(12-DowntimeNew)/12,1),0)))),((F24-DATE(2026+9,5,1))/365.25)*G24*D24*(1+EscalatorInLease)^(9+M24)+((DATE(2027+9,4,30)-F24)/365.25)*IF(I24="Vacate",H24*D24*(1+GrowthMarketRent)^9*IF(INT((DATE(2026+9,10,31)-F24)/365.25)=0,(12-DowntimeNew)/12,1),IF(I24="Option",G24*D24*1.025*(1+EscalatorInLease)^9,IF(I24="Market",Retention*G24*D24*(1+EscalatorInLease)^(9+M24)+(1-Retention)*H24*D24*(1+GrowthMarketRent)^9*IF(INT((DATE(2026+9,10,31)-F24)/365.25)=0,(12-DowntimeNew)/12,1),IF(I24="LeaseUp",H24*D24*(1+GrowthMarketRent)^9*IF(9=0,(12-DowntimeNew)/12,1),0)))))))),0)</f>
        <v/>
      </c>
      <c r="X24" s="14">
        <f>IFERROR(IF(I24="LeaseUp",H24*D24*(1+GrowthMarketRent)^10*IF(10=0,(12-DowntimeNew)/12,1),IF(F24="",0,IF(F24&gt;=DATE(2027+10,4,30),G24*D24*(1+EscalatorInLease)^(10+M24),IF(F24&lt;DATE(2026+10,5,1),IF(I24="Vacate",H24*D24*(1+GrowthMarketRent)^10*IF(INT((DATE(2026+10,10,31)-F24)/365.25)=0,(12-DowntimeNew)/12,1),IF(I24="Option",G24*D24*1.025*(1+EscalatorInLease)^10,IF(I24="Market",Retention*G24*D24*(1+EscalatorInLease)^(10+M24)+(1-Retention)*H24*D24*(1+GrowthMarketRent)^10*IF(INT((DATE(2026+10,10,31)-F24)/365.25)=0,(12-DowntimeNew)/12,1),IF(I24="LeaseUp",H24*D24*(1+GrowthMarketRent)^10*IF(10=0,(12-DowntimeNew)/12,1),0)))),((F24-DATE(2026+10,5,1))/365.25)*G24*D24*(1+EscalatorInLease)^(10+M24)+((DATE(2027+10,4,30)-F24)/365.25)*IF(I24="Vacate",H24*D24*(1+GrowthMarketRent)^10*IF(INT((DATE(2026+10,10,31)-F24)/365.25)=0,(12-DowntimeNew)/12,1),IF(I24="Option",G24*D24*1.025*(1+EscalatorInLease)^10,IF(I24="Market",Retention*G24*D24*(1+EscalatorInLease)^(10+M24)+(1-Retention)*H24*D24*(1+GrowthMarketRent)^10*IF(INT((DATE(2026+10,10,31)-F24)/365.25)=0,(12-DowntimeNew)/12,1),IF(I24="LeaseUp",H24*D24*(1+GrowthMarketRent)^10*IF(10=0,(12-DowntimeNew)/12,1),0)))))))),0)</f>
        <v/>
      </c>
      <c r="Y24" s="14">
        <f>IFERROR(IF(AND(I24="LeaseUp",0=0),(IF(I24="Vacate",TINew*D24,IF(I24="Market",Retention*TIRenewal*D24+(1-Retention)*TINew*D24,IF(I24="LeaseUp",TINew*D24,IF(I24="Option",TIRenewal*D24,0)))))+(IF(I24="Vacate",LCNew*H24*D24*(1+GrowthMarketRent)^0,IF(I24="Market",Retention*LCRenewal*H24*D24*(1+GrowthMarketRent)^0+(1-Retention)*LCNew*H24*D24*(1+GrowthMarketRent)^0,IF(I24="LeaseUp",LCNew*H24*D24*(1+GrowthMarketRent)^0,IF(I24="Option",LCRenewal*H24*D24*(1+GrowthMarketRent)^0,0))))),IF(F24="",0,IF(AND(F24&gt;=DATE(2026+0,5,1),F24&lt;=DATE(2027+0,4,30)),(IF(I24="Vacate",TINew*D24,IF(I24="Market",Retention*TIRenewal*D24+(1-Retention)*TINew*D24,IF(I24="LeaseUp",TINew*D24,IF(I24="Option",TIRenewal*D24,0)))))+(IF(I24="Vacate",LCNew*H24*D24*(1+GrowthMarketRent)^0,IF(I24="Market",Retention*LCRenewal*H24*D24*(1+GrowthMarketRent)^0+(1-Retention)*LCNew*H24*D24*(1+GrowthMarketRent)^0,IF(I24="LeaseUp",LCNew*H24*D24*(1+GrowthMarketRent)^0,IF(I24="Option",LCRenewal*H24*D24*(1+GrowthMarketRent)^0,0))))),0))),0)</f>
        <v/>
      </c>
      <c r="Z24" s="14">
        <f>IFERROR(IF(AND(I24="LeaseUp",1=0),(IF(I24="Vacate",TINew*D24,IF(I24="Market",Retention*TIRenewal*D24+(1-Retention)*TINew*D24,IF(I24="LeaseUp",TINew*D24,IF(I24="Option",TIRenewal*D24,0)))))+(IF(I24="Vacate",LCNew*H24*D24*(1+GrowthMarketRent)^1,IF(I24="Market",Retention*LCRenewal*H24*D24*(1+GrowthMarketRent)^1+(1-Retention)*LCNew*H24*D24*(1+GrowthMarketRent)^1,IF(I24="LeaseUp",LCNew*H24*D24*(1+GrowthMarketRent)^1,IF(I24="Option",LCRenewal*H24*D24*(1+GrowthMarketRent)^1,0))))),IF(F24="",0,IF(AND(F24&gt;=DATE(2026+1,5,1),F24&lt;=DATE(2027+1,4,30)),(IF(I24="Vacate",TINew*D24,IF(I24="Market",Retention*TIRenewal*D24+(1-Retention)*TINew*D24,IF(I24="LeaseUp",TINew*D24,IF(I24="Option",TIRenewal*D24,0)))))+(IF(I24="Vacate",LCNew*H24*D24*(1+GrowthMarketRent)^1,IF(I24="Market",Retention*LCRenewal*H24*D24*(1+GrowthMarketRent)^1+(1-Retention)*LCNew*H24*D24*(1+GrowthMarketRent)^1,IF(I24="LeaseUp",LCNew*H24*D24*(1+GrowthMarketRent)^1,IF(I24="Option",LCRenewal*H24*D24*(1+GrowthMarketRent)^1,0))))),0))),0)</f>
        <v/>
      </c>
      <c r="AA24" s="14">
        <f>IFERROR(IF(AND(I24="LeaseUp",2=0),(IF(I24="Vacate",TINew*D24,IF(I24="Market",Retention*TIRenewal*D24+(1-Retention)*TINew*D24,IF(I24="LeaseUp",TINew*D24,IF(I24="Option",TIRenewal*D24,0)))))+(IF(I24="Vacate",LCNew*H24*D24*(1+GrowthMarketRent)^2,IF(I24="Market",Retention*LCRenewal*H24*D24*(1+GrowthMarketRent)^2+(1-Retention)*LCNew*H24*D24*(1+GrowthMarketRent)^2,IF(I24="LeaseUp",LCNew*H24*D24*(1+GrowthMarketRent)^2,IF(I24="Option",LCRenewal*H24*D24*(1+GrowthMarketRent)^2,0))))),IF(F24="",0,IF(AND(F24&gt;=DATE(2026+2,5,1),F24&lt;=DATE(2027+2,4,30)),(IF(I24="Vacate",TINew*D24,IF(I24="Market",Retention*TIRenewal*D24+(1-Retention)*TINew*D24,IF(I24="LeaseUp",TINew*D24,IF(I24="Option",TIRenewal*D24,0)))))+(IF(I24="Vacate",LCNew*H24*D24*(1+GrowthMarketRent)^2,IF(I24="Market",Retention*LCRenewal*H24*D24*(1+GrowthMarketRent)^2+(1-Retention)*LCNew*H24*D24*(1+GrowthMarketRent)^2,IF(I24="LeaseUp",LCNew*H24*D24*(1+GrowthMarketRent)^2,IF(I24="Option",LCRenewal*H24*D24*(1+GrowthMarketRent)^2,0))))),0))),0)</f>
        <v/>
      </c>
      <c r="AB24" s="14">
        <f>IFERROR(IF(AND(I24="LeaseUp",3=0),(IF(I24="Vacate",TINew*D24,IF(I24="Market",Retention*TIRenewal*D24+(1-Retention)*TINew*D24,IF(I24="LeaseUp",TINew*D24,IF(I24="Option",TIRenewal*D24,0)))))+(IF(I24="Vacate",LCNew*H24*D24*(1+GrowthMarketRent)^3,IF(I24="Market",Retention*LCRenewal*H24*D24*(1+GrowthMarketRent)^3+(1-Retention)*LCNew*H24*D24*(1+GrowthMarketRent)^3,IF(I24="LeaseUp",LCNew*H24*D24*(1+GrowthMarketRent)^3,IF(I24="Option",LCRenewal*H24*D24*(1+GrowthMarketRent)^3,0))))),IF(F24="",0,IF(AND(F24&gt;=DATE(2026+3,5,1),F24&lt;=DATE(2027+3,4,30)),(IF(I24="Vacate",TINew*D24,IF(I24="Market",Retention*TIRenewal*D24+(1-Retention)*TINew*D24,IF(I24="LeaseUp",TINew*D24,IF(I24="Option",TIRenewal*D24,0)))))+(IF(I24="Vacate",LCNew*H24*D24*(1+GrowthMarketRent)^3,IF(I24="Market",Retention*LCRenewal*H24*D24*(1+GrowthMarketRent)^3+(1-Retention)*LCNew*H24*D24*(1+GrowthMarketRent)^3,IF(I24="LeaseUp",LCNew*H24*D24*(1+GrowthMarketRent)^3,IF(I24="Option",LCRenewal*H24*D24*(1+GrowthMarketRent)^3,0))))),0))),0)</f>
        <v/>
      </c>
      <c r="AC24" s="14">
        <f>IFERROR(IF(AND(I24="LeaseUp",4=0),(IF(I24="Vacate",TINew*D24,IF(I24="Market",Retention*TIRenewal*D24+(1-Retention)*TINew*D24,IF(I24="LeaseUp",TINew*D24,IF(I24="Option",TIRenewal*D24,0)))))+(IF(I24="Vacate",LCNew*H24*D24*(1+GrowthMarketRent)^4,IF(I24="Market",Retention*LCRenewal*H24*D24*(1+GrowthMarketRent)^4+(1-Retention)*LCNew*H24*D24*(1+GrowthMarketRent)^4,IF(I24="LeaseUp",LCNew*H24*D24*(1+GrowthMarketRent)^4,IF(I24="Option",LCRenewal*H24*D24*(1+GrowthMarketRent)^4,0))))),IF(F24="",0,IF(AND(F24&gt;=DATE(2026+4,5,1),F24&lt;=DATE(2027+4,4,30)),(IF(I24="Vacate",TINew*D24,IF(I24="Market",Retention*TIRenewal*D24+(1-Retention)*TINew*D24,IF(I24="LeaseUp",TINew*D24,IF(I24="Option",TIRenewal*D24,0)))))+(IF(I24="Vacate",LCNew*H24*D24*(1+GrowthMarketRent)^4,IF(I24="Market",Retention*LCRenewal*H24*D24*(1+GrowthMarketRent)^4+(1-Retention)*LCNew*H24*D24*(1+GrowthMarketRent)^4,IF(I24="LeaseUp",LCNew*H24*D24*(1+GrowthMarketRent)^4,IF(I24="Option",LCRenewal*H24*D24*(1+GrowthMarketRent)^4,0))))),0))),0)</f>
        <v/>
      </c>
      <c r="AD24" s="14">
        <f>IFERROR(IF(AND(I24="LeaseUp",5=0),(IF(I24="Vacate",TINew*D24,IF(I24="Market",Retention*TIRenewal*D24+(1-Retention)*TINew*D24,IF(I24="LeaseUp",TINew*D24,IF(I24="Option",TIRenewal*D24,0)))))+(IF(I24="Vacate",LCNew*H24*D24*(1+GrowthMarketRent)^5,IF(I24="Market",Retention*LCRenewal*H24*D24*(1+GrowthMarketRent)^5+(1-Retention)*LCNew*H24*D24*(1+GrowthMarketRent)^5,IF(I24="LeaseUp",LCNew*H24*D24*(1+GrowthMarketRent)^5,IF(I24="Option",LCRenewal*H24*D24*(1+GrowthMarketRent)^5,0))))),IF(F24="",0,IF(AND(F24&gt;=DATE(2026+5,5,1),F24&lt;=DATE(2027+5,4,30)),(IF(I24="Vacate",TINew*D24,IF(I24="Market",Retention*TIRenewal*D24+(1-Retention)*TINew*D24,IF(I24="LeaseUp",TINew*D24,IF(I24="Option",TIRenewal*D24,0)))))+(IF(I24="Vacate",LCNew*H24*D24*(1+GrowthMarketRent)^5,IF(I24="Market",Retention*LCRenewal*H24*D24*(1+GrowthMarketRent)^5+(1-Retention)*LCNew*H24*D24*(1+GrowthMarketRent)^5,IF(I24="LeaseUp",LCNew*H24*D24*(1+GrowthMarketRent)^5,IF(I24="Option",LCRenewal*H24*D24*(1+GrowthMarketRent)^5,0))))),0))),0)</f>
        <v/>
      </c>
      <c r="AE24" s="14">
        <f>IFERROR(IF(AND(I24="LeaseUp",6=0),(IF(I24="Vacate",TINew*D24,IF(I24="Market",Retention*TIRenewal*D24+(1-Retention)*TINew*D24,IF(I24="LeaseUp",TINew*D24,IF(I24="Option",TIRenewal*D24,0)))))+(IF(I24="Vacate",LCNew*H24*D24*(1+GrowthMarketRent)^6,IF(I24="Market",Retention*LCRenewal*H24*D24*(1+GrowthMarketRent)^6+(1-Retention)*LCNew*H24*D24*(1+GrowthMarketRent)^6,IF(I24="LeaseUp",LCNew*H24*D24*(1+GrowthMarketRent)^6,IF(I24="Option",LCRenewal*H24*D24*(1+GrowthMarketRent)^6,0))))),IF(F24="",0,IF(AND(F24&gt;=DATE(2026+6,5,1),F24&lt;=DATE(2027+6,4,30)),(IF(I24="Vacate",TINew*D24,IF(I24="Market",Retention*TIRenewal*D24+(1-Retention)*TINew*D24,IF(I24="LeaseUp",TINew*D24,IF(I24="Option",TIRenewal*D24,0)))))+(IF(I24="Vacate",LCNew*H24*D24*(1+GrowthMarketRent)^6,IF(I24="Market",Retention*LCRenewal*H24*D24*(1+GrowthMarketRent)^6+(1-Retention)*LCNew*H24*D24*(1+GrowthMarketRent)^6,IF(I24="LeaseUp",LCNew*H24*D24*(1+GrowthMarketRent)^6,IF(I24="Option",LCRenewal*H24*D24*(1+GrowthMarketRent)^6,0))))),0))),0)</f>
        <v/>
      </c>
      <c r="AF24" s="14">
        <f>IFERROR(IF(AND(I24="LeaseUp",7=0),(IF(I24="Vacate",TINew*D24,IF(I24="Market",Retention*TIRenewal*D24+(1-Retention)*TINew*D24,IF(I24="LeaseUp",TINew*D24,IF(I24="Option",TIRenewal*D24,0)))))+(IF(I24="Vacate",LCNew*H24*D24*(1+GrowthMarketRent)^7,IF(I24="Market",Retention*LCRenewal*H24*D24*(1+GrowthMarketRent)^7+(1-Retention)*LCNew*H24*D24*(1+GrowthMarketRent)^7,IF(I24="LeaseUp",LCNew*H24*D24*(1+GrowthMarketRent)^7,IF(I24="Option",LCRenewal*H24*D24*(1+GrowthMarketRent)^7,0))))),IF(F24="",0,IF(AND(F24&gt;=DATE(2026+7,5,1),F24&lt;=DATE(2027+7,4,30)),(IF(I24="Vacate",TINew*D24,IF(I24="Market",Retention*TIRenewal*D24+(1-Retention)*TINew*D24,IF(I24="LeaseUp",TINew*D24,IF(I24="Option",TIRenewal*D24,0)))))+(IF(I24="Vacate",LCNew*H24*D24*(1+GrowthMarketRent)^7,IF(I24="Market",Retention*LCRenewal*H24*D24*(1+GrowthMarketRent)^7+(1-Retention)*LCNew*H24*D24*(1+GrowthMarketRent)^7,IF(I24="LeaseUp",LCNew*H24*D24*(1+GrowthMarketRent)^7,IF(I24="Option",LCRenewal*H24*D24*(1+GrowthMarketRent)^7,0))))),0))),0)</f>
        <v/>
      </c>
      <c r="AG24" s="14">
        <f>IFERROR(IF(AND(I24="LeaseUp",8=0),(IF(I24="Vacate",TINew*D24,IF(I24="Market",Retention*TIRenewal*D24+(1-Retention)*TINew*D24,IF(I24="LeaseUp",TINew*D24,IF(I24="Option",TIRenewal*D24,0)))))+(IF(I24="Vacate",LCNew*H24*D24*(1+GrowthMarketRent)^8,IF(I24="Market",Retention*LCRenewal*H24*D24*(1+GrowthMarketRent)^8+(1-Retention)*LCNew*H24*D24*(1+GrowthMarketRent)^8,IF(I24="LeaseUp",LCNew*H24*D24*(1+GrowthMarketRent)^8,IF(I24="Option",LCRenewal*H24*D24*(1+GrowthMarketRent)^8,0))))),IF(F24="",0,IF(AND(F24&gt;=DATE(2026+8,5,1),F24&lt;=DATE(2027+8,4,30)),(IF(I24="Vacate",TINew*D24,IF(I24="Market",Retention*TIRenewal*D24+(1-Retention)*TINew*D24,IF(I24="LeaseUp",TINew*D24,IF(I24="Option",TIRenewal*D24,0)))))+(IF(I24="Vacate",LCNew*H24*D24*(1+GrowthMarketRent)^8,IF(I24="Market",Retention*LCRenewal*H24*D24*(1+GrowthMarketRent)^8+(1-Retention)*LCNew*H24*D24*(1+GrowthMarketRent)^8,IF(I24="LeaseUp",LCNew*H24*D24*(1+GrowthMarketRent)^8,IF(I24="Option",LCRenewal*H24*D24*(1+GrowthMarketRent)^8,0))))),0))),0)</f>
        <v/>
      </c>
      <c r="AH24" s="14">
        <f>IFERROR(IF(AND(I24="LeaseUp",9=0),(IF(I24="Vacate",TINew*D24,IF(I24="Market",Retention*TIRenewal*D24+(1-Retention)*TINew*D24,IF(I24="LeaseUp",TINew*D24,IF(I24="Option",TIRenewal*D24,0)))))+(IF(I24="Vacate",LCNew*H24*D24*(1+GrowthMarketRent)^9,IF(I24="Market",Retention*LCRenewal*H24*D24*(1+GrowthMarketRent)^9+(1-Retention)*LCNew*H24*D24*(1+GrowthMarketRent)^9,IF(I24="LeaseUp",LCNew*H24*D24*(1+GrowthMarketRent)^9,IF(I24="Option",LCRenewal*H24*D24*(1+GrowthMarketRent)^9,0))))),IF(F24="",0,IF(AND(F24&gt;=DATE(2026+9,5,1),F24&lt;=DATE(2027+9,4,30)),(IF(I24="Vacate",TINew*D24,IF(I24="Market",Retention*TIRenewal*D24+(1-Retention)*TINew*D24,IF(I24="LeaseUp",TINew*D24,IF(I24="Option",TIRenewal*D24,0)))))+(IF(I24="Vacate",LCNew*H24*D24*(1+GrowthMarketRent)^9,IF(I24="Market",Retention*LCRenewal*H24*D24*(1+GrowthMarketRent)^9+(1-Retention)*LCNew*H24*D24*(1+GrowthMarketRent)^9,IF(I24="LeaseUp",LCNew*H24*D24*(1+GrowthMarketRent)^9,IF(I24="Option",LCRenewal*H24*D24*(1+GrowthMarketRent)^9,0))))),0))),0)</f>
        <v/>
      </c>
      <c r="AI24" s="14">
        <f>IFERROR(IF(AND(I24="LeaseUp",10=0),(IF(I24="Vacate",TINew*D24,IF(I24="Market",Retention*TIRenewal*D24+(1-Retention)*TINew*D24,IF(I24="LeaseUp",TINew*D24,IF(I24="Option",TIRenewal*D24,0)))))+(IF(I24="Vacate",LCNew*H24*D24*(1+GrowthMarketRent)^10,IF(I24="Market",Retention*LCRenewal*H24*D24*(1+GrowthMarketRent)^10+(1-Retention)*LCNew*H24*D24*(1+GrowthMarketRent)^10,IF(I24="LeaseUp",LCNew*H24*D24*(1+GrowthMarketRent)^10,IF(I24="Option",LCRenewal*H24*D24*(1+GrowthMarketRent)^10,0))))),IF(F24="",0,IF(AND(F24&gt;=DATE(2026+10,5,1),F24&lt;=DATE(2027+10,4,30)),(IF(I24="Vacate",TINew*D24,IF(I24="Market",Retention*TIRenewal*D24+(1-Retention)*TINew*D24,IF(I24="LeaseUp",TINew*D24,IF(I24="Option",TIRenewal*D24,0)))))+(IF(I24="Vacate",LCNew*H24*D24*(1+GrowthMarketRent)^10,IF(I24="Market",Retention*LCRenewal*H24*D24*(1+GrowthMarketRent)^10+(1-Retention)*LCNew*H24*D24*(1+GrowthMarketRent)^10,IF(I24="LeaseUp",LCNew*H24*D24*(1+GrowthMarketRent)^10,IF(I24="Option",LCRenewal*H24*D24*(1+GrowthMarketRent)^10,0))))),0))),0)</f>
        <v/>
      </c>
    </row>
    <row r="25">
      <c r="A25" t="inlineStr">
        <is>
          <t>Carrollton</t>
        </is>
      </c>
      <c r="B25" t="inlineStr">
        <is>
          <t>304</t>
        </is>
      </c>
      <c r="C25" t="inlineStr">
        <is>
          <t>Jeremy Brewer &amp; Thien Hoang</t>
        </is>
      </c>
      <c r="D25" s="32" t="n">
        <v>2720</v>
      </c>
      <c r="E25" s="33" t="n">
        <v>45870</v>
      </c>
      <c r="F25" s="33" t="n">
        <v>47119</v>
      </c>
      <c r="G25" s="34" t="n">
        <v>14</v>
      </c>
      <c r="H25" s="16">
        <f>VLOOKUP("Carrollton — "&amp;J25,MLA!$A$5:$L$11,3,FALSE)</f>
        <v/>
      </c>
      <c r="I25" s="11" t="inlineStr">
        <is>
          <t>Market</t>
        </is>
      </c>
      <c r="J25" t="inlineStr">
        <is>
          <t>Studio</t>
        </is>
      </c>
      <c r="K25" t="inlineStr">
        <is>
          <t>Occupied</t>
        </is>
      </c>
      <c r="L25" t="inlineStr">
        <is>
          <t>Studio</t>
        </is>
      </c>
      <c r="M25" s="20">
        <f>IF(E25="",0,(AnalysisStart-E25)/365.25)</f>
        <v/>
      </c>
      <c r="N25" s="14">
        <f>IFERROR(IF(I25="LeaseUp",H25*D25*(1+GrowthMarketRent)^0*IF(0=0,(12-DowntimeNew)/12,1),IF(F25="",0,IF(F25&gt;=DATE(2027+0,4,30),G25*D25*(1+EscalatorInLease)^(0+M25),IF(F25&lt;DATE(2026+0,5,1),IF(I25="Vacate",H25*D25*(1+GrowthMarketRent)^0*IF(INT((DATE(2026+0,10,31)-F25)/365.25)=0,(12-DowntimeNew)/12,1),IF(I25="Option",G25*D25*1.025*(1+EscalatorInLease)^0,IF(I25="Market",Retention*G25*D25*(1+EscalatorInLease)^(0+M25)+(1-Retention)*H25*D25*(1+GrowthMarketRent)^0*IF(INT((DATE(2026+0,10,31)-F25)/365.25)=0,(12-DowntimeNew)/12,1),IF(I25="LeaseUp",H25*D25*(1+GrowthMarketRent)^0*IF(0=0,(12-DowntimeNew)/12,1),0)))),((F25-DATE(2026+0,5,1))/365.25)*G25*D25*(1+EscalatorInLease)^(0+M25)+((DATE(2027+0,4,30)-F25)/365.25)*IF(I25="Vacate",H25*D25*(1+GrowthMarketRent)^0*IF(INT((DATE(2026+0,10,31)-F25)/365.25)=0,(12-DowntimeNew)/12,1),IF(I25="Option",G25*D25*1.025*(1+EscalatorInLease)^0,IF(I25="Market",Retention*G25*D25*(1+EscalatorInLease)^(0+M25)+(1-Retention)*H25*D25*(1+GrowthMarketRent)^0*IF(INT((DATE(2026+0,10,31)-F25)/365.25)=0,(12-DowntimeNew)/12,1),IF(I25="LeaseUp",H25*D25*(1+GrowthMarketRent)^0*IF(0=0,(12-DowntimeNew)/12,1),0)))))))),0)</f>
        <v/>
      </c>
      <c r="O25" s="14">
        <f>IFERROR(IF(I25="LeaseUp",H25*D25*(1+GrowthMarketRent)^1*IF(1=0,(12-DowntimeNew)/12,1),IF(F25="",0,IF(F25&gt;=DATE(2027+1,4,30),G25*D25*(1+EscalatorInLease)^(1+M25),IF(F25&lt;DATE(2026+1,5,1),IF(I25="Vacate",H25*D25*(1+GrowthMarketRent)^1*IF(INT((DATE(2026+1,10,31)-F25)/365.25)=0,(12-DowntimeNew)/12,1),IF(I25="Option",G25*D25*1.025*(1+EscalatorInLease)^1,IF(I25="Market",Retention*G25*D25*(1+EscalatorInLease)^(1+M25)+(1-Retention)*H25*D25*(1+GrowthMarketRent)^1*IF(INT((DATE(2026+1,10,31)-F25)/365.25)=0,(12-DowntimeNew)/12,1),IF(I25="LeaseUp",H25*D25*(1+GrowthMarketRent)^1*IF(1=0,(12-DowntimeNew)/12,1),0)))),((F25-DATE(2026+1,5,1))/365.25)*G25*D25*(1+EscalatorInLease)^(1+M25)+((DATE(2027+1,4,30)-F25)/365.25)*IF(I25="Vacate",H25*D25*(1+GrowthMarketRent)^1*IF(INT((DATE(2026+1,10,31)-F25)/365.25)=0,(12-DowntimeNew)/12,1),IF(I25="Option",G25*D25*1.025*(1+EscalatorInLease)^1,IF(I25="Market",Retention*G25*D25*(1+EscalatorInLease)^(1+M25)+(1-Retention)*H25*D25*(1+GrowthMarketRent)^1*IF(INT((DATE(2026+1,10,31)-F25)/365.25)=0,(12-DowntimeNew)/12,1),IF(I25="LeaseUp",H25*D25*(1+GrowthMarketRent)^1*IF(1=0,(12-DowntimeNew)/12,1),0)))))))),0)</f>
        <v/>
      </c>
      <c r="P25" s="14">
        <f>IFERROR(IF(I25="LeaseUp",H25*D25*(1+GrowthMarketRent)^2*IF(2=0,(12-DowntimeNew)/12,1),IF(F25="",0,IF(F25&gt;=DATE(2027+2,4,30),G25*D25*(1+EscalatorInLease)^(2+M25),IF(F25&lt;DATE(2026+2,5,1),IF(I25="Vacate",H25*D25*(1+GrowthMarketRent)^2*IF(INT((DATE(2026+2,10,31)-F25)/365.25)=0,(12-DowntimeNew)/12,1),IF(I25="Option",G25*D25*1.025*(1+EscalatorInLease)^2,IF(I25="Market",Retention*G25*D25*(1+EscalatorInLease)^(2+M25)+(1-Retention)*H25*D25*(1+GrowthMarketRent)^2*IF(INT((DATE(2026+2,10,31)-F25)/365.25)=0,(12-DowntimeNew)/12,1),IF(I25="LeaseUp",H25*D25*(1+GrowthMarketRent)^2*IF(2=0,(12-DowntimeNew)/12,1),0)))),((F25-DATE(2026+2,5,1))/365.25)*G25*D25*(1+EscalatorInLease)^(2+M25)+((DATE(2027+2,4,30)-F25)/365.25)*IF(I25="Vacate",H25*D25*(1+GrowthMarketRent)^2*IF(INT((DATE(2026+2,10,31)-F25)/365.25)=0,(12-DowntimeNew)/12,1),IF(I25="Option",G25*D25*1.025*(1+EscalatorInLease)^2,IF(I25="Market",Retention*G25*D25*(1+EscalatorInLease)^(2+M25)+(1-Retention)*H25*D25*(1+GrowthMarketRent)^2*IF(INT((DATE(2026+2,10,31)-F25)/365.25)=0,(12-DowntimeNew)/12,1),IF(I25="LeaseUp",H25*D25*(1+GrowthMarketRent)^2*IF(2=0,(12-DowntimeNew)/12,1),0)))))))),0)</f>
        <v/>
      </c>
      <c r="Q25" s="14">
        <f>IFERROR(IF(I25="LeaseUp",H25*D25*(1+GrowthMarketRent)^3*IF(3=0,(12-DowntimeNew)/12,1),IF(F25="",0,IF(F25&gt;=DATE(2027+3,4,30),G25*D25*(1+EscalatorInLease)^(3+M25),IF(F25&lt;DATE(2026+3,5,1),IF(I25="Vacate",H25*D25*(1+GrowthMarketRent)^3*IF(INT((DATE(2026+3,10,31)-F25)/365.25)=0,(12-DowntimeNew)/12,1),IF(I25="Option",G25*D25*1.025*(1+EscalatorInLease)^3,IF(I25="Market",Retention*G25*D25*(1+EscalatorInLease)^(3+M25)+(1-Retention)*H25*D25*(1+GrowthMarketRent)^3*IF(INT((DATE(2026+3,10,31)-F25)/365.25)=0,(12-DowntimeNew)/12,1),IF(I25="LeaseUp",H25*D25*(1+GrowthMarketRent)^3*IF(3=0,(12-DowntimeNew)/12,1),0)))),((F25-DATE(2026+3,5,1))/365.25)*G25*D25*(1+EscalatorInLease)^(3+M25)+((DATE(2027+3,4,30)-F25)/365.25)*IF(I25="Vacate",H25*D25*(1+GrowthMarketRent)^3*IF(INT((DATE(2026+3,10,31)-F25)/365.25)=0,(12-DowntimeNew)/12,1),IF(I25="Option",G25*D25*1.025*(1+EscalatorInLease)^3,IF(I25="Market",Retention*G25*D25*(1+EscalatorInLease)^(3+M25)+(1-Retention)*H25*D25*(1+GrowthMarketRent)^3*IF(INT((DATE(2026+3,10,31)-F25)/365.25)=0,(12-DowntimeNew)/12,1),IF(I25="LeaseUp",H25*D25*(1+GrowthMarketRent)^3*IF(3=0,(12-DowntimeNew)/12,1),0)))))))),0)</f>
        <v/>
      </c>
      <c r="R25" s="14">
        <f>IFERROR(IF(I25="LeaseUp",H25*D25*(1+GrowthMarketRent)^4*IF(4=0,(12-DowntimeNew)/12,1),IF(F25="",0,IF(F25&gt;=DATE(2027+4,4,30),G25*D25*(1+EscalatorInLease)^(4+M25),IF(F25&lt;DATE(2026+4,5,1),IF(I25="Vacate",H25*D25*(1+GrowthMarketRent)^4*IF(INT((DATE(2026+4,10,31)-F25)/365.25)=0,(12-DowntimeNew)/12,1),IF(I25="Option",G25*D25*1.025*(1+EscalatorInLease)^4,IF(I25="Market",Retention*G25*D25*(1+EscalatorInLease)^(4+M25)+(1-Retention)*H25*D25*(1+GrowthMarketRent)^4*IF(INT((DATE(2026+4,10,31)-F25)/365.25)=0,(12-DowntimeNew)/12,1),IF(I25="LeaseUp",H25*D25*(1+GrowthMarketRent)^4*IF(4=0,(12-DowntimeNew)/12,1),0)))),((F25-DATE(2026+4,5,1))/365.25)*G25*D25*(1+EscalatorInLease)^(4+M25)+((DATE(2027+4,4,30)-F25)/365.25)*IF(I25="Vacate",H25*D25*(1+GrowthMarketRent)^4*IF(INT((DATE(2026+4,10,31)-F25)/365.25)=0,(12-DowntimeNew)/12,1),IF(I25="Option",G25*D25*1.025*(1+EscalatorInLease)^4,IF(I25="Market",Retention*G25*D25*(1+EscalatorInLease)^(4+M25)+(1-Retention)*H25*D25*(1+GrowthMarketRent)^4*IF(INT((DATE(2026+4,10,31)-F25)/365.25)=0,(12-DowntimeNew)/12,1),IF(I25="LeaseUp",H25*D25*(1+GrowthMarketRent)^4*IF(4=0,(12-DowntimeNew)/12,1),0)))))))),0)</f>
        <v/>
      </c>
      <c r="S25" s="14">
        <f>IFERROR(IF(I25="LeaseUp",H25*D25*(1+GrowthMarketRent)^5*IF(5=0,(12-DowntimeNew)/12,1),IF(F25="",0,IF(F25&gt;=DATE(2027+5,4,30),G25*D25*(1+EscalatorInLease)^(5+M25),IF(F25&lt;DATE(2026+5,5,1),IF(I25="Vacate",H25*D25*(1+GrowthMarketRent)^5*IF(INT((DATE(2026+5,10,31)-F25)/365.25)=0,(12-DowntimeNew)/12,1),IF(I25="Option",G25*D25*1.025*(1+EscalatorInLease)^5,IF(I25="Market",Retention*G25*D25*(1+EscalatorInLease)^(5+M25)+(1-Retention)*H25*D25*(1+GrowthMarketRent)^5*IF(INT((DATE(2026+5,10,31)-F25)/365.25)=0,(12-DowntimeNew)/12,1),IF(I25="LeaseUp",H25*D25*(1+GrowthMarketRent)^5*IF(5=0,(12-DowntimeNew)/12,1),0)))),((F25-DATE(2026+5,5,1))/365.25)*G25*D25*(1+EscalatorInLease)^(5+M25)+((DATE(2027+5,4,30)-F25)/365.25)*IF(I25="Vacate",H25*D25*(1+GrowthMarketRent)^5*IF(INT((DATE(2026+5,10,31)-F25)/365.25)=0,(12-DowntimeNew)/12,1),IF(I25="Option",G25*D25*1.025*(1+EscalatorInLease)^5,IF(I25="Market",Retention*G25*D25*(1+EscalatorInLease)^(5+M25)+(1-Retention)*H25*D25*(1+GrowthMarketRent)^5*IF(INT((DATE(2026+5,10,31)-F25)/365.25)=0,(12-DowntimeNew)/12,1),IF(I25="LeaseUp",H25*D25*(1+GrowthMarketRent)^5*IF(5=0,(12-DowntimeNew)/12,1),0)))))))),0)</f>
        <v/>
      </c>
      <c r="T25" s="14">
        <f>IFERROR(IF(I25="LeaseUp",H25*D25*(1+GrowthMarketRent)^6*IF(6=0,(12-DowntimeNew)/12,1),IF(F25="",0,IF(F25&gt;=DATE(2027+6,4,30),G25*D25*(1+EscalatorInLease)^(6+M25),IF(F25&lt;DATE(2026+6,5,1),IF(I25="Vacate",H25*D25*(1+GrowthMarketRent)^6*IF(INT((DATE(2026+6,10,31)-F25)/365.25)=0,(12-DowntimeNew)/12,1),IF(I25="Option",G25*D25*1.025*(1+EscalatorInLease)^6,IF(I25="Market",Retention*G25*D25*(1+EscalatorInLease)^(6+M25)+(1-Retention)*H25*D25*(1+GrowthMarketRent)^6*IF(INT((DATE(2026+6,10,31)-F25)/365.25)=0,(12-DowntimeNew)/12,1),IF(I25="LeaseUp",H25*D25*(1+GrowthMarketRent)^6*IF(6=0,(12-DowntimeNew)/12,1),0)))),((F25-DATE(2026+6,5,1))/365.25)*G25*D25*(1+EscalatorInLease)^(6+M25)+((DATE(2027+6,4,30)-F25)/365.25)*IF(I25="Vacate",H25*D25*(1+GrowthMarketRent)^6*IF(INT((DATE(2026+6,10,31)-F25)/365.25)=0,(12-DowntimeNew)/12,1),IF(I25="Option",G25*D25*1.025*(1+EscalatorInLease)^6,IF(I25="Market",Retention*G25*D25*(1+EscalatorInLease)^(6+M25)+(1-Retention)*H25*D25*(1+GrowthMarketRent)^6*IF(INT((DATE(2026+6,10,31)-F25)/365.25)=0,(12-DowntimeNew)/12,1),IF(I25="LeaseUp",H25*D25*(1+GrowthMarketRent)^6*IF(6=0,(12-DowntimeNew)/12,1),0)))))))),0)</f>
        <v/>
      </c>
      <c r="U25" s="14">
        <f>IFERROR(IF(I25="LeaseUp",H25*D25*(1+GrowthMarketRent)^7*IF(7=0,(12-DowntimeNew)/12,1),IF(F25="",0,IF(F25&gt;=DATE(2027+7,4,30),G25*D25*(1+EscalatorInLease)^(7+M25),IF(F25&lt;DATE(2026+7,5,1),IF(I25="Vacate",H25*D25*(1+GrowthMarketRent)^7*IF(INT((DATE(2026+7,10,31)-F25)/365.25)=0,(12-DowntimeNew)/12,1),IF(I25="Option",G25*D25*1.025*(1+EscalatorInLease)^7,IF(I25="Market",Retention*G25*D25*(1+EscalatorInLease)^(7+M25)+(1-Retention)*H25*D25*(1+GrowthMarketRent)^7*IF(INT((DATE(2026+7,10,31)-F25)/365.25)=0,(12-DowntimeNew)/12,1),IF(I25="LeaseUp",H25*D25*(1+GrowthMarketRent)^7*IF(7=0,(12-DowntimeNew)/12,1),0)))),((F25-DATE(2026+7,5,1))/365.25)*G25*D25*(1+EscalatorInLease)^(7+M25)+((DATE(2027+7,4,30)-F25)/365.25)*IF(I25="Vacate",H25*D25*(1+GrowthMarketRent)^7*IF(INT((DATE(2026+7,10,31)-F25)/365.25)=0,(12-DowntimeNew)/12,1),IF(I25="Option",G25*D25*1.025*(1+EscalatorInLease)^7,IF(I25="Market",Retention*G25*D25*(1+EscalatorInLease)^(7+M25)+(1-Retention)*H25*D25*(1+GrowthMarketRent)^7*IF(INT((DATE(2026+7,10,31)-F25)/365.25)=0,(12-DowntimeNew)/12,1),IF(I25="LeaseUp",H25*D25*(1+GrowthMarketRent)^7*IF(7=0,(12-DowntimeNew)/12,1),0)))))))),0)</f>
        <v/>
      </c>
      <c r="V25" s="14">
        <f>IFERROR(IF(I25="LeaseUp",H25*D25*(1+GrowthMarketRent)^8*IF(8=0,(12-DowntimeNew)/12,1),IF(F25="",0,IF(F25&gt;=DATE(2027+8,4,30),G25*D25*(1+EscalatorInLease)^(8+M25),IF(F25&lt;DATE(2026+8,5,1),IF(I25="Vacate",H25*D25*(1+GrowthMarketRent)^8*IF(INT((DATE(2026+8,10,31)-F25)/365.25)=0,(12-DowntimeNew)/12,1),IF(I25="Option",G25*D25*1.025*(1+EscalatorInLease)^8,IF(I25="Market",Retention*G25*D25*(1+EscalatorInLease)^(8+M25)+(1-Retention)*H25*D25*(1+GrowthMarketRent)^8*IF(INT((DATE(2026+8,10,31)-F25)/365.25)=0,(12-DowntimeNew)/12,1),IF(I25="LeaseUp",H25*D25*(1+GrowthMarketRent)^8*IF(8=0,(12-DowntimeNew)/12,1),0)))),((F25-DATE(2026+8,5,1))/365.25)*G25*D25*(1+EscalatorInLease)^(8+M25)+((DATE(2027+8,4,30)-F25)/365.25)*IF(I25="Vacate",H25*D25*(1+GrowthMarketRent)^8*IF(INT((DATE(2026+8,10,31)-F25)/365.25)=0,(12-DowntimeNew)/12,1),IF(I25="Option",G25*D25*1.025*(1+EscalatorInLease)^8,IF(I25="Market",Retention*G25*D25*(1+EscalatorInLease)^(8+M25)+(1-Retention)*H25*D25*(1+GrowthMarketRent)^8*IF(INT((DATE(2026+8,10,31)-F25)/365.25)=0,(12-DowntimeNew)/12,1),IF(I25="LeaseUp",H25*D25*(1+GrowthMarketRent)^8*IF(8=0,(12-DowntimeNew)/12,1),0)))))))),0)</f>
        <v/>
      </c>
      <c r="W25" s="14">
        <f>IFERROR(IF(I25="LeaseUp",H25*D25*(1+GrowthMarketRent)^9*IF(9=0,(12-DowntimeNew)/12,1),IF(F25="",0,IF(F25&gt;=DATE(2027+9,4,30),G25*D25*(1+EscalatorInLease)^(9+M25),IF(F25&lt;DATE(2026+9,5,1),IF(I25="Vacate",H25*D25*(1+GrowthMarketRent)^9*IF(INT((DATE(2026+9,10,31)-F25)/365.25)=0,(12-DowntimeNew)/12,1),IF(I25="Option",G25*D25*1.025*(1+EscalatorInLease)^9,IF(I25="Market",Retention*G25*D25*(1+EscalatorInLease)^(9+M25)+(1-Retention)*H25*D25*(1+GrowthMarketRent)^9*IF(INT((DATE(2026+9,10,31)-F25)/365.25)=0,(12-DowntimeNew)/12,1),IF(I25="LeaseUp",H25*D25*(1+GrowthMarketRent)^9*IF(9=0,(12-DowntimeNew)/12,1),0)))),((F25-DATE(2026+9,5,1))/365.25)*G25*D25*(1+EscalatorInLease)^(9+M25)+((DATE(2027+9,4,30)-F25)/365.25)*IF(I25="Vacate",H25*D25*(1+GrowthMarketRent)^9*IF(INT((DATE(2026+9,10,31)-F25)/365.25)=0,(12-DowntimeNew)/12,1),IF(I25="Option",G25*D25*1.025*(1+EscalatorInLease)^9,IF(I25="Market",Retention*G25*D25*(1+EscalatorInLease)^(9+M25)+(1-Retention)*H25*D25*(1+GrowthMarketRent)^9*IF(INT((DATE(2026+9,10,31)-F25)/365.25)=0,(12-DowntimeNew)/12,1),IF(I25="LeaseUp",H25*D25*(1+GrowthMarketRent)^9*IF(9=0,(12-DowntimeNew)/12,1),0)))))))),0)</f>
        <v/>
      </c>
      <c r="X25" s="14">
        <f>IFERROR(IF(I25="LeaseUp",H25*D25*(1+GrowthMarketRent)^10*IF(10=0,(12-DowntimeNew)/12,1),IF(F25="",0,IF(F25&gt;=DATE(2027+10,4,30),G25*D25*(1+EscalatorInLease)^(10+M25),IF(F25&lt;DATE(2026+10,5,1),IF(I25="Vacate",H25*D25*(1+GrowthMarketRent)^10*IF(INT((DATE(2026+10,10,31)-F25)/365.25)=0,(12-DowntimeNew)/12,1),IF(I25="Option",G25*D25*1.025*(1+EscalatorInLease)^10,IF(I25="Market",Retention*G25*D25*(1+EscalatorInLease)^(10+M25)+(1-Retention)*H25*D25*(1+GrowthMarketRent)^10*IF(INT((DATE(2026+10,10,31)-F25)/365.25)=0,(12-DowntimeNew)/12,1),IF(I25="LeaseUp",H25*D25*(1+GrowthMarketRent)^10*IF(10=0,(12-DowntimeNew)/12,1),0)))),((F25-DATE(2026+10,5,1))/365.25)*G25*D25*(1+EscalatorInLease)^(10+M25)+((DATE(2027+10,4,30)-F25)/365.25)*IF(I25="Vacate",H25*D25*(1+GrowthMarketRent)^10*IF(INT((DATE(2026+10,10,31)-F25)/365.25)=0,(12-DowntimeNew)/12,1),IF(I25="Option",G25*D25*1.025*(1+EscalatorInLease)^10,IF(I25="Market",Retention*G25*D25*(1+EscalatorInLease)^(10+M25)+(1-Retention)*H25*D25*(1+GrowthMarketRent)^10*IF(INT((DATE(2026+10,10,31)-F25)/365.25)=0,(12-DowntimeNew)/12,1),IF(I25="LeaseUp",H25*D25*(1+GrowthMarketRent)^10*IF(10=0,(12-DowntimeNew)/12,1),0)))))))),0)</f>
        <v/>
      </c>
      <c r="Y25" s="14">
        <f>IFERROR(IF(AND(I25="LeaseUp",0=0),(IF(I25="Vacate",TINew*D25,IF(I25="Market",Retention*TIRenewal*D25+(1-Retention)*TINew*D25,IF(I25="LeaseUp",TINew*D25,IF(I25="Option",TIRenewal*D25,0)))))+(IF(I25="Vacate",LCNew*H25*D25*(1+GrowthMarketRent)^0,IF(I25="Market",Retention*LCRenewal*H25*D25*(1+GrowthMarketRent)^0+(1-Retention)*LCNew*H25*D25*(1+GrowthMarketRent)^0,IF(I25="LeaseUp",LCNew*H25*D25*(1+GrowthMarketRent)^0,IF(I25="Option",LCRenewal*H25*D25*(1+GrowthMarketRent)^0,0))))),IF(F25="",0,IF(AND(F25&gt;=DATE(2026+0,5,1),F25&lt;=DATE(2027+0,4,30)),(IF(I25="Vacate",TINew*D25,IF(I25="Market",Retention*TIRenewal*D25+(1-Retention)*TINew*D25,IF(I25="LeaseUp",TINew*D25,IF(I25="Option",TIRenewal*D25,0)))))+(IF(I25="Vacate",LCNew*H25*D25*(1+GrowthMarketRent)^0,IF(I25="Market",Retention*LCRenewal*H25*D25*(1+GrowthMarketRent)^0+(1-Retention)*LCNew*H25*D25*(1+GrowthMarketRent)^0,IF(I25="LeaseUp",LCNew*H25*D25*(1+GrowthMarketRent)^0,IF(I25="Option",LCRenewal*H25*D25*(1+GrowthMarketRent)^0,0))))),0))),0)</f>
        <v/>
      </c>
      <c r="Z25" s="14">
        <f>IFERROR(IF(AND(I25="LeaseUp",1=0),(IF(I25="Vacate",TINew*D25,IF(I25="Market",Retention*TIRenewal*D25+(1-Retention)*TINew*D25,IF(I25="LeaseUp",TINew*D25,IF(I25="Option",TIRenewal*D25,0)))))+(IF(I25="Vacate",LCNew*H25*D25*(1+GrowthMarketRent)^1,IF(I25="Market",Retention*LCRenewal*H25*D25*(1+GrowthMarketRent)^1+(1-Retention)*LCNew*H25*D25*(1+GrowthMarketRent)^1,IF(I25="LeaseUp",LCNew*H25*D25*(1+GrowthMarketRent)^1,IF(I25="Option",LCRenewal*H25*D25*(1+GrowthMarketRent)^1,0))))),IF(F25="",0,IF(AND(F25&gt;=DATE(2026+1,5,1),F25&lt;=DATE(2027+1,4,30)),(IF(I25="Vacate",TINew*D25,IF(I25="Market",Retention*TIRenewal*D25+(1-Retention)*TINew*D25,IF(I25="LeaseUp",TINew*D25,IF(I25="Option",TIRenewal*D25,0)))))+(IF(I25="Vacate",LCNew*H25*D25*(1+GrowthMarketRent)^1,IF(I25="Market",Retention*LCRenewal*H25*D25*(1+GrowthMarketRent)^1+(1-Retention)*LCNew*H25*D25*(1+GrowthMarketRent)^1,IF(I25="LeaseUp",LCNew*H25*D25*(1+GrowthMarketRent)^1,IF(I25="Option",LCRenewal*H25*D25*(1+GrowthMarketRent)^1,0))))),0))),0)</f>
        <v/>
      </c>
      <c r="AA25" s="14">
        <f>IFERROR(IF(AND(I25="LeaseUp",2=0),(IF(I25="Vacate",TINew*D25,IF(I25="Market",Retention*TIRenewal*D25+(1-Retention)*TINew*D25,IF(I25="LeaseUp",TINew*D25,IF(I25="Option",TIRenewal*D25,0)))))+(IF(I25="Vacate",LCNew*H25*D25*(1+GrowthMarketRent)^2,IF(I25="Market",Retention*LCRenewal*H25*D25*(1+GrowthMarketRent)^2+(1-Retention)*LCNew*H25*D25*(1+GrowthMarketRent)^2,IF(I25="LeaseUp",LCNew*H25*D25*(1+GrowthMarketRent)^2,IF(I25="Option",LCRenewal*H25*D25*(1+GrowthMarketRent)^2,0))))),IF(F25="",0,IF(AND(F25&gt;=DATE(2026+2,5,1),F25&lt;=DATE(2027+2,4,30)),(IF(I25="Vacate",TINew*D25,IF(I25="Market",Retention*TIRenewal*D25+(1-Retention)*TINew*D25,IF(I25="LeaseUp",TINew*D25,IF(I25="Option",TIRenewal*D25,0)))))+(IF(I25="Vacate",LCNew*H25*D25*(1+GrowthMarketRent)^2,IF(I25="Market",Retention*LCRenewal*H25*D25*(1+GrowthMarketRent)^2+(1-Retention)*LCNew*H25*D25*(1+GrowthMarketRent)^2,IF(I25="LeaseUp",LCNew*H25*D25*(1+GrowthMarketRent)^2,IF(I25="Option",LCRenewal*H25*D25*(1+GrowthMarketRent)^2,0))))),0))),0)</f>
        <v/>
      </c>
      <c r="AB25" s="14">
        <f>IFERROR(IF(AND(I25="LeaseUp",3=0),(IF(I25="Vacate",TINew*D25,IF(I25="Market",Retention*TIRenewal*D25+(1-Retention)*TINew*D25,IF(I25="LeaseUp",TINew*D25,IF(I25="Option",TIRenewal*D25,0)))))+(IF(I25="Vacate",LCNew*H25*D25*(1+GrowthMarketRent)^3,IF(I25="Market",Retention*LCRenewal*H25*D25*(1+GrowthMarketRent)^3+(1-Retention)*LCNew*H25*D25*(1+GrowthMarketRent)^3,IF(I25="LeaseUp",LCNew*H25*D25*(1+GrowthMarketRent)^3,IF(I25="Option",LCRenewal*H25*D25*(1+GrowthMarketRent)^3,0))))),IF(F25="",0,IF(AND(F25&gt;=DATE(2026+3,5,1),F25&lt;=DATE(2027+3,4,30)),(IF(I25="Vacate",TINew*D25,IF(I25="Market",Retention*TIRenewal*D25+(1-Retention)*TINew*D25,IF(I25="LeaseUp",TINew*D25,IF(I25="Option",TIRenewal*D25,0)))))+(IF(I25="Vacate",LCNew*H25*D25*(1+GrowthMarketRent)^3,IF(I25="Market",Retention*LCRenewal*H25*D25*(1+GrowthMarketRent)^3+(1-Retention)*LCNew*H25*D25*(1+GrowthMarketRent)^3,IF(I25="LeaseUp",LCNew*H25*D25*(1+GrowthMarketRent)^3,IF(I25="Option",LCRenewal*H25*D25*(1+GrowthMarketRent)^3,0))))),0))),0)</f>
        <v/>
      </c>
      <c r="AC25" s="14">
        <f>IFERROR(IF(AND(I25="LeaseUp",4=0),(IF(I25="Vacate",TINew*D25,IF(I25="Market",Retention*TIRenewal*D25+(1-Retention)*TINew*D25,IF(I25="LeaseUp",TINew*D25,IF(I25="Option",TIRenewal*D25,0)))))+(IF(I25="Vacate",LCNew*H25*D25*(1+GrowthMarketRent)^4,IF(I25="Market",Retention*LCRenewal*H25*D25*(1+GrowthMarketRent)^4+(1-Retention)*LCNew*H25*D25*(1+GrowthMarketRent)^4,IF(I25="LeaseUp",LCNew*H25*D25*(1+GrowthMarketRent)^4,IF(I25="Option",LCRenewal*H25*D25*(1+GrowthMarketRent)^4,0))))),IF(F25="",0,IF(AND(F25&gt;=DATE(2026+4,5,1),F25&lt;=DATE(2027+4,4,30)),(IF(I25="Vacate",TINew*D25,IF(I25="Market",Retention*TIRenewal*D25+(1-Retention)*TINew*D25,IF(I25="LeaseUp",TINew*D25,IF(I25="Option",TIRenewal*D25,0)))))+(IF(I25="Vacate",LCNew*H25*D25*(1+GrowthMarketRent)^4,IF(I25="Market",Retention*LCRenewal*H25*D25*(1+GrowthMarketRent)^4+(1-Retention)*LCNew*H25*D25*(1+GrowthMarketRent)^4,IF(I25="LeaseUp",LCNew*H25*D25*(1+GrowthMarketRent)^4,IF(I25="Option",LCRenewal*H25*D25*(1+GrowthMarketRent)^4,0))))),0))),0)</f>
        <v/>
      </c>
      <c r="AD25" s="14">
        <f>IFERROR(IF(AND(I25="LeaseUp",5=0),(IF(I25="Vacate",TINew*D25,IF(I25="Market",Retention*TIRenewal*D25+(1-Retention)*TINew*D25,IF(I25="LeaseUp",TINew*D25,IF(I25="Option",TIRenewal*D25,0)))))+(IF(I25="Vacate",LCNew*H25*D25*(1+GrowthMarketRent)^5,IF(I25="Market",Retention*LCRenewal*H25*D25*(1+GrowthMarketRent)^5+(1-Retention)*LCNew*H25*D25*(1+GrowthMarketRent)^5,IF(I25="LeaseUp",LCNew*H25*D25*(1+GrowthMarketRent)^5,IF(I25="Option",LCRenewal*H25*D25*(1+GrowthMarketRent)^5,0))))),IF(F25="",0,IF(AND(F25&gt;=DATE(2026+5,5,1),F25&lt;=DATE(2027+5,4,30)),(IF(I25="Vacate",TINew*D25,IF(I25="Market",Retention*TIRenewal*D25+(1-Retention)*TINew*D25,IF(I25="LeaseUp",TINew*D25,IF(I25="Option",TIRenewal*D25,0)))))+(IF(I25="Vacate",LCNew*H25*D25*(1+GrowthMarketRent)^5,IF(I25="Market",Retention*LCRenewal*H25*D25*(1+GrowthMarketRent)^5+(1-Retention)*LCNew*H25*D25*(1+GrowthMarketRent)^5,IF(I25="LeaseUp",LCNew*H25*D25*(1+GrowthMarketRent)^5,IF(I25="Option",LCRenewal*H25*D25*(1+GrowthMarketRent)^5,0))))),0))),0)</f>
        <v/>
      </c>
      <c r="AE25" s="14">
        <f>IFERROR(IF(AND(I25="LeaseUp",6=0),(IF(I25="Vacate",TINew*D25,IF(I25="Market",Retention*TIRenewal*D25+(1-Retention)*TINew*D25,IF(I25="LeaseUp",TINew*D25,IF(I25="Option",TIRenewal*D25,0)))))+(IF(I25="Vacate",LCNew*H25*D25*(1+GrowthMarketRent)^6,IF(I25="Market",Retention*LCRenewal*H25*D25*(1+GrowthMarketRent)^6+(1-Retention)*LCNew*H25*D25*(1+GrowthMarketRent)^6,IF(I25="LeaseUp",LCNew*H25*D25*(1+GrowthMarketRent)^6,IF(I25="Option",LCRenewal*H25*D25*(1+GrowthMarketRent)^6,0))))),IF(F25="",0,IF(AND(F25&gt;=DATE(2026+6,5,1),F25&lt;=DATE(2027+6,4,30)),(IF(I25="Vacate",TINew*D25,IF(I25="Market",Retention*TIRenewal*D25+(1-Retention)*TINew*D25,IF(I25="LeaseUp",TINew*D25,IF(I25="Option",TIRenewal*D25,0)))))+(IF(I25="Vacate",LCNew*H25*D25*(1+GrowthMarketRent)^6,IF(I25="Market",Retention*LCRenewal*H25*D25*(1+GrowthMarketRent)^6+(1-Retention)*LCNew*H25*D25*(1+GrowthMarketRent)^6,IF(I25="LeaseUp",LCNew*H25*D25*(1+GrowthMarketRent)^6,IF(I25="Option",LCRenewal*H25*D25*(1+GrowthMarketRent)^6,0))))),0))),0)</f>
        <v/>
      </c>
      <c r="AF25" s="14">
        <f>IFERROR(IF(AND(I25="LeaseUp",7=0),(IF(I25="Vacate",TINew*D25,IF(I25="Market",Retention*TIRenewal*D25+(1-Retention)*TINew*D25,IF(I25="LeaseUp",TINew*D25,IF(I25="Option",TIRenewal*D25,0)))))+(IF(I25="Vacate",LCNew*H25*D25*(1+GrowthMarketRent)^7,IF(I25="Market",Retention*LCRenewal*H25*D25*(1+GrowthMarketRent)^7+(1-Retention)*LCNew*H25*D25*(1+GrowthMarketRent)^7,IF(I25="LeaseUp",LCNew*H25*D25*(1+GrowthMarketRent)^7,IF(I25="Option",LCRenewal*H25*D25*(1+GrowthMarketRent)^7,0))))),IF(F25="",0,IF(AND(F25&gt;=DATE(2026+7,5,1),F25&lt;=DATE(2027+7,4,30)),(IF(I25="Vacate",TINew*D25,IF(I25="Market",Retention*TIRenewal*D25+(1-Retention)*TINew*D25,IF(I25="LeaseUp",TINew*D25,IF(I25="Option",TIRenewal*D25,0)))))+(IF(I25="Vacate",LCNew*H25*D25*(1+GrowthMarketRent)^7,IF(I25="Market",Retention*LCRenewal*H25*D25*(1+GrowthMarketRent)^7+(1-Retention)*LCNew*H25*D25*(1+GrowthMarketRent)^7,IF(I25="LeaseUp",LCNew*H25*D25*(1+GrowthMarketRent)^7,IF(I25="Option",LCRenewal*H25*D25*(1+GrowthMarketRent)^7,0))))),0))),0)</f>
        <v/>
      </c>
      <c r="AG25" s="14">
        <f>IFERROR(IF(AND(I25="LeaseUp",8=0),(IF(I25="Vacate",TINew*D25,IF(I25="Market",Retention*TIRenewal*D25+(1-Retention)*TINew*D25,IF(I25="LeaseUp",TINew*D25,IF(I25="Option",TIRenewal*D25,0)))))+(IF(I25="Vacate",LCNew*H25*D25*(1+GrowthMarketRent)^8,IF(I25="Market",Retention*LCRenewal*H25*D25*(1+GrowthMarketRent)^8+(1-Retention)*LCNew*H25*D25*(1+GrowthMarketRent)^8,IF(I25="LeaseUp",LCNew*H25*D25*(1+GrowthMarketRent)^8,IF(I25="Option",LCRenewal*H25*D25*(1+GrowthMarketRent)^8,0))))),IF(F25="",0,IF(AND(F25&gt;=DATE(2026+8,5,1),F25&lt;=DATE(2027+8,4,30)),(IF(I25="Vacate",TINew*D25,IF(I25="Market",Retention*TIRenewal*D25+(1-Retention)*TINew*D25,IF(I25="LeaseUp",TINew*D25,IF(I25="Option",TIRenewal*D25,0)))))+(IF(I25="Vacate",LCNew*H25*D25*(1+GrowthMarketRent)^8,IF(I25="Market",Retention*LCRenewal*H25*D25*(1+GrowthMarketRent)^8+(1-Retention)*LCNew*H25*D25*(1+GrowthMarketRent)^8,IF(I25="LeaseUp",LCNew*H25*D25*(1+GrowthMarketRent)^8,IF(I25="Option",LCRenewal*H25*D25*(1+GrowthMarketRent)^8,0))))),0))),0)</f>
        <v/>
      </c>
      <c r="AH25" s="14">
        <f>IFERROR(IF(AND(I25="LeaseUp",9=0),(IF(I25="Vacate",TINew*D25,IF(I25="Market",Retention*TIRenewal*D25+(1-Retention)*TINew*D25,IF(I25="LeaseUp",TINew*D25,IF(I25="Option",TIRenewal*D25,0)))))+(IF(I25="Vacate",LCNew*H25*D25*(1+GrowthMarketRent)^9,IF(I25="Market",Retention*LCRenewal*H25*D25*(1+GrowthMarketRent)^9+(1-Retention)*LCNew*H25*D25*(1+GrowthMarketRent)^9,IF(I25="LeaseUp",LCNew*H25*D25*(1+GrowthMarketRent)^9,IF(I25="Option",LCRenewal*H25*D25*(1+GrowthMarketRent)^9,0))))),IF(F25="",0,IF(AND(F25&gt;=DATE(2026+9,5,1),F25&lt;=DATE(2027+9,4,30)),(IF(I25="Vacate",TINew*D25,IF(I25="Market",Retention*TIRenewal*D25+(1-Retention)*TINew*D25,IF(I25="LeaseUp",TINew*D25,IF(I25="Option",TIRenewal*D25,0)))))+(IF(I25="Vacate",LCNew*H25*D25*(1+GrowthMarketRent)^9,IF(I25="Market",Retention*LCRenewal*H25*D25*(1+GrowthMarketRent)^9+(1-Retention)*LCNew*H25*D25*(1+GrowthMarketRent)^9,IF(I25="LeaseUp",LCNew*H25*D25*(1+GrowthMarketRent)^9,IF(I25="Option",LCRenewal*H25*D25*(1+GrowthMarketRent)^9,0))))),0))),0)</f>
        <v/>
      </c>
      <c r="AI25" s="14">
        <f>IFERROR(IF(AND(I25="LeaseUp",10=0),(IF(I25="Vacate",TINew*D25,IF(I25="Market",Retention*TIRenewal*D25+(1-Retention)*TINew*D25,IF(I25="LeaseUp",TINew*D25,IF(I25="Option",TIRenewal*D25,0)))))+(IF(I25="Vacate",LCNew*H25*D25*(1+GrowthMarketRent)^10,IF(I25="Market",Retention*LCRenewal*H25*D25*(1+GrowthMarketRent)^10+(1-Retention)*LCNew*H25*D25*(1+GrowthMarketRent)^10,IF(I25="LeaseUp",LCNew*H25*D25*(1+GrowthMarketRent)^10,IF(I25="Option",LCRenewal*H25*D25*(1+GrowthMarketRent)^10,0))))),IF(F25="",0,IF(AND(F25&gt;=DATE(2026+10,5,1),F25&lt;=DATE(2027+10,4,30)),(IF(I25="Vacate",TINew*D25,IF(I25="Market",Retention*TIRenewal*D25+(1-Retention)*TINew*D25,IF(I25="LeaseUp",TINew*D25,IF(I25="Option",TIRenewal*D25,0)))))+(IF(I25="Vacate",LCNew*H25*D25*(1+GrowthMarketRent)^10,IF(I25="Market",Retention*LCRenewal*H25*D25*(1+GrowthMarketRent)^10+(1-Retention)*LCNew*H25*D25*(1+GrowthMarketRent)^10,IF(I25="LeaseUp",LCNew*H25*D25*(1+GrowthMarketRent)^10,IF(I25="Option",LCRenewal*H25*D25*(1+GrowthMarketRent)^10,0))))),0))),0)</f>
        <v/>
      </c>
    </row>
    <row r="26">
      <c r="A26" t="inlineStr">
        <is>
          <t>Carrollton</t>
        </is>
      </c>
      <c r="B26" t="inlineStr">
        <is>
          <t>316</t>
        </is>
      </c>
      <c r="C26" t="inlineStr">
        <is>
          <t>CS Tuning Club LLC</t>
        </is>
      </c>
      <c r="D26" s="32" t="n">
        <v>3230</v>
      </c>
      <c r="E26" s="33" t="n">
        <v>46023</v>
      </c>
      <c r="F26" s="33" t="n">
        <v>47300</v>
      </c>
      <c r="G26" s="34" t="n">
        <v>14</v>
      </c>
      <c r="H26" s="16">
        <f>VLOOKUP("Carrollton — "&amp;J26,MLA!$A$5:$L$11,3,FALSE)</f>
        <v/>
      </c>
      <c r="I26" s="11" t="inlineStr">
        <is>
          <t>Market</t>
        </is>
      </c>
      <c r="J26" t="inlineStr">
        <is>
          <t>Studio</t>
        </is>
      </c>
      <c r="K26" t="inlineStr">
        <is>
          <t>Occupied</t>
        </is>
      </c>
      <c r="L26" t="inlineStr">
        <is>
          <t>Studio; Guarantor: Hsi (Sean) Chou</t>
        </is>
      </c>
      <c r="M26" s="20">
        <f>IF(E26="",0,(AnalysisStart-E26)/365.25)</f>
        <v/>
      </c>
      <c r="N26" s="14">
        <f>IFERROR(IF(I26="LeaseUp",H26*D26*(1+GrowthMarketRent)^0*IF(0=0,(12-DowntimeNew)/12,1),IF(F26="",0,IF(F26&gt;=DATE(2027+0,4,30),G26*D26*(1+EscalatorInLease)^(0+M26),IF(F26&lt;DATE(2026+0,5,1),IF(I26="Vacate",H26*D26*(1+GrowthMarketRent)^0*IF(INT((DATE(2026+0,10,31)-F26)/365.25)=0,(12-DowntimeNew)/12,1),IF(I26="Option",G26*D26*1.025*(1+EscalatorInLease)^0,IF(I26="Market",Retention*G26*D26*(1+EscalatorInLease)^(0+M26)+(1-Retention)*H26*D26*(1+GrowthMarketRent)^0*IF(INT((DATE(2026+0,10,31)-F26)/365.25)=0,(12-DowntimeNew)/12,1),IF(I26="LeaseUp",H26*D26*(1+GrowthMarketRent)^0*IF(0=0,(12-DowntimeNew)/12,1),0)))),((F26-DATE(2026+0,5,1))/365.25)*G26*D26*(1+EscalatorInLease)^(0+M26)+((DATE(2027+0,4,30)-F26)/365.25)*IF(I26="Vacate",H26*D26*(1+GrowthMarketRent)^0*IF(INT((DATE(2026+0,10,31)-F26)/365.25)=0,(12-DowntimeNew)/12,1),IF(I26="Option",G26*D26*1.025*(1+EscalatorInLease)^0,IF(I26="Market",Retention*G26*D26*(1+EscalatorInLease)^(0+M26)+(1-Retention)*H26*D26*(1+GrowthMarketRent)^0*IF(INT((DATE(2026+0,10,31)-F26)/365.25)=0,(12-DowntimeNew)/12,1),IF(I26="LeaseUp",H26*D26*(1+GrowthMarketRent)^0*IF(0=0,(12-DowntimeNew)/12,1),0)))))))),0)</f>
        <v/>
      </c>
      <c r="O26" s="14">
        <f>IFERROR(IF(I26="LeaseUp",H26*D26*(1+GrowthMarketRent)^1*IF(1=0,(12-DowntimeNew)/12,1),IF(F26="",0,IF(F26&gt;=DATE(2027+1,4,30),G26*D26*(1+EscalatorInLease)^(1+M26),IF(F26&lt;DATE(2026+1,5,1),IF(I26="Vacate",H26*D26*(1+GrowthMarketRent)^1*IF(INT((DATE(2026+1,10,31)-F26)/365.25)=0,(12-DowntimeNew)/12,1),IF(I26="Option",G26*D26*1.025*(1+EscalatorInLease)^1,IF(I26="Market",Retention*G26*D26*(1+EscalatorInLease)^(1+M26)+(1-Retention)*H26*D26*(1+GrowthMarketRent)^1*IF(INT((DATE(2026+1,10,31)-F26)/365.25)=0,(12-DowntimeNew)/12,1),IF(I26="LeaseUp",H26*D26*(1+GrowthMarketRent)^1*IF(1=0,(12-DowntimeNew)/12,1),0)))),((F26-DATE(2026+1,5,1))/365.25)*G26*D26*(1+EscalatorInLease)^(1+M26)+((DATE(2027+1,4,30)-F26)/365.25)*IF(I26="Vacate",H26*D26*(1+GrowthMarketRent)^1*IF(INT((DATE(2026+1,10,31)-F26)/365.25)=0,(12-DowntimeNew)/12,1),IF(I26="Option",G26*D26*1.025*(1+EscalatorInLease)^1,IF(I26="Market",Retention*G26*D26*(1+EscalatorInLease)^(1+M26)+(1-Retention)*H26*D26*(1+GrowthMarketRent)^1*IF(INT((DATE(2026+1,10,31)-F26)/365.25)=0,(12-DowntimeNew)/12,1),IF(I26="LeaseUp",H26*D26*(1+GrowthMarketRent)^1*IF(1=0,(12-DowntimeNew)/12,1),0)))))))),0)</f>
        <v/>
      </c>
      <c r="P26" s="14">
        <f>IFERROR(IF(I26="LeaseUp",H26*D26*(1+GrowthMarketRent)^2*IF(2=0,(12-DowntimeNew)/12,1),IF(F26="",0,IF(F26&gt;=DATE(2027+2,4,30),G26*D26*(1+EscalatorInLease)^(2+M26),IF(F26&lt;DATE(2026+2,5,1),IF(I26="Vacate",H26*D26*(1+GrowthMarketRent)^2*IF(INT((DATE(2026+2,10,31)-F26)/365.25)=0,(12-DowntimeNew)/12,1),IF(I26="Option",G26*D26*1.025*(1+EscalatorInLease)^2,IF(I26="Market",Retention*G26*D26*(1+EscalatorInLease)^(2+M26)+(1-Retention)*H26*D26*(1+GrowthMarketRent)^2*IF(INT((DATE(2026+2,10,31)-F26)/365.25)=0,(12-DowntimeNew)/12,1),IF(I26="LeaseUp",H26*D26*(1+GrowthMarketRent)^2*IF(2=0,(12-DowntimeNew)/12,1),0)))),((F26-DATE(2026+2,5,1))/365.25)*G26*D26*(1+EscalatorInLease)^(2+M26)+((DATE(2027+2,4,30)-F26)/365.25)*IF(I26="Vacate",H26*D26*(1+GrowthMarketRent)^2*IF(INT((DATE(2026+2,10,31)-F26)/365.25)=0,(12-DowntimeNew)/12,1),IF(I26="Option",G26*D26*1.025*(1+EscalatorInLease)^2,IF(I26="Market",Retention*G26*D26*(1+EscalatorInLease)^(2+M26)+(1-Retention)*H26*D26*(1+GrowthMarketRent)^2*IF(INT((DATE(2026+2,10,31)-F26)/365.25)=0,(12-DowntimeNew)/12,1),IF(I26="LeaseUp",H26*D26*(1+GrowthMarketRent)^2*IF(2=0,(12-DowntimeNew)/12,1),0)))))))),0)</f>
        <v/>
      </c>
      <c r="Q26" s="14">
        <f>IFERROR(IF(I26="LeaseUp",H26*D26*(1+GrowthMarketRent)^3*IF(3=0,(12-DowntimeNew)/12,1),IF(F26="",0,IF(F26&gt;=DATE(2027+3,4,30),G26*D26*(1+EscalatorInLease)^(3+M26),IF(F26&lt;DATE(2026+3,5,1),IF(I26="Vacate",H26*D26*(1+GrowthMarketRent)^3*IF(INT((DATE(2026+3,10,31)-F26)/365.25)=0,(12-DowntimeNew)/12,1),IF(I26="Option",G26*D26*1.025*(1+EscalatorInLease)^3,IF(I26="Market",Retention*G26*D26*(1+EscalatorInLease)^(3+M26)+(1-Retention)*H26*D26*(1+GrowthMarketRent)^3*IF(INT((DATE(2026+3,10,31)-F26)/365.25)=0,(12-DowntimeNew)/12,1),IF(I26="LeaseUp",H26*D26*(1+GrowthMarketRent)^3*IF(3=0,(12-DowntimeNew)/12,1),0)))),((F26-DATE(2026+3,5,1))/365.25)*G26*D26*(1+EscalatorInLease)^(3+M26)+((DATE(2027+3,4,30)-F26)/365.25)*IF(I26="Vacate",H26*D26*(1+GrowthMarketRent)^3*IF(INT((DATE(2026+3,10,31)-F26)/365.25)=0,(12-DowntimeNew)/12,1),IF(I26="Option",G26*D26*1.025*(1+EscalatorInLease)^3,IF(I26="Market",Retention*G26*D26*(1+EscalatorInLease)^(3+M26)+(1-Retention)*H26*D26*(1+GrowthMarketRent)^3*IF(INT((DATE(2026+3,10,31)-F26)/365.25)=0,(12-DowntimeNew)/12,1),IF(I26="LeaseUp",H26*D26*(1+GrowthMarketRent)^3*IF(3=0,(12-DowntimeNew)/12,1),0)))))))),0)</f>
        <v/>
      </c>
      <c r="R26" s="14">
        <f>IFERROR(IF(I26="LeaseUp",H26*D26*(1+GrowthMarketRent)^4*IF(4=0,(12-DowntimeNew)/12,1),IF(F26="",0,IF(F26&gt;=DATE(2027+4,4,30),G26*D26*(1+EscalatorInLease)^(4+M26),IF(F26&lt;DATE(2026+4,5,1),IF(I26="Vacate",H26*D26*(1+GrowthMarketRent)^4*IF(INT((DATE(2026+4,10,31)-F26)/365.25)=0,(12-DowntimeNew)/12,1),IF(I26="Option",G26*D26*1.025*(1+EscalatorInLease)^4,IF(I26="Market",Retention*G26*D26*(1+EscalatorInLease)^(4+M26)+(1-Retention)*H26*D26*(1+GrowthMarketRent)^4*IF(INT((DATE(2026+4,10,31)-F26)/365.25)=0,(12-DowntimeNew)/12,1),IF(I26="LeaseUp",H26*D26*(1+GrowthMarketRent)^4*IF(4=0,(12-DowntimeNew)/12,1),0)))),((F26-DATE(2026+4,5,1))/365.25)*G26*D26*(1+EscalatorInLease)^(4+M26)+((DATE(2027+4,4,30)-F26)/365.25)*IF(I26="Vacate",H26*D26*(1+GrowthMarketRent)^4*IF(INT((DATE(2026+4,10,31)-F26)/365.25)=0,(12-DowntimeNew)/12,1),IF(I26="Option",G26*D26*1.025*(1+EscalatorInLease)^4,IF(I26="Market",Retention*G26*D26*(1+EscalatorInLease)^(4+M26)+(1-Retention)*H26*D26*(1+GrowthMarketRent)^4*IF(INT((DATE(2026+4,10,31)-F26)/365.25)=0,(12-DowntimeNew)/12,1),IF(I26="LeaseUp",H26*D26*(1+GrowthMarketRent)^4*IF(4=0,(12-DowntimeNew)/12,1),0)))))))),0)</f>
        <v/>
      </c>
      <c r="S26" s="14">
        <f>IFERROR(IF(I26="LeaseUp",H26*D26*(1+GrowthMarketRent)^5*IF(5=0,(12-DowntimeNew)/12,1),IF(F26="",0,IF(F26&gt;=DATE(2027+5,4,30),G26*D26*(1+EscalatorInLease)^(5+M26),IF(F26&lt;DATE(2026+5,5,1),IF(I26="Vacate",H26*D26*(1+GrowthMarketRent)^5*IF(INT((DATE(2026+5,10,31)-F26)/365.25)=0,(12-DowntimeNew)/12,1),IF(I26="Option",G26*D26*1.025*(1+EscalatorInLease)^5,IF(I26="Market",Retention*G26*D26*(1+EscalatorInLease)^(5+M26)+(1-Retention)*H26*D26*(1+GrowthMarketRent)^5*IF(INT((DATE(2026+5,10,31)-F26)/365.25)=0,(12-DowntimeNew)/12,1),IF(I26="LeaseUp",H26*D26*(1+GrowthMarketRent)^5*IF(5=0,(12-DowntimeNew)/12,1),0)))),((F26-DATE(2026+5,5,1))/365.25)*G26*D26*(1+EscalatorInLease)^(5+M26)+((DATE(2027+5,4,30)-F26)/365.25)*IF(I26="Vacate",H26*D26*(1+GrowthMarketRent)^5*IF(INT((DATE(2026+5,10,31)-F26)/365.25)=0,(12-DowntimeNew)/12,1),IF(I26="Option",G26*D26*1.025*(1+EscalatorInLease)^5,IF(I26="Market",Retention*G26*D26*(1+EscalatorInLease)^(5+M26)+(1-Retention)*H26*D26*(1+GrowthMarketRent)^5*IF(INT((DATE(2026+5,10,31)-F26)/365.25)=0,(12-DowntimeNew)/12,1),IF(I26="LeaseUp",H26*D26*(1+GrowthMarketRent)^5*IF(5=0,(12-DowntimeNew)/12,1),0)))))))),0)</f>
        <v/>
      </c>
      <c r="T26" s="14">
        <f>IFERROR(IF(I26="LeaseUp",H26*D26*(1+GrowthMarketRent)^6*IF(6=0,(12-DowntimeNew)/12,1),IF(F26="",0,IF(F26&gt;=DATE(2027+6,4,30),G26*D26*(1+EscalatorInLease)^(6+M26),IF(F26&lt;DATE(2026+6,5,1),IF(I26="Vacate",H26*D26*(1+GrowthMarketRent)^6*IF(INT((DATE(2026+6,10,31)-F26)/365.25)=0,(12-DowntimeNew)/12,1),IF(I26="Option",G26*D26*1.025*(1+EscalatorInLease)^6,IF(I26="Market",Retention*G26*D26*(1+EscalatorInLease)^(6+M26)+(1-Retention)*H26*D26*(1+GrowthMarketRent)^6*IF(INT((DATE(2026+6,10,31)-F26)/365.25)=0,(12-DowntimeNew)/12,1),IF(I26="LeaseUp",H26*D26*(1+GrowthMarketRent)^6*IF(6=0,(12-DowntimeNew)/12,1),0)))),((F26-DATE(2026+6,5,1))/365.25)*G26*D26*(1+EscalatorInLease)^(6+M26)+((DATE(2027+6,4,30)-F26)/365.25)*IF(I26="Vacate",H26*D26*(1+GrowthMarketRent)^6*IF(INT((DATE(2026+6,10,31)-F26)/365.25)=0,(12-DowntimeNew)/12,1),IF(I26="Option",G26*D26*1.025*(1+EscalatorInLease)^6,IF(I26="Market",Retention*G26*D26*(1+EscalatorInLease)^(6+M26)+(1-Retention)*H26*D26*(1+GrowthMarketRent)^6*IF(INT((DATE(2026+6,10,31)-F26)/365.25)=0,(12-DowntimeNew)/12,1),IF(I26="LeaseUp",H26*D26*(1+GrowthMarketRent)^6*IF(6=0,(12-DowntimeNew)/12,1),0)))))))),0)</f>
        <v/>
      </c>
      <c r="U26" s="14">
        <f>IFERROR(IF(I26="LeaseUp",H26*D26*(1+GrowthMarketRent)^7*IF(7=0,(12-DowntimeNew)/12,1),IF(F26="",0,IF(F26&gt;=DATE(2027+7,4,30),G26*D26*(1+EscalatorInLease)^(7+M26),IF(F26&lt;DATE(2026+7,5,1),IF(I26="Vacate",H26*D26*(1+GrowthMarketRent)^7*IF(INT((DATE(2026+7,10,31)-F26)/365.25)=0,(12-DowntimeNew)/12,1),IF(I26="Option",G26*D26*1.025*(1+EscalatorInLease)^7,IF(I26="Market",Retention*G26*D26*(1+EscalatorInLease)^(7+M26)+(1-Retention)*H26*D26*(1+GrowthMarketRent)^7*IF(INT((DATE(2026+7,10,31)-F26)/365.25)=0,(12-DowntimeNew)/12,1),IF(I26="LeaseUp",H26*D26*(1+GrowthMarketRent)^7*IF(7=0,(12-DowntimeNew)/12,1),0)))),((F26-DATE(2026+7,5,1))/365.25)*G26*D26*(1+EscalatorInLease)^(7+M26)+((DATE(2027+7,4,30)-F26)/365.25)*IF(I26="Vacate",H26*D26*(1+GrowthMarketRent)^7*IF(INT((DATE(2026+7,10,31)-F26)/365.25)=0,(12-DowntimeNew)/12,1),IF(I26="Option",G26*D26*1.025*(1+EscalatorInLease)^7,IF(I26="Market",Retention*G26*D26*(1+EscalatorInLease)^(7+M26)+(1-Retention)*H26*D26*(1+GrowthMarketRent)^7*IF(INT((DATE(2026+7,10,31)-F26)/365.25)=0,(12-DowntimeNew)/12,1),IF(I26="LeaseUp",H26*D26*(1+GrowthMarketRent)^7*IF(7=0,(12-DowntimeNew)/12,1),0)))))))),0)</f>
        <v/>
      </c>
      <c r="V26" s="14">
        <f>IFERROR(IF(I26="LeaseUp",H26*D26*(1+GrowthMarketRent)^8*IF(8=0,(12-DowntimeNew)/12,1),IF(F26="",0,IF(F26&gt;=DATE(2027+8,4,30),G26*D26*(1+EscalatorInLease)^(8+M26),IF(F26&lt;DATE(2026+8,5,1),IF(I26="Vacate",H26*D26*(1+GrowthMarketRent)^8*IF(INT((DATE(2026+8,10,31)-F26)/365.25)=0,(12-DowntimeNew)/12,1),IF(I26="Option",G26*D26*1.025*(1+EscalatorInLease)^8,IF(I26="Market",Retention*G26*D26*(1+EscalatorInLease)^(8+M26)+(1-Retention)*H26*D26*(1+GrowthMarketRent)^8*IF(INT((DATE(2026+8,10,31)-F26)/365.25)=0,(12-DowntimeNew)/12,1),IF(I26="LeaseUp",H26*D26*(1+GrowthMarketRent)^8*IF(8=0,(12-DowntimeNew)/12,1),0)))),((F26-DATE(2026+8,5,1))/365.25)*G26*D26*(1+EscalatorInLease)^(8+M26)+((DATE(2027+8,4,30)-F26)/365.25)*IF(I26="Vacate",H26*D26*(1+GrowthMarketRent)^8*IF(INT((DATE(2026+8,10,31)-F26)/365.25)=0,(12-DowntimeNew)/12,1),IF(I26="Option",G26*D26*1.025*(1+EscalatorInLease)^8,IF(I26="Market",Retention*G26*D26*(1+EscalatorInLease)^(8+M26)+(1-Retention)*H26*D26*(1+GrowthMarketRent)^8*IF(INT((DATE(2026+8,10,31)-F26)/365.25)=0,(12-DowntimeNew)/12,1),IF(I26="LeaseUp",H26*D26*(1+GrowthMarketRent)^8*IF(8=0,(12-DowntimeNew)/12,1),0)))))))),0)</f>
        <v/>
      </c>
      <c r="W26" s="14">
        <f>IFERROR(IF(I26="LeaseUp",H26*D26*(1+GrowthMarketRent)^9*IF(9=0,(12-DowntimeNew)/12,1),IF(F26="",0,IF(F26&gt;=DATE(2027+9,4,30),G26*D26*(1+EscalatorInLease)^(9+M26),IF(F26&lt;DATE(2026+9,5,1),IF(I26="Vacate",H26*D26*(1+GrowthMarketRent)^9*IF(INT((DATE(2026+9,10,31)-F26)/365.25)=0,(12-DowntimeNew)/12,1),IF(I26="Option",G26*D26*1.025*(1+EscalatorInLease)^9,IF(I26="Market",Retention*G26*D26*(1+EscalatorInLease)^(9+M26)+(1-Retention)*H26*D26*(1+GrowthMarketRent)^9*IF(INT((DATE(2026+9,10,31)-F26)/365.25)=0,(12-DowntimeNew)/12,1),IF(I26="LeaseUp",H26*D26*(1+GrowthMarketRent)^9*IF(9=0,(12-DowntimeNew)/12,1),0)))),((F26-DATE(2026+9,5,1))/365.25)*G26*D26*(1+EscalatorInLease)^(9+M26)+((DATE(2027+9,4,30)-F26)/365.25)*IF(I26="Vacate",H26*D26*(1+GrowthMarketRent)^9*IF(INT((DATE(2026+9,10,31)-F26)/365.25)=0,(12-DowntimeNew)/12,1),IF(I26="Option",G26*D26*1.025*(1+EscalatorInLease)^9,IF(I26="Market",Retention*G26*D26*(1+EscalatorInLease)^(9+M26)+(1-Retention)*H26*D26*(1+GrowthMarketRent)^9*IF(INT((DATE(2026+9,10,31)-F26)/365.25)=0,(12-DowntimeNew)/12,1),IF(I26="LeaseUp",H26*D26*(1+GrowthMarketRent)^9*IF(9=0,(12-DowntimeNew)/12,1),0)))))))),0)</f>
        <v/>
      </c>
      <c r="X26" s="14">
        <f>IFERROR(IF(I26="LeaseUp",H26*D26*(1+GrowthMarketRent)^10*IF(10=0,(12-DowntimeNew)/12,1),IF(F26="",0,IF(F26&gt;=DATE(2027+10,4,30),G26*D26*(1+EscalatorInLease)^(10+M26),IF(F26&lt;DATE(2026+10,5,1),IF(I26="Vacate",H26*D26*(1+GrowthMarketRent)^10*IF(INT((DATE(2026+10,10,31)-F26)/365.25)=0,(12-DowntimeNew)/12,1),IF(I26="Option",G26*D26*1.025*(1+EscalatorInLease)^10,IF(I26="Market",Retention*G26*D26*(1+EscalatorInLease)^(10+M26)+(1-Retention)*H26*D26*(1+GrowthMarketRent)^10*IF(INT((DATE(2026+10,10,31)-F26)/365.25)=0,(12-DowntimeNew)/12,1),IF(I26="LeaseUp",H26*D26*(1+GrowthMarketRent)^10*IF(10=0,(12-DowntimeNew)/12,1),0)))),((F26-DATE(2026+10,5,1))/365.25)*G26*D26*(1+EscalatorInLease)^(10+M26)+((DATE(2027+10,4,30)-F26)/365.25)*IF(I26="Vacate",H26*D26*(1+GrowthMarketRent)^10*IF(INT((DATE(2026+10,10,31)-F26)/365.25)=0,(12-DowntimeNew)/12,1),IF(I26="Option",G26*D26*1.025*(1+EscalatorInLease)^10,IF(I26="Market",Retention*G26*D26*(1+EscalatorInLease)^(10+M26)+(1-Retention)*H26*D26*(1+GrowthMarketRent)^10*IF(INT((DATE(2026+10,10,31)-F26)/365.25)=0,(12-DowntimeNew)/12,1),IF(I26="LeaseUp",H26*D26*(1+GrowthMarketRent)^10*IF(10=0,(12-DowntimeNew)/12,1),0)))))))),0)</f>
        <v/>
      </c>
      <c r="Y26" s="14">
        <f>IFERROR(IF(AND(I26="LeaseUp",0=0),(IF(I26="Vacate",TINew*D26,IF(I26="Market",Retention*TIRenewal*D26+(1-Retention)*TINew*D26,IF(I26="LeaseUp",TINew*D26,IF(I26="Option",TIRenewal*D26,0)))))+(IF(I26="Vacate",LCNew*H26*D26*(1+GrowthMarketRent)^0,IF(I26="Market",Retention*LCRenewal*H26*D26*(1+GrowthMarketRent)^0+(1-Retention)*LCNew*H26*D26*(1+GrowthMarketRent)^0,IF(I26="LeaseUp",LCNew*H26*D26*(1+GrowthMarketRent)^0,IF(I26="Option",LCRenewal*H26*D26*(1+GrowthMarketRent)^0,0))))),IF(F26="",0,IF(AND(F26&gt;=DATE(2026+0,5,1),F26&lt;=DATE(2027+0,4,30)),(IF(I26="Vacate",TINew*D26,IF(I26="Market",Retention*TIRenewal*D26+(1-Retention)*TINew*D26,IF(I26="LeaseUp",TINew*D26,IF(I26="Option",TIRenewal*D26,0)))))+(IF(I26="Vacate",LCNew*H26*D26*(1+GrowthMarketRent)^0,IF(I26="Market",Retention*LCRenewal*H26*D26*(1+GrowthMarketRent)^0+(1-Retention)*LCNew*H26*D26*(1+GrowthMarketRent)^0,IF(I26="LeaseUp",LCNew*H26*D26*(1+GrowthMarketRent)^0,IF(I26="Option",LCRenewal*H26*D26*(1+GrowthMarketRent)^0,0))))),0))),0)</f>
        <v/>
      </c>
      <c r="Z26" s="14">
        <f>IFERROR(IF(AND(I26="LeaseUp",1=0),(IF(I26="Vacate",TINew*D26,IF(I26="Market",Retention*TIRenewal*D26+(1-Retention)*TINew*D26,IF(I26="LeaseUp",TINew*D26,IF(I26="Option",TIRenewal*D26,0)))))+(IF(I26="Vacate",LCNew*H26*D26*(1+GrowthMarketRent)^1,IF(I26="Market",Retention*LCRenewal*H26*D26*(1+GrowthMarketRent)^1+(1-Retention)*LCNew*H26*D26*(1+GrowthMarketRent)^1,IF(I26="LeaseUp",LCNew*H26*D26*(1+GrowthMarketRent)^1,IF(I26="Option",LCRenewal*H26*D26*(1+GrowthMarketRent)^1,0))))),IF(F26="",0,IF(AND(F26&gt;=DATE(2026+1,5,1),F26&lt;=DATE(2027+1,4,30)),(IF(I26="Vacate",TINew*D26,IF(I26="Market",Retention*TIRenewal*D26+(1-Retention)*TINew*D26,IF(I26="LeaseUp",TINew*D26,IF(I26="Option",TIRenewal*D26,0)))))+(IF(I26="Vacate",LCNew*H26*D26*(1+GrowthMarketRent)^1,IF(I26="Market",Retention*LCRenewal*H26*D26*(1+GrowthMarketRent)^1+(1-Retention)*LCNew*H26*D26*(1+GrowthMarketRent)^1,IF(I26="LeaseUp",LCNew*H26*D26*(1+GrowthMarketRent)^1,IF(I26="Option",LCRenewal*H26*D26*(1+GrowthMarketRent)^1,0))))),0))),0)</f>
        <v/>
      </c>
      <c r="AA26" s="14">
        <f>IFERROR(IF(AND(I26="LeaseUp",2=0),(IF(I26="Vacate",TINew*D26,IF(I26="Market",Retention*TIRenewal*D26+(1-Retention)*TINew*D26,IF(I26="LeaseUp",TINew*D26,IF(I26="Option",TIRenewal*D26,0)))))+(IF(I26="Vacate",LCNew*H26*D26*(1+GrowthMarketRent)^2,IF(I26="Market",Retention*LCRenewal*H26*D26*(1+GrowthMarketRent)^2+(1-Retention)*LCNew*H26*D26*(1+GrowthMarketRent)^2,IF(I26="LeaseUp",LCNew*H26*D26*(1+GrowthMarketRent)^2,IF(I26="Option",LCRenewal*H26*D26*(1+GrowthMarketRent)^2,0))))),IF(F26="",0,IF(AND(F26&gt;=DATE(2026+2,5,1),F26&lt;=DATE(2027+2,4,30)),(IF(I26="Vacate",TINew*D26,IF(I26="Market",Retention*TIRenewal*D26+(1-Retention)*TINew*D26,IF(I26="LeaseUp",TINew*D26,IF(I26="Option",TIRenewal*D26,0)))))+(IF(I26="Vacate",LCNew*H26*D26*(1+GrowthMarketRent)^2,IF(I26="Market",Retention*LCRenewal*H26*D26*(1+GrowthMarketRent)^2+(1-Retention)*LCNew*H26*D26*(1+GrowthMarketRent)^2,IF(I26="LeaseUp",LCNew*H26*D26*(1+GrowthMarketRent)^2,IF(I26="Option",LCRenewal*H26*D26*(1+GrowthMarketRent)^2,0))))),0))),0)</f>
        <v/>
      </c>
      <c r="AB26" s="14">
        <f>IFERROR(IF(AND(I26="LeaseUp",3=0),(IF(I26="Vacate",TINew*D26,IF(I26="Market",Retention*TIRenewal*D26+(1-Retention)*TINew*D26,IF(I26="LeaseUp",TINew*D26,IF(I26="Option",TIRenewal*D26,0)))))+(IF(I26="Vacate",LCNew*H26*D26*(1+GrowthMarketRent)^3,IF(I26="Market",Retention*LCRenewal*H26*D26*(1+GrowthMarketRent)^3+(1-Retention)*LCNew*H26*D26*(1+GrowthMarketRent)^3,IF(I26="LeaseUp",LCNew*H26*D26*(1+GrowthMarketRent)^3,IF(I26="Option",LCRenewal*H26*D26*(1+GrowthMarketRent)^3,0))))),IF(F26="",0,IF(AND(F26&gt;=DATE(2026+3,5,1),F26&lt;=DATE(2027+3,4,30)),(IF(I26="Vacate",TINew*D26,IF(I26="Market",Retention*TIRenewal*D26+(1-Retention)*TINew*D26,IF(I26="LeaseUp",TINew*D26,IF(I26="Option",TIRenewal*D26,0)))))+(IF(I26="Vacate",LCNew*H26*D26*(1+GrowthMarketRent)^3,IF(I26="Market",Retention*LCRenewal*H26*D26*(1+GrowthMarketRent)^3+(1-Retention)*LCNew*H26*D26*(1+GrowthMarketRent)^3,IF(I26="LeaseUp",LCNew*H26*D26*(1+GrowthMarketRent)^3,IF(I26="Option",LCRenewal*H26*D26*(1+GrowthMarketRent)^3,0))))),0))),0)</f>
        <v/>
      </c>
      <c r="AC26" s="14">
        <f>IFERROR(IF(AND(I26="LeaseUp",4=0),(IF(I26="Vacate",TINew*D26,IF(I26="Market",Retention*TIRenewal*D26+(1-Retention)*TINew*D26,IF(I26="LeaseUp",TINew*D26,IF(I26="Option",TIRenewal*D26,0)))))+(IF(I26="Vacate",LCNew*H26*D26*(1+GrowthMarketRent)^4,IF(I26="Market",Retention*LCRenewal*H26*D26*(1+GrowthMarketRent)^4+(1-Retention)*LCNew*H26*D26*(1+GrowthMarketRent)^4,IF(I26="LeaseUp",LCNew*H26*D26*(1+GrowthMarketRent)^4,IF(I26="Option",LCRenewal*H26*D26*(1+GrowthMarketRent)^4,0))))),IF(F26="",0,IF(AND(F26&gt;=DATE(2026+4,5,1),F26&lt;=DATE(2027+4,4,30)),(IF(I26="Vacate",TINew*D26,IF(I26="Market",Retention*TIRenewal*D26+(1-Retention)*TINew*D26,IF(I26="LeaseUp",TINew*D26,IF(I26="Option",TIRenewal*D26,0)))))+(IF(I26="Vacate",LCNew*H26*D26*(1+GrowthMarketRent)^4,IF(I26="Market",Retention*LCRenewal*H26*D26*(1+GrowthMarketRent)^4+(1-Retention)*LCNew*H26*D26*(1+GrowthMarketRent)^4,IF(I26="LeaseUp",LCNew*H26*D26*(1+GrowthMarketRent)^4,IF(I26="Option",LCRenewal*H26*D26*(1+GrowthMarketRent)^4,0))))),0))),0)</f>
        <v/>
      </c>
      <c r="AD26" s="14">
        <f>IFERROR(IF(AND(I26="LeaseUp",5=0),(IF(I26="Vacate",TINew*D26,IF(I26="Market",Retention*TIRenewal*D26+(1-Retention)*TINew*D26,IF(I26="LeaseUp",TINew*D26,IF(I26="Option",TIRenewal*D26,0)))))+(IF(I26="Vacate",LCNew*H26*D26*(1+GrowthMarketRent)^5,IF(I26="Market",Retention*LCRenewal*H26*D26*(1+GrowthMarketRent)^5+(1-Retention)*LCNew*H26*D26*(1+GrowthMarketRent)^5,IF(I26="LeaseUp",LCNew*H26*D26*(1+GrowthMarketRent)^5,IF(I26="Option",LCRenewal*H26*D26*(1+GrowthMarketRent)^5,0))))),IF(F26="",0,IF(AND(F26&gt;=DATE(2026+5,5,1),F26&lt;=DATE(2027+5,4,30)),(IF(I26="Vacate",TINew*D26,IF(I26="Market",Retention*TIRenewal*D26+(1-Retention)*TINew*D26,IF(I26="LeaseUp",TINew*D26,IF(I26="Option",TIRenewal*D26,0)))))+(IF(I26="Vacate",LCNew*H26*D26*(1+GrowthMarketRent)^5,IF(I26="Market",Retention*LCRenewal*H26*D26*(1+GrowthMarketRent)^5+(1-Retention)*LCNew*H26*D26*(1+GrowthMarketRent)^5,IF(I26="LeaseUp",LCNew*H26*D26*(1+GrowthMarketRent)^5,IF(I26="Option",LCRenewal*H26*D26*(1+GrowthMarketRent)^5,0))))),0))),0)</f>
        <v/>
      </c>
      <c r="AE26" s="14">
        <f>IFERROR(IF(AND(I26="LeaseUp",6=0),(IF(I26="Vacate",TINew*D26,IF(I26="Market",Retention*TIRenewal*D26+(1-Retention)*TINew*D26,IF(I26="LeaseUp",TINew*D26,IF(I26="Option",TIRenewal*D26,0)))))+(IF(I26="Vacate",LCNew*H26*D26*(1+GrowthMarketRent)^6,IF(I26="Market",Retention*LCRenewal*H26*D26*(1+GrowthMarketRent)^6+(1-Retention)*LCNew*H26*D26*(1+GrowthMarketRent)^6,IF(I26="LeaseUp",LCNew*H26*D26*(1+GrowthMarketRent)^6,IF(I26="Option",LCRenewal*H26*D26*(1+GrowthMarketRent)^6,0))))),IF(F26="",0,IF(AND(F26&gt;=DATE(2026+6,5,1),F26&lt;=DATE(2027+6,4,30)),(IF(I26="Vacate",TINew*D26,IF(I26="Market",Retention*TIRenewal*D26+(1-Retention)*TINew*D26,IF(I26="LeaseUp",TINew*D26,IF(I26="Option",TIRenewal*D26,0)))))+(IF(I26="Vacate",LCNew*H26*D26*(1+GrowthMarketRent)^6,IF(I26="Market",Retention*LCRenewal*H26*D26*(1+GrowthMarketRent)^6+(1-Retention)*LCNew*H26*D26*(1+GrowthMarketRent)^6,IF(I26="LeaseUp",LCNew*H26*D26*(1+GrowthMarketRent)^6,IF(I26="Option",LCRenewal*H26*D26*(1+GrowthMarketRent)^6,0))))),0))),0)</f>
        <v/>
      </c>
      <c r="AF26" s="14">
        <f>IFERROR(IF(AND(I26="LeaseUp",7=0),(IF(I26="Vacate",TINew*D26,IF(I26="Market",Retention*TIRenewal*D26+(1-Retention)*TINew*D26,IF(I26="LeaseUp",TINew*D26,IF(I26="Option",TIRenewal*D26,0)))))+(IF(I26="Vacate",LCNew*H26*D26*(1+GrowthMarketRent)^7,IF(I26="Market",Retention*LCRenewal*H26*D26*(1+GrowthMarketRent)^7+(1-Retention)*LCNew*H26*D26*(1+GrowthMarketRent)^7,IF(I26="LeaseUp",LCNew*H26*D26*(1+GrowthMarketRent)^7,IF(I26="Option",LCRenewal*H26*D26*(1+GrowthMarketRent)^7,0))))),IF(F26="",0,IF(AND(F26&gt;=DATE(2026+7,5,1),F26&lt;=DATE(2027+7,4,30)),(IF(I26="Vacate",TINew*D26,IF(I26="Market",Retention*TIRenewal*D26+(1-Retention)*TINew*D26,IF(I26="LeaseUp",TINew*D26,IF(I26="Option",TIRenewal*D26,0)))))+(IF(I26="Vacate",LCNew*H26*D26*(1+GrowthMarketRent)^7,IF(I26="Market",Retention*LCRenewal*H26*D26*(1+GrowthMarketRent)^7+(1-Retention)*LCNew*H26*D26*(1+GrowthMarketRent)^7,IF(I26="LeaseUp",LCNew*H26*D26*(1+GrowthMarketRent)^7,IF(I26="Option",LCRenewal*H26*D26*(1+GrowthMarketRent)^7,0))))),0))),0)</f>
        <v/>
      </c>
      <c r="AG26" s="14">
        <f>IFERROR(IF(AND(I26="LeaseUp",8=0),(IF(I26="Vacate",TINew*D26,IF(I26="Market",Retention*TIRenewal*D26+(1-Retention)*TINew*D26,IF(I26="LeaseUp",TINew*D26,IF(I26="Option",TIRenewal*D26,0)))))+(IF(I26="Vacate",LCNew*H26*D26*(1+GrowthMarketRent)^8,IF(I26="Market",Retention*LCRenewal*H26*D26*(1+GrowthMarketRent)^8+(1-Retention)*LCNew*H26*D26*(1+GrowthMarketRent)^8,IF(I26="LeaseUp",LCNew*H26*D26*(1+GrowthMarketRent)^8,IF(I26="Option",LCRenewal*H26*D26*(1+GrowthMarketRent)^8,0))))),IF(F26="",0,IF(AND(F26&gt;=DATE(2026+8,5,1),F26&lt;=DATE(2027+8,4,30)),(IF(I26="Vacate",TINew*D26,IF(I26="Market",Retention*TIRenewal*D26+(1-Retention)*TINew*D26,IF(I26="LeaseUp",TINew*D26,IF(I26="Option",TIRenewal*D26,0)))))+(IF(I26="Vacate",LCNew*H26*D26*(1+GrowthMarketRent)^8,IF(I26="Market",Retention*LCRenewal*H26*D26*(1+GrowthMarketRent)^8+(1-Retention)*LCNew*H26*D26*(1+GrowthMarketRent)^8,IF(I26="LeaseUp",LCNew*H26*D26*(1+GrowthMarketRent)^8,IF(I26="Option",LCRenewal*H26*D26*(1+GrowthMarketRent)^8,0))))),0))),0)</f>
        <v/>
      </c>
      <c r="AH26" s="14">
        <f>IFERROR(IF(AND(I26="LeaseUp",9=0),(IF(I26="Vacate",TINew*D26,IF(I26="Market",Retention*TIRenewal*D26+(1-Retention)*TINew*D26,IF(I26="LeaseUp",TINew*D26,IF(I26="Option",TIRenewal*D26,0)))))+(IF(I26="Vacate",LCNew*H26*D26*(1+GrowthMarketRent)^9,IF(I26="Market",Retention*LCRenewal*H26*D26*(1+GrowthMarketRent)^9+(1-Retention)*LCNew*H26*D26*(1+GrowthMarketRent)^9,IF(I26="LeaseUp",LCNew*H26*D26*(1+GrowthMarketRent)^9,IF(I26="Option",LCRenewal*H26*D26*(1+GrowthMarketRent)^9,0))))),IF(F26="",0,IF(AND(F26&gt;=DATE(2026+9,5,1),F26&lt;=DATE(2027+9,4,30)),(IF(I26="Vacate",TINew*D26,IF(I26="Market",Retention*TIRenewal*D26+(1-Retention)*TINew*D26,IF(I26="LeaseUp",TINew*D26,IF(I26="Option",TIRenewal*D26,0)))))+(IF(I26="Vacate",LCNew*H26*D26*(1+GrowthMarketRent)^9,IF(I26="Market",Retention*LCRenewal*H26*D26*(1+GrowthMarketRent)^9+(1-Retention)*LCNew*H26*D26*(1+GrowthMarketRent)^9,IF(I26="LeaseUp",LCNew*H26*D26*(1+GrowthMarketRent)^9,IF(I26="Option",LCRenewal*H26*D26*(1+GrowthMarketRent)^9,0))))),0))),0)</f>
        <v/>
      </c>
      <c r="AI26" s="14">
        <f>IFERROR(IF(AND(I26="LeaseUp",10=0),(IF(I26="Vacate",TINew*D26,IF(I26="Market",Retention*TIRenewal*D26+(1-Retention)*TINew*D26,IF(I26="LeaseUp",TINew*D26,IF(I26="Option",TIRenewal*D26,0)))))+(IF(I26="Vacate",LCNew*H26*D26*(1+GrowthMarketRent)^10,IF(I26="Market",Retention*LCRenewal*H26*D26*(1+GrowthMarketRent)^10+(1-Retention)*LCNew*H26*D26*(1+GrowthMarketRent)^10,IF(I26="LeaseUp",LCNew*H26*D26*(1+GrowthMarketRent)^10,IF(I26="Option",LCRenewal*H26*D26*(1+GrowthMarketRent)^10,0))))),IF(F26="",0,IF(AND(F26&gt;=DATE(2026+10,5,1),F26&lt;=DATE(2027+10,4,30)),(IF(I26="Vacate",TINew*D26,IF(I26="Market",Retention*TIRenewal*D26+(1-Retention)*TINew*D26,IF(I26="LeaseUp",TINew*D26,IF(I26="Option",TIRenewal*D26,0)))))+(IF(I26="Vacate",LCNew*H26*D26*(1+GrowthMarketRent)^10,IF(I26="Market",Retention*LCRenewal*H26*D26*(1+GrowthMarketRent)^10+(1-Retention)*LCNew*H26*D26*(1+GrowthMarketRent)^10,IF(I26="LeaseUp",LCNew*H26*D26*(1+GrowthMarketRent)^10,IF(I26="Option",LCRenewal*H26*D26*(1+GrowthMarketRent)^10,0))))),0))),0)</f>
        <v/>
      </c>
    </row>
    <row r="27">
      <c r="A27" t="inlineStr">
        <is>
          <t>Carrollton</t>
        </is>
      </c>
      <c r="B27" t="inlineStr">
        <is>
          <t>320</t>
        </is>
      </c>
      <c r="C27" t="inlineStr">
        <is>
          <t>Horvez Holdings Inc.</t>
        </is>
      </c>
      <c r="D27" s="32" t="n">
        <v>1870</v>
      </c>
      <c r="E27" s="33" t="n">
        <v>45778</v>
      </c>
      <c r="F27" s="33" t="n">
        <v>47027</v>
      </c>
      <c r="G27" s="34" t="n">
        <v>14.3502673796791</v>
      </c>
      <c r="H27" s="16">
        <f>VLOOKUP("Carrollton — "&amp;J27,MLA!$A$5:$L$11,3,FALSE)</f>
        <v/>
      </c>
      <c r="I27" s="11" t="inlineStr">
        <is>
          <t>Market</t>
        </is>
      </c>
      <c r="J27" t="inlineStr">
        <is>
          <t>Studio</t>
        </is>
      </c>
      <c r="K27" t="inlineStr">
        <is>
          <t>Occupied</t>
        </is>
      </c>
      <c r="L27" t="inlineStr">
        <is>
          <t>Studio; Guarantor: Aixa Alvarez</t>
        </is>
      </c>
      <c r="M27" s="20">
        <f>IF(E27="",0,(AnalysisStart-E27)/365.25)</f>
        <v/>
      </c>
      <c r="N27" s="14">
        <f>IFERROR(IF(I27="LeaseUp",H27*D27*(1+GrowthMarketRent)^0*IF(0=0,(12-DowntimeNew)/12,1),IF(F27="",0,IF(F27&gt;=DATE(2027+0,4,30),G27*D27*(1+EscalatorInLease)^(0+M27),IF(F27&lt;DATE(2026+0,5,1),IF(I27="Vacate",H27*D27*(1+GrowthMarketRent)^0*IF(INT((DATE(2026+0,10,31)-F27)/365.25)=0,(12-DowntimeNew)/12,1),IF(I27="Option",G27*D27*1.025*(1+EscalatorInLease)^0,IF(I27="Market",Retention*G27*D27*(1+EscalatorInLease)^(0+M27)+(1-Retention)*H27*D27*(1+GrowthMarketRent)^0*IF(INT((DATE(2026+0,10,31)-F27)/365.25)=0,(12-DowntimeNew)/12,1),IF(I27="LeaseUp",H27*D27*(1+GrowthMarketRent)^0*IF(0=0,(12-DowntimeNew)/12,1),0)))),((F27-DATE(2026+0,5,1))/365.25)*G27*D27*(1+EscalatorInLease)^(0+M27)+((DATE(2027+0,4,30)-F27)/365.25)*IF(I27="Vacate",H27*D27*(1+GrowthMarketRent)^0*IF(INT((DATE(2026+0,10,31)-F27)/365.25)=0,(12-DowntimeNew)/12,1),IF(I27="Option",G27*D27*1.025*(1+EscalatorInLease)^0,IF(I27="Market",Retention*G27*D27*(1+EscalatorInLease)^(0+M27)+(1-Retention)*H27*D27*(1+GrowthMarketRent)^0*IF(INT((DATE(2026+0,10,31)-F27)/365.25)=0,(12-DowntimeNew)/12,1),IF(I27="LeaseUp",H27*D27*(1+GrowthMarketRent)^0*IF(0=0,(12-DowntimeNew)/12,1),0)))))))),0)</f>
        <v/>
      </c>
      <c r="O27" s="14">
        <f>IFERROR(IF(I27="LeaseUp",H27*D27*(1+GrowthMarketRent)^1*IF(1=0,(12-DowntimeNew)/12,1),IF(F27="",0,IF(F27&gt;=DATE(2027+1,4,30),G27*D27*(1+EscalatorInLease)^(1+M27),IF(F27&lt;DATE(2026+1,5,1),IF(I27="Vacate",H27*D27*(1+GrowthMarketRent)^1*IF(INT((DATE(2026+1,10,31)-F27)/365.25)=0,(12-DowntimeNew)/12,1),IF(I27="Option",G27*D27*1.025*(1+EscalatorInLease)^1,IF(I27="Market",Retention*G27*D27*(1+EscalatorInLease)^(1+M27)+(1-Retention)*H27*D27*(1+GrowthMarketRent)^1*IF(INT((DATE(2026+1,10,31)-F27)/365.25)=0,(12-DowntimeNew)/12,1),IF(I27="LeaseUp",H27*D27*(1+GrowthMarketRent)^1*IF(1=0,(12-DowntimeNew)/12,1),0)))),((F27-DATE(2026+1,5,1))/365.25)*G27*D27*(1+EscalatorInLease)^(1+M27)+((DATE(2027+1,4,30)-F27)/365.25)*IF(I27="Vacate",H27*D27*(1+GrowthMarketRent)^1*IF(INT((DATE(2026+1,10,31)-F27)/365.25)=0,(12-DowntimeNew)/12,1),IF(I27="Option",G27*D27*1.025*(1+EscalatorInLease)^1,IF(I27="Market",Retention*G27*D27*(1+EscalatorInLease)^(1+M27)+(1-Retention)*H27*D27*(1+GrowthMarketRent)^1*IF(INT((DATE(2026+1,10,31)-F27)/365.25)=0,(12-DowntimeNew)/12,1),IF(I27="LeaseUp",H27*D27*(1+GrowthMarketRent)^1*IF(1=0,(12-DowntimeNew)/12,1),0)))))))),0)</f>
        <v/>
      </c>
      <c r="P27" s="14">
        <f>IFERROR(IF(I27="LeaseUp",H27*D27*(1+GrowthMarketRent)^2*IF(2=0,(12-DowntimeNew)/12,1),IF(F27="",0,IF(F27&gt;=DATE(2027+2,4,30),G27*D27*(1+EscalatorInLease)^(2+M27),IF(F27&lt;DATE(2026+2,5,1),IF(I27="Vacate",H27*D27*(1+GrowthMarketRent)^2*IF(INT((DATE(2026+2,10,31)-F27)/365.25)=0,(12-DowntimeNew)/12,1),IF(I27="Option",G27*D27*1.025*(1+EscalatorInLease)^2,IF(I27="Market",Retention*G27*D27*(1+EscalatorInLease)^(2+M27)+(1-Retention)*H27*D27*(1+GrowthMarketRent)^2*IF(INT((DATE(2026+2,10,31)-F27)/365.25)=0,(12-DowntimeNew)/12,1),IF(I27="LeaseUp",H27*D27*(1+GrowthMarketRent)^2*IF(2=0,(12-DowntimeNew)/12,1),0)))),((F27-DATE(2026+2,5,1))/365.25)*G27*D27*(1+EscalatorInLease)^(2+M27)+((DATE(2027+2,4,30)-F27)/365.25)*IF(I27="Vacate",H27*D27*(1+GrowthMarketRent)^2*IF(INT((DATE(2026+2,10,31)-F27)/365.25)=0,(12-DowntimeNew)/12,1),IF(I27="Option",G27*D27*1.025*(1+EscalatorInLease)^2,IF(I27="Market",Retention*G27*D27*(1+EscalatorInLease)^(2+M27)+(1-Retention)*H27*D27*(1+GrowthMarketRent)^2*IF(INT((DATE(2026+2,10,31)-F27)/365.25)=0,(12-DowntimeNew)/12,1),IF(I27="LeaseUp",H27*D27*(1+GrowthMarketRent)^2*IF(2=0,(12-DowntimeNew)/12,1),0)))))))),0)</f>
        <v/>
      </c>
      <c r="Q27" s="14">
        <f>IFERROR(IF(I27="LeaseUp",H27*D27*(1+GrowthMarketRent)^3*IF(3=0,(12-DowntimeNew)/12,1),IF(F27="",0,IF(F27&gt;=DATE(2027+3,4,30),G27*D27*(1+EscalatorInLease)^(3+M27),IF(F27&lt;DATE(2026+3,5,1),IF(I27="Vacate",H27*D27*(1+GrowthMarketRent)^3*IF(INT((DATE(2026+3,10,31)-F27)/365.25)=0,(12-DowntimeNew)/12,1),IF(I27="Option",G27*D27*1.025*(1+EscalatorInLease)^3,IF(I27="Market",Retention*G27*D27*(1+EscalatorInLease)^(3+M27)+(1-Retention)*H27*D27*(1+GrowthMarketRent)^3*IF(INT((DATE(2026+3,10,31)-F27)/365.25)=0,(12-DowntimeNew)/12,1),IF(I27="LeaseUp",H27*D27*(1+GrowthMarketRent)^3*IF(3=0,(12-DowntimeNew)/12,1),0)))),((F27-DATE(2026+3,5,1))/365.25)*G27*D27*(1+EscalatorInLease)^(3+M27)+((DATE(2027+3,4,30)-F27)/365.25)*IF(I27="Vacate",H27*D27*(1+GrowthMarketRent)^3*IF(INT((DATE(2026+3,10,31)-F27)/365.25)=0,(12-DowntimeNew)/12,1),IF(I27="Option",G27*D27*1.025*(1+EscalatorInLease)^3,IF(I27="Market",Retention*G27*D27*(1+EscalatorInLease)^(3+M27)+(1-Retention)*H27*D27*(1+GrowthMarketRent)^3*IF(INT((DATE(2026+3,10,31)-F27)/365.25)=0,(12-DowntimeNew)/12,1),IF(I27="LeaseUp",H27*D27*(1+GrowthMarketRent)^3*IF(3=0,(12-DowntimeNew)/12,1),0)))))))),0)</f>
        <v/>
      </c>
      <c r="R27" s="14">
        <f>IFERROR(IF(I27="LeaseUp",H27*D27*(1+GrowthMarketRent)^4*IF(4=0,(12-DowntimeNew)/12,1),IF(F27="",0,IF(F27&gt;=DATE(2027+4,4,30),G27*D27*(1+EscalatorInLease)^(4+M27),IF(F27&lt;DATE(2026+4,5,1),IF(I27="Vacate",H27*D27*(1+GrowthMarketRent)^4*IF(INT((DATE(2026+4,10,31)-F27)/365.25)=0,(12-DowntimeNew)/12,1),IF(I27="Option",G27*D27*1.025*(1+EscalatorInLease)^4,IF(I27="Market",Retention*G27*D27*(1+EscalatorInLease)^(4+M27)+(1-Retention)*H27*D27*(1+GrowthMarketRent)^4*IF(INT((DATE(2026+4,10,31)-F27)/365.25)=0,(12-DowntimeNew)/12,1),IF(I27="LeaseUp",H27*D27*(1+GrowthMarketRent)^4*IF(4=0,(12-DowntimeNew)/12,1),0)))),((F27-DATE(2026+4,5,1))/365.25)*G27*D27*(1+EscalatorInLease)^(4+M27)+((DATE(2027+4,4,30)-F27)/365.25)*IF(I27="Vacate",H27*D27*(1+GrowthMarketRent)^4*IF(INT((DATE(2026+4,10,31)-F27)/365.25)=0,(12-DowntimeNew)/12,1),IF(I27="Option",G27*D27*1.025*(1+EscalatorInLease)^4,IF(I27="Market",Retention*G27*D27*(1+EscalatorInLease)^(4+M27)+(1-Retention)*H27*D27*(1+GrowthMarketRent)^4*IF(INT((DATE(2026+4,10,31)-F27)/365.25)=0,(12-DowntimeNew)/12,1),IF(I27="LeaseUp",H27*D27*(1+GrowthMarketRent)^4*IF(4=0,(12-DowntimeNew)/12,1),0)))))))),0)</f>
        <v/>
      </c>
      <c r="S27" s="14">
        <f>IFERROR(IF(I27="LeaseUp",H27*D27*(1+GrowthMarketRent)^5*IF(5=0,(12-DowntimeNew)/12,1),IF(F27="",0,IF(F27&gt;=DATE(2027+5,4,30),G27*D27*(1+EscalatorInLease)^(5+M27),IF(F27&lt;DATE(2026+5,5,1),IF(I27="Vacate",H27*D27*(1+GrowthMarketRent)^5*IF(INT((DATE(2026+5,10,31)-F27)/365.25)=0,(12-DowntimeNew)/12,1),IF(I27="Option",G27*D27*1.025*(1+EscalatorInLease)^5,IF(I27="Market",Retention*G27*D27*(1+EscalatorInLease)^(5+M27)+(1-Retention)*H27*D27*(1+GrowthMarketRent)^5*IF(INT((DATE(2026+5,10,31)-F27)/365.25)=0,(12-DowntimeNew)/12,1),IF(I27="LeaseUp",H27*D27*(1+GrowthMarketRent)^5*IF(5=0,(12-DowntimeNew)/12,1),0)))),((F27-DATE(2026+5,5,1))/365.25)*G27*D27*(1+EscalatorInLease)^(5+M27)+((DATE(2027+5,4,30)-F27)/365.25)*IF(I27="Vacate",H27*D27*(1+GrowthMarketRent)^5*IF(INT((DATE(2026+5,10,31)-F27)/365.25)=0,(12-DowntimeNew)/12,1),IF(I27="Option",G27*D27*1.025*(1+EscalatorInLease)^5,IF(I27="Market",Retention*G27*D27*(1+EscalatorInLease)^(5+M27)+(1-Retention)*H27*D27*(1+GrowthMarketRent)^5*IF(INT((DATE(2026+5,10,31)-F27)/365.25)=0,(12-DowntimeNew)/12,1),IF(I27="LeaseUp",H27*D27*(1+GrowthMarketRent)^5*IF(5=0,(12-DowntimeNew)/12,1),0)))))))),0)</f>
        <v/>
      </c>
      <c r="T27" s="14">
        <f>IFERROR(IF(I27="LeaseUp",H27*D27*(1+GrowthMarketRent)^6*IF(6=0,(12-DowntimeNew)/12,1),IF(F27="",0,IF(F27&gt;=DATE(2027+6,4,30),G27*D27*(1+EscalatorInLease)^(6+M27),IF(F27&lt;DATE(2026+6,5,1),IF(I27="Vacate",H27*D27*(1+GrowthMarketRent)^6*IF(INT((DATE(2026+6,10,31)-F27)/365.25)=0,(12-DowntimeNew)/12,1),IF(I27="Option",G27*D27*1.025*(1+EscalatorInLease)^6,IF(I27="Market",Retention*G27*D27*(1+EscalatorInLease)^(6+M27)+(1-Retention)*H27*D27*(1+GrowthMarketRent)^6*IF(INT((DATE(2026+6,10,31)-F27)/365.25)=0,(12-DowntimeNew)/12,1),IF(I27="LeaseUp",H27*D27*(1+GrowthMarketRent)^6*IF(6=0,(12-DowntimeNew)/12,1),0)))),((F27-DATE(2026+6,5,1))/365.25)*G27*D27*(1+EscalatorInLease)^(6+M27)+((DATE(2027+6,4,30)-F27)/365.25)*IF(I27="Vacate",H27*D27*(1+GrowthMarketRent)^6*IF(INT((DATE(2026+6,10,31)-F27)/365.25)=0,(12-DowntimeNew)/12,1),IF(I27="Option",G27*D27*1.025*(1+EscalatorInLease)^6,IF(I27="Market",Retention*G27*D27*(1+EscalatorInLease)^(6+M27)+(1-Retention)*H27*D27*(1+GrowthMarketRent)^6*IF(INT((DATE(2026+6,10,31)-F27)/365.25)=0,(12-DowntimeNew)/12,1),IF(I27="LeaseUp",H27*D27*(1+GrowthMarketRent)^6*IF(6=0,(12-DowntimeNew)/12,1),0)))))))),0)</f>
        <v/>
      </c>
      <c r="U27" s="14">
        <f>IFERROR(IF(I27="LeaseUp",H27*D27*(1+GrowthMarketRent)^7*IF(7=0,(12-DowntimeNew)/12,1),IF(F27="",0,IF(F27&gt;=DATE(2027+7,4,30),G27*D27*(1+EscalatorInLease)^(7+M27),IF(F27&lt;DATE(2026+7,5,1),IF(I27="Vacate",H27*D27*(1+GrowthMarketRent)^7*IF(INT((DATE(2026+7,10,31)-F27)/365.25)=0,(12-DowntimeNew)/12,1),IF(I27="Option",G27*D27*1.025*(1+EscalatorInLease)^7,IF(I27="Market",Retention*G27*D27*(1+EscalatorInLease)^(7+M27)+(1-Retention)*H27*D27*(1+GrowthMarketRent)^7*IF(INT((DATE(2026+7,10,31)-F27)/365.25)=0,(12-DowntimeNew)/12,1),IF(I27="LeaseUp",H27*D27*(1+GrowthMarketRent)^7*IF(7=0,(12-DowntimeNew)/12,1),0)))),((F27-DATE(2026+7,5,1))/365.25)*G27*D27*(1+EscalatorInLease)^(7+M27)+((DATE(2027+7,4,30)-F27)/365.25)*IF(I27="Vacate",H27*D27*(1+GrowthMarketRent)^7*IF(INT((DATE(2026+7,10,31)-F27)/365.25)=0,(12-DowntimeNew)/12,1),IF(I27="Option",G27*D27*1.025*(1+EscalatorInLease)^7,IF(I27="Market",Retention*G27*D27*(1+EscalatorInLease)^(7+M27)+(1-Retention)*H27*D27*(1+GrowthMarketRent)^7*IF(INT((DATE(2026+7,10,31)-F27)/365.25)=0,(12-DowntimeNew)/12,1),IF(I27="LeaseUp",H27*D27*(1+GrowthMarketRent)^7*IF(7=0,(12-DowntimeNew)/12,1),0)))))))),0)</f>
        <v/>
      </c>
      <c r="V27" s="14">
        <f>IFERROR(IF(I27="LeaseUp",H27*D27*(1+GrowthMarketRent)^8*IF(8=0,(12-DowntimeNew)/12,1),IF(F27="",0,IF(F27&gt;=DATE(2027+8,4,30),G27*D27*(1+EscalatorInLease)^(8+M27),IF(F27&lt;DATE(2026+8,5,1),IF(I27="Vacate",H27*D27*(1+GrowthMarketRent)^8*IF(INT((DATE(2026+8,10,31)-F27)/365.25)=0,(12-DowntimeNew)/12,1),IF(I27="Option",G27*D27*1.025*(1+EscalatorInLease)^8,IF(I27="Market",Retention*G27*D27*(1+EscalatorInLease)^(8+M27)+(1-Retention)*H27*D27*(1+GrowthMarketRent)^8*IF(INT((DATE(2026+8,10,31)-F27)/365.25)=0,(12-DowntimeNew)/12,1),IF(I27="LeaseUp",H27*D27*(1+GrowthMarketRent)^8*IF(8=0,(12-DowntimeNew)/12,1),0)))),((F27-DATE(2026+8,5,1))/365.25)*G27*D27*(1+EscalatorInLease)^(8+M27)+((DATE(2027+8,4,30)-F27)/365.25)*IF(I27="Vacate",H27*D27*(1+GrowthMarketRent)^8*IF(INT((DATE(2026+8,10,31)-F27)/365.25)=0,(12-DowntimeNew)/12,1),IF(I27="Option",G27*D27*1.025*(1+EscalatorInLease)^8,IF(I27="Market",Retention*G27*D27*(1+EscalatorInLease)^(8+M27)+(1-Retention)*H27*D27*(1+GrowthMarketRent)^8*IF(INT((DATE(2026+8,10,31)-F27)/365.25)=0,(12-DowntimeNew)/12,1),IF(I27="LeaseUp",H27*D27*(1+GrowthMarketRent)^8*IF(8=0,(12-DowntimeNew)/12,1),0)))))))),0)</f>
        <v/>
      </c>
      <c r="W27" s="14">
        <f>IFERROR(IF(I27="LeaseUp",H27*D27*(1+GrowthMarketRent)^9*IF(9=0,(12-DowntimeNew)/12,1),IF(F27="",0,IF(F27&gt;=DATE(2027+9,4,30),G27*D27*(1+EscalatorInLease)^(9+M27),IF(F27&lt;DATE(2026+9,5,1),IF(I27="Vacate",H27*D27*(1+GrowthMarketRent)^9*IF(INT((DATE(2026+9,10,31)-F27)/365.25)=0,(12-DowntimeNew)/12,1),IF(I27="Option",G27*D27*1.025*(1+EscalatorInLease)^9,IF(I27="Market",Retention*G27*D27*(1+EscalatorInLease)^(9+M27)+(1-Retention)*H27*D27*(1+GrowthMarketRent)^9*IF(INT((DATE(2026+9,10,31)-F27)/365.25)=0,(12-DowntimeNew)/12,1),IF(I27="LeaseUp",H27*D27*(1+GrowthMarketRent)^9*IF(9=0,(12-DowntimeNew)/12,1),0)))),((F27-DATE(2026+9,5,1))/365.25)*G27*D27*(1+EscalatorInLease)^(9+M27)+((DATE(2027+9,4,30)-F27)/365.25)*IF(I27="Vacate",H27*D27*(1+GrowthMarketRent)^9*IF(INT((DATE(2026+9,10,31)-F27)/365.25)=0,(12-DowntimeNew)/12,1),IF(I27="Option",G27*D27*1.025*(1+EscalatorInLease)^9,IF(I27="Market",Retention*G27*D27*(1+EscalatorInLease)^(9+M27)+(1-Retention)*H27*D27*(1+GrowthMarketRent)^9*IF(INT((DATE(2026+9,10,31)-F27)/365.25)=0,(12-DowntimeNew)/12,1),IF(I27="LeaseUp",H27*D27*(1+GrowthMarketRent)^9*IF(9=0,(12-DowntimeNew)/12,1),0)))))))),0)</f>
        <v/>
      </c>
      <c r="X27" s="14">
        <f>IFERROR(IF(I27="LeaseUp",H27*D27*(1+GrowthMarketRent)^10*IF(10=0,(12-DowntimeNew)/12,1),IF(F27="",0,IF(F27&gt;=DATE(2027+10,4,30),G27*D27*(1+EscalatorInLease)^(10+M27),IF(F27&lt;DATE(2026+10,5,1),IF(I27="Vacate",H27*D27*(1+GrowthMarketRent)^10*IF(INT((DATE(2026+10,10,31)-F27)/365.25)=0,(12-DowntimeNew)/12,1),IF(I27="Option",G27*D27*1.025*(1+EscalatorInLease)^10,IF(I27="Market",Retention*G27*D27*(1+EscalatorInLease)^(10+M27)+(1-Retention)*H27*D27*(1+GrowthMarketRent)^10*IF(INT((DATE(2026+10,10,31)-F27)/365.25)=0,(12-DowntimeNew)/12,1),IF(I27="LeaseUp",H27*D27*(1+GrowthMarketRent)^10*IF(10=0,(12-DowntimeNew)/12,1),0)))),((F27-DATE(2026+10,5,1))/365.25)*G27*D27*(1+EscalatorInLease)^(10+M27)+((DATE(2027+10,4,30)-F27)/365.25)*IF(I27="Vacate",H27*D27*(1+GrowthMarketRent)^10*IF(INT((DATE(2026+10,10,31)-F27)/365.25)=0,(12-DowntimeNew)/12,1),IF(I27="Option",G27*D27*1.025*(1+EscalatorInLease)^10,IF(I27="Market",Retention*G27*D27*(1+EscalatorInLease)^(10+M27)+(1-Retention)*H27*D27*(1+GrowthMarketRent)^10*IF(INT((DATE(2026+10,10,31)-F27)/365.25)=0,(12-DowntimeNew)/12,1),IF(I27="LeaseUp",H27*D27*(1+GrowthMarketRent)^10*IF(10=0,(12-DowntimeNew)/12,1),0)))))))),0)</f>
        <v/>
      </c>
      <c r="Y27" s="14">
        <f>IFERROR(IF(AND(I27="LeaseUp",0=0),(IF(I27="Vacate",TINew*D27,IF(I27="Market",Retention*TIRenewal*D27+(1-Retention)*TINew*D27,IF(I27="LeaseUp",TINew*D27,IF(I27="Option",TIRenewal*D27,0)))))+(IF(I27="Vacate",LCNew*H27*D27*(1+GrowthMarketRent)^0,IF(I27="Market",Retention*LCRenewal*H27*D27*(1+GrowthMarketRent)^0+(1-Retention)*LCNew*H27*D27*(1+GrowthMarketRent)^0,IF(I27="LeaseUp",LCNew*H27*D27*(1+GrowthMarketRent)^0,IF(I27="Option",LCRenewal*H27*D27*(1+GrowthMarketRent)^0,0))))),IF(F27="",0,IF(AND(F27&gt;=DATE(2026+0,5,1),F27&lt;=DATE(2027+0,4,30)),(IF(I27="Vacate",TINew*D27,IF(I27="Market",Retention*TIRenewal*D27+(1-Retention)*TINew*D27,IF(I27="LeaseUp",TINew*D27,IF(I27="Option",TIRenewal*D27,0)))))+(IF(I27="Vacate",LCNew*H27*D27*(1+GrowthMarketRent)^0,IF(I27="Market",Retention*LCRenewal*H27*D27*(1+GrowthMarketRent)^0+(1-Retention)*LCNew*H27*D27*(1+GrowthMarketRent)^0,IF(I27="LeaseUp",LCNew*H27*D27*(1+GrowthMarketRent)^0,IF(I27="Option",LCRenewal*H27*D27*(1+GrowthMarketRent)^0,0))))),0))),0)</f>
        <v/>
      </c>
      <c r="Z27" s="14">
        <f>IFERROR(IF(AND(I27="LeaseUp",1=0),(IF(I27="Vacate",TINew*D27,IF(I27="Market",Retention*TIRenewal*D27+(1-Retention)*TINew*D27,IF(I27="LeaseUp",TINew*D27,IF(I27="Option",TIRenewal*D27,0)))))+(IF(I27="Vacate",LCNew*H27*D27*(1+GrowthMarketRent)^1,IF(I27="Market",Retention*LCRenewal*H27*D27*(1+GrowthMarketRent)^1+(1-Retention)*LCNew*H27*D27*(1+GrowthMarketRent)^1,IF(I27="LeaseUp",LCNew*H27*D27*(1+GrowthMarketRent)^1,IF(I27="Option",LCRenewal*H27*D27*(1+GrowthMarketRent)^1,0))))),IF(F27="",0,IF(AND(F27&gt;=DATE(2026+1,5,1),F27&lt;=DATE(2027+1,4,30)),(IF(I27="Vacate",TINew*D27,IF(I27="Market",Retention*TIRenewal*D27+(1-Retention)*TINew*D27,IF(I27="LeaseUp",TINew*D27,IF(I27="Option",TIRenewal*D27,0)))))+(IF(I27="Vacate",LCNew*H27*D27*(1+GrowthMarketRent)^1,IF(I27="Market",Retention*LCRenewal*H27*D27*(1+GrowthMarketRent)^1+(1-Retention)*LCNew*H27*D27*(1+GrowthMarketRent)^1,IF(I27="LeaseUp",LCNew*H27*D27*(1+GrowthMarketRent)^1,IF(I27="Option",LCRenewal*H27*D27*(1+GrowthMarketRent)^1,0))))),0))),0)</f>
        <v/>
      </c>
      <c r="AA27" s="14">
        <f>IFERROR(IF(AND(I27="LeaseUp",2=0),(IF(I27="Vacate",TINew*D27,IF(I27="Market",Retention*TIRenewal*D27+(1-Retention)*TINew*D27,IF(I27="LeaseUp",TINew*D27,IF(I27="Option",TIRenewal*D27,0)))))+(IF(I27="Vacate",LCNew*H27*D27*(1+GrowthMarketRent)^2,IF(I27="Market",Retention*LCRenewal*H27*D27*(1+GrowthMarketRent)^2+(1-Retention)*LCNew*H27*D27*(1+GrowthMarketRent)^2,IF(I27="LeaseUp",LCNew*H27*D27*(1+GrowthMarketRent)^2,IF(I27="Option",LCRenewal*H27*D27*(1+GrowthMarketRent)^2,0))))),IF(F27="",0,IF(AND(F27&gt;=DATE(2026+2,5,1),F27&lt;=DATE(2027+2,4,30)),(IF(I27="Vacate",TINew*D27,IF(I27="Market",Retention*TIRenewal*D27+(1-Retention)*TINew*D27,IF(I27="LeaseUp",TINew*D27,IF(I27="Option",TIRenewal*D27,0)))))+(IF(I27="Vacate",LCNew*H27*D27*(1+GrowthMarketRent)^2,IF(I27="Market",Retention*LCRenewal*H27*D27*(1+GrowthMarketRent)^2+(1-Retention)*LCNew*H27*D27*(1+GrowthMarketRent)^2,IF(I27="LeaseUp",LCNew*H27*D27*(1+GrowthMarketRent)^2,IF(I27="Option",LCRenewal*H27*D27*(1+GrowthMarketRent)^2,0))))),0))),0)</f>
        <v/>
      </c>
      <c r="AB27" s="14">
        <f>IFERROR(IF(AND(I27="LeaseUp",3=0),(IF(I27="Vacate",TINew*D27,IF(I27="Market",Retention*TIRenewal*D27+(1-Retention)*TINew*D27,IF(I27="LeaseUp",TINew*D27,IF(I27="Option",TIRenewal*D27,0)))))+(IF(I27="Vacate",LCNew*H27*D27*(1+GrowthMarketRent)^3,IF(I27="Market",Retention*LCRenewal*H27*D27*(1+GrowthMarketRent)^3+(1-Retention)*LCNew*H27*D27*(1+GrowthMarketRent)^3,IF(I27="LeaseUp",LCNew*H27*D27*(1+GrowthMarketRent)^3,IF(I27="Option",LCRenewal*H27*D27*(1+GrowthMarketRent)^3,0))))),IF(F27="",0,IF(AND(F27&gt;=DATE(2026+3,5,1),F27&lt;=DATE(2027+3,4,30)),(IF(I27="Vacate",TINew*D27,IF(I27="Market",Retention*TIRenewal*D27+(1-Retention)*TINew*D27,IF(I27="LeaseUp",TINew*D27,IF(I27="Option",TIRenewal*D27,0)))))+(IF(I27="Vacate",LCNew*H27*D27*(1+GrowthMarketRent)^3,IF(I27="Market",Retention*LCRenewal*H27*D27*(1+GrowthMarketRent)^3+(1-Retention)*LCNew*H27*D27*(1+GrowthMarketRent)^3,IF(I27="LeaseUp",LCNew*H27*D27*(1+GrowthMarketRent)^3,IF(I27="Option",LCRenewal*H27*D27*(1+GrowthMarketRent)^3,0))))),0))),0)</f>
        <v/>
      </c>
      <c r="AC27" s="14">
        <f>IFERROR(IF(AND(I27="LeaseUp",4=0),(IF(I27="Vacate",TINew*D27,IF(I27="Market",Retention*TIRenewal*D27+(1-Retention)*TINew*D27,IF(I27="LeaseUp",TINew*D27,IF(I27="Option",TIRenewal*D27,0)))))+(IF(I27="Vacate",LCNew*H27*D27*(1+GrowthMarketRent)^4,IF(I27="Market",Retention*LCRenewal*H27*D27*(1+GrowthMarketRent)^4+(1-Retention)*LCNew*H27*D27*(1+GrowthMarketRent)^4,IF(I27="LeaseUp",LCNew*H27*D27*(1+GrowthMarketRent)^4,IF(I27="Option",LCRenewal*H27*D27*(1+GrowthMarketRent)^4,0))))),IF(F27="",0,IF(AND(F27&gt;=DATE(2026+4,5,1),F27&lt;=DATE(2027+4,4,30)),(IF(I27="Vacate",TINew*D27,IF(I27="Market",Retention*TIRenewal*D27+(1-Retention)*TINew*D27,IF(I27="LeaseUp",TINew*D27,IF(I27="Option",TIRenewal*D27,0)))))+(IF(I27="Vacate",LCNew*H27*D27*(1+GrowthMarketRent)^4,IF(I27="Market",Retention*LCRenewal*H27*D27*(1+GrowthMarketRent)^4+(1-Retention)*LCNew*H27*D27*(1+GrowthMarketRent)^4,IF(I27="LeaseUp",LCNew*H27*D27*(1+GrowthMarketRent)^4,IF(I27="Option",LCRenewal*H27*D27*(1+GrowthMarketRent)^4,0))))),0))),0)</f>
        <v/>
      </c>
      <c r="AD27" s="14">
        <f>IFERROR(IF(AND(I27="LeaseUp",5=0),(IF(I27="Vacate",TINew*D27,IF(I27="Market",Retention*TIRenewal*D27+(1-Retention)*TINew*D27,IF(I27="LeaseUp",TINew*D27,IF(I27="Option",TIRenewal*D27,0)))))+(IF(I27="Vacate",LCNew*H27*D27*(1+GrowthMarketRent)^5,IF(I27="Market",Retention*LCRenewal*H27*D27*(1+GrowthMarketRent)^5+(1-Retention)*LCNew*H27*D27*(1+GrowthMarketRent)^5,IF(I27="LeaseUp",LCNew*H27*D27*(1+GrowthMarketRent)^5,IF(I27="Option",LCRenewal*H27*D27*(1+GrowthMarketRent)^5,0))))),IF(F27="",0,IF(AND(F27&gt;=DATE(2026+5,5,1),F27&lt;=DATE(2027+5,4,30)),(IF(I27="Vacate",TINew*D27,IF(I27="Market",Retention*TIRenewal*D27+(1-Retention)*TINew*D27,IF(I27="LeaseUp",TINew*D27,IF(I27="Option",TIRenewal*D27,0)))))+(IF(I27="Vacate",LCNew*H27*D27*(1+GrowthMarketRent)^5,IF(I27="Market",Retention*LCRenewal*H27*D27*(1+GrowthMarketRent)^5+(1-Retention)*LCNew*H27*D27*(1+GrowthMarketRent)^5,IF(I27="LeaseUp",LCNew*H27*D27*(1+GrowthMarketRent)^5,IF(I27="Option",LCRenewal*H27*D27*(1+GrowthMarketRent)^5,0))))),0))),0)</f>
        <v/>
      </c>
      <c r="AE27" s="14">
        <f>IFERROR(IF(AND(I27="LeaseUp",6=0),(IF(I27="Vacate",TINew*D27,IF(I27="Market",Retention*TIRenewal*D27+(1-Retention)*TINew*D27,IF(I27="LeaseUp",TINew*D27,IF(I27="Option",TIRenewal*D27,0)))))+(IF(I27="Vacate",LCNew*H27*D27*(1+GrowthMarketRent)^6,IF(I27="Market",Retention*LCRenewal*H27*D27*(1+GrowthMarketRent)^6+(1-Retention)*LCNew*H27*D27*(1+GrowthMarketRent)^6,IF(I27="LeaseUp",LCNew*H27*D27*(1+GrowthMarketRent)^6,IF(I27="Option",LCRenewal*H27*D27*(1+GrowthMarketRent)^6,0))))),IF(F27="",0,IF(AND(F27&gt;=DATE(2026+6,5,1),F27&lt;=DATE(2027+6,4,30)),(IF(I27="Vacate",TINew*D27,IF(I27="Market",Retention*TIRenewal*D27+(1-Retention)*TINew*D27,IF(I27="LeaseUp",TINew*D27,IF(I27="Option",TIRenewal*D27,0)))))+(IF(I27="Vacate",LCNew*H27*D27*(1+GrowthMarketRent)^6,IF(I27="Market",Retention*LCRenewal*H27*D27*(1+GrowthMarketRent)^6+(1-Retention)*LCNew*H27*D27*(1+GrowthMarketRent)^6,IF(I27="LeaseUp",LCNew*H27*D27*(1+GrowthMarketRent)^6,IF(I27="Option",LCRenewal*H27*D27*(1+GrowthMarketRent)^6,0))))),0))),0)</f>
        <v/>
      </c>
      <c r="AF27" s="14">
        <f>IFERROR(IF(AND(I27="LeaseUp",7=0),(IF(I27="Vacate",TINew*D27,IF(I27="Market",Retention*TIRenewal*D27+(1-Retention)*TINew*D27,IF(I27="LeaseUp",TINew*D27,IF(I27="Option",TIRenewal*D27,0)))))+(IF(I27="Vacate",LCNew*H27*D27*(1+GrowthMarketRent)^7,IF(I27="Market",Retention*LCRenewal*H27*D27*(1+GrowthMarketRent)^7+(1-Retention)*LCNew*H27*D27*(1+GrowthMarketRent)^7,IF(I27="LeaseUp",LCNew*H27*D27*(1+GrowthMarketRent)^7,IF(I27="Option",LCRenewal*H27*D27*(1+GrowthMarketRent)^7,0))))),IF(F27="",0,IF(AND(F27&gt;=DATE(2026+7,5,1),F27&lt;=DATE(2027+7,4,30)),(IF(I27="Vacate",TINew*D27,IF(I27="Market",Retention*TIRenewal*D27+(1-Retention)*TINew*D27,IF(I27="LeaseUp",TINew*D27,IF(I27="Option",TIRenewal*D27,0)))))+(IF(I27="Vacate",LCNew*H27*D27*(1+GrowthMarketRent)^7,IF(I27="Market",Retention*LCRenewal*H27*D27*(1+GrowthMarketRent)^7+(1-Retention)*LCNew*H27*D27*(1+GrowthMarketRent)^7,IF(I27="LeaseUp",LCNew*H27*D27*(1+GrowthMarketRent)^7,IF(I27="Option",LCRenewal*H27*D27*(1+GrowthMarketRent)^7,0))))),0))),0)</f>
        <v/>
      </c>
      <c r="AG27" s="14">
        <f>IFERROR(IF(AND(I27="LeaseUp",8=0),(IF(I27="Vacate",TINew*D27,IF(I27="Market",Retention*TIRenewal*D27+(1-Retention)*TINew*D27,IF(I27="LeaseUp",TINew*D27,IF(I27="Option",TIRenewal*D27,0)))))+(IF(I27="Vacate",LCNew*H27*D27*(1+GrowthMarketRent)^8,IF(I27="Market",Retention*LCRenewal*H27*D27*(1+GrowthMarketRent)^8+(1-Retention)*LCNew*H27*D27*(1+GrowthMarketRent)^8,IF(I27="LeaseUp",LCNew*H27*D27*(1+GrowthMarketRent)^8,IF(I27="Option",LCRenewal*H27*D27*(1+GrowthMarketRent)^8,0))))),IF(F27="",0,IF(AND(F27&gt;=DATE(2026+8,5,1),F27&lt;=DATE(2027+8,4,30)),(IF(I27="Vacate",TINew*D27,IF(I27="Market",Retention*TIRenewal*D27+(1-Retention)*TINew*D27,IF(I27="LeaseUp",TINew*D27,IF(I27="Option",TIRenewal*D27,0)))))+(IF(I27="Vacate",LCNew*H27*D27*(1+GrowthMarketRent)^8,IF(I27="Market",Retention*LCRenewal*H27*D27*(1+GrowthMarketRent)^8+(1-Retention)*LCNew*H27*D27*(1+GrowthMarketRent)^8,IF(I27="LeaseUp",LCNew*H27*D27*(1+GrowthMarketRent)^8,IF(I27="Option",LCRenewal*H27*D27*(1+GrowthMarketRent)^8,0))))),0))),0)</f>
        <v/>
      </c>
      <c r="AH27" s="14">
        <f>IFERROR(IF(AND(I27="LeaseUp",9=0),(IF(I27="Vacate",TINew*D27,IF(I27="Market",Retention*TIRenewal*D27+(1-Retention)*TINew*D27,IF(I27="LeaseUp",TINew*D27,IF(I27="Option",TIRenewal*D27,0)))))+(IF(I27="Vacate",LCNew*H27*D27*(1+GrowthMarketRent)^9,IF(I27="Market",Retention*LCRenewal*H27*D27*(1+GrowthMarketRent)^9+(1-Retention)*LCNew*H27*D27*(1+GrowthMarketRent)^9,IF(I27="LeaseUp",LCNew*H27*D27*(1+GrowthMarketRent)^9,IF(I27="Option",LCRenewal*H27*D27*(1+GrowthMarketRent)^9,0))))),IF(F27="",0,IF(AND(F27&gt;=DATE(2026+9,5,1),F27&lt;=DATE(2027+9,4,30)),(IF(I27="Vacate",TINew*D27,IF(I27="Market",Retention*TIRenewal*D27+(1-Retention)*TINew*D27,IF(I27="LeaseUp",TINew*D27,IF(I27="Option",TIRenewal*D27,0)))))+(IF(I27="Vacate",LCNew*H27*D27*(1+GrowthMarketRent)^9,IF(I27="Market",Retention*LCRenewal*H27*D27*(1+GrowthMarketRent)^9+(1-Retention)*LCNew*H27*D27*(1+GrowthMarketRent)^9,IF(I27="LeaseUp",LCNew*H27*D27*(1+GrowthMarketRent)^9,IF(I27="Option",LCRenewal*H27*D27*(1+GrowthMarketRent)^9,0))))),0))),0)</f>
        <v/>
      </c>
      <c r="AI27" s="14">
        <f>IFERROR(IF(AND(I27="LeaseUp",10=0),(IF(I27="Vacate",TINew*D27,IF(I27="Market",Retention*TIRenewal*D27+(1-Retention)*TINew*D27,IF(I27="LeaseUp",TINew*D27,IF(I27="Option",TIRenewal*D27,0)))))+(IF(I27="Vacate",LCNew*H27*D27*(1+GrowthMarketRent)^10,IF(I27="Market",Retention*LCRenewal*H27*D27*(1+GrowthMarketRent)^10+(1-Retention)*LCNew*H27*D27*(1+GrowthMarketRent)^10,IF(I27="LeaseUp",LCNew*H27*D27*(1+GrowthMarketRent)^10,IF(I27="Option",LCRenewal*H27*D27*(1+GrowthMarketRent)^10,0))))),IF(F27="",0,IF(AND(F27&gt;=DATE(2026+10,5,1),F27&lt;=DATE(2027+10,4,30)),(IF(I27="Vacate",TINew*D27,IF(I27="Market",Retention*TIRenewal*D27+(1-Retention)*TINew*D27,IF(I27="LeaseUp",TINew*D27,IF(I27="Option",TIRenewal*D27,0)))))+(IF(I27="Vacate",LCNew*H27*D27*(1+GrowthMarketRent)^10,IF(I27="Market",Retention*LCRenewal*H27*D27*(1+GrowthMarketRent)^10+(1-Retention)*LCNew*H27*D27*(1+GrowthMarketRent)^10,IF(I27="LeaseUp",LCNew*H27*D27*(1+GrowthMarketRent)^10,IF(I27="Option",LCRenewal*H27*D27*(1+GrowthMarketRent)^10,0))))),0))),0)</f>
        <v/>
      </c>
    </row>
    <row r="28">
      <c r="A28" t="inlineStr">
        <is>
          <t>Carrollton</t>
        </is>
      </c>
      <c r="B28" t="inlineStr">
        <is>
          <t>324</t>
        </is>
      </c>
      <c r="C28" t="inlineStr">
        <is>
          <t>Horvez Holdings Inc.</t>
        </is>
      </c>
      <c r="D28" s="32" t="n">
        <v>1870</v>
      </c>
      <c r="E28" s="33" t="n">
        <v>45992</v>
      </c>
      <c r="F28" s="33" t="n">
        <v>47027</v>
      </c>
      <c r="G28" s="34" t="n">
        <v>14</v>
      </c>
      <c r="H28" s="16">
        <f>VLOOKUP("Carrollton — "&amp;J28,MLA!$A$5:$L$11,3,FALSE)</f>
        <v/>
      </c>
      <c r="I28" s="11" t="inlineStr">
        <is>
          <t>Market</t>
        </is>
      </c>
      <c r="J28" t="inlineStr">
        <is>
          <t>Studio</t>
        </is>
      </c>
      <c r="K28" t="inlineStr">
        <is>
          <t>Occupied</t>
        </is>
      </c>
      <c r="L28" t="inlineStr">
        <is>
          <t>Studio; Guarantor: Aixa Alvarez</t>
        </is>
      </c>
      <c r="M28" s="20">
        <f>IF(E28="",0,(AnalysisStart-E28)/365.25)</f>
        <v/>
      </c>
      <c r="N28" s="14">
        <f>IFERROR(IF(I28="LeaseUp",H28*D28*(1+GrowthMarketRent)^0*IF(0=0,(12-DowntimeNew)/12,1),IF(F28="",0,IF(F28&gt;=DATE(2027+0,4,30),G28*D28*(1+EscalatorInLease)^(0+M28),IF(F28&lt;DATE(2026+0,5,1),IF(I28="Vacate",H28*D28*(1+GrowthMarketRent)^0*IF(INT((DATE(2026+0,10,31)-F28)/365.25)=0,(12-DowntimeNew)/12,1),IF(I28="Option",G28*D28*1.025*(1+EscalatorInLease)^0,IF(I28="Market",Retention*G28*D28*(1+EscalatorInLease)^(0+M28)+(1-Retention)*H28*D28*(1+GrowthMarketRent)^0*IF(INT((DATE(2026+0,10,31)-F28)/365.25)=0,(12-DowntimeNew)/12,1),IF(I28="LeaseUp",H28*D28*(1+GrowthMarketRent)^0*IF(0=0,(12-DowntimeNew)/12,1),0)))),((F28-DATE(2026+0,5,1))/365.25)*G28*D28*(1+EscalatorInLease)^(0+M28)+((DATE(2027+0,4,30)-F28)/365.25)*IF(I28="Vacate",H28*D28*(1+GrowthMarketRent)^0*IF(INT((DATE(2026+0,10,31)-F28)/365.25)=0,(12-DowntimeNew)/12,1),IF(I28="Option",G28*D28*1.025*(1+EscalatorInLease)^0,IF(I28="Market",Retention*G28*D28*(1+EscalatorInLease)^(0+M28)+(1-Retention)*H28*D28*(1+GrowthMarketRent)^0*IF(INT((DATE(2026+0,10,31)-F28)/365.25)=0,(12-DowntimeNew)/12,1),IF(I28="LeaseUp",H28*D28*(1+GrowthMarketRent)^0*IF(0=0,(12-DowntimeNew)/12,1),0)))))))),0)</f>
        <v/>
      </c>
      <c r="O28" s="14">
        <f>IFERROR(IF(I28="LeaseUp",H28*D28*(1+GrowthMarketRent)^1*IF(1=0,(12-DowntimeNew)/12,1),IF(F28="",0,IF(F28&gt;=DATE(2027+1,4,30),G28*D28*(1+EscalatorInLease)^(1+M28),IF(F28&lt;DATE(2026+1,5,1),IF(I28="Vacate",H28*D28*(1+GrowthMarketRent)^1*IF(INT((DATE(2026+1,10,31)-F28)/365.25)=0,(12-DowntimeNew)/12,1),IF(I28="Option",G28*D28*1.025*(1+EscalatorInLease)^1,IF(I28="Market",Retention*G28*D28*(1+EscalatorInLease)^(1+M28)+(1-Retention)*H28*D28*(1+GrowthMarketRent)^1*IF(INT((DATE(2026+1,10,31)-F28)/365.25)=0,(12-DowntimeNew)/12,1),IF(I28="LeaseUp",H28*D28*(1+GrowthMarketRent)^1*IF(1=0,(12-DowntimeNew)/12,1),0)))),((F28-DATE(2026+1,5,1))/365.25)*G28*D28*(1+EscalatorInLease)^(1+M28)+((DATE(2027+1,4,30)-F28)/365.25)*IF(I28="Vacate",H28*D28*(1+GrowthMarketRent)^1*IF(INT((DATE(2026+1,10,31)-F28)/365.25)=0,(12-DowntimeNew)/12,1),IF(I28="Option",G28*D28*1.025*(1+EscalatorInLease)^1,IF(I28="Market",Retention*G28*D28*(1+EscalatorInLease)^(1+M28)+(1-Retention)*H28*D28*(1+GrowthMarketRent)^1*IF(INT((DATE(2026+1,10,31)-F28)/365.25)=0,(12-DowntimeNew)/12,1),IF(I28="LeaseUp",H28*D28*(1+GrowthMarketRent)^1*IF(1=0,(12-DowntimeNew)/12,1),0)))))))),0)</f>
        <v/>
      </c>
      <c r="P28" s="14">
        <f>IFERROR(IF(I28="LeaseUp",H28*D28*(1+GrowthMarketRent)^2*IF(2=0,(12-DowntimeNew)/12,1),IF(F28="",0,IF(F28&gt;=DATE(2027+2,4,30),G28*D28*(1+EscalatorInLease)^(2+M28),IF(F28&lt;DATE(2026+2,5,1),IF(I28="Vacate",H28*D28*(1+GrowthMarketRent)^2*IF(INT((DATE(2026+2,10,31)-F28)/365.25)=0,(12-DowntimeNew)/12,1),IF(I28="Option",G28*D28*1.025*(1+EscalatorInLease)^2,IF(I28="Market",Retention*G28*D28*(1+EscalatorInLease)^(2+M28)+(1-Retention)*H28*D28*(1+GrowthMarketRent)^2*IF(INT((DATE(2026+2,10,31)-F28)/365.25)=0,(12-DowntimeNew)/12,1),IF(I28="LeaseUp",H28*D28*(1+GrowthMarketRent)^2*IF(2=0,(12-DowntimeNew)/12,1),0)))),((F28-DATE(2026+2,5,1))/365.25)*G28*D28*(1+EscalatorInLease)^(2+M28)+((DATE(2027+2,4,30)-F28)/365.25)*IF(I28="Vacate",H28*D28*(1+GrowthMarketRent)^2*IF(INT((DATE(2026+2,10,31)-F28)/365.25)=0,(12-DowntimeNew)/12,1),IF(I28="Option",G28*D28*1.025*(1+EscalatorInLease)^2,IF(I28="Market",Retention*G28*D28*(1+EscalatorInLease)^(2+M28)+(1-Retention)*H28*D28*(1+GrowthMarketRent)^2*IF(INT((DATE(2026+2,10,31)-F28)/365.25)=0,(12-DowntimeNew)/12,1),IF(I28="LeaseUp",H28*D28*(1+GrowthMarketRent)^2*IF(2=0,(12-DowntimeNew)/12,1),0)))))))),0)</f>
        <v/>
      </c>
      <c r="Q28" s="14">
        <f>IFERROR(IF(I28="LeaseUp",H28*D28*(1+GrowthMarketRent)^3*IF(3=0,(12-DowntimeNew)/12,1),IF(F28="",0,IF(F28&gt;=DATE(2027+3,4,30),G28*D28*(1+EscalatorInLease)^(3+M28),IF(F28&lt;DATE(2026+3,5,1),IF(I28="Vacate",H28*D28*(1+GrowthMarketRent)^3*IF(INT((DATE(2026+3,10,31)-F28)/365.25)=0,(12-DowntimeNew)/12,1),IF(I28="Option",G28*D28*1.025*(1+EscalatorInLease)^3,IF(I28="Market",Retention*G28*D28*(1+EscalatorInLease)^(3+M28)+(1-Retention)*H28*D28*(1+GrowthMarketRent)^3*IF(INT((DATE(2026+3,10,31)-F28)/365.25)=0,(12-DowntimeNew)/12,1),IF(I28="LeaseUp",H28*D28*(1+GrowthMarketRent)^3*IF(3=0,(12-DowntimeNew)/12,1),0)))),((F28-DATE(2026+3,5,1))/365.25)*G28*D28*(1+EscalatorInLease)^(3+M28)+((DATE(2027+3,4,30)-F28)/365.25)*IF(I28="Vacate",H28*D28*(1+GrowthMarketRent)^3*IF(INT((DATE(2026+3,10,31)-F28)/365.25)=0,(12-DowntimeNew)/12,1),IF(I28="Option",G28*D28*1.025*(1+EscalatorInLease)^3,IF(I28="Market",Retention*G28*D28*(1+EscalatorInLease)^(3+M28)+(1-Retention)*H28*D28*(1+GrowthMarketRent)^3*IF(INT((DATE(2026+3,10,31)-F28)/365.25)=0,(12-DowntimeNew)/12,1),IF(I28="LeaseUp",H28*D28*(1+GrowthMarketRent)^3*IF(3=0,(12-DowntimeNew)/12,1),0)))))))),0)</f>
        <v/>
      </c>
      <c r="R28" s="14">
        <f>IFERROR(IF(I28="LeaseUp",H28*D28*(1+GrowthMarketRent)^4*IF(4=0,(12-DowntimeNew)/12,1),IF(F28="",0,IF(F28&gt;=DATE(2027+4,4,30),G28*D28*(1+EscalatorInLease)^(4+M28),IF(F28&lt;DATE(2026+4,5,1),IF(I28="Vacate",H28*D28*(1+GrowthMarketRent)^4*IF(INT((DATE(2026+4,10,31)-F28)/365.25)=0,(12-DowntimeNew)/12,1),IF(I28="Option",G28*D28*1.025*(1+EscalatorInLease)^4,IF(I28="Market",Retention*G28*D28*(1+EscalatorInLease)^(4+M28)+(1-Retention)*H28*D28*(1+GrowthMarketRent)^4*IF(INT((DATE(2026+4,10,31)-F28)/365.25)=0,(12-DowntimeNew)/12,1),IF(I28="LeaseUp",H28*D28*(1+GrowthMarketRent)^4*IF(4=0,(12-DowntimeNew)/12,1),0)))),((F28-DATE(2026+4,5,1))/365.25)*G28*D28*(1+EscalatorInLease)^(4+M28)+((DATE(2027+4,4,30)-F28)/365.25)*IF(I28="Vacate",H28*D28*(1+GrowthMarketRent)^4*IF(INT((DATE(2026+4,10,31)-F28)/365.25)=0,(12-DowntimeNew)/12,1),IF(I28="Option",G28*D28*1.025*(1+EscalatorInLease)^4,IF(I28="Market",Retention*G28*D28*(1+EscalatorInLease)^(4+M28)+(1-Retention)*H28*D28*(1+GrowthMarketRent)^4*IF(INT((DATE(2026+4,10,31)-F28)/365.25)=0,(12-DowntimeNew)/12,1),IF(I28="LeaseUp",H28*D28*(1+GrowthMarketRent)^4*IF(4=0,(12-DowntimeNew)/12,1),0)))))))),0)</f>
        <v/>
      </c>
      <c r="S28" s="14">
        <f>IFERROR(IF(I28="LeaseUp",H28*D28*(1+GrowthMarketRent)^5*IF(5=0,(12-DowntimeNew)/12,1),IF(F28="",0,IF(F28&gt;=DATE(2027+5,4,30),G28*D28*(1+EscalatorInLease)^(5+M28),IF(F28&lt;DATE(2026+5,5,1),IF(I28="Vacate",H28*D28*(1+GrowthMarketRent)^5*IF(INT((DATE(2026+5,10,31)-F28)/365.25)=0,(12-DowntimeNew)/12,1),IF(I28="Option",G28*D28*1.025*(1+EscalatorInLease)^5,IF(I28="Market",Retention*G28*D28*(1+EscalatorInLease)^(5+M28)+(1-Retention)*H28*D28*(1+GrowthMarketRent)^5*IF(INT((DATE(2026+5,10,31)-F28)/365.25)=0,(12-DowntimeNew)/12,1),IF(I28="LeaseUp",H28*D28*(1+GrowthMarketRent)^5*IF(5=0,(12-DowntimeNew)/12,1),0)))),((F28-DATE(2026+5,5,1))/365.25)*G28*D28*(1+EscalatorInLease)^(5+M28)+((DATE(2027+5,4,30)-F28)/365.25)*IF(I28="Vacate",H28*D28*(1+GrowthMarketRent)^5*IF(INT((DATE(2026+5,10,31)-F28)/365.25)=0,(12-DowntimeNew)/12,1),IF(I28="Option",G28*D28*1.025*(1+EscalatorInLease)^5,IF(I28="Market",Retention*G28*D28*(1+EscalatorInLease)^(5+M28)+(1-Retention)*H28*D28*(1+GrowthMarketRent)^5*IF(INT((DATE(2026+5,10,31)-F28)/365.25)=0,(12-DowntimeNew)/12,1),IF(I28="LeaseUp",H28*D28*(1+GrowthMarketRent)^5*IF(5=0,(12-DowntimeNew)/12,1),0)))))))),0)</f>
        <v/>
      </c>
      <c r="T28" s="14">
        <f>IFERROR(IF(I28="LeaseUp",H28*D28*(1+GrowthMarketRent)^6*IF(6=0,(12-DowntimeNew)/12,1),IF(F28="",0,IF(F28&gt;=DATE(2027+6,4,30),G28*D28*(1+EscalatorInLease)^(6+M28),IF(F28&lt;DATE(2026+6,5,1),IF(I28="Vacate",H28*D28*(1+GrowthMarketRent)^6*IF(INT((DATE(2026+6,10,31)-F28)/365.25)=0,(12-DowntimeNew)/12,1),IF(I28="Option",G28*D28*1.025*(1+EscalatorInLease)^6,IF(I28="Market",Retention*G28*D28*(1+EscalatorInLease)^(6+M28)+(1-Retention)*H28*D28*(1+GrowthMarketRent)^6*IF(INT((DATE(2026+6,10,31)-F28)/365.25)=0,(12-DowntimeNew)/12,1),IF(I28="LeaseUp",H28*D28*(1+GrowthMarketRent)^6*IF(6=0,(12-DowntimeNew)/12,1),0)))),((F28-DATE(2026+6,5,1))/365.25)*G28*D28*(1+EscalatorInLease)^(6+M28)+((DATE(2027+6,4,30)-F28)/365.25)*IF(I28="Vacate",H28*D28*(1+GrowthMarketRent)^6*IF(INT((DATE(2026+6,10,31)-F28)/365.25)=0,(12-DowntimeNew)/12,1),IF(I28="Option",G28*D28*1.025*(1+EscalatorInLease)^6,IF(I28="Market",Retention*G28*D28*(1+EscalatorInLease)^(6+M28)+(1-Retention)*H28*D28*(1+GrowthMarketRent)^6*IF(INT((DATE(2026+6,10,31)-F28)/365.25)=0,(12-DowntimeNew)/12,1),IF(I28="LeaseUp",H28*D28*(1+GrowthMarketRent)^6*IF(6=0,(12-DowntimeNew)/12,1),0)))))))),0)</f>
        <v/>
      </c>
      <c r="U28" s="14">
        <f>IFERROR(IF(I28="LeaseUp",H28*D28*(1+GrowthMarketRent)^7*IF(7=0,(12-DowntimeNew)/12,1),IF(F28="",0,IF(F28&gt;=DATE(2027+7,4,30),G28*D28*(1+EscalatorInLease)^(7+M28),IF(F28&lt;DATE(2026+7,5,1),IF(I28="Vacate",H28*D28*(1+GrowthMarketRent)^7*IF(INT((DATE(2026+7,10,31)-F28)/365.25)=0,(12-DowntimeNew)/12,1),IF(I28="Option",G28*D28*1.025*(1+EscalatorInLease)^7,IF(I28="Market",Retention*G28*D28*(1+EscalatorInLease)^(7+M28)+(1-Retention)*H28*D28*(1+GrowthMarketRent)^7*IF(INT((DATE(2026+7,10,31)-F28)/365.25)=0,(12-DowntimeNew)/12,1),IF(I28="LeaseUp",H28*D28*(1+GrowthMarketRent)^7*IF(7=0,(12-DowntimeNew)/12,1),0)))),((F28-DATE(2026+7,5,1))/365.25)*G28*D28*(1+EscalatorInLease)^(7+M28)+((DATE(2027+7,4,30)-F28)/365.25)*IF(I28="Vacate",H28*D28*(1+GrowthMarketRent)^7*IF(INT((DATE(2026+7,10,31)-F28)/365.25)=0,(12-DowntimeNew)/12,1),IF(I28="Option",G28*D28*1.025*(1+EscalatorInLease)^7,IF(I28="Market",Retention*G28*D28*(1+EscalatorInLease)^(7+M28)+(1-Retention)*H28*D28*(1+GrowthMarketRent)^7*IF(INT((DATE(2026+7,10,31)-F28)/365.25)=0,(12-DowntimeNew)/12,1),IF(I28="LeaseUp",H28*D28*(1+GrowthMarketRent)^7*IF(7=0,(12-DowntimeNew)/12,1),0)))))))),0)</f>
        <v/>
      </c>
      <c r="V28" s="14">
        <f>IFERROR(IF(I28="LeaseUp",H28*D28*(1+GrowthMarketRent)^8*IF(8=0,(12-DowntimeNew)/12,1),IF(F28="",0,IF(F28&gt;=DATE(2027+8,4,30),G28*D28*(1+EscalatorInLease)^(8+M28),IF(F28&lt;DATE(2026+8,5,1),IF(I28="Vacate",H28*D28*(1+GrowthMarketRent)^8*IF(INT((DATE(2026+8,10,31)-F28)/365.25)=0,(12-DowntimeNew)/12,1),IF(I28="Option",G28*D28*1.025*(1+EscalatorInLease)^8,IF(I28="Market",Retention*G28*D28*(1+EscalatorInLease)^(8+M28)+(1-Retention)*H28*D28*(1+GrowthMarketRent)^8*IF(INT((DATE(2026+8,10,31)-F28)/365.25)=0,(12-DowntimeNew)/12,1),IF(I28="LeaseUp",H28*D28*(1+GrowthMarketRent)^8*IF(8=0,(12-DowntimeNew)/12,1),0)))),((F28-DATE(2026+8,5,1))/365.25)*G28*D28*(1+EscalatorInLease)^(8+M28)+((DATE(2027+8,4,30)-F28)/365.25)*IF(I28="Vacate",H28*D28*(1+GrowthMarketRent)^8*IF(INT((DATE(2026+8,10,31)-F28)/365.25)=0,(12-DowntimeNew)/12,1),IF(I28="Option",G28*D28*1.025*(1+EscalatorInLease)^8,IF(I28="Market",Retention*G28*D28*(1+EscalatorInLease)^(8+M28)+(1-Retention)*H28*D28*(1+GrowthMarketRent)^8*IF(INT((DATE(2026+8,10,31)-F28)/365.25)=0,(12-DowntimeNew)/12,1),IF(I28="LeaseUp",H28*D28*(1+GrowthMarketRent)^8*IF(8=0,(12-DowntimeNew)/12,1),0)))))))),0)</f>
        <v/>
      </c>
      <c r="W28" s="14">
        <f>IFERROR(IF(I28="LeaseUp",H28*D28*(1+GrowthMarketRent)^9*IF(9=0,(12-DowntimeNew)/12,1),IF(F28="",0,IF(F28&gt;=DATE(2027+9,4,30),G28*D28*(1+EscalatorInLease)^(9+M28),IF(F28&lt;DATE(2026+9,5,1),IF(I28="Vacate",H28*D28*(1+GrowthMarketRent)^9*IF(INT((DATE(2026+9,10,31)-F28)/365.25)=0,(12-DowntimeNew)/12,1),IF(I28="Option",G28*D28*1.025*(1+EscalatorInLease)^9,IF(I28="Market",Retention*G28*D28*(1+EscalatorInLease)^(9+M28)+(1-Retention)*H28*D28*(1+GrowthMarketRent)^9*IF(INT((DATE(2026+9,10,31)-F28)/365.25)=0,(12-DowntimeNew)/12,1),IF(I28="LeaseUp",H28*D28*(1+GrowthMarketRent)^9*IF(9=0,(12-DowntimeNew)/12,1),0)))),((F28-DATE(2026+9,5,1))/365.25)*G28*D28*(1+EscalatorInLease)^(9+M28)+((DATE(2027+9,4,30)-F28)/365.25)*IF(I28="Vacate",H28*D28*(1+GrowthMarketRent)^9*IF(INT((DATE(2026+9,10,31)-F28)/365.25)=0,(12-DowntimeNew)/12,1),IF(I28="Option",G28*D28*1.025*(1+EscalatorInLease)^9,IF(I28="Market",Retention*G28*D28*(1+EscalatorInLease)^(9+M28)+(1-Retention)*H28*D28*(1+GrowthMarketRent)^9*IF(INT((DATE(2026+9,10,31)-F28)/365.25)=0,(12-DowntimeNew)/12,1),IF(I28="LeaseUp",H28*D28*(1+GrowthMarketRent)^9*IF(9=0,(12-DowntimeNew)/12,1),0)))))))),0)</f>
        <v/>
      </c>
      <c r="X28" s="14">
        <f>IFERROR(IF(I28="LeaseUp",H28*D28*(1+GrowthMarketRent)^10*IF(10=0,(12-DowntimeNew)/12,1),IF(F28="",0,IF(F28&gt;=DATE(2027+10,4,30),G28*D28*(1+EscalatorInLease)^(10+M28),IF(F28&lt;DATE(2026+10,5,1),IF(I28="Vacate",H28*D28*(1+GrowthMarketRent)^10*IF(INT((DATE(2026+10,10,31)-F28)/365.25)=0,(12-DowntimeNew)/12,1),IF(I28="Option",G28*D28*1.025*(1+EscalatorInLease)^10,IF(I28="Market",Retention*G28*D28*(1+EscalatorInLease)^(10+M28)+(1-Retention)*H28*D28*(1+GrowthMarketRent)^10*IF(INT((DATE(2026+10,10,31)-F28)/365.25)=0,(12-DowntimeNew)/12,1),IF(I28="LeaseUp",H28*D28*(1+GrowthMarketRent)^10*IF(10=0,(12-DowntimeNew)/12,1),0)))),((F28-DATE(2026+10,5,1))/365.25)*G28*D28*(1+EscalatorInLease)^(10+M28)+((DATE(2027+10,4,30)-F28)/365.25)*IF(I28="Vacate",H28*D28*(1+GrowthMarketRent)^10*IF(INT((DATE(2026+10,10,31)-F28)/365.25)=0,(12-DowntimeNew)/12,1),IF(I28="Option",G28*D28*1.025*(1+EscalatorInLease)^10,IF(I28="Market",Retention*G28*D28*(1+EscalatorInLease)^(10+M28)+(1-Retention)*H28*D28*(1+GrowthMarketRent)^10*IF(INT((DATE(2026+10,10,31)-F28)/365.25)=0,(12-DowntimeNew)/12,1),IF(I28="LeaseUp",H28*D28*(1+GrowthMarketRent)^10*IF(10=0,(12-DowntimeNew)/12,1),0)))))))),0)</f>
        <v/>
      </c>
      <c r="Y28" s="14">
        <f>IFERROR(IF(AND(I28="LeaseUp",0=0),(IF(I28="Vacate",TINew*D28,IF(I28="Market",Retention*TIRenewal*D28+(1-Retention)*TINew*D28,IF(I28="LeaseUp",TINew*D28,IF(I28="Option",TIRenewal*D28,0)))))+(IF(I28="Vacate",LCNew*H28*D28*(1+GrowthMarketRent)^0,IF(I28="Market",Retention*LCRenewal*H28*D28*(1+GrowthMarketRent)^0+(1-Retention)*LCNew*H28*D28*(1+GrowthMarketRent)^0,IF(I28="LeaseUp",LCNew*H28*D28*(1+GrowthMarketRent)^0,IF(I28="Option",LCRenewal*H28*D28*(1+GrowthMarketRent)^0,0))))),IF(F28="",0,IF(AND(F28&gt;=DATE(2026+0,5,1),F28&lt;=DATE(2027+0,4,30)),(IF(I28="Vacate",TINew*D28,IF(I28="Market",Retention*TIRenewal*D28+(1-Retention)*TINew*D28,IF(I28="LeaseUp",TINew*D28,IF(I28="Option",TIRenewal*D28,0)))))+(IF(I28="Vacate",LCNew*H28*D28*(1+GrowthMarketRent)^0,IF(I28="Market",Retention*LCRenewal*H28*D28*(1+GrowthMarketRent)^0+(1-Retention)*LCNew*H28*D28*(1+GrowthMarketRent)^0,IF(I28="LeaseUp",LCNew*H28*D28*(1+GrowthMarketRent)^0,IF(I28="Option",LCRenewal*H28*D28*(1+GrowthMarketRent)^0,0))))),0))),0)</f>
        <v/>
      </c>
      <c r="Z28" s="14">
        <f>IFERROR(IF(AND(I28="LeaseUp",1=0),(IF(I28="Vacate",TINew*D28,IF(I28="Market",Retention*TIRenewal*D28+(1-Retention)*TINew*D28,IF(I28="LeaseUp",TINew*D28,IF(I28="Option",TIRenewal*D28,0)))))+(IF(I28="Vacate",LCNew*H28*D28*(1+GrowthMarketRent)^1,IF(I28="Market",Retention*LCRenewal*H28*D28*(1+GrowthMarketRent)^1+(1-Retention)*LCNew*H28*D28*(1+GrowthMarketRent)^1,IF(I28="LeaseUp",LCNew*H28*D28*(1+GrowthMarketRent)^1,IF(I28="Option",LCRenewal*H28*D28*(1+GrowthMarketRent)^1,0))))),IF(F28="",0,IF(AND(F28&gt;=DATE(2026+1,5,1),F28&lt;=DATE(2027+1,4,30)),(IF(I28="Vacate",TINew*D28,IF(I28="Market",Retention*TIRenewal*D28+(1-Retention)*TINew*D28,IF(I28="LeaseUp",TINew*D28,IF(I28="Option",TIRenewal*D28,0)))))+(IF(I28="Vacate",LCNew*H28*D28*(1+GrowthMarketRent)^1,IF(I28="Market",Retention*LCRenewal*H28*D28*(1+GrowthMarketRent)^1+(1-Retention)*LCNew*H28*D28*(1+GrowthMarketRent)^1,IF(I28="LeaseUp",LCNew*H28*D28*(1+GrowthMarketRent)^1,IF(I28="Option",LCRenewal*H28*D28*(1+GrowthMarketRent)^1,0))))),0))),0)</f>
        <v/>
      </c>
      <c r="AA28" s="14">
        <f>IFERROR(IF(AND(I28="LeaseUp",2=0),(IF(I28="Vacate",TINew*D28,IF(I28="Market",Retention*TIRenewal*D28+(1-Retention)*TINew*D28,IF(I28="LeaseUp",TINew*D28,IF(I28="Option",TIRenewal*D28,0)))))+(IF(I28="Vacate",LCNew*H28*D28*(1+GrowthMarketRent)^2,IF(I28="Market",Retention*LCRenewal*H28*D28*(1+GrowthMarketRent)^2+(1-Retention)*LCNew*H28*D28*(1+GrowthMarketRent)^2,IF(I28="LeaseUp",LCNew*H28*D28*(1+GrowthMarketRent)^2,IF(I28="Option",LCRenewal*H28*D28*(1+GrowthMarketRent)^2,0))))),IF(F28="",0,IF(AND(F28&gt;=DATE(2026+2,5,1),F28&lt;=DATE(2027+2,4,30)),(IF(I28="Vacate",TINew*D28,IF(I28="Market",Retention*TIRenewal*D28+(1-Retention)*TINew*D28,IF(I28="LeaseUp",TINew*D28,IF(I28="Option",TIRenewal*D28,0)))))+(IF(I28="Vacate",LCNew*H28*D28*(1+GrowthMarketRent)^2,IF(I28="Market",Retention*LCRenewal*H28*D28*(1+GrowthMarketRent)^2+(1-Retention)*LCNew*H28*D28*(1+GrowthMarketRent)^2,IF(I28="LeaseUp",LCNew*H28*D28*(1+GrowthMarketRent)^2,IF(I28="Option",LCRenewal*H28*D28*(1+GrowthMarketRent)^2,0))))),0))),0)</f>
        <v/>
      </c>
      <c r="AB28" s="14">
        <f>IFERROR(IF(AND(I28="LeaseUp",3=0),(IF(I28="Vacate",TINew*D28,IF(I28="Market",Retention*TIRenewal*D28+(1-Retention)*TINew*D28,IF(I28="LeaseUp",TINew*D28,IF(I28="Option",TIRenewal*D28,0)))))+(IF(I28="Vacate",LCNew*H28*D28*(1+GrowthMarketRent)^3,IF(I28="Market",Retention*LCRenewal*H28*D28*(1+GrowthMarketRent)^3+(1-Retention)*LCNew*H28*D28*(1+GrowthMarketRent)^3,IF(I28="LeaseUp",LCNew*H28*D28*(1+GrowthMarketRent)^3,IF(I28="Option",LCRenewal*H28*D28*(1+GrowthMarketRent)^3,0))))),IF(F28="",0,IF(AND(F28&gt;=DATE(2026+3,5,1),F28&lt;=DATE(2027+3,4,30)),(IF(I28="Vacate",TINew*D28,IF(I28="Market",Retention*TIRenewal*D28+(1-Retention)*TINew*D28,IF(I28="LeaseUp",TINew*D28,IF(I28="Option",TIRenewal*D28,0)))))+(IF(I28="Vacate",LCNew*H28*D28*(1+GrowthMarketRent)^3,IF(I28="Market",Retention*LCRenewal*H28*D28*(1+GrowthMarketRent)^3+(1-Retention)*LCNew*H28*D28*(1+GrowthMarketRent)^3,IF(I28="LeaseUp",LCNew*H28*D28*(1+GrowthMarketRent)^3,IF(I28="Option",LCRenewal*H28*D28*(1+GrowthMarketRent)^3,0))))),0))),0)</f>
        <v/>
      </c>
      <c r="AC28" s="14">
        <f>IFERROR(IF(AND(I28="LeaseUp",4=0),(IF(I28="Vacate",TINew*D28,IF(I28="Market",Retention*TIRenewal*D28+(1-Retention)*TINew*D28,IF(I28="LeaseUp",TINew*D28,IF(I28="Option",TIRenewal*D28,0)))))+(IF(I28="Vacate",LCNew*H28*D28*(1+GrowthMarketRent)^4,IF(I28="Market",Retention*LCRenewal*H28*D28*(1+GrowthMarketRent)^4+(1-Retention)*LCNew*H28*D28*(1+GrowthMarketRent)^4,IF(I28="LeaseUp",LCNew*H28*D28*(1+GrowthMarketRent)^4,IF(I28="Option",LCRenewal*H28*D28*(1+GrowthMarketRent)^4,0))))),IF(F28="",0,IF(AND(F28&gt;=DATE(2026+4,5,1),F28&lt;=DATE(2027+4,4,30)),(IF(I28="Vacate",TINew*D28,IF(I28="Market",Retention*TIRenewal*D28+(1-Retention)*TINew*D28,IF(I28="LeaseUp",TINew*D28,IF(I28="Option",TIRenewal*D28,0)))))+(IF(I28="Vacate",LCNew*H28*D28*(1+GrowthMarketRent)^4,IF(I28="Market",Retention*LCRenewal*H28*D28*(1+GrowthMarketRent)^4+(1-Retention)*LCNew*H28*D28*(1+GrowthMarketRent)^4,IF(I28="LeaseUp",LCNew*H28*D28*(1+GrowthMarketRent)^4,IF(I28="Option",LCRenewal*H28*D28*(1+GrowthMarketRent)^4,0))))),0))),0)</f>
        <v/>
      </c>
      <c r="AD28" s="14">
        <f>IFERROR(IF(AND(I28="LeaseUp",5=0),(IF(I28="Vacate",TINew*D28,IF(I28="Market",Retention*TIRenewal*D28+(1-Retention)*TINew*D28,IF(I28="LeaseUp",TINew*D28,IF(I28="Option",TIRenewal*D28,0)))))+(IF(I28="Vacate",LCNew*H28*D28*(1+GrowthMarketRent)^5,IF(I28="Market",Retention*LCRenewal*H28*D28*(1+GrowthMarketRent)^5+(1-Retention)*LCNew*H28*D28*(1+GrowthMarketRent)^5,IF(I28="LeaseUp",LCNew*H28*D28*(1+GrowthMarketRent)^5,IF(I28="Option",LCRenewal*H28*D28*(1+GrowthMarketRent)^5,0))))),IF(F28="",0,IF(AND(F28&gt;=DATE(2026+5,5,1),F28&lt;=DATE(2027+5,4,30)),(IF(I28="Vacate",TINew*D28,IF(I28="Market",Retention*TIRenewal*D28+(1-Retention)*TINew*D28,IF(I28="LeaseUp",TINew*D28,IF(I28="Option",TIRenewal*D28,0)))))+(IF(I28="Vacate",LCNew*H28*D28*(1+GrowthMarketRent)^5,IF(I28="Market",Retention*LCRenewal*H28*D28*(1+GrowthMarketRent)^5+(1-Retention)*LCNew*H28*D28*(1+GrowthMarketRent)^5,IF(I28="LeaseUp",LCNew*H28*D28*(1+GrowthMarketRent)^5,IF(I28="Option",LCRenewal*H28*D28*(1+GrowthMarketRent)^5,0))))),0))),0)</f>
        <v/>
      </c>
      <c r="AE28" s="14">
        <f>IFERROR(IF(AND(I28="LeaseUp",6=0),(IF(I28="Vacate",TINew*D28,IF(I28="Market",Retention*TIRenewal*D28+(1-Retention)*TINew*D28,IF(I28="LeaseUp",TINew*D28,IF(I28="Option",TIRenewal*D28,0)))))+(IF(I28="Vacate",LCNew*H28*D28*(1+GrowthMarketRent)^6,IF(I28="Market",Retention*LCRenewal*H28*D28*(1+GrowthMarketRent)^6+(1-Retention)*LCNew*H28*D28*(1+GrowthMarketRent)^6,IF(I28="LeaseUp",LCNew*H28*D28*(1+GrowthMarketRent)^6,IF(I28="Option",LCRenewal*H28*D28*(1+GrowthMarketRent)^6,0))))),IF(F28="",0,IF(AND(F28&gt;=DATE(2026+6,5,1),F28&lt;=DATE(2027+6,4,30)),(IF(I28="Vacate",TINew*D28,IF(I28="Market",Retention*TIRenewal*D28+(1-Retention)*TINew*D28,IF(I28="LeaseUp",TINew*D28,IF(I28="Option",TIRenewal*D28,0)))))+(IF(I28="Vacate",LCNew*H28*D28*(1+GrowthMarketRent)^6,IF(I28="Market",Retention*LCRenewal*H28*D28*(1+GrowthMarketRent)^6+(1-Retention)*LCNew*H28*D28*(1+GrowthMarketRent)^6,IF(I28="LeaseUp",LCNew*H28*D28*(1+GrowthMarketRent)^6,IF(I28="Option",LCRenewal*H28*D28*(1+GrowthMarketRent)^6,0))))),0))),0)</f>
        <v/>
      </c>
      <c r="AF28" s="14">
        <f>IFERROR(IF(AND(I28="LeaseUp",7=0),(IF(I28="Vacate",TINew*D28,IF(I28="Market",Retention*TIRenewal*D28+(1-Retention)*TINew*D28,IF(I28="LeaseUp",TINew*D28,IF(I28="Option",TIRenewal*D28,0)))))+(IF(I28="Vacate",LCNew*H28*D28*(1+GrowthMarketRent)^7,IF(I28="Market",Retention*LCRenewal*H28*D28*(1+GrowthMarketRent)^7+(1-Retention)*LCNew*H28*D28*(1+GrowthMarketRent)^7,IF(I28="LeaseUp",LCNew*H28*D28*(1+GrowthMarketRent)^7,IF(I28="Option",LCRenewal*H28*D28*(1+GrowthMarketRent)^7,0))))),IF(F28="",0,IF(AND(F28&gt;=DATE(2026+7,5,1),F28&lt;=DATE(2027+7,4,30)),(IF(I28="Vacate",TINew*D28,IF(I28="Market",Retention*TIRenewal*D28+(1-Retention)*TINew*D28,IF(I28="LeaseUp",TINew*D28,IF(I28="Option",TIRenewal*D28,0)))))+(IF(I28="Vacate",LCNew*H28*D28*(1+GrowthMarketRent)^7,IF(I28="Market",Retention*LCRenewal*H28*D28*(1+GrowthMarketRent)^7+(1-Retention)*LCNew*H28*D28*(1+GrowthMarketRent)^7,IF(I28="LeaseUp",LCNew*H28*D28*(1+GrowthMarketRent)^7,IF(I28="Option",LCRenewal*H28*D28*(1+GrowthMarketRent)^7,0))))),0))),0)</f>
        <v/>
      </c>
      <c r="AG28" s="14">
        <f>IFERROR(IF(AND(I28="LeaseUp",8=0),(IF(I28="Vacate",TINew*D28,IF(I28="Market",Retention*TIRenewal*D28+(1-Retention)*TINew*D28,IF(I28="LeaseUp",TINew*D28,IF(I28="Option",TIRenewal*D28,0)))))+(IF(I28="Vacate",LCNew*H28*D28*(1+GrowthMarketRent)^8,IF(I28="Market",Retention*LCRenewal*H28*D28*(1+GrowthMarketRent)^8+(1-Retention)*LCNew*H28*D28*(1+GrowthMarketRent)^8,IF(I28="LeaseUp",LCNew*H28*D28*(1+GrowthMarketRent)^8,IF(I28="Option",LCRenewal*H28*D28*(1+GrowthMarketRent)^8,0))))),IF(F28="",0,IF(AND(F28&gt;=DATE(2026+8,5,1),F28&lt;=DATE(2027+8,4,30)),(IF(I28="Vacate",TINew*D28,IF(I28="Market",Retention*TIRenewal*D28+(1-Retention)*TINew*D28,IF(I28="LeaseUp",TINew*D28,IF(I28="Option",TIRenewal*D28,0)))))+(IF(I28="Vacate",LCNew*H28*D28*(1+GrowthMarketRent)^8,IF(I28="Market",Retention*LCRenewal*H28*D28*(1+GrowthMarketRent)^8+(1-Retention)*LCNew*H28*D28*(1+GrowthMarketRent)^8,IF(I28="LeaseUp",LCNew*H28*D28*(1+GrowthMarketRent)^8,IF(I28="Option",LCRenewal*H28*D28*(1+GrowthMarketRent)^8,0))))),0))),0)</f>
        <v/>
      </c>
      <c r="AH28" s="14">
        <f>IFERROR(IF(AND(I28="LeaseUp",9=0),(IF(I28="Vacate",TINew*D28,IF(I28="Market",Retention*TIRenewal*D28+(1-Retention)*TINew*D28,IF(I28="LeaseUp",TINew*D28,IF(I28="Option",TIRenewal*D28,0)))))+(IF(I28="Vacate",LCNew*H28*D28*(1+GrowthMarketRent)^9,IF(I28="Market",Retention*LCRenewal*H28*D28*(1+GrowthMarketRent)^9+(1-Retention)*LCNew*H28*D28*(1+GrowthMarketRent)^9,IF(I28="LeaseUp",LCNew*H28*D28*(1+GrowthMarketRent)^9,IF(I28="Option",LCRenewal*H28*D28*(1+GrowthMarketRent)^9,0))))),IF(F28="",0,IF(AND(F28&gt;=DATE(2026+9,5,1),F28&lt;=DATE(2027+9,4,30)),(IF(I28="Vacate",TINew*D28,IF(I28="Market",Retention*TIRenewal*D28+(1-Retention)*TINew*D28,IF(I28="LeaseUp",TINew*D28,IF(I28="Option",TIRenewal*D28,0)))))+(IF(I28="Vacate",LCNew*H28*D28*(1+GrowthMarketRent)^9,IF(I28="Market",Retention*LCRenewal*H28*D28*(1+GrowthMarketRent)^9+(1-Retention)*LCNew*H28*D28*(1+GrowthMarketRent)^9,IF(I28="LeaseUp",LCNew*H28*D28*(1+GrowthMarketRent)^9,IF(I28="Option",LCRenewal*H28*D28*(1+GrowthMarketRent)^9,0))))),0))),0)</f>
        <v/>
      </c>
      <c r="AI28" s="14">
        <f>IFERROR(IF(AND(I28="LeaseUp",10=0),(IF(I28="Vacate",TINew*D28,IF(I28="Market",Retention*TIRenewal*D28+(1-Retention)*TINew*D28,IF(I28="LeaseUp",TINew*D28,IF(I28="Option",TIRenewal*D28,0)))))+(IF(I28="Vacate",LCNew*H28*D28*(1+GrowthMarketRent)^10,IF(I28="Market",Retention*LCRenewal*H28*D28*(1+GrowthMarketRent)^10+(1-Retention)*LCNew*H28*D28*(1+GrowthMarketRent)^10,IF(I28="LeaseUp",LCNew*H28*D28*(1+GrowthMarketRent)^10,IF(I28="Option",LCRenewal*H28*D28*(1+GrowthMarketRent)^10,0))))),IF(F28="",0,IF(AND(F28&gt;=DATE(2026+10,5,1),F28&lt;=DATE(2027+10,4,30)),(IF(I28="Vacate",TINew*D28,IF(I28="Market",Retention*TIRenewal*D28+(1-Retention)*TINew*D28,IF(I28="LeaseUp",TINew*D28,IF(I28="Option",TIRenewal*D28,0)))))+(IF(I28="Vacate",LCNew*H28*D28*(1+GrowthMarketRent)^10,IF(I28="Market",Retention*LCRenewal*H28*D28*(1+GrowthMarketRent)^10+(1-Retention)*LCNew*H28*D28*(1+GrowthMarketRent)^10,IF(I28="LeaseUp",LCNew*H28*D28*(1+GrowthMarketRent)^10,IF(I28="Option",LCRenewal*H28*D28*(1+GrowthMarketRent)^10,0))))),0))),0)</f>
        <v/>
      </c>
    </row>
    <row r="29">
      <c r="A29" t="inlineStr">
        <is>
          <t>Carrollton</t>
        </is>
      </c>
      <c r="B29" t="inlineStr">
        <is>
          <t>328</t>
        </is>
      </c>
      <c r="C29" t="inlineStr">
        <is>
          <t>Delio LLC</t>
        </is>
      </c>
      <c r="D29" s="32" t="n">
        <v>1870</v>
      </c>
      <c r="E29" s="33" t="n">
        <v>45962</v>
      </c>
      <c r="F29" s="33" t="n">
        <v>47239</v>
      </c>
      <c r="G29" s="34" t="n">
        <v>16</v>
      </c>
      <c r="H29" s="16">
        <f>VLOOKUP("Carrollton — "&amp;J29,MLA!$A$5:$L$11,3,FALSE)</f>
        <v/>
      </c>
      <c r="I29" s="11" t="inlineStr">
        <is>
          <t>Market</t>
        </is>
      </c>
      <c r="J29" t="inlineStr">
        <is>
          <t>Studio</t>
        </is>
      </c>
      <c r="K29" t="inlineStr">
        <is>
          <t>Occupied</t>
        </is>
      </c>
      <c r="L29" t="inlineStr">
        <is>
          <t>Studio; Guarantor: Blue Swan Health</t>
        </is>
      </c>
      <c r="M29" s="20">
        <f>IF(E29="",0,(AnalysisStart-E29)/365.25)</f>
        <v/>
      </c>
      <c r="N29" s="14">
        <f>IFERROR(IF(I29="LeaseUp",H29*D29*(1+GrowthMarketRent)^0*IF(0=0,(12-DowntimeNew)/12,1),IF(F29="",0,IF(F29&gt;=DATE(2027+0,4,30),G29*D29*(1+EscalatorInLease)^(0+M29),IF(F29&lt;DATE(2026+0,5,1),IF(I29="Vacate",H29*D29*(1+GrowthMarketRent)^0*IF(INT((DATE(2026+0,10,31)-F29)/365.25)=0,(12-DowntimeNew)/12,1),IF(I29="Option",G29*D29*1.025*(1+EscalatorInLease)^0,IF(I29="Market",Retention*G29*D29*(1+EscalatorInLease)^(0+M29)+(1-Retention)*H29*D29*(1+GrowthMarketRent)^0*IF(INT((DATE(2026+0,10,31)-F29)/365.25)=0,(12-DowntimeNew)/12,1),IF(I29="LeaseUp",H29*D29*(1+GrowthMarketRent)^0*IF(0=0,(12-DowntimeNew)/12,1),0)))),((F29-DATE(2026+0,5,1))/365.25)*G29*D29*(1+EscalatorInLease)^(0+M29)+((DATE(2027+0,4,30)-F29)/365.25)*IF(I29="Vacate",H29*D29*(1+GrowthMarketRent)^0*IF(INT((DATE(2026+0,10,31)-F29)/365.25)=0,(12-DowntimeNew)/12,1),IF(I29="Option",G29*D29*1.025*(1+EscalatorInLease)^0,IF(I29="Market",Retention*G29*D29*(1+EscalatorInLease)^(0+M29)+(1-Retention)*H29*D29*(1+GrowthMarketRent)^0*IF(INT((DATE(2026+0,10,31)-F29)/365.25)=0,(12-DowntimeNew)/12,1),IF(I29="LeaseUp",H29*D29*(1+GrowthMarketRent)^0*IF(0=0,(12-DowntimeNew)/12,1),0)))))))),0)</f>
        <v/>
      </c>
      <c r="O29" s="14">
        <f>IFERROR(IF(I29="LeaseUp",H29*D29*(1+GrowthMarketRent)^1*IF(1=0,(12-DowntimeNew)/12,1),IF(F29="",0,IF(F29&gt;=DATE(2027+1,4,30),G29*D29*(1+EscalatorInLease)^(1+M29),IF(F29&lt;DATE(2026+1,5,1),IF(I29="Vacate",H29*D29*(1+GrowthMarketRent)^1*IF(INT((DATE(2026+1,10,31)-F29)/365.25)=0,(12-DowntimeNew)/12,1),IF(I29="Option",G29*D29*1.025*(1+EscalatorInLease)^1,IF(I29="Market",Retention*G29*D29*(1+EscalatorInLease)^(1+M29)+(1-Retention)*H29*D29*(1+GrowthMarketRent)^1*IF(INT((DATE(2026+1,10,31)-F29)/365.25)=0,(12-DowntimeNew)/12,1),IF(I29="LeaseUp",H29*D29*(1+GrowthMarketRent)^1*IF(1=0,(12-DowntimeNew)/12,1),0)))),((F29-DATE(2026+1,5,1))/365.25)*G29*D29*(1+EscalatorInLease)^(1+M29)+((DATE(2027+1,4,30)-F29)/365.25)*IF(I29="Vacate",H29*D29*(1+GrowthMarketRent)^1*IF(INT((DATE(2026+1,10,31)-F29)/365.25)=0,(12-DowntimeNew)/12,1),IF(I29="Option",G29*D29*1.025*(1+EscalatorInLease)^1,IF(I29="Market",Retention*G29*D29*(1+EscalatorInLease)^(1+M29)+(1-Retention)*H29*D29*(1+GrowthMarketRent)^1*IF(INT((DATE(2026+1,10,31)-F29)/365.25)=0,(12-DowntimeNew)/12,1),IF(I29="LeaseUp",H29*D29*(1+GrowthMarketRent)^1*IF(1=0,(12-DowntimeNew)/12,1),0)))))))),0)</f>
        <v/>
      </c>
      <c r="P29" s="14">
        <f>IFERROR(IF(I29="LeaseUp",H29*D29*(1+GrowthMarketRent)^2*IF(2=0,(12-DowntimeNew)/12,1),IF(F29="",0,IF(F29&gt;=DATE(2027+2,4,30),G29*D29*(1+EscalatorInLease)^(2+M29),IF(F29&lt;DATE(2026+2,5,1),IF(I29="Vacate",H29*D29*(1+GrowthMarketRent)^2*IF(INT((DATE(2026+2,10,31)-F29)/365.25)=0,(12-DowntimeNew)/12,1),IF(I29="Option",G29*D29*1.025*(1+EscalatorInLease)^2,IF(I29="Market",Retention*G29*D29*(1+EscalatorInLease)^(2+M29)+(1-Retention)*H29*D29*(1+GrowthMarketRent)^2*IF(INT((DATE(2026+2,10,31)-F29)/365.25)=0,(12-DowntimeNew)/12,1),IF(I29="LeaseUp",H29*D29*(1+GrowthMarketRent)^2*IF(2=0,(12-DowntimeNew)/12,1),0)))),((F29-DATE(2026+2,5,1))/365.25)*G29*D29*(1+EscalatorInLease)^(2+M29)+((DATE(2027+2,4,30)-F29)/365.25)*IF(I29="Vacate",H29*D29*(1+GrowthMarketRent)^2*IF(INT((DATE(2026+2,10,31)-F29)/365.25)=0,(12-DowntimeNew)/12,1),IF(I29="Option",G29*D29*1.025*(1+EscalatorInLease)^2,IF(I29="Market",Retention*G29*D29*(1+EscalatorInLease)^(2+M29)+(1-Retention)*H29*D29*(1+GrowthMarketRent)^2*IF(INT((DATE(2026+2,10,31)-F29)/365.25)=0,(12-DowntimeNew)/12,1),IF(I29="LeaseUp",H29*D29*(1+GrowthMarketRent)^2*IF(2=0,(12-DowntimeNew)/12,1),0)))))))),0)</f>
        <v/>
      </c>
      <c r="Q29" s="14">
        <f>IFERROR(IF(I29="LeaseUp",H29*D29*(1+GrowthMarketRent)^3*IF(3=0,(12-DowntimeNew)/12,1),IF(F29="",0,IF(F29&gt;=DATE(2027+3,4,30),G29*D29*(1+EscalatorInLease)^(3+M29),IF(F29&lt;DATE(2026+3,5,1),IF(I29="Vacate",H29*D29*(1+GrowthMarketRent)^3*IF(INT((DATE(2026+3,10,31)-F29)/365.25)=0,(12-DowntimeNew)/12,1),IF(I29="Option",G29*D29*1.025*(1+EscalatorInLease)^3,IF(I29="Market",Retention*G29*D29*(1+EscalatorInLease)^(3+M29)+(1-Retention)*H29*D29*(1+GrowthMarketRent)^3*IF(INT((DATE(2026+3,10,31)-F29)/365.25)=0,(12-DowntimeNew)/12,1),IF(I29="LeaseUp",H29*D29*(1+GrowthMarketRent)^3*IF(3=0,(12-DowntimeNew)/12,1),0)))),((F29-DATE(2026+3,5,1))/365.25)*G29*D29*(1+EscalatorInLease)^(3+M29)+((DATE(2027+3,4,30)-F29)/365.25)*IF(I29="Vacate",H29*D29*(1+GrowthMarketRent)^3*IF(INT((DATE(2026+3,10,31)-F29)/365.25)=0,(12-DowntimeNew)/12,1),IF(I29="Option",G29*D29*1.025*(1+EscalatorInLease)^3,IF(I29="Market",Retention*G29*D29*(1+EscalatorInLease)^(3+M29)+(1-Retention)*H29*D29*(1+GrowthMarketRent)^3*IF(INT((DATE(2026+3,10,31)-F29)/365.25)=0,(12-DowntimeNew)/12,1),IF(I29="LeaseUp",H29*D29*(1+GrowthMarketRent)^3*IF(3=0,(12-DowntimeNew)/12,1),0)))))))),0)</f>
        <v/>
      </c>
      <c r="R29" s="14">
        <f>IFERROR(IF(I29="LeaseUp",H29*D29*(1+GrowthMarketRent)^4*IF(4=0,(12-DowntimeNew)/12,1),IF(F29="",0,IF(F29&gt;=DATE(2027+4,4,30),G29*D29*(1+EscalatorInLease)^(4+M29),IF(F29&lt;DATE(2026+4,5,1),IF(I29="Vacate",H29*D29*(1+GrowthMarketRent)^4*IF(INT((DATE(2026+4,10,31)-F29)/365.25)=0,(12-DowntimeNew)/12,1),IF(I29="Option",G29*D29*1.025*(1+EscalatorInLease)^4,IF(I29="Market",Retention*G29*D29*(1+EscalatorInLease)^(4+M29)+(1-Retention)*H29*D29*(1+GrowthMarketRent)^4*IF(INT((DATE(2026+4,10,31)-F29)/365.25)=0,(12-DowntimeNew)/12,1),IF(I29="LeaseUp",H29*D29*(1+GrowthMarketRent)^4*IF(4=0,(12-DowntimeNew)/12,1),0)))),((F29-DATE(2026+4,5,1))/365.25)*G29*D29*(1+EscalatorInLease)^(4+M29)+((DATE(2027+4,4,30)-F29)/365.25)*IF(I29="Vacate",H29*D29*(1+GrowthMarketRent)^4*IF(INT((DATE(2026+4,10,31)-F29)/365.25)=0,(12-DowntimeNew)/12,1),IF(I29="Option",G29*D29*1.025*(1+EscalatorInLease)^4,IF(I29="Market",Retention*G29*D29*(1+EscalatorInLease)^(4+M29)+(1-Retention)*H29*D29*(1+GrowthMarketRent)^4*IF(INT((DATE(2026+4,10,31)-F29)/365.25)=0,(12-DowntimeNew)/12,1),IF(I29="LeaseUp",H29*D29*(1+GrowthMarketRent)^4*IF(4=0,(12-DowntimeNew)/12,1),0)))))))),0)</f>
        <v/>
      </c>
      <c r="S29" s="14">
        <f>IFERROR(IF(I29="LeaseUp",H29*D29*(1+GrowthMarketRent)^5*IF(5=0,(12-DowntimeNew)/12,1),IF(F29="",0,IF(F29&gt;=DATE(2027+5,4,30),G29*D29*(1+EscalatorInLease)^(5+M29),IF(F29&lt;DATE(2026+5,5,1),IF(I29="Vacate",H29*D29*(1+GrowthMarketRent)^5*IF(INT((DATE(2026+5,10,31)-F29)/365.25)=0,(12-DowntimeNew)/12,1),IF(I29="Option",G29*D29*1.025*(1+EscalatorInLease)^5,IF(I29="Market",Retention*G29*D29*(1+EscalatorInLease)^(5+M29)+(1-Retention)*H29*D29*(1+GrowthMarketRent)^5*IF(INT((DATE(2026+5,10,31)-F29)/365.25)=0,(12-DowntimeNew)/12,1),IF(I29="LeaseUp",H29*D29*(1+GrowthMarketRent)^5*IF(5=0,(12-DowntimeNew)/12,1),0)))),((F29-DATE(2026+5,5,1))/365.25)*G29*D29*(1+EscalatorInLease)^(5+M29)+((DATE(2027+5,4,30)-F29)/365.25)*IF(I29="Vacate",H29*D29*(1+GrowthMarketRent)^5*IF(INT((DATE(2026+5,10,31)-F29)/365.25)=0,(12-DowntimeNew)/12,1),IF(I29="Option",G29*D29*1.025*(1+EscalatorInLease)^5,IF(I29="Market",Retention*G29*D29*(1+EscalatorInLease)^(5+M29)+(1-Retention)*H29*D29*(1+GrowthMarketRent)^5*IF(INT((DATE(2026+5,10,31)-F29)/365.25)=0,(12-DowntimeNew)/12,1),IF(I29="LeaseUp",H29*D29*(1+GrowthMarketRent)^5*IF(5=0,(12-DowntimeNew)/12,1),0)))))))),0)</f>
        <v/>
      </c>
      <c r="T29" s="14">
        <f>IFERROR(IF(I29="LeaseUp",H29*D29*(1+GrowthMarketRent)^6*IF(6=0,(12-DowntimeNew)/12,1),IF(F29="",0,IF(F29&gt;=DATE(2027+6,4,30),G29*D29*(1+EscalatorInLease)^(6+M29),IF(F29&lt;DATE(2026+6,5,1),IF(I29="Vacate",H29*D29*(1+GrowthMarketRent)^6*IF(INT((DATE(2026+6,10,31)-F29)/365.25)=0,(12-DowntimeNew)/12,1),IF(I29="Option",G29*D29*1.025*(1+EscalatorInLease)^6,IF(I29="Market",Retention*G29*D29*(1+EscalatorInLease)^(6+M29)+(1-Retention)*H29*D29*(1+GrowthMarketRent)^6*IF(INT((DATE(2026+6,10,31)-F29)/365.25)=0,(12-DowntimeNew)/12,1),IF(I29="LeaseUp",H29*D29*(1+GrowthMarketRent)^6*IF(6=0,(12-DowntimeNew)/12,1),0)))),((F29-DATE(2026+6,5,1))/365.25)*G29*D29*(1+EscalatorInLease)^(6+M29)+((DATE(2027+6,4,30)-F29)/365.25)*IF(I29="Vacate",H29*D29*(1+GrowthMarketRent)^6*IF(INT((DATE(2026+6,10,31)-F29)/365.25)=0,(12-DowntimeNew)/12,1),IF(I29="Option",G29*D29*1.025*(1+EscalatorInLease)^6,IF(I29="Market",Retention*G29*D29*(1+EscalatorInLease)^(6+M29)+(1-Retention)*H29*D29*(1+GrowthMarketRent)^6*IF(INT((DATE(2026+6,10,31)-F29)/365.25)=0,(12-DowntimeNew)/12,1),IF(I29="LeaseUp",H29*D29*(1+GrowthMarketRent)^6*IF(6=0,(12-DowntimeNew)/12,1),0)))))))),0)</f>
        <v/>
      </c>
      <c r="U29" s="14">
        <f>IFERROR(IF(I29="LeaseUp",H29*D29*(1+GrowthMarketRent)^7*IF(7=0,(12-DowntimeNew)/12,1),IF(F29="",0,IF(F29&gt;=DATE(2027+7,4,30),G29*D29*(1+EscalatorInLease)^(7+M29),IF(F29&lt;DATE(2026+7,5,1),IF(I29="Vacate",H29*D29*(1+GrowthMarketRent)^7*IF(INT((DATE(2026+7,10,31)-F29)/365.25)=0,(12-DowntimeNew)/12,1),IF(I29="Option",G29*D29*1.025*(1+EscalatorInLease)^7,IF(I29="Market",Retention*G29*D29*(1+EscalatorInLease)^(7+M29)+(1-Retention)*H29*D29*(1+GrowthMarketRent)^7*IF(INT((DATE(2026+7,10,31)-F29)/365.25)=0,(12-DowntimeNew)/12,1),IF(I29="LeaseUp",H29*D29*(1+GrowthMarketRent)^7*IF(7=0,(12-DowntimeNew)/12,1),0)))),((F29-DATE(2026+7,5,1))/365.25)*G29*D29*(1+EscalatorInLease)^(7+M29)+((DATE(2027+7,4,30)-F29)/365.25)*IF(I29="Vacate",H29*D29*(1+GrowthMarketRent)^7*IF(INT((DATE(2026+7,10,31)-F29)/365.25)=0,(12-DowntimeNew)/12,1),IF(I29="Option",G29*D29*1.025*(1+EscalatorInLease)^7,IF(I29="Market",Retention*G29*D29*(1+EscalatorInLease)^(7+M29)+(1-Retention)*H29*D29*(1+GrowthMarketRent)^7*IF(INT((DATE(2026+7,10,31)-F29)/365.25)=0,(12-DowntimeNew)/12,1),IF(I29="LeaseUp",H29*D29*(1+GrowthMarketRent)^7*IF(7=0,(12-DowntimeNew)/12,1),0)))))))),0)</f>
        <v/>
      </c>
      <c r="V29" s="14">
        <f>IFERROR(IF(I29="LeaseUp",H29*D29*(1+GrowthMarketRent)^8*IF(8=0,(12-DowntimeNew)/12,1),IF(F29="",0,IF(F29&gt;=DATE(2027+8,4,30),G29*D29*(1+EscalatorInLease)^(8+M29),IF(F29&lt;DATE(2026+8,5,1),IF(I29="Vacate",H29*D29*(1+GrowthMarketRent)^8*IF(INT((DATE(2026+8,10,31)-F29)/365.25)=0,(12-DowntimeNew)/12,1),IF(I29="Option",G29*D29*1.025*(1+EscalatorInLease)^8,IF(I29="Market",Retention*G29*D29*(1+EscalatorInLease)^(8+M29)+(1-Retention)*H29*D29*(1+GrowthMarketRent)^8*IF(INT((DATE(2026+8,10,31)-F29)/365.25)=0,(12-DowntimeNew)/12,1),IF(I29="LeaseUp",H29*D29*(1+GrowthMarketRent)^8*IF(8=0,(12-DowntimeNew)/12,1),0)))),((F29-DATE(2026+8,5,1))/365.25)*G29*D29*(1+EscalatorInLease)^(8+M29)+((DATE(2027+8,4,30)-F29)/365.25)*IF(I29="Vacate",H29*D29*(1+GrowthMarketRent)^8*IF(INT((DATE(2026+8,10,31)-F29)/365.25)=0,(12-DowntimeNew)/12,1),IF(I29="Option",G29*D29*1.025*(1+EscalatorInLease)^8,IF(I29="Market",Retention*G29*D29*(1+EscalatorInLease)^(8+M29)+(1-Retention)*H29*D29*(1+GrowthMarketRent)^8*IF(INT((DATE(2026+8,10,31)-F29)/365.25)=0,(12-DowntimeNew)/12,1),IF(I29="LeaseUp",H29*D29*(1+GrowthMarketRent)^8*IF(8=0,(12-DowntimeNew)/12,1),0)))))))),0)</f>
        <v/>
      </c>
      <c r="W29" s="14">
        <f>IFERROR(IF(I29="LeaseUp",H29*D29*(1+GrowthMarketRent)^9*IF(9=0,(12-DowntimeNew)/12,1),IF(F29="",0,IF(F29&gt;=DATE(2027+9,4,30),G29*D29*(1+EscalatorInLease)^(9+M29),IF(F29&lt;DATE(2026+9,5,1),IF(I29="Vacate",H29*D29*(1+GrowthMarketRent)^9*IF(INT((DATE(2026+9,10,31)-F29)/365.25)=0,(12-DowntimeNew)/12,1),IF(I29="Option",G29*D29*1.025*(1+EscalatorInLease)^9,IF(I29="Market",Retention*G29*D29*(1+EscalatorInLease)^(9+M29)+(1-Retention)*H29*D29*(1+GrowthMarketRent)^9*IF(INT((DATE(2026+9,10,31)-F29)/365.25)=0,(12-DowntimeNew)/12,1),IF(I29="LeaseUp",H29*D29*(1+GrowthMarketRent)^9*IF(9=0,(12-DowntimeNew)/12,1),0)))),((F29-DATE(2026+9,5,1))/365.25)*G29*D29*(1+EscalatorInLease)^(9+M29)+((DATE(2027+9,4,30)-F29)/365.25)*IF(I29="Vacate",H29*D29*(1+GrowthMarketRent)^9*IF(INT((DATE(2026+9,10,31)-F29)/365.25)=0,(12-DowntimeNew)/12,1),IF(I29="Option",G29*D29*1.025*(1+EscalatorInLease)^9,IF(I29="Market",Retention*G29*D29*(1+EscalatorInLease)^(9+M29)+(1-Retention)*H29*D29*(1+GrowthMarketRent)^9*IF(INT((DATE(2026+9,10,31)-F29)/365.25)=0,(12-DowntimeNew)/12,1),IF(I29="LeaseUp",H29*D29*(1+GrowthMarketRent)^9*IF(9=0,(12-DowntimeNew)/12,1),0)))))))),0)</f>
        <v/>
      </c>
      <c r="X29" s="14">
        <f>IFERROR(IF(I29="LeaseUp",H29*D29*(1+GrowthMarketRent)^10*IF(10=0,(12-DowntimeNew)/12,1),IF(F29="",0,IF(F29&gt;=DATE(2027+10,4,30),G29*D29*(1+EscalatorInLease)^(10+M29),IF(F29&lt;DATE(2026+10,5,1),IF(I29="Vacate",H29*D29*(1+GrowthMarketRent)^10*IF(INT((DATE(2026+10,10,31)-F29)/365.25)=0,(12-DowntimeNew)/12,1),IF(I29="Option",G29*D29*1.025*(1+EscalatorInLease)^10,IF(I29="Market",Retention*G29*D29*(1+EscalatorInLease)^(10+M29)+(1-Retention)*H29*D29*(1+GrowthMarketRent)^10*IF(INT((DATE(2026+10,10,31)-F29)/365.25)=0,(12-DowntimeNew)/12,1),IF(I29="LeaseUp",H29*D29*(1+GrowthMarketRent)^10*IF(10=0,(12-DowntimeNew)/12,1),0)))),((F29-DATE(2026+10,5,1))/365.25)*G29*D29*(1+EscalatorInLease)^(10+M29)+((DATE(2027+10,4,30)-F29)/365.25)*IF(I29="Vacate",H29*D29*(1+GrowthMarketRent)^10*IF(INT((DATE(2026+10,10,31)-F29)/365.25)=0,(12-DowntimeNew)/12,1),IF(I29="Option",G29*D29*1.025*(1+EscalatorInLease)^10,IF(I29="Market",Retention*G29*D29*(1+EscalatorInLease)^(10+M29)+(1-Retention)*H29*D29*(1+GrowthMarketRent)^10*IF(INT((DATE(2026+10,10,31)-F29)/365.25)=0,(12-DowntimeNew)/12,1),IF(I29="LeaseUp",H29*D29*(1+GrowthMarketRent)^10*IF(10=0,(12-DowntimeNew)/12,1),0)))))))),0)</f>
        <v/>
      </c>
      <c r="Y29" s="14">
        <f>IFERROR(IF(AND(I29="LeaseUp",0=0),(IF(I29="Vacate",TINew*D29,IF(I29="Market",Retention*TIRenewal*D29+(1-Retention)*TINew*D29,IF(I29="LeaseUp",TINew*D29,IF(I29="Option",TIRenewal*D29,0)))))+(IF(I29="Vacate",LCNew*H29*D29*(1+GrowthMarketRent)^0,IF(I29="Market",Retention*LCRenewal*H29*D29*(1+GrowthMarketRent)^0+(1-Retention)*LCNew*H29*D29*(1+GrowthMarketRent)^0,IF(I29="LeaseUp",LCNew*H29*D29*(1+GrowthMarketRent)^0,IF(I29="Option",LCRenewal*H29*D29*(1+GrowthMarketRent)^0,0))))),IF(F29="",0,IF(AND(F29&gt;=DATE(2026+0,5,1),F29&lt;=DATE(2027+0,4,30)),(IF(I29="Vacate",TINew*D29,IF(I29="Market",Retention*TIRenewal*D29+(1-Retention)*TINew*D29,IF(I29="LeaseUp",TINew*D29,IF(I29="Option",TIRenewal*D29,0)))))+(IF(I29="Vacate",LCNew*H29*D29*(1+GrowthMarketRent)^0,IF(I29="Market",Retention*LCRenewal*H29*D29*(1+GrowthMarketRent)^0+(1-Retention)*LCNew*H29*D29*(1+GrowthMarketRent)^0,IF(I29="LeaseUp",LCNew*H29*D29*(1+GrowthMarketRent)^0,IF(I29="Option",LCRenewal*H29*D29*(1+GrowthMarketRent)^0,0))))),0))),0)</f>
        <v/>
      </c>
      <c r="Z29" s="14">
        <f>IFERROR(IF(AND(I29="LeaseUp",1=0),(IF(I29="Vacate",TINew*D29,IF(I29="Market",Retention*TIRenewal*D29+(1-Retention)*TINew*D29,IF(I29="LeaseUp",TINew*D29,IF(I29="Option",TIRenewal*D29,0)))))+(IF(I29="Vacate",LCNew*H29*D29*(1+GrowthMarketRent)^1,IF(I29="Market",Retention*LCRenewal*H29*D29*(1+GrowthMarketRent)^1+(1-Retention)*LCNew*H29*D29*(1+GrowthMarketRent)^1,IF(I29="LeaseUp",LCNew*H29*D29*(1+GrowthMarketRent)^1,IF(I29="Option",LCRenewal*H29*D29*(1+GrowthMarketRent)^1,0))))),IF(F29="",0,IF(AND(F29&gt;=DATE(2026+1,5,1),F29&lt;=DATE(2027+1,4,30)),(IF(I29="Vacate",TINew*D29,IF(I29="Market",Retention*TIRenewal*D29+(1-Retention)*TINew*D29,IF(I29="LeaseUp",TINew*D29,IF(I29="Option",TIRenewal*D29,0)))))+(IF(I29="Vacate",LCNew*H29*D29*(1+GrowthMarketRent)^1,IF(I29="Market",Retention*LCRenewal*H29*D29*(1+GrowthMarketRent)^1+(1-Retention)*LCNew*H29*D29*(1+GrowthMarketRent)^1,IF(I29="LeaseUp",LCNew*H29*D29*(1+GrowthMarketRent)^1,IF(I29="Option",LCRenewal*H29*D29*(1+GrowthMarketRent)^1,0))))),0))),0)</f>
        <v/>
      </c>
      <c r="AA29" s="14">
        <f>IFERROR(IF(AND(I29="LeaseUp",2=0),(IF(I29="Vacate",TINew*D29,IF(I29="Market",Retention*TIRenewal*D29+(1-Retention)*TINew*D29,IF(I29="LeaseUp",TINew*D29,IF(I29="Option",TIRenewal*D29,0)))))+(IF(I29="Vacate",LCNew*H29*D29*(1+GrowthMarketRent)^2,IF(I29="Market",Retention*LCRenewal*H29*D29*(1+GrowthMarketRent)^2+(1-Retention)*LCNew*H29*D29*(1+GrowthMarketRent)^2,IF(I29="LeaseUp",LCNew*H29*D29*(1+GrowthMarketRent)^2,IF(I29="Option",LCRenewal*H29*D29*(1+GrowthMarketRent)^2,0))))),IF(F29="",0,IF(AND(F29&gt;=DATE(2026+2,5,1),F29&lt;=DATE(2027+2,4,30)),(IF(I29="Vacate",TINew*D29,IF(I29="Market",Retention*TIRenewal*D29+(1-Retention)*TINew*D29,IF(I29="LeaseUp",TINew*D29,IF(I29="Option",TIRenewal*D29,0)))))+(IF(I29="Vacate",LCNew*H29*D29*(1+GrowthMarketRent)^2,IF(I29="Market",Retention*LCRenewal*H29*D29*(1+GrowthMarketRent)^2+(1-Retention)*LCNew*H29*D29*(1+GrowthMarketRent)^2,IF(I29="LeaseUp",LCNew*H29*D29*(1+GrowthMarketRent)^2,IF(I29="Option",LCRenewal*H29*D29*(1+GrowthMarketRent)^2,0))))),0))),0)</f>
        <v/>
      </c>
      <c r="AB29" s="14">
        <f>IFERROR(IF(AND(I29="LeaseUp",3=0),(IF(I29="Vacate",TINew*D29,IF(I29="Market",Retention*TIRenewal*D29+(1-Retention)*TINew*D29,IF(I29="LeaseUp",TINew*D29,IF(I29="Option",TIRenewal*D29,0)))))+(IF(I29="Vacate",LCNew*H29*D29*(1+GrowthMarketRent)^3,IF(I29="Market",Retention*LCRenewal*H29*D29*(1+GrowthMarketRent)^3+(1-Retention)*LCNew*H29*D29*(1+GrowthMarketRent)^3,IF(I29="LeaseUp",LCNew*H29*D29*(1+GrowthMarketRent)^3,IF(I29="Option",LCRenewal*H29*D29*(1+GrowthMarketRent)^3,0))))),IF(F29="",0,IF(AND(F29&gt;=DATE(2026+3,5,1),F29&lt;=DATE(2027+3,4,30)),(IF(I29="Vacate",TINew*D29,IF(I29="Market",Retention*TIRenewal*D29+(1-Retention)*TINew*D29,IF(I29="LeaseUp",TINew*D29,IF(I29="Option",TIRenewal*D29,0)))))+(IF(I29="Vacate",LCNew*H29*D29*(1+GrowthMarketRent)^3,IF(I29="Market",Retention*LCRenewal*H29*D29*(1+GrowthMarketRent)^3+(1-Retention)*LCNew*H29*D29*(1+GrowthMarketRent)^3,IF(I29="LeaseUp",LCNew*H29*D29*(1+GrowthMarketRent)^3,IF(I29="Option",LCRenewal*H29*D29*(1+GrowthMarketRent)^3,0))))),0))),0)</f>
        <v/>
      </c>
      <c r="AC29" s="14">
        <f>IFERROR(IF(AND(I29="LeaseUp",4=0),(IF(I29="Vacate",TINew*D29,IF(I29="Market",Retention*TIRenewal*D29+(1-Retention)*TINew*D29,IF(I29="LeaseUp",TINew*D29,IF(I29="Option",TIRenewal*D29,0)))))+(IF(I29="Vacate",LCNew*H29*D29*(1+GrowthMarketRent)^4,IF(I29="Market",Retention*LCRenewal*H29*D29*(1+GrowthMarketRent)^4+(1-Retention)*LCNew*H29*D29*(1+GrowthMarketRent)^4,IF(I29="LeaseUp",LCNew*H29*D29*(1+GrowthMarketRent)^4,IF(I29="Option",LCRenewal*H29*D29*(1+GrowthMarketRent)^4,0))))),IF(F29="",0,IF(AND(F29&gt;=DATE(2026+4,5,1),F29&lt;=DATE(2027+4,4,30)),(IF(I29="Vacate",TINew*D29,IF(I29="Market",Retention*TIRenewal*D29+(1-Retention)*TINew*D29,IF(I29="LeaseUp",TINew*D29,IF(I29="Option",TIRenewal*D29,0)))))+(IF(I29="Vacate",LCNew*H29*D29*(1+GrowthMarketRent)^4,IF(I29="Market",Retention*LCRenewal*H29*D29*(1+GrowthMarketRent)^4+(1-Retention)*LCNew*H29*D29*(1+GrowthMarketRent)^4,IF(I29="LeaseUp",LCNew*H29*D29*(1+GrowthMarketRent)^4,IF(I29="Option",LCRenewal*H29*D29*(1+GrowthMarketRent)^4,0))))),0))),0)</f>
        <v/>
      </c>
      <c r="AD29" s="14">
        <f>IFERROR(IF(AND(I29="LeaseUp",5=0),(IF(I29="Vacate",TINew*D29,IF(I29="Market",Retention*TIRenewal*D29+(1-Retention)*TINew*D29,IF(I29="LeaseUp",TINew*D29,IF(I29="Option",TIRenewal*D29,0)))))+(IF(I29="Vacate",LCNew*H29*D29*(1+GrowthMarketRent)^5,IF(I29="Market",Retention*LCRenewal*H29*D29*(1+GrowthMarketRent)^5+(1-Retention)*LCNew*H29*D29*(1+GrowthMarketRent)^5,IF(I29="LeaseUp",LCNew*H29*D29*(1+GrowthMarketRent)^5,IF(I29="Option",LCRenewal*H29*D29*(1+GrowthMarketRent)^5,0))))),IF(F29="",0,IF(AND(F29&gt;=DATE(2026+5,5,1),F29&lt;=DATE(2027+5,4,30)),(IF(I29="Vacate",TINew*D29,IF(I29="Market",Retention*TIRenewal*D29+(1-Retention)*TINew*D29,IF(I29="LeaseUp",TINew*D29,IF(I29="Option",TIRenewal*D29,0)))))+(IF(I29="Vacate",LCNew*H29*D29*(1+GrowthMarketRent)^5,IF(I29="Market",Retention*LCRenewal*H29*D29*(1+GrowthMarketRent)^5+(1-Retention)*LCNew*H29*D29*(1+GrowthMarketRent)^5,IF(I29="LeaseUp",LCNew*H29*D29*(1+GrowthMarketRent)^5,IF(I29="Option",LCRenewal*H29*D29*(1+GrowthMarketRent)^5,0))))),0))),0)</f>
        <v/>
      </c>
      <c r="AE29" s="14">
        <f>IFERROR(IF(AND(I29="LeaseUp",6=0),(IF(I29="Vacate",TINew*D29,IF(I29="Market",Retention*TIRenewal*D29+(1-Retention)*TINew*D29,IF(I29="LeaseUp",TINew*D29,IF(I29="Option",TIRenewal*D29,0)))))+(IF(I29="Vacate",LCNew*H29*D29*(1+GrowthMarketRent)^6,IF(I29="Market",Retention*LCRenewal*H29*D29*(1+GrowthMarketRent)^6+(1-Retention)*LCNew*H29*D29*(1+GrowthMarketRent)^6,IF(I29="LeaseUp",LCNew*H29*D29*(1+GrowthMarketRent)^6,IF(I29="Option",LCRenewal*H29*D29*(1+GrowthMarketRent)^6,0))))),IF(F29="",0,IF(AND(F29&gt;=DATE(2026+6,5,1),F29&lt;=DATE(2027+6,4,30)),(IF(I29="Vacate",TINew*D29,IF(I29="Market",Retention*TIRenewal*D29+(1-Retention)*TINew*D29,IF(I29="LeaseUp",TINew*D29,IF(I29="Option",TIRenewal*D29,0)))))+(IF(I29="Vacate",LCNew*H29*D29*(1+GrowthMarketRent)^6,IF(I29="Market",Retention*LCRenewal*H29*D29*(1+GrowthMarketRent)^6+(1-Retention)*LCNew*H29*D29*(1+GrowthMarketRent)^6,IF(I29="LeaseUp",LCNew*H29*D29*(1+GrowthMarketRent)^6,IF(I29="Option",LCRenewal*H29*D29*(1+GrowthMarketRent)^6,0))))),0))),0)</f>
        <v/>
      </c>
      <c r="AF29" s="14">
        <f>IFERROR(IF(AND(I29="LeaseUp",7=0),(IF(I29="Vacate",TINew*D29,IF(I29="Market",Retention*TIRenewal*D29+(1-Retention)*TINew*D29,IF(I29="LeaseUp",TINew*D29,IF(I29="Option",TIRenewal*D29,0)))))+(IF(I29="Vacate",LCNew*H29*D29*(1+GrowthMarketRent)^7,IF(I29="Market",Retention*LCRenewal*H29*D29*(1+GrowthMarketRent)^7+(1-Retention)*LCNew*H29*D29*(1+GrowthMarketRent)^7,IF(I29="LeaseUp",LCNew*H29*D29*(1+GrowthMarketRent)^7,IF(I29="Option",LCRenewal*H29*D29*(1+GrowthMarketRent)^7,0))))),IF(F29="",0,IF(AND(F29&gt;=DATE(2026+7,5,1),F29&lt;=DATE(2027+7,4,30)),(IF(I29="Vacate",TINew*D29,IF(I29="Market",Retention*TIRenewal*D29+(1-Retention)*TINew*D29,IF(I29="LeaseUp",TINew*D29,IF(I29="Option",TIRenewal*D29,0)))))+(IF(I29="Vacate",LCNew*H29*D29*(1+GrowthMarketRent)^7,IF(I29="Market",Retention*LCRenewal*H29*D29*(1+GrowthMarketRent)^7+(1-Retention)*LCNew*H29*D29*(1+GrowthMarketRent)^7,IF(I29="LeaseUp",LCNew*H29*D29*(1+GrowthMarketRent)^7,IF(I29="Option",LCRenewal*H29*D29*(1+GrowthMarketRent)^7,0))))),0))),0)</f>
        <v/>
      </c>
      <c r="AG29" s="14">
        <f>IFERROR(IF(AND(I29="LeaseUp",8=0),(IF(I29="Vacate",TINew*D29,IF(I29="Market",Retention*TIRenewal*D29+(1-Retention)*TINew*D29,IF(I29="LeaseUp",TINew*D29,IF(I29="Option",TIRenewal*D29,0)))))+(IF(I29="Vacate",LCNew*H29*D29*(1+GrowthMarketRent)^8,IF(I29="Market",Retention*LCRenewal*H29*D29*(1+GrowthMarketRent)^8+(1-Retention)*LCNew*H29*D29*(1+GrowthMarketRent)^8,IF(I29="LeaseUp",LCNew*H29*D29*(1+GrowthMarketRent)^8,IF(I29="Option",LCRenewal*H29*D29*(1+GrowthMarketRent)^8,0))))),IF(F29="",0,IF(AND(F29&gt;=DATE(2026+8,5,1),F29&lt;=DATE(2027+8,4,30)),(IF(I29="Vacate",TINew*D29,IF(I29="Market",Retention*TIRenewal*D29+(1-Retention)*TINew*D29,IF(I29="LeaseUp",TINew*D29,IF(I29="Option",TIRenewal*D29,0)))))+(IF(I29="Vacate",LCNew*H29*D29*(1+GrowthMarketRent)^8,IF(I29="Market",Retention*LCRenewal*H29*D29*(1+GrowthMarketRent)^8+(1-Retention)*LCNew*H29*D29*(1+GrowthMarketRent)^8,IF(I29="LeaseUp",LCNew*H29*D29*(1+GrowthMarketRent)^8,IF(I29="Option",LCRenewal*H29*D29*(1+GrowthMarketRent)^8,0))))),0))),0)</f>
        <v/>
      </c>
      <c r="AH29" s="14">
        <f>IFERROR(IF(AND(I29="LeaseUp",9=0),(IF(I29="Vacate",TINew*D29,IF(I29="Market",Retention*TIRenewal*D29+(1-Retention)*TINew*D29,IF(I29="LeaseUp",TINew*D29,IF(I29="Option",TIRenewal*D29,0)))))+(IF(I29="Vacate",LCNew*H29*D29*(1+GrowthMarketRent)^9,IF(I29="Market",Retention*LCRenewal*H29*D29*(1+GrowthMarketRent)^9+(1-Retention)*LCNew*H29*D29*(1+GrowthMarketRent)^9,IF(I29="LeaseUp",LCNew*H29*D29*(1+GrowthMarketRent)^9,IF(I29="Option",LCRenewal*H29*D29*(1+GrowthMarketRent)^9,0))))),IF(F29="",0,IF(AND(F29&gt;=DATE(2026+9,5,1),F29&lt;=DATE(2027+9,4,30)),(IF(I29="Vacate",TINew*D29,IF(I29="Market",Retention*TIRenewal*D29+(1-Retention)*TINew*D29,IF(I29="LeaseUp",TINew*D29,IF(I29="Option",TIRenewal*D29,0)))))+(IF(I29="Vacate",LCNew*H29*D29*(1+GrowthMarketRent)^9,IF(I29="Market",Retention*LCRenewal*H29*D29*(1+GrowthMarketRent)^9+(1-Retention)*LCNew*H29*D29*(1+GrowthMarketRent)^9,IF(I29="LeaseUp",LCNew*H29*D29*(1+GrowthMarketRent)^9,IF(I29="Option",LCRenewal*H29*D29*(1+GrowthMarketRent)^9,0))))),0))),0)</f>
        <v/>
      </c>
      <c r="AI29" s="14">
        <f>IFERROR(IF(AND(I29="LeaseUp",10=0),(IF(I29="Vacate",TINew*D29,IF(I29="Market",Retention*TIRenewal*D29+(1-Retention)*TINew*D29,IF(I29="LeaseUp",TINew*D29,IF(I29="Option",TIRenewal*D29,0)))))+(IF(I29="Vacate",LCNew*H29*D29*(1+GrowthMarketRent)^10,IF(I29="Market",Retention*LCRenewal*H29*D29*(1+GrowthMarketRent)^10+(1-Retention)*LCNew*H29*D29*(1+GrowthMarketRent)^10,IF(I29="LeaseUp",LCNew*H29*D29*(1+GrowthMarketRent)^10,IF(I29="Option",LCRenewal*H29*D29*(1+GrowthMarketRent)^10,0))))),IF(F29="",0,IF(AND(F29&gt;=DATE(2026+10,5,1),F29&lt;=DATE(2027+10,4,30)),(IF(I29="Vacate",TINew*D29,IF(I29="Market",Retention*TIRenewal*D29+(1-Retention)*TINew*D29,IF(I29="LeaseUp",TINew*D29,IF(I29="Option",TIRenewal*D29,0)))))+(IF(I29="Vacate",LCNew*H29*D29*(1+GrowthMarketRent)^10,IF(I29="Market",Retention*LCRenewal*H29*D29*(1+GrowthMarketRent)^10+(1-Retention)*LCNew*H29*D29*(1+GrowthMarketRent)^10,IF(I29="LeaseUp",LCNew*H29*D29*(1+GrowthMarketRent)^10,IF(I29="Option",LCRenewal*H29*D29*(1+GrowthMarketRent)^10,0))))),0))),0)</f>
        <v/>
      </c>
    </row>
    <row r="30">
      <c r="A30" t="inlineStr">
        <is>
          <t>Carrollton</t>
        </is>
      </c>
      <c r="B30" t="inlineStr">
        <is>
          <t>332</t>
        </is>
      </c>
      <c r="C30" t="inlineStr">
        <is>
          <t>VACANT</t>
        </is>
      </c>
      <c r="D30" s="32" t="n">
        <v>1870</v>
      </c>
      <c r="G30" s="34" t="n">
        <v>0</v>
      </c>
      <c r="H30" s="16">
        <f>VLOOKUP("Carrollton — "&amp;J30,MLA!$A$5:$L$11,3,FALSE)</f>
        <v/>
      </c>
      <c r="I30" s="11" t="inlineStr">
        <is>
          <t>LeaseUp</t>
        </is>
      </c>
      <c r="J30" t="inlineStr">
        <is>
          <t>Studio</t>
        </is>
      </c>
      <c r="K30" t="inlineStr">
        <is>
          <t>Vacant</t>
        </is>
      </c>
      <c r="L30" t="inlineStr">
        <is>
          <t>Studio; future lease-up Sep-2026 in OM</t>
        </is>
      </c>
      <c r="M30" s="20">
        <f>IF(E30="",0,(AnalysisStart-E30)/365.25)</f>
        <v/>
      </c>
      <c r="N30" s="14">
        <f>IFERROR(IF(I30="LeaseUp",H30*D30*(1+GrowthMarketRent)^0*IF(0=0,(12-DowntimeNew)/12,1),IF(F30="",0,IF(F30&gt;=DATE(2027+0,4,30),G30*D30*(1+EscalatorInLease)^(0+M30),IF(F30&lt;DATE(2026+0,5,1),IF(I30="Vacate",H30*D30*(1+GrowthMarketRent)^0*IF(INT((DATE(2026+0,10,31)-F30)/365.25)=0,(12-DowntimeNew)/12,1),IF(I30="Option",G30*D30*1.025*(1+EscalatorInLease)^0,IF(I30="Market",Retention*G30*D30*(1+EscalatorInLease)^(0+M30)+(1-Retention)*H30*D30*(1+GrowthMarketRent)^0*IF(INT((DATE(2026+0,10,31)-F30)/365.25)=0,(12-DowntimeNew)/12,1),IF(I30="LeaseUp",H30*D30*(1+GrowthMarketRent)^0*IF(0=0,(12-DowntimeNew)/12,1),0)))),((F30-DATE(2026+0,5,1))/365.25)*G30*D30*(1+EscalatorInLease)^(0+M30)+((DATE(2027+0,4,30)-F30)/365.25)*IF(I30="Vacate",H30*D30*(1+GrowthMarketRent)^0*IF(INT((DATE(2026+0,10,31)-F30)/365.25)=0,(12-DowntimeNew)/12,1),IF(I30="Option",G30*D30*1.025*(1+EscalatorInLease)^0,IF(I30="Market",Retention*G30*D30*(1+EscalatorInLease)^(0+M30)+(1-Retention)*H30*D30*(1+GrowthMarketRent)^0*IF(INT((DATE(2026+0,10,31)-F30)/365.25)=0,(12-DowntimeNew)/12,1),IF(I30="LeaseUp",H30*D30*(1+GrowthMarketRent)^0*IF(0=0,(12-DowntimeNew)/12,1),0)))))))),0)</f>
        <v/>
      </c>
      <c r="O30" s="14">
        <f>IFERROR(IF(I30="LeaseUp",H30*D30*(1+GrowthMarketRent)^1*IF(1=0,(12-DowntimeNew)/12,1),IF(F30="",0,IF(F30&gt;=DATE(2027+1,4,30),G30*D30*(1+EscalatorInLease)^(1+M30),IF(F30&lt;DATE(2026+1,5,1),IF(I30="Vacate",H30*D30*(1+GrowthMarketRent)^1*IF(INT((DATE(2026+1,10,31)-F30)/365.25)=0,(12-DowntimeNew)/12,1),IF(I30="Option",G30*D30*1.025*(1+EscalatorInLease)^1,IF(I30="Market",Retention*G30*D30*(1+EscalatorInLease)^(1+M30)+(1-Retention)*H30*D30*(1+GrowthMarketRent)^1*IF(INT((DATE(2026+1,10,31)-F30)/365.25)=0,(12-DowntimeNew)/12,1),IF(I30="LeaseUp",H30*D30*(1+GrowthMarketRent)^1*IF(1=0,(12-DowntimeNew)/12,1),0)))),((F30-DATE(2026+1,5,1))/365.25)*G30*D30*(1+EscalatorInLease)^(1+M30)+((DATE(2027+1,4,30)-F30)/365.25)*IF(I30="Vacate",H30*D30*(1+GrowthMarketRent)^1*IF(INT((DATE(2026+1,10,31)-F30)/365.25)=0,(12-DowntimeNew)/12,1),IF(I30="Option",G30*D30*1.025*(1+EscalatorInLease)^1,IF(I30="Market",Retention*G30*D30*(1+EscalatorInLease)^(1+M30)+(1-Retention)*H30*D30*(1+GrowthMarketRent)^1*IF(INT((DATE(2026+1,10,31)-F30)/365.25)=0,(12-DowntimeNew)/12,1),IF(I30="LeaseUp",H30*D30*(1+GrowthMarketRent)^1*IF(1=0,(12-DowntimeNew)/12,1),0)))))))),0)</f>
        <v/>
      </c>
      <c r="P30" s="14">
        <f>IFERROR(IF(I30="LeaseUp",H30*D30*(1+GrowthMarketRent)^2*IF(2=0,(12-DowntimeNew)/12,1),IF(F30="",0,IF(F30&gt;=DATE(2027+2,4,30),G30*D30*(1+EscalatorInLease)^(2+M30),IF(F30&lt;DATE(2026+2,5,1),IF(I30="Vacate",H30*D30*(1+GrowthMarketRent)^2*IF(INT((DATE(2026+2,10,31)-F30)/365.25)=0,(12-DowntimeNew)/12,1),IF(I30="Option",G30*D30*1.025*(1+EscalatorInLease)^2,IF(I30="Market",Retention*G30*D30*(1+EscalatorInLease)^(2+M30)+(1-Retention)*H30*D30*(1+GrowthMarketRent)^2*IF(INT((DATE(2026+2,10,31)-F30)/365.25)=0,(12-DowntimeNew)/12,1),IF(I30="LeaseUp",H30*D30*(1+GrowthMarketRent)^2*IF(2=0,(12-DowntimeNew)/12,1),0)))),((F30-DATE(2026+2,5,1))/365.25)*G30*D30*(1+EscalatorInLease)^(2+M30)+((DATE(2027+2,4,30)-F30)/365.25)*IF(I30="Vacate",H30*D30*(1+GrowthMarketRent)^2*IF(INT((DATE(2026+2,10,31)-F30)/365.25)=0,(12-DowntimeNew)/12,1),IF(I30="Option",G30*D30*1.025*(1+EscalatorInLease)^2,IF(I30="Market",Retention*G30*D30*(1+EscalatorInLease)^(2+M30)+(1-Retention)*H30*D30*(1+GrowthMarketRent)^2*IF(INT((DATE(2026+2,10,31)-F30)/365.25)=0,(12-DowntimeNew)/12,1),IF(I30="LeaseUp",H30*D30*(1+GrowthMarketRent)^2*IF(2=0,(12-DowntimeNew)/12,1),0)))))))),0)</f>
        <v/>
      </c>
      <c r="Q30" s="14">
        <f>IFERROR(IF(I30="LeaseUp",H30*D30*(1+GrowthMarketRent)^3*IF(3=0,(12-DowntimeNew)/12,1),IF(F30="",0,IF(F30&gt;=DATE(2027+3,4,30),G30*D30*(1+EscalatorInLease)^(3+M30),IF(F30&lt;DATE(2026+3,5,1),IF(I30="Vacate",H30*D30*(1+GrowthMarketRent)^3*IF(INT((DATE(2026+3,10,31)-F30)/365.25)=0,(12-DowntimeNew)/12,1),IF(I30="Option",G30*D30*1.025*(1+EscalatorInLease)^3,IF(I30="Market",Retention*G30*D30*(1+EscalatorInLease)^(3+M30)+(1-Retention)*H30*D30*(1+GrowthMarketRent)^3*IF(INT((DATE(2026+3,10,31)-F30)/365.25)=0,(12-DowntimeNew)/12,1),IF(I30="LeaseUp",H30*D30*(1+GrowthMarketRent)^3*IF(3=0,(12-DowntimeNew)/12,1),0)))),((F30-DATE(2026+3,5,1))/365.25)*G30*D30*(1+EscalatorInLease)^(3+M30)+((DATE(2027+3,4,30)-F30)/365.25)*IF(I30="Vacate",H30*D30*(1+GrowthMarketRent)^3*IF(INT((DATE(2026+3,10,31)-F30)/365.25)=0,(12-DowntimeNew)/12,1),IF(I30="Option",G30*D30*1.025*(1+EscalatorInLease)^3,IF(I30="Market",Retention*G30*D30*(1+EscalatorInLease)^(3+M30)+(1-Retention)*H30*D30*(1+GrowthMarketRent)^3*IF(INT((DATE(2026+3,10,31)-F30)/365.25)=0,(12-DowntimeNew)/12,1),IF(I30="LeaseUp",H30*D30*(1+GrowthMarketRent)^3*IF(3=0,(12-DowntimeNew)/12,1),0)))))))),0)</f>
        <v/>
      </c>
      <c r="R30" s="14">
        <f>IFERROR(IF(I30="LeaseUp",H30*D30*(1+GrowthMarketRent)^4*IF(4=0,(12-DowntimeNew)/12,1),IF(F30="",0,IF(F30&gt;=DATE(2027+4,4,30),G30*D30*(1+EscalatorInLease)^(4+M30),IF(F30&lt;DATE(2026+4,5,1),IF(I30="Vacate",H30*D30*(1+GrowthMarketRent)^4*IF(INT((DATE(2026+4,10,31)-F30)/365.25)=0,(12-DowntimeNew)/12,1),IF(I30="Option",G30*D30*1.025*(1+EscalatorInLease)^4,IF(I30="Market",Retention*G30*D30*(1+EscalatorInLease)^(4+M30)+(1-Retention)*H30*D30*(1+GrowthMarketRent)^4*IF(INT((DATE(2026+4,10,31)-F30)/365.25)=0,(12-DowntimeNew)/12,1),IF(I30="LeaseUp",H30*D30*(1+GrowthMarketRent)^4*IF(4=0,(12-DowntimeNew)/12,1),0)))),((F30-DATE(2026+4,5,1))/365.25)*G30*D30*(1+EscalatorInLease)^(4+M30)+((DATE(2027+4,4,30)-F30)/365.25)*IF(I30="Vacate",H30*D30*(1+GrowthMarketRent)^4*IF(INT((DATE(2026+4,10,31)-F30)/365.25)=0,(12-DowntimeNew)/12,1),IF(I30="Option",G30*D30*1.025*(1+EscalatorInLease)^4,IF(I30="Market",Retention*G30*D30*(1+EscalatorInLease)^(4+M30)+(1-Retention)*H30*D30*(1+GrowthMarketRent)^4*IF(INT((DATE(2026+4,10,31)-F30)/365.25)=0,(12-DowntimeNew)/12,1),IF(I30="LeaseUp",H30*D30*(1+GrowthMarketRent)^4*IF(4=0,(12-DowntimeNew)/12,1),0)))))))),0)</f>
        <v/>
      </c>
      <c r="S30" s="14">
        <f>IFERROR(IF(I30="LeaseUp",H30*D30*(1+GrowthMarketRent)^5*IF(5=0,(12-DowntimeNew)/12,1),IF(F30="",0,IF(F30&gt;=DATE(2027+5,4,30),G30*D30*(1+EscalatorInLease)^(5+M30),IF(F30&lt;DATE(2026+5,5,1),IF(I30="Vacate",H30*D30*(1+GrowthMarketRent)^5*IF(INT((DATE(2026+5,10,31)-F30)/365.25)=0,(12-DowntimeNew)/12,1),IF(I30="Option",G30*D30*1.025*(1+EscalatorInLease)^5,IF(I30="Market",Retention*G30*D30*(1+EscalatorInLease)^(5+M30)+(1-Retention)*H30*D30*(1+GrowthMarketRent)^5*IF(INT((DATE(2026+5,10,31)-F30)/365.25)=0,(12-DowntimeNew)/12,1),IF(I30="LeaseUp",H30*D30*(1+GrowthMarketRent)^5*IF(5=0,(12-DowntimeNew)/12,1),0)))),((F30-DATE(2026+5,5,1))/365.25)*G30*D30*(1+EscalatorInLease)^(5+M30)+((DATE(2027+5,4,30)-F30)/365.25)*IF(I30="Vacate",H30*D30*(1+GrowthMarketRent)^5*IF(INT((DATE(2026+5,10,31)-F30)/365.25)=0,(12-DowntimeNew)/12,1),IF(I30="Option",G30*D30*1.025*(1+EscalatorInLease)^5,IF(I30="Market",Retention*G30*D30*(1+EscalatorInLease)^(5+M30)+(1-Retention)*H30*D30*(1+GrowthMarketRent)^5*IF(INT((DATE(2026+5,10,31)-F30)/365.25)=0,(12-DowntimeNew)/12,1),IF(I30="LeaseUp",H30*D30*(1+GrowthMarketRent)^5*IF(5=0,(12-DowntimeNew)/12,1),0)))))))),0)</f>
        <v/>
      </c>
      <c r="T30" s="14">
        <f>IFERROR(IF(I30="LeaseUp",H30*D30*(1+GrowthMarketRent)^6*IF(6=0,(12-DowntimeNew)/12,1),IF(F30="",0,IF(F30&gt;=DATE(2027+6,4,30),G30*D30*(1+EscalatorInLease)^(6+M30),IF(F30&lt;DATE(2026+6,5,1),IF(I30="Vacate",H30*D30*(1+GrowthMarketRent)^6*IF(INT((DATE(2026+6,10,31)-F30)/365.25)=0,(12-DowntimeNew)/12,1),IF(I30="Option",G30*D30*1.025*(1+EscalatorInLease)^6,IF(I30="Market",Retention*G30*D30*(1+EscalatorInLease)^(6+M30)+(1-Retention)*H30*D30*(1+GrowthMarketRent)^6*IF(INT((DATE(2026+6,10,31)-F30)/365.25)=0,(12-DowntimeNew)/12,1),IF(I30="LeaseUp",H30*D30*(1+GrowthMarketRent)^6*IF(6=0,(12-DowntimeNew)/12,1),0)))),((F30-DATE(2026+6,5,1))/365.25)*G30*D30*(1+EscalatorInLease)^(6+M30)+((DATE(2027+6,4,30)-F30)/365.25)*IF(I30="Vacate",H30*D30*(1+GrowthMarketRent)^6*IF(INT((DATE(2026+6,10,31)-F30)/365.25)=0,(12-DowntimeNew)/12,1),IF(I30="Option",G30*D30*1.025*(1+EscalatorInLease)^6,IF(I30="Market",Retention*G30*D30*(1+EscalatorInLease)^(6+M30)+(1-Retention)*H30*D30*(1+GrowthMarketRent)^6*IF(INT((DATE(2026+6,10,31)-F30)/365.25)=0,(12-DowntimeNew)/12,1),IF(I30="LeaseUp",H30*D30*(1+GrowthMarketRent)^6*IF(6=0,(12-DowntimeNew)/12,1),0)))))))),0)</f>
        <v/>
      </c>
      <c r="U30" s="14">
        <f>IFERROR(IF(I30="LeaseUp",H30*D30*(1+GrowthMarketRent)^7*IF(7=0,(12-DowntimeNew)/12,1),IF(F30="",0,IF(F30&gt;=DATE(2027+7,4,30),G30*D30*(1+EscalatorInLease)^(7+M30),IF(F30&lt;DATE(2026+7,5,1),IF(I30="Vacate",H30*D30*(1+GrowthMarketRent)^7*IF(INT((DATE(2026+7,10,31)-F30)/365.25)=0,(12-DowntimeNew)/12,1),IF(I30="Option",G30*D30*1.025*(1+EscalatorInLease)^7,IF(I30="Market",Retention*G30*D30*(1+EscalatorInLease)^(7+M30)+(1-Retention)*H30*D30*(1+GrowthMarketRent)^7*IF(INT((DATE(2026+7,10,31)-F30)/365.25)=0,(12-DowntimeNew)/12,1),IF(I30="LeaseUp",H30*D30*(1+GrowthMarketRent)^7*IF(7=0,(12-DowntimeNew)/12,1),0)))),((F30-DATE(2026+7,5,1))/365.25)*G30*D30*(1+EscalatorInLease)^(7+M30)+((DATE(2027+7,4,30)-F30)/365.25)*IF(I30="Vacate",H30*D30*(1+GrowthMarketRent)^7*IF(INT((DATE(2026+7,10,31)-F30)/365.25)=0,(12-DowntimeNew)/12,1),IF(I30="Option",G30*D30*1.025*(1+EscalatorInLease)^7,IF(I30="Market",Retention*G30*D30*(1+EscalatorInLease)^(7+M30)+(1-Retention)*H30*D30*(1+GrowthMarketRent)^7*IF(INT((DATE(2026+7,10,31)-F30)/365.25)=0,(12-DowntimeNew)/12,1),IF(I30="LeaseUp",H30*D30*(1+GrowthMarketRent)^7*IF(7=0,(12-DowntimeNew)/12,1),0)))))))),0)</f>
        <v/>
      </c>
      <c r="V30" s="14">
        <f>IFERROR(IF(I30="LeaseUp",H30*D30*(1+GrowthMarketRent)^8*IF(8=0,(12-DowntimeNew)/12,1),IF(F30="",0,IF(F30&gt;=DATE(2027+8,4,30),G30*D30*(1+EscalatorInLease)^(8+M30),IF(F30&lt;DATE(2026+8,5,1),IF(I30="Vacate",H30*D30*(1+GrowthMarketRent)^8*IF(INT((DATE(2026+8,10,31)-F30)/365.25)=0,(12-DowntimeNew)/12,1),IF(I30="Option",G30*D30*1.025*(1+EscalatorInLease)^8,IF(I30="Market",Retention*G30*D30*(1+EscalatorInLease)^(8+M30)+(1-Retention)*H30*D30*(1+GrowthMarketRent)^8*IF(INT((DATE(2026+8,10,31)-F30)/365.25)=0,(12-DowntimeNew)/12,1),IF(I30="LeaseUp",H30*D30*(1+GrowthMarketRent)^8*IF(8=0,(12-DowntimeNew)/12,1),0)))),((F30-DATE(2026+8,5,1))/365.25)*G30*D30*(1+EscalatorInLease)^(8+M30)+((DATE(2027+8,4,30)-F30)/365.25)*IF(I30="Vacate",H30*D30*(1+GrowthMarketRent)^8*IF(INT((DATE(2026+8,10,31)-F30)/365.25)=0,(12-DowntimeNew)/12,1),IF(I30="Option",G30*D30*1.025*(1+EscalatorInLease)^8,IF(I30="Market",Retention*G30*D30*(1+EscalatorInLease)^(8+M30)+(1-Retention)*H30*D30*(1+GrowthMarketRent)^8*IF(INT((DATE(2026+8,10,31)-F30)/365.25)=0,(12-DowntimeNew)/12,1),IF(I30="LeaseUp",H30*D30*(1+GrowthMarketRent)^8*IF(8=0,(12-DowntimeNew)/12,1),0)))))))),0)</f>
        <v/>
      </c>
      <c r="W30" s="14">
        <f>IFERROR(IF(I30="LeaseUp",H30*D30*(1+GrowthMarketRent)^9*IF(9=0,(12-DowntimeNew)/12,1),IF(F30="",0,IF(F30&gt;=DATE(2027+9,4,30),G30*D30*(1+EscalatorInLease)^(9+M30),IF(F30&lt;DATE(2026+9,5,1),IF(I30="Vacate",H30*D30*(1+GrowthMarketRent)^9*IF(INT((DATE(2026+9,10,31)-F30)/365.25)=0,(12-DowntimeNew)/12,1),IF(I30="Option",G30*D30*1.025*(1+EscalatorInLease)^9,IF(I30="Market",Retention*G30*D30*(1+EscalatorInLease)^(9+M30)+(1-Retention)*H30*D30*(1+GrowthMarketRent)^9*IF(INT((DATE(2026+9,10,31)-F30)/365.25)=0,(12-DowntimeNew)/12,1),IF(I30="LeaseUp",H30*D30*(1+GrowthMarketRent)^9*IF(9=0,(12-DowntimeNew)/12,1),0)))),((F30-DATE(2026+9,5,1))/365.25)*G30*D30*(1+EscalatorInLease)^(9+M30)+((DATE(2027+9,4,30)-F30)/365.25)*IF(I30="Vacate",H30*D30*(1+GrowthMarketRent)^9*IF(INT((DATE(2026+9,10,31)-F30)/365.25)=0,(12-DowntimeNew)/12,1),IF(I30="Option",G30*D30*1.025*(1+EscalatorInLease)^9,IF(I30="Market",Retention*G30*D30*(1+EscalatorInLease)^(9+M30)+(1-Retention)*H30*D30*(1+GrowthMarketRent)^9*IF(INT((DATE(2026+9,10,31)-F30)/365.25)=0,(12-DowntimeNew)/12,1),IF(I30="LeaseUp",H30*D30*(1+GrowthMarketRent)^9*IF(9=0,(12-DowntimeNew)/12,1),0)))))))),0)</f>
        <v/>
      </c>
      <c r="X30" s="14">
        <f>IFERROR(IF(I30="LeaseUp",H30*D30*(1+GrowthMarketRent)^10*IF(10=0,(12-DowntimeNew)/12,1),IF(F30="",0,IF(F30&gt;=DATE(2027+10,4,30),G30*D30*(1+EscalatorInLease)^(10+M30),IF(F30&lt;DATE(2026+10,5,1),IF(I30="Vacate",H30*D30*(1+GrowthMarketRent)^10*IF(INT((DATE(2026+10,10,31)-F30)/365.25)=0,(12-DowntimeNew)/12,1),IF(I30="Option",G30*D30*1.025*(1+EscalatorInLease)^10,IF(I30="Market",Retention*G30*D30*(1+EscalatorInLease)^(10+M30)+(1-Retention)*H30*D30*(1+GrowthMarketRent)^10*IF(INT((DATE(2026+10,10,31)-F30)/365.25)=0,(12-DowntimeNew)/12,1),IF(I30="LeaseUp",H30*D30*(1+GrowthMarketRent)^10*IF(10=0,(12-DowntimeNew)/12,1),0)))),((F30-DATE(2026+10,5,1))/365.25)*G30*D30*(1+EscalatorInLease)^(10+M30)+((DATE(2027+10,4,30)-F30)/365.25)*IF(I30="Vacate",H30*D30*(1+GrowthMarketRent)^10*IF(INT((DATE(2026+10,10,31)-F30)/365.25)=0,(12-DowntimeNew)/12,1),IF(I30="Option",G30*D30*1.025*(1+EscalatorInLease)^10,IF(I30="Market",Retention*G30*D30*(1+EscalatorInLease)^(10+M30)+(1-Retention)*H30*D30*(1+GrowthMarketRent)^10*IF(INT((DATE(2026+10,10,31)-F30)/365.25)=0,(12-DowntimeNew)/12,1),IF(I30="LeaseUp",H30*D30*(1+GrowthMarketRent)^10*IF(10=0,(12-DowntimeNew)/12,1),0)))))))),0)</f>
        <v/>
      </c>
      <c r="Y30" s="14">
        <f>IFERROR(IF(AND(I30="LeaseUp",0=0),(IF(I30="Vacate",TINew*D30,IF(I30="Market",Retention*TIRenewal*D30+(1-Retention)*TINew*D30,IF(I30="LeaseUp",TINew*D30,IF(I30="Option",TIRenewal*D30,0)))))+(IF(I30="Vacate",LCNew*H30*D30*(1+GrowthMarketRent)^0,IF(I30="Market",Retention*LCRenewal*H30*D30*(1+GrowthMarketRent)^0+(1-Retention)*LCNew*H30*D30*(1+GrowthMarketRent)^0,IF(I30="LeaseUp",LCNew*H30*D30*(1+GrowthMarketRent)^0,IF(I30="Option",LCRenewal*H30*D30*(1+GrowthMarketRent)^0,0))))),IF(F30="",0,IF(AND(F30&gt;=DATE(2026+0,5,1),F30&lt;=DATE(2027+0,4,30)),(IF(I30="Vacate",TINew*D30,IF(I30="Market",Retention*TIRenewal*D30+(1-Retention)*TINew*D30,IF(I30="LeaseUp",TINew*D30,IF(I30="Option",TIRenewal*D30,0)))))+(IF(I30="Vacate",LCNew*H30*D30*(1+GrowthMarketRent)^0,IF(I30="Market",Retention*LCRenewal*H30*D30*(1+GrowthMarketRent)^0+(1-Retention)*LCNew*H30*D30*(1+GrowthMarketRent)^0,IF(I30="LeaseUp",LCNew*H30*D30*(1+GrowthMarketRent)^0,IF(I30="Option",LCRenewal*H30*D30*(1+GrowthMarketRent)^0,0))))),0))),0)</f>
        <v/>
      </c>
      <c r="Z30" s="14">
        <f>IFERROR(IF(AND(I30="LeaseUp",1=0),(IF(I30="Vacate",TINew*D30,IF(I30="Market",Retention*TIRenewal*D30+(1-Retention)*TINew*D30,IF(I30="LeaseUp",TINew*D30,IF(I30="Option",TIRenewal*D30,0)))))+(IF(I30="Vacate",LCNew*H30*D30*(1+GrowthMarketRent)^1,IF(I30="Market",Retention*LCRenewal*H30*D30*(1+GrowthMarketRent)^1+(1-Retention)*LCNew*H30*D30*(1+GrowthMarketRent)^1,IF(I30="LeaseUp",LCNew*H30*D30*(1+GrowthMarketRent)^1,IF(I30="Option",LCRenewal*H30*D30*(1+GrowthMarketRent)^1,0))))),IF(F30="",0,IF(AND(F30&gt;=DATE(2026+1,5,1),F30&lt;=DATE(2027+1,4,30)),(IF(I30="Vacate",TINew*D30,IF(I30="Market",Retention*TIRenewal*D30+(1-Retention)*TINew*D30,IF(I30="LeaseUp",TINew*D30,IF(I30="Option",TIRenewal*D30,0)))))+(IF(I30="Vacate",LCNew*H30*D30*(1+GrowthMarketRent)^1,IF(I30="Market",Retention*LCRenewal*H30*D30*(1+GrowthMarketRent)^1+(1-Retention)*LCNew*H30*D30*(1+GrowthMarketRent)^1,IF(I30="LeaseUp",LCNew*H30*D30*(1+GrowthMarketRent)^1,IF(I30="Option",LCRenewal*H30*D30*(1+GrowthMarketRent)^1,0))))),0))),0)</f>
        <v/>
      </c>
      <c r="AA30" s="14">
        <f>IFERROR(IF(AND(I30="LeaseUp",2=0),(IF(I30="Vacate",TINew*D30,IF(I30="Market",Retention*TIRenewal*D30+(1-Retention)*TINew*D30,IF(I30="LeaseUp",TINew*D30,IF(I30="Option",TIRenewal*D30,0)))))+(IF(I30="Vacate",LCNew*H30*D30*(1+GrowthMarketRent)^2,IF(I30="Market",Retention*LCRenewal*H30*D30*(1+GrowthMarketRent)^2+(1-Retention)*LCNew*H30*D30*(1+GrowthMarketRent)^2,IF(I30="LeaseUp",LCNew*H30*D30*(1+GrowthMarketRent)^2,IF(I30="Option",LCRenewal*H30*D30*(1+GrowthMarketRent)^2,0))))),IF(F30="",0,IF(AND(F30&gt;=DATE(2026+2,5,1),F30&lt;=DATE(2027+2,4,30)),(IF(I30="Vacate",TINew*D30,IF(I30="Market",Retention*TIRenewal*D30+(1-Retention)*TINew*D30,IF(I30="LeaseUp",TINew*D30,IF(I30="Option",TIRenewal*D30,0)))))+(IF(I30="Vacate",LCNew*H30*D30*(1+GrowthMarketRent)^2,IF(I30="Market",Retention*LCRenewal*H30*D30*(1+GrowthMarketRent)^2+(1-Retention)*LCNew*H30*D30*(1+GrowthMarketRent)^2,IF(I30="LeaseUp",LCNew*H30*D30*(1+GrowthMarketRent)^2,IF(I30="Option",LCRenewal*H30*D30*(1+GrowthMarketRent)^2,0))))),0))),0)</f>
        <v/>
      </c>
      <c r="AB30" s="14">
        <f>IFERROR(IF(AND(I30="LeaseUp",3=0),(IF(I30="Vacate",TINew*D30,IF(I30="Market",Retention*TIRenewal*D30+(1-Retention)*TINew*D30,IF(I30="LeaseUp",TINew*D30,IF(I30="Option",TIRenewal*D30,0)))))+(IF(I30="Vacate",LCNew*H30*D30*(1+GrowthMarketRent)^3,IF(I30="Market",Retention*LCRenewal*H30*D30*(1+GrowthMarketRent)^3+(1-Retention)*LCNew*H30*D30*(1+GrowthMarketRent)^3,IF(I30="LeaseUp",LCNew*H30*D30*(1+GrowthMarketRent)^3,IF(I30="Option",LCRenewal*H30*D30*(1+GrowthMarketRent)^3,0))))),IF(F30="",0,IF(AND(F30&gt;=DATE(2026+3,5,1),F30&lt;=DATE(2027+3,4,30)),(IF(I30="Vacate",TINew*D30,IF(I30="Market",Retention*TIRenewal*D30+(1-Retention)*TINew*D30,IF(I30="LeaseUp",TINew*D30,IF(I30="Option",TIRenewal*D30,0)))))+(IF(I30="Vacate",LCNew*H30*D30*(1+GrowthMarketRent)^3,IF(I30="Market",Retention*LCRenewal*H30*D30*(1+GrowthMarketRent)^3+(1-Retention)*LCNew*H30*D30*(1+GrowthMarketRent)^3,IF(I30="LeaseUp",LCNew*H30*D30*(1+GrowthMarketRent)^3,IF(I30="Option",LCRenewal*H30*D30*(1+GrowthMarketRent)^3,0))))),0))),0)</f>
        <v/>
      </c>
      <c r="AC30" s="14">
        <f>IFERROR(IF(AND(I30="LeaseUp",4=0),(IF(I30="Vacate",TINew*D30,IF(I30="Market",Retention*TIRenewal*D30+(1-Retention)*TINew*D30,IF(I30="LeaseUp",TINew*D30,IF(I30="Option",TIRenewal*D30,0)))))+(IF(I30="Vacate",LCNew*H30*D30*(1+GrowthMarketRent)^4,IF(I30="Market",Retention*LCRenewal*H30*D30*(1+GrowthMarketRent)^4+(1-Retention)*LCNew*H30*D30*(1+GrowthMarketRent)^4,IF(I30="LeaseUp",LCNew*H30*D30*(1+GrowthMarketRent)^4,IF(I30="Option",LCRenewal*H30*D30*(1+GrowthMarketRent)^4,0))))),IF(F30="",0,IF(AND(F30&gt;=DATE(2026+4,5,1),F30&lt;=DATE(2027+4,4,30)),(IF(I30="Vacate",TINew*D30,IF(I30="Market",Retention*TIRenewal*D30+(1-Retention)*TINew*D30,IF(I30="LeaseUp",TINew*D30,IF(I30="Option",TIRenewal*D30,0)))))+(IF(I30="Vacate",LCNew*H30*D30*(1+GrowthMarketRent)^4,IF(I30="Market",Retention*LCRenewal*H30*D30*(1+GrowthMarketRent)^4+(1-Retention)*LCNew*H30*D30*(1+GrowthMarketRent)^4,IF(I30="LeaseUp",LCNew*H30*D30*(1+GrowthMarketRent)^4,IF(I30="Option",LCRenewal*H30*D30*(1+GrowthMarketRent)^4,0))))),0))),0)</f>
        <v/>
      </c>
      <c r="AD30" s="14">
        <f>IFERROR(IF(AND(I30="LeaseUp",5=0),(IF(I30="Vacate",TINew*D30,IF(I30="Market",Retention*TIRenewal*D30+(1-Retention)*TINew*D30,IF(I30="LeaseUp",TINew*D30,IF(I30="Option",TIRenewal*D30,0)))))+(IF(I30="Vacate",LCNew*H30*D30*(1+GrowthMarketRent)^5,IF(I30="Market",Retention*LCRenewal*H30*D30*(1+GrowthMarketRent)^5+(1-Retention)*LCNew*H30*D30*(1+GrowthMarketRent)^5,IF(I30="LeaseUp",LCNew*H30*D30*(1+GrowthMarketRent)^5,IF(I30="Option",LCRenewal*H30*D30*(1+GrowthMarketRent)^5,0))))),IF(F30="",0,IF(AND(F30&gt;=DATE(2026+5,5,1),F30&lt;=DATE(2027+5,4,30)),(IF(I30="Vacate",TINew*D30,IF(I30="Market",Retention*TIRenewal*D30+(1-Retention)*TINew*D30,IF(I30="LeaseUp",TINew*D30,IF(I30="Option",TIRenewal*D30,0)))))+(IF(I30="Vacate",LCNew*H30*D30*(1+GrowthMarketRent)^5,IF(I30="Market",Retention*LCRenewal*H30*D30*(1+GrowthMarketRent)^5+(1-Retention)*LCNew*H30*D30*(1+GrowthMarketRent)^5,IF(I30="LeaseUp",LCNew*H30*D30*(1+GrowthMarketRent)^5,IF(I30="Option",LCRenewal*H30*D30*(1+GrowthMarketRent)^5,0))))),0))),0)</f>
        <v/>
      </c>
      <c r="AE30" s="14">
        <f>IFERROR(IF(AND(I30="LeaseUp",6=0),(IF(I30="Vacate",TINew*D30,IF(I30="Market",Retention*TIRenewal*D30+(1-Retention)*TINew*D30,IF(I30="LeaseUp",TINew*D30,IF(I30="Option",TIRenewal*D30,0)))))+(IF(I30="Vacate",LCNew*H30*D30*(1+GrowthMarketRent)^6,IF(I30="Market",Retention*LCRenewal*H30*D30*(1+GrowthMarketRent)^6+(1-Retention)*LCNew*H30*D30*(1+GrowthMarketRent)^6,IF(I30="LeaseUp",LCNew*H30*D30*(1+GrowthMarketRent)^6,IF(I30="Option",LCRenewal*H30*D30*(1+GrowthMarketRent)^6,0))))),IF(F30="",0,IF(AND(F30&gt;=DATE(2026+6,5,1),F30&lt;=DATE(2027+6,4,30)),(IF(I30="Vacate",TINew*D30,IF(I30="Market",Retention*TIRenewal*D30+(1-Retention)*TINew*D30,IF(I30="LeaseUp",TINew*D30,IF(I30="Option",TIRenewal*D30,0)))))+(IF(I30="Vacate",LCNew*H30*D30*(1+GrowthMarketRent)^6,IF(I30="Market",Retention*LCRenewal*H30*D30*(1+GrowthMarketRent)^6+(1-Retention)*LCNew*H30*D30*(1+GrowthMarketRent)^6,IF(I30="LeaseUp",LCNew*H30*D30*(1+GrowthMarketRent)^6,IF(I30="Option",LCRenewal*H30*D30*(1+GrowthMarketRent)^6,0))))),0))),0)</f>
        <v/>
      </c>
      <c r="AF30" s="14">
        <f>IFERROR(IF(AND(I30="LeaseUp",7=0),(IF(I30="Vacate",TINew*D30,IF(I30="Market",Retention*TIRenewal*D30+(1-Retention)*TINew*D30,IF(I30="LeaseUp",TINew*D30,IF(I30="Option",TIRenewal*D30,0)))))+(IF(I30="Vacate",LCNew*H30*D30*(1+GrowthMarketRent)^7,IF(I30="Market",Retention*LCRenewal*H30*D30*(1+GrowthMarketRent)^7+(1-Retention)*LCNew*H30*D30*(1+GrowthMarketRent)^7,IF(I30="LeaseUp",LCNew*H30*D30*(1+GrowthMarketRent)^7,IF(I30="Option",LCRenewal*H30*D30*(1+GrowthMarketRent)^7,0))))),IF(F30="",0,IF(AND(F30&gt;=DATE(2026+7,5,1),F30&lt;=DATE(2027+7,4,30)),(IF(I30="Vacate",TINew*D30,IF(I30="Market",Retention*TIRenewal*D30+(1-Retention)*TINew*D30,IF(I30="LeaseUp",TINew*D30,IF(I30="Option",TIRenewal*D30,0)))))+(IF(I30="Vacate",LCNew*H30*D30*(1+GrowthMarketRent)^7,IF(I30="Market",Retention*LCRenewal*H30*D30*(1+GrowthMarketRent)^7+(1-Retention)*LCNew*H30*D30*(1+GrowthMarketRent)^7,IF(I30="LeaseUp",LCNew*H30*D30*(1+GrowthMarketRent)^7,IF(I30="Option",LCRenewal*H30*D30*(1+GrowthMarketRent)^7,0))))),0))),0)</f>
        <v/>
      </c>
      <c r="AG30" s="14">
        <f>IFERROR(IF(AND(I30="LeaseUp",8=0),(IF(I30="Vacate",TINew*D30,IF(I30="Market",Retention*TIRenewal*D30+(1-Retention)*TINew*D30,IF(I30="LeaseUp",TINew*D30,IF(I30="Option",TIRenewal*D30,0)))))+(IF(I30="Vacate",LCNew*H30*D30*(1+GrowthMarketRent)^8,IF(I30="Market",Retention*LCRenewal*H30*D30*(1+GrowthMarketRent)^8+(1-Retention)*LCNew*H30*D30*(1+GrowthMarketRent)^8,IF(I30="LeaseUp",LCNew*H30*D30*(1+GrowthMarketRent)^8,IF(I30="Option",LCRenewal*H30*D30*(1+GrowthMarketRent)^8,0))))),IF(F30="",0,IF(AND(F30&gt;=DATE(2026+8,5,1),F30&lt;=DATE(2027+8,4,30)),(IF(I30="Vacate",TINew*D30,IF(I30="Market",Retention*TIRenewal*D30+(1-Retention)*TINew*D30,IF(I30="LeaseUp",TINew*D30,IF(I30="Option",TIRenewal*D30,0)))))+(IF(I30="Vacate",LCNew*H30*D30*(1+GrowthMarketRent)^8,IF(I30="Market",Retention*LCRenewal*H30*D30*(1+GrowthMarketRent)^8+(1-Retention)*LCNew*H30*D30*(1+GrowthMarketRent)^8,IF(I30="LeaseUp",LCNew*H30*D30*(1+GrowthMarketRent)^8,IF(I30="Option",LCRenewal*H30*D30*(1+GrowthMarketRent)^8,0))))),0))),0)</f>
        <v/>
      </c>
      <c r="AH30" s="14">
        <f>IFERROR(IF(AND(I30="LeaseUp",9=0),(IF(I30="Vacate",TINew*D30,IF(I30="Market",Retention*TIRenewal*D30+(1-Retention)*TINew*D30,IF(I30="LeaseUp",TINew*D30,IF(I30="Option",TIRenewal*D30,0)))))+(IF(I30="Vacate",LCNew*H30*D30*(1+GrowthMarketRent)^9,IF(I30="Market",Retention*LCRenewal*H30*D30*(1+GrowthMarketRent)^9+(1-Retention)*LCNew*H30*D30*(1+GrowthMarketRent)^9,IF(I30="LeaseUp",LCNew*H30*D30*(1+GrowthMarketRent)^9,IF(I30="Option",LCRenewal*H30*D30*(1+GrowthMarketRent)^9,0))))),IF(F30="",0,IF(AND(F30&gt;=DATE(2026+9,5,1),F30&lt;=DATE(2027+9,4,30)),(IF(I30="Vacate",TINew*D30,IF(I30="Market",Retention*TIRenewal*D30+(1-Retention)*TINew*D30,IF(I30="LeaseUp",TINew*D30,IF(I30="Option",TIRenewal*D30,0)))))+(IF(I30="Vacate",LCNew*H30*D30*(1+GrowthMarketRent)^9,IF(I30="Market",Retention*LCRenewal*H30*D30*(1+GrowthMarketRent)^9+(1-Retention)*LCNew*H30*D30*(1+GrowthMarketRent)^9,IF(I30="LeaseUp",LCNew*H30*D30*(1+GrowthMarketRent)^9,IF(I30="Option",LCRenewal*H30*D30*(1+GrowthMarketRent)^9,0))))),0))),0)</f>
        <v/>
      </c>
      <c r="AI30" s="14">
        <f>IFERROR(IF(AND(I30="LeaseUp",10=0),(IF(I30="Vacate",TINew*D30,IF(I30="Market",Retention*TIRenewal*D30+(1-Retention)*TINew*D30,IF(I30="LeaseUp",TINew*D30,IF(I30="Option",TIRenewal*D30,0)))))+(IF(I30="Vacate",LCNew*H30*D30*(1+GrowthMarketRent)^10,IF(I30="Market",Retention*LCRenewal*H30*D30*(1+GrowthMarketRent)^10+(1-Retention)*LCNew*H30*D30*(1+GrowthMarketRent)^10,IF(I30="LeaseUp",LCNew*H30*D30*(1+GrowthMarketRent)^10,IF(I30="Option",LCRenewal*H30*D30*(1+GrowthMarketRent)^10,0))))),IF(F30="",0,IF(AND(F30&gt;=DATE(2026+10,5,1),F30&lt;=DATE(2027+10,4,30)),(IF(I30="Vacate",TINew*D30,IF(I30="Market",Retention*TIRenewal*D30+(1-Retention)*TINew*D30,IF(I30="LeaseUp",TINew*D30,IF(I30="Option",TIRenewal*D30,0)))))+(IF(I30="Vacate",LCNew*H30*D30*(1+GrowthMarketRent)^10,IF(I30="Market",Retention*LCRenewal*H30*D30*(1+GrowthMarketRent)^10+(1-Retention)*LCNew*H30*D30*(1+GrowthMarketRent)^10,IF(I30="LeaseUp",LCNew*H30*D30*(1+GrowthMarketRent)^10,IF(I30="Option",LCRenewal*H30*D30*(1+GrowthMarketRent)^10,0))))),0))),0)</f>
        <v/>
      </c>
    </row>
    <row r="31">
      <c r="A31" t="inlineStr">
        <is>
          <t>Carrollton</t>
        </is>
      </c>
      <c r="B31" t="inlineStr">
        <is>
          <t>336</t>
        </is>
      </c>
      <c r="C31" t="inlineStr">
        <is>
          <t>TMII Enterprises LLC</t>
        </is>
      </c>
      <c r="D31" s="32" t="n">
        <v>1870</v>
      </c>
      <c r="E31" s="33" t="n">
        <v>45870</v>
      </c>
      <c r="F31" s="33" t="n">
        <v>46692</v>
      </c>
      <c r="G31" s="34" t="n">
        <v>14</v>
      </c>
      <c r="H31" s="16">
        <f>VLOOKUP("Carrollton — "&amp;J31,MLA!$A$5:$L$11,3,FALSE)</f>
        <v/>
      </c>
      <c r="I31" s="11" t="inlineStr">
        <is>
          <t>Market</t>
        </is>
      </c>
      <c r="J31" t="inlineStr">
        <is>
          <t>Studio</t>
        </is>
      </c>
      <c r="K31" t="inlineStr">
        <is>
          <t>Occupied</t>
        </is>
      </c>
      <c r="L31" t="inlineStr">
        <is>
          <t>Studio; Guarantor: Joseph McCusker</t>
        </is>
      </c>
      <c r="M31" s="20">
        <f>IF(E31="",0,(AnalysisStart-E31)/365.25)</f>
        <v/>
      </c>
      <c r="N31" s="14">
        <f>IFERROR(IF(I31="LeaseUp",H31*D31*(1+GrowthMarketRent)^0*IF(0=0,(12-DowntimeNew)/12,1),IF(F31="",0,IF(F31&gt;=DATE(2027+0,4,30),G31*D31*(1+EscalatorInLease)^(0+M31),IF(F31&lt;DATE(2026+0,5,1),IF(I31="Vacate",H31*D31*(1+GrowthMarketRent)^0*IF(INT((DATE(2026+0,10,31)-F31)/365.25)=0,(12-DowntimeNew)/12,1),IF(I31="Option",G31*D31*1.025*(1+EscalatorInLease)^0,IF(I31="Market",Retention*G31*D31*(1+EscalatorInLease)^(0+M31)+(1-Retention)*H31*D31*(1+GrowthMarketRent)^0*IF(INT((DATE(2026+0,10,31)-F31)/365.25)=0,(12-DowntimeNew)/12,1),IF(I31="LeaseUp",H31*D31*(1+GrowthMarketRent)^0*IF(0=0,(12-DowntimeNew)/12,1),0)))),((F31-DATE(2026+0,5,1))/365.25)*G31*D31*(1+EscalatorInLease)^(0+M31)+((DATE(2027+0,4,30)-F31)/365.25)*IF(I31="Vacate",H31*D31*(1+GrowthMarketRent)^0*IF(INT((DATE(2026+0,10,31)-F31)/365.25)=0,(12-DowntimeNew)/12,1),IF(I31="Option",G31*D31*1.025*(1+EscalatorInLease)^0,IF(I31="Market",Retention*G31*D31*(1+EscalatorInLease)^(0+M31)+(1-Retention)*H31*D31*(1+GrowthMarketRent)^0*IF(INT((DATE(2026+0,10,31)-F31)/365.25)=0,(12-DowntimeNew)/12,1),IF(I31="LeaseUp",H31*D31*(1+GrowthMarketRent)^0*IF(0=0,(12-DowntimeNew)/12,1),0)))))))),0)</f>
        <v/>
      </c>
      <c r="O31" s="14">
        <f>IFERROR(IF(I31="LeaseUp",H31*D31*(1+GrowthMarketRent)^1*IF(1=0,(12-DowntimeNew)/12,1),IF(F31="",0,IF(F31&gt;=DATE(2027+1,4,30),G31*D31*(1+EscalatorInLease)^(1+M31),IF(F31&lt;DATE(2026+1,5,1),IF(I31="Vacate",H31*D31*(1+GrowthMarketRent)^1*IF(INT((DATE(2026+1,10,31)-F31)/365.25)=0,(12-DowntimeNew)/12,1),IF(I31="Option",G31*D31*1.025*(1+EscalatorInLease)^1,IF(I31="Market",Retention*G31*D31*(1+EscalatorInLease)^(1+M31)+(1-Retention)*H31*D31*(1+GrowthMarketRent)^1*IF(INT((DATE(2026+1,10,31)-F31)/365.25)=0,(12-DowntimeNew)/12,1),IF(I31="LeaseUp",H31*D31*(1+GrowthMarketRent)^1*IF(1=0,(12-DowntimeNew)/12,1),0)))),((F31-DATE(2026+1,5,1))/365.25)*G31*D31*(1+EscalatorInLease)^(1+M31)+((DATE(2027+1,4,30)-F31)/365.25)*IF(I31="Vacate",H31*D31*(1+GrowthMarketRent)^1*IF(INT((DATE(2026+1,10,31)-F31)/365.25)=0,(12-DowntimeNew)/12,1),IF(I31="Option",G31*D31*1.025*(1+EscalatorInLease)^1,IF(I31="Market",Retention*G31*D31*(1+EscalatorInLease)^(1+M31)+(1-Retention)*H31*D31*(1+GrowthMarketRent)^1*IF(INT((DATE(2026+1,10,31)-F31)/365.25)=0,(12-DowntimeNew)/12,1),IF(I31="LeaseUp",H31*D31*(1+GrowthMarketRent)^1*IF(1=0,(12-DowntimeNew)/12,1),0)))))))),0)</f>
        <v/>
      </c>
      <c r="P31" s="14">
        <f>IFERROR(IF(I31="LeaseUp",H31*D31*(1+GrowthMarketRent)^2*IF(2=0,(12-DowntimeNew)/12,1),IF(F31="",0,IF(F31&gt;=DATE(2027+2,4,30),G31*D31*(1+EscalatorInLease)^(2+M31),IF(F31&lt;DATE(2026+2,5,1),IF(I31="Vacate",H31*D31*(1+GrowthMarketRent)^2*IF(INT((DATE(2026+2,10,31)-F31)/365.25)=0,(12-DowntimeNew)/12,1),IF(I31="Option",G31*D31*1.025*(1+EscalatorInLease)^2,IF(I31="Market",Retention*G31*D31*(1+EscalatorInLease)^(2+M31)+(1-Retention)*H31*D31*(1+GrowthMarketRent)^2*IF(INT((DATE(2026+2,10,31)-F31)/365.25)=0,(12-DowntimeNew)/12,1),IF(I31="LeaseUp",H31*D31*(1+GrowthMarketRent)^2*IF(2=0,(12-DowntimeNew)/12,1),0)))),((F31-DATE(2026+2,5,1))/365.25)*G31*D31*(1+EscalatorInLease)^(2+M31)+((DATE(2027+2,4,30)-F31)/365.25)*IF(I31="Vacate",H31*D31*(1+GrowthMarketRent)^2*IF(INT((DATE(2026+2,10,31)-F31)/365.25)=0,(12-DowntimeNew)/12,1),IF(I31="Option",G31*D31*1.025*(1+EscalatorInLease)^2,IF(I31="Market",Retention*G31*D31*(1+EscalatorInLease)^(2+M31)+(1-Retention)*H31*D31*(1+GrowthMarketRent)^2*IF(INT((DATE(2026+2,10,31)-F31)/365.25)=0,(12-DowntimeNew)/12,1),IF(I31="LeaseUp",H31*D31*(1+GrowthMarketRent)^2*IF(2=0,(12-DowntimeNew)/12,1),0)))))))),0)</f>
        <v/>
      </c>
      <c r="Q31" s="14">
        <f>IFERROR(IF(I31="LeaseUp",H31*D31*(1+GrowthMarketRent)^3*IF(3=0,(12-DowntimeNew)/12,1),IF(F31="",0,IF(F31&gt;=DATE(2027+3,4,30),G31*D31*(1+EscalatorInLease)^(3+M31),IF(F31&lt;DATE(2026+3,5,1),IF(I31="Vacate",H31*D31*(1+GrowthMarketRent)^3*IF(INT((DATE(2026+3,10,31)-F31)/365.25)=0,(12-DowntimeNew)/12,1),IF(I31="Option",G31*D31*1.025*(1+EscalatorInLease)^3,IF(I31="Market",Retention*G31*D31*(1+EscalatorInLease)^(3+M31)+(1-Retention)*H31*D31*(1+GrowthMarketRent)^3*IF(INT((DATE(2026+3,10,31)-F31)/365.25)=0,(12-DowntimeNew)/12,1),IF(I31="LeaseUp",H31*D31*(1+GrowthMarketRent)^3*IF(3=0,(12-DowntimeNew)/12,1),0)))),((F31-DATE(2026+3,5,1))/365.25)*G31*D31*(1+EscalatorInLease)^(3+M31)+((DATE(2027+3,4,30)-F31)/365.25)*IF(I31="Vacate",H31*D31*(1+GrowthMarketRent)^3*IF(INT((DATE(2026+3,10,31)-F31)/365.25)=0,(12-DowntimeNew)/12,1),IF(I31="Option",G31*D31*1.025*(1+EscalatorInLease)^3,IF(I31="Market",Retention*G31*D31*(1+EscalatorInLease)^(3+M31)+(1-Retention)*H31*D31*(1+GrowthMarketRent)^3*IF(INT((DATE(2026+3,10,31)-F31)/365.25)=0,(12-DowntimeNew)/12,1),IF(I31="LeaseUp",H31*D31*(1+GrowthMarketRent)^3*IF(3=0,(12-DowntimeNew)/12,1),0)))))))),0)</f>
        <v/>
      </c>
      <c r="R31" s="14">
        <f>IFERROR(IF(I31="LeaseUp",H31*D31*(1+GrowthMarketRent)^4*IF(4=0,(12-DowntimeNew)/12,1),IF(F31="",0,IF(F31&gt;=DATE(2027+4,4,30),G31*D31*(1+EscalatorInLease)^(4+M31),IF(F31&lt;DATE(2026+4,5,1),IF(I31="Vacate",H31*D31*(1+GrowthMarketRent)^4*IF(INT((DATE(2026+4,10,31)-F31)/365.25)=0,(12-DowntimeNew)/12,1),IF(I31="Option",G31*D31*1.025*(1+EscalatorInLease)^4,IF(I31="Market",Retention*G31*D31*(1+EscalatorInLease)^(4+M31)+(1-Retention)*H31*D31*(1+GrowthMarketRent)^4*IF(INT((DATE(2026+4,10,31)-F31)/365.25)=0,(12-DowntimeNew)/12,1),IF(I31="LeaseUp",H31*D31*(1+GrowthMarketRent)^4*IF(4=0,(12-DowntimeNew)/12,1),0)))),((F31-DATE(2026+4,5,1))/365.25)*G31*D31*(1+EscalatorInLease)^(4+M31)+((DATE(2027+4,4,30)-F31)/365.25)*IF(I31="Vacate",H31*D31*(1+GrowthMarketRent)^4*IF(INT((DATE(2026+4,10,31)-F31)/365.25)=0,(12-DowntimeNew)/12,1),IF(I31="Option",G31*D31*1.025*(1+EscalatorInLease)^4,IF(I31="Market",Retention*G31*D31*(1+EscalatorInLease)^(4+M31)+(1-Retention)*H31*D31*(1+GrowthMarketRent)^4*IF(INT((DATE(2026+4,10,31)-F31)/365.25)=0,(12-DowntimeNew)/12,1),IF(I31="LeaseUp",H31*D31*(1+GrowthMarketRent)^4*IF(4=0,(12-DowntimeNew)/12,1),0)))))))),0)</f>
        <v/>
      </c>
      <c r="S31" s="14">
        <f>IFERROR(IF(I31="LeaseUp",H31*D31*(1+GrowthMarketRent)^5*IF(5=0,(12-DowntimeNew)/12,1),IF(F31="",0,IF(F31&gt;=DATE(2027+5,4,30),G31*D31*(1+EscalatorInLease)^(5+M31),IF(F31&lt;DATE(2026+5,5,1),IF(I31="Vacate",H31*D31*(1+GrowthMarketRent)^5*IF(INT((DATE(2026+5,10,31)-F31)/365.25)=0,(12-DowntimeNew)/12,1),IF(I31="Option",G31*D31*1.025*(1+EscalatorInLease)^5,IF(I31="Market",Retention*G31*D31*(1+EscalatorInLease)^(5+M31)+(1-Retention)*H31*D31*(1+GrowthMarketRent)^5*IF(INT((DATE(2026+5,10,31)-F31)/365.25)=0,(12-DowntimeNew)/12,1),IF(I31="LeaseUp",H31*D31*(1+GrowthMarketRent)^5*IF(5=0,(12-DowntimeNew)/12,1),0)))),((F31-DATE(2026+5,5,1))/365.25)*G31*D31*(1+EscalatorInLease)^(5+M31)+((DATE(2027+5,4,30)-F31)/365.25)*IF(I31="Vacate",H31*D31*(1+GrowthMarketRent)^5*IF(INT((DATE(2026+5,10,31)-F31)/365.25)=0,(12-DowntimeNew)/12,1),IF(I31="Option",G31*D31*1.025*(1+EscalatorInLease)^5,IF(I31="Market",Retention*G31*D31*(1+EscalatorInLease)^(5+M31)+(1-Retention)*H31*D31*(1+GrowthMarketRent)^5*IF(INT((DATE(2026+5,10,31)-F31)/365.25)=0,(12-DowntimeNew)/12,1),IF(I31="LeaseUp",H31*D31*(1+GrowthMarketRent)^5*IF(5=0,(12-DowntimeNew)/12,1),0)))))))),0)</f>
        <v/>
      </c>
      <c r="T31" s="14">
        <f>IFERROR(IF(I31="LeaseUp",H31*D31*(1+GrowthMarketRent)^6*IF(6=0,(12-DowntimeNew)/12,1),IF(F31="",0,IF(F31&gt;=DATE(2027+6,4,30),G31*D31*(1+EscalatorInLease)^(6+M31),IF(F31&lt;DATE(2026+6,5,1),IF(I31="Vacate",H31*D31*(1+GrowthMarketRent)^6*IF(INT((DATE(2026+6,10,31)-F31)/365.25)=0,(12-DowntimeNew)/12,1),IF(I31="Option",G31*D31*1.025*(1+EscalatorInLease)^6,IF(I31="Market",Retention*G31*D31*(1+EscalatorInLease)^(6+M31)+(1-Retention)*H31*D31*(1+GrowthMarketRent)^6*IF(INT((DATE(2026+6,10,31)-F31)/365.25)=0,(12-DowntimeNew)/12,1),IF(I31="LeaseUp",H31*D31*(1+GrowthMarketRent)^6*IF(6=0,(12-DowntimeNew)/12,1),0)))),((F31-DATE(2026+6,5,1))/365.25)*G31*D31*(1+EscalatorInLease)^(6+M31)+((DATE(2027+6,4,30)-F31)/365.25)*IF(I31="Vacate",H31*D31*(1+GrowthMarketRent)^6*IF(INT((DATE(2026+6,10,31)-F31)/365.25)=0,(12-DowntimeNew)/12,1),IF(I31="Option",G31*D31*1.025*(1+EscalatorInLease)^6,IF(I31="Market",Retention*G31*D31*(1+EscalatorInLease)^(6+M31)+(1-Retention)*H31*D31*(1+GrowthMarketRent)^6*IF(INT((DATE(2026+6,10,31)-F31)/365.25)=0,(12-DowntimeNew)/12,1),IF(I31="LeaseUp",H31*D31*(1+GrowthMarketRent)^6*IF(6=0,(12-DowntimeNew)/12,1),0)))))))),0)</f>
        <v/>
      </c>
      <c r="U31" s="14">
        <f>IFERROR(IF(I31="LeaseUp",H31*D31*(1+GrowthMarketRent)^7*IF(7=0,(12-DowntimeNew)/12,1),IF(F31="",0,IF(F31&gt;=DATE(2027+7,4,30),G31*D31*(1+EscalatorInLease)^(7+M31),IF(F31&lt;DATE(2026+7,5,1),IF(I31="Vacate",H31*D31*(1+GrowthMarketRent)^7*IF(INT((DATE(2026+7,10,31)-F31)/365.25)=0,(12-DowntimeNew)/12,1),IF(I31="Option",G31*D31*1.025*(1+EscalatorInLease)^7,IF(I31="Market",Retention*G31*D31*(1+EscalatorInLease)^(7+M31)+(1-Retention)*H31*D31*(1+GrowthMarketRent)^7*IF(INT((DATE(2026+7,10,31)-F31)/365.25)=0,(12-DowntimeNew)/12,1),IF(I31="LeaseUp",H31*D31*(1+GrowthMarketRent)^7*IF(7=0,(12-DowntimeNew)/12,1),0)))),((F31-DATE(2026+7,5,1))/365.25)*G31*D31*(1+EscalatorInLease)^(7+M31)+((DATE(2027+7,4,30)-F31)/365.25)*IF(I31="Vacate",H31*D31*(1+GrowthMarketRent)^7*IF(INT((DATE(2026+7,10,31)-F31)/365.25)=0,(12-DowntimeNew)/12,1),IF(I31="Option",G31*D31*1.025*(1+EscalatorInLease)^7,IF(I31="Market",Retention*G31*D31*(1+EscalatorInLease)^(7+M31)+(1-Retention)*H31*D31*(1+GrowthMarketRent)^7*IF(INT((DATE(2026+7,10,31)-F31)/365.25)=0,(12-DowntimeNew)/12,1),IF(I31="LeaseUp",H31*D31*(1+GrowthMarketRent)^7*IF(7=0,(12-DowntimeNew)/12,1),0)))))))),0)</f>
        <v/>
      </c>
      <c r="V31" s="14">
        <f>IFERROR(IF(I31="LeaseUp",H31*D31*(1+GrowthMarketRent)^8*IF(8=0,(12-DowntimeNew)/12,1),IF(F31="",0,IF(F31&gt;=DATE(2027+8,4,30),G31*D31*(1+EscalatorInLease)^(8+M31),IF(F31&lt;DATE(2026+8,5,1),IF(I31="Vacate",H31*D31*(1+GrowthMarketRent)^8*IF(INT((DATE(2026+8,10,31)-F31)/365.25)=0,(12-DowntimeNew)/12,1),IF(I31="Option",G31*D31*1.025*(1+EscalatorInLease)^8,IF(I31="Market",Retention*G31*D31*(1+EscalatorInLease)^(8+M31)+(1-Retention)*H31*D31*(1+GrowthMarketRent)^8*IF(INT((DATE(2026+8,10,31)-F31)/365.25)=0,(12-DowntimeNew)/12,1),IF(I31="LeaseUp",H31*D31*(1+GrowthMarketRent)^8*IF(8=0,(12-DowntimeNew)/12,1),0)))),((F31-DATE(2026+8,5,1))/365.25)*G31*D31*(1+EscalatorInLease)^(8+M31)+((DATE(2027+8,4,30)-F31)/365.25)*IF(I31="Vacate",H31*D31*(1+GrowthMarketRent)^8*IF(INT((DATE(2026+8,10,31)-F31)/365.25)=0,(12-DowntimeNew)/12,1),IF(I31="Option",G31*D31*1.025*(1+EscalatorInLease)^8,IF(I31="Market",Retention*G31*D31*(1+EscalatorInLease)^(8+M31)+(1-Retention)*H31*D31*(1+GrowthMarketRent)^8*IF(INT((DATE(2026+8,10,31)-F31)/365.25)=0,(12-DowntimeNew)/12,1),IF(I31="LeaseUp",H31*D31*(1+GrowthMarketRent)^8*IF(8=0,(12-DowntimeNew)/12,1),0)))))))),0)</f>
        <v/>
      </c>
      <c r="W31" s="14">
        <f>IFERROR(IF(I31="LeaseUp",H31*D31*(1+GrowthMarketRent)^9*IF(9=0,(12-DowntimeNew)/12,1),IF(F31="",0,IF(F31&gt;=DATE(2027+9,4,30),G31*D31*(1+EscalatorInLease)^(9+M31),IF(F31&lt;DATE(2026+9,5,1),IF(I31="Vacate",H31*D31*(1+GrowthMarketRent)^9*IF(INT((DATE(2026+9,10,31)-F31)/365.25)=0,(12-DowntimeNew)/12,1),IF(I31="Option",G31*D31*1.025*(1+EscalatorInLease)^9,IF(I31="Market",Retention*G31*D31*(1+EscalatorInLease)^(9+M31)+(1-Retention)*H31*D31*(1+GrowthMarketRent)^9*IF(INT((DATE(2026+9,10,31)-F31)/365.25)=0,(12-DowntimeNew)/12,1),IF(I31="LeaseUp",H31*D31*(1+GrowthMarketRent)^9*IF(9=0,(12-DowntimeNew)/12,1),0)))),((F31-DATE(2026+9,5,1))/365.25)*G31*D31*(1+EscalatorInLease)^(9+M31)+((DATE(2027+9,4,30)-F31)/365.25)*IF(I31="Vacate",H31*D31*(1+GrowthMarketRent)^9*IF(INT((DATE(2026+9,10,31)-F31)/365.25)=0,(12-DowntimeNew)/12,1),IF(I31="Option",G31*D31*1.025*(1+EscalatorInLease)^9,IF(I31="Market",Retention*G31*D31*(1+EscalatorInLease)^(9+M31)+(1-Retention)*H31*D31*(1+GrowthMarketRent)^9*IF(INT((DATE(2026+9,10,31)-F31)/365.25)=0,(12-DowntimeNew)/12,1),IF(I31="LeaseUp",H31*D31*(1+GrowthMarketRent)^9*IF(9=0,(12-DowntimeNew)/12,1),0)))))))),0)</f>
        <v/>
      </c>
      <c r="X31" s="14">
        <f>IFERROR(IF(I31="LeaseUp",H31*D31*(1+GrowthMarketRent)^10*IF(10=0,(12-DowntimeNew)/12,1),IF(F31="",0,IF(F31&gt;=DATE(2027+10,4,30),G31*D31*(1+EscalatorInLease)^(10+M31),IF(F31&lt;DATE(2026+10,5,1),IF(I31="Vacate",H31*D31*(1+GrowthMarketRent)^10*IF(INT((DATE(2026+10,10,31)-F31)/365.25)=0,(12-DowntimeNew)/12,1),IF(I31="Option",G31*D31*1.025*(1+EscalatorInLease)^10,IF(I31="Market",Retention*G31*D31*(1+EscalatorInLease)^(10+M31)+(1-Retention)*H31*D31*(1+GrowthMarketRent)^10*IF(INT((DATE(2026+10,10,31)-F31)/365.25)=0,(12-DowntimeNew)/12,1),IF(I31="LeaseUp",H31*D31*(1+GrowthMarketRent)^10*IF(10=0,(12-DowntimeNew)/12,1),0)))),((F31-DATE(2026+10,5,1))/365.25)*G31*D31*(1+EscalatorInLease)^(10+M31)+((DATE(2027+10,4,30)-F31)/365.25)*IF(I31="Vacate",H31*D31*(1+GrowthMarketRent)^10*IF(INT((DATE(2026+10,10,31)-F31)/365.25)=0,(12-DowntimeNew)/12,1),IF(I31="Option",G31*D31*1.025*(1+EscalatorInLease)^10,IF(I31="Market",Retention*G31*D31*(1+EscalatorInLease)^(10+M31)+(1-Retention)*H31*D31*(1+GrowthMarketRent)^10*IF(INT((DATE(2026+10,10,31)-F31)/365.25)=0,(12-DowntimeNew)/12,1),IF(I31="LeaseUp",H31*D31*(1+GrowthMarketRent)^10*IF(10=0,(12-DowntimeNew)/12,1),0)))))))),0)</f>
        <v/>
      </c>
      <c r="Y31" s="14">
        <f>IFERROR(IF(AND(I31="LeaseUp",0=0),(IF(I31="Vacate",TINew*D31,IF(I31="Market",Retention*TIRenewal*D31+(1-Retention)*TINew*D31,IF(I31="LeaseUp",TINew*D31,IF(I31="Option",TIRenewal*D31,0)))))+(IF(I31="Vacate",LCNew*H31*D31*(1+GrowthMarketRent)^0,IF(I31="Market",Retention*LCRenewal*H31*D31*(1+GrowthMarketRent)^0+(1-Retention)*LCNew*H31*D31*(1+GrowthMarketRent)^0,IF(I31="LeaseUp",LCNew*H31*D31*(1+GrowthMarketRent)^0,IF(I31="Option",LCRenewal*H31*D31*(1+GrowthMarketRent)^0,0))))),IF(F31="",0,IF(AND(F31&gt;=DATE(2026+0,5,1),F31&lt;=DATE(2027+0,4,30)),(IF(I31="Vacate",TINew*D31,IF(I31="Market",Retention*TIRenewal*D31+(1-Retention)*TINew*D31,IF(I31="LeaseUp",TINew*D31,IF(I31="Option",TIRenewal*D31,0)))))+(IF(I31="Vacate",LCNew*H31*D31*(1+GrowthMarketRent)^0,IF(I31="Market",Retention*LCRenewal*H31*D31*(1+GrowthMarketRent)^0+(1-Retention)*LCNew*H31*D31*(1+GrowthMarketRent)^0,IF(I31="LeaseUp",LCNew*H31*D31*(1+GrowthMarketRent)^0,IF(I31="Option",LCRenewal*H31*D31*(1+GrowthMarketRent)^0,0))))),0))),0)</f>
        <v/>
      </c>
      <c r="Z31" s="14">
        <f>IFERROR(IF(AND(I31="LeaseUp",1=0),(IF(I31="Vacate",TINew*D31,IF(I31="Market",Retention*TIRenewal*D31+(1-Retention)*TINew*D31,IF(I31="LeaseUp",TINew*D31,IF(I31="Option",TIRenewal*D31,0)))))+(IF(I31="Vacate",LCNew*H31*D31*(1+GrowthMarketRent)^1,IF(I31="Market",Retention*LCRenewal*H31*D31*(1+GrowthMarketRent)^1+(1-Retention)*LCNew*H31*D31*(1+GrowthMarketRent)^1,IF(I31="LeaseUp",LCNew*H31*D31*(1+GrowthMarketRent)^1,IF(I31="Option",LCRenewal*H31*D31*(1+GrowthMarketRent)^1,0))))),IF(F31="",0,IF(AND(F31&gt;=DATE(2026+1,5,1),F31&lt;=DATE(2027+1,4,30)),(IF(I31="Vacate",TINew*D31,IF(I31="Market",Retention*TIRenewal*D31+(1-Retention)*TINew*D31,IF(I31="LeaseUp",TINew*D31,IF(I31="Option",TIRenewal*D31,0)))))+(IF(I31="Vacate",LCNew*H31*D31*(1+GrowthMarketRent)^1,IF(I31="Market",Retention*LCRenewal*H31*D31*(1+GrowthMarketRent)^1+(1-Retention)*LCNew*H31*D31*(1+GrowthMarketRent)^1,IF(I31="LeaseUp",LCNew*H31*D31*(1+GrowthMarketRent)^1,IF(I31="Option",LCRenewal*H31*D31*(1+GrowthMarketRent)^1,0))))),0))),0)</f>
        <v/>
      </c>
      <c r="AA31" s="14">
        <f>IFERROR(IF(AND(I31="LeaseUp",2=0),(IF(I31="Vacate",TINew*D31,IF(I31="Market",Retention*TIRenewal*D31+(1-Retention)*TINew*D31,IF(I31="LeaseUp",TINew*D31,IF(I31="Option",TIRenewal*D31,0)))))+(IF(I31="Vacate",LCNew*H31*D31*(1+GrowthMarketRent)^2,IF(I31="Market",Retention*LCRenewal*H31*D31*(1+GrowthMarketRent)^2+(1-Retention)*LCNew*H31*D31*(1+GrowthMarketRent)^2,IF(I31="LeaseUp",LCNew*H31*D31*(1+GrowthMarketRent)^2,IF(I31="Option",LCRenewal*H31*D31*(1+GrowthMarketRent)^2,0))))),IF(F31="",0,IF(AND(F31&gt;=DATE(2026+2,5,1),F31&lt;=DATE(2027+2,4,30)),(IF(I31="Vacate",TINew*D31,IF(I31="Market",Retention*TIRenewal*D31+(1-Retention)*TINew*D31,IF(I31="LeaseUp",TINew*D31,IF(I31="Option",TIRenewal*D31,0)))))+(IF(I31="Vacate",LCNew*H31*D31*(1+GrowthMarketRent)^2,IF(I31="Market",Retention*LCRenewal*H31*D31*(1+GrowthMarketRent)^2+(1-Retention)*LCNew*H31*D31*(1+GrowthMarketRent)^2,IF(I31="LeaseUp",LCNew*H31*D31*(1+GrowthMarketRent)^2,IF(I31="Option",LCRenewal*H31*D31*(1+GrowthMarketRent)^2,0))))),0))),0)</f>
        <v/>
      </c>
      <c r="AB31" s="14">
        <f>IFERROR(IF(AND(I31="LeaseUp",3=0),(IF(I31="Vacate",TINew*D31,IF(I31="Market",Retention*TIRenewal*D31+(1-Retention)*TINew*D31,IF(I31="LeaseUp",TINew*D31,IF(I31="Option",TIRenewal*D31,0)))))+(IF(I31="Vacate",LCNew*H31*D31*(1+GrowthMarketRent)^3,IF(I31="Market",Retention*LCRenewal*H31*D31*(1+GrowthMarketRent)^3+(1-Retention)*LCNew*H31*D31*(1+GrowthMarketRent)^3,IF(I31="LeaseUp",LCNew*H31*D31*(1+GrowthMarketRent)^3,IF(I31="Option",LCRenewal*H31*D31*(1+GrowthMarketRent)^3,0))))),IF(F31="",0,IF(AND(F31&gt;=DATE(2026+3,5,1),F31&lt;=DATE(2027+3,4,30)),(IF(I31="Vacate",TINew*D31,IF(I31="Market",Retention*TIRenewal*D31+(1-Retention)*TINew*D31,IF(I31="LeaseUp",TINew*D31,IF(I31="Option",TIRenewal*D31,0)))))+(IF(I31="Vacate",LCNew*H31*D31*(1+GrowthMarketRent)^3,IF(I31="Market",Retention*LCRenewal*H31*D31*(1+GrowthMarketRent)^3+(1-Retention)*LCNew*H31*D31*(1+GrowthMarketRent)^3,IF(I31="LeaseUp",LCNew*H31*D31*(1+GrowthMarketRent)^3,IF(I31="Option",LCRenewal*H31*D31*(1+GrowthMarketRent)^3,0))))),0))),0)</f>
        <v/>
      </c>
      <c r="AC31" s="14">
        <f>IFERROR(IF(AND(I31="LeaseUp",4=0),(IF(I31="Vacate",TINew*D31,IF(I31="Market",Retention*TIRenewal*D31+(1-Retention)*TINew*D31,IF(I31="LeaseUp",TINew*D31,IF(I31="Option",TIRenewal*D31,0)))))+(IF(I31="Vacate",LCNew*H31*D31*(1+GrowthMarketRent)^4,IF(I31="Market",Retention*LCRenewal*H31*D31*(1+GrowthMarketRent)^4+(1-Retention)*LCNew*H31*D31*(1+GrowthMarketRent)^4,IF(I31="LeaseUp",LCNew*H31*D31*(1+GrowthMarketRent)^4,IF(I31="Option",LCRenewal*H31*D31*(1+GrowthMarketRent)^4,0))))),IF(F31="",0,IF(AND(F31&gt;=DATE(2026+4,5,1),F31&lt;=DATE(2027+4,4,30)),(IF(I31="Vacate",TINew*D31,IF(I31="Market",Retention*TIRenewal*D31+(1-Retention)*TINew*D31,IF(I31="LeaseUp",TINew*D31,IF(I31="Option",TIRenewal*D31,0)))))+(IF(I31="Vacate",LCNew*H31*D31*(1+GrowthMarketRent)^4,IF(I31="Market",Retention*LCRenewal*H31*D31*(1+GrowthMarketRent)^4+(1-Retention)*LCNew*H31*D31*(1+GrowthMarketRent)^4,IF(I31="LeaseUp",LCNew*H31*D31*(1+GrowthMarketRent)^4,IF(I31="Option",LCRenewal*H31*D31*(1+GrowthMarketRent)^4,0))))),0))),0)</f>
        <v/>
      </c>
      <c r="AD31" s="14">
        <f>IFERROR(IF(AND(I31="LeaseUp",5=0),(IF(I31="Vacate",TINew*D31,IF(I31="Market",Retention*TIRenewal*D31+(1-Retention)*TINew*D31,IF(I31="LeaseUp",TINew*D31,IF(I31="Option",TIRenewal*D31,0)))))+(IF(I31="Vacate",LCNew*H31*D31*(1+GrowthMarketRent)^5,IF(I31="Market",Retention*LCRenewal*H31*D31*(1+GrowthMarketRent)^5+(1-Retention)*LCNew*H31*D31*(1+GrowthMarketRent)^5,IF(I31="LeaseUp",LCNew*H31*D31*(1+GrowthMarketRent)^5,IF(I31="Option",LCRenewal*H31*D31*(1+GrowthMarketRent)^5,0))))),IF(F31="",0,IF(AND(F31&gt;=DATE(2026+5,5,1),F31&lt;=DATE(2027+5,4,30)),(IF(I31="Vacate",TINew*D31,IF(I31="Market",Retention*TIRenewal*D31+(1-Retention)*TINew*D31,IF(I31="LeaseUp",TINew*D31,IF(I31="Option",TIRenewal*D31,0)))))+(IF(I31="Vacate",LCNew*H31*D31*(1+GrowthMarketRent)^5,IF(I31="Market",Retention*LCRenewal*H31*D31*(1+GrowthMarketRent)^5+(1-Retention)*LCNew*H31*D31*(1+GrowthMarketRent)^5,IF(I31="LeaseUp",LCNew*H31*D31*(1+GrowthMarketRent)^5,IF(I31="Option",LCRenewal*H31*D31*(1+GrowthMarketRent)^5,0))))),0))),0)</f>
        <v/>
      </c>
      <c r="AE31" s="14">
        <f>IFERROR(IF(AND(I31="LeaseUp",6=0),(IF(I31="Vacate",TINew*D31,IF(I31="Market",Retention*TIRenewal*D31+(1-Retention)*TINew*D31,IF(I31="LeaseUp",TINew*D31,IF(I31="Option",TIRenewal*D31,0)))))+(IF(I31="Vacate",LCNew*H31*D31*(1+GrowthMarketRent)^6,IF(I31="Market",Retention*LCRenewal*H31*D31*(1+GrowthMarketRent)^6+(1-Retention)*LCNew*H31*D31*(1+GrowthMarketRent)^6,IF(I31="LeaseUp",LCNew*H31*D31*(1+GrowthMarketRent)^6,IF(I31="Option",LCRenewal*H31*D31*(1+GrowthMarketRent)^6,0))))),IF(F31="",0,IF(AND(F31&gt;=DATE(2026+6,5,1),F31&lt;=DATE(2027+6,4,30)),(IF(I31="Vacate",TINew*D31,IF(I31="Market",Retention*TIRenewal*D31+(1-Retention)*TINew*D31,IF(I31="LeaseUp",TINew*D31,IF(I31="Option",TIRenewal*D31,0)))))+(IF(I31="Vacate",LCNew*H31*D31*(1+GrowthMarketRent)^6,IF(I31="Market",Retention*LCRenewal*H31*D31*(1+GrowthMarketRent)^6+(1-Retention)*LCNew*H31*D31*(1+GrowthMarketRent)^6,IF(I31="LeaseUp",LCNew*H31*D31*(1+GrowthMarketRent)^6,IF(I31="Option",LCRenewal*H31*D31*(1+GrowthMarketRent)^6,0))))),0))),0)</f>
        <v/>
      </c>
      <c r="AF31" s="14">
        <f>IFERROR(IF(AND(I31="LeaseUp",7=0),(IF(I31="Vacate",TINew*D31,IF(I31="Market",Retention*TIRenewal*D31+(1-Retention)*TINew*D31,IF(I31="LeaseUp",TINew*D31,IF(I31="Option",TIRenewal*D31,0)))))+(IF(I31="Vacate",LCNew*H31*D31*(1+GrowthMarketRent)^7,IF(I31="Market",Retention*LCRenewal*H31*D31*(1+GrowthMarketRent)^7+(1-Retention)*LCNew*H31*D31*(1+GrowthMarketRent)^7,IF(I31="LeaseUp",LCNew*H31*D31*(1+GrowthMarketRent)^7,IF(I31="Option",LCRenewal*H31*D31*(1+GrowthMarketRent)^7,0))))),IF(F31="",0,IF(AND(F31&gt;=DATE(2026+7,5,1),F31&lt;=DATE(2027+7,4,30)),(IF(I31="Vacate",TINew*D31,IF(I31="Market",Retention*TIRenewal*D31+(1-Retention)*TINew*D31,IF(I31="LeaseUp",TINew*D31,IF(I31="Option",TIRenewal*D31,0)))))+(IF(I31="Vacate",LCNew*H31*D31*(1+GrowthMarketRent)^7,IF(I31="Market",Retention*LCRenewal*H31*D31*(1+GrowthMarketRent)^7+(1-Retention)*LCNew*H31*D31*(1+GrowthMarketRent)^7,IF(I31="LeaseUp",LCNew*H31*D31*(1+GrowthMarketRent)^7,IF(I31="Option",LCRenewal*H31*D31*(1+GrowthMarketRent)^7,0))))),0))),0)</f>
        <v/>
      </c>
      <c r="AG31" s="14">
        <f>IFERROR(IF(AND(I31="LeaseUp",8=0),(IF(I31="Vacate",TINew*D31,IF(I31="Market",Retention*TIRenewal*D31+(1-Retention)*TINew*D31,IF(I31="LeaseUp",TINew*D31,IF(I31="Option",TIRenewal*D31,0)))))+(IF(I31="Vacate",LCNew*H31*D31*(1+GrowthMarketRent)^8,IF(I31="Market",Retention*LCRenewal*H31*D31*(1+GrowthMarketRent)^8+(1-Retention)*LCNew*H31*D31*(1+GrowthMarketRent)^8,IF(I31="LeaseUp",LCNew*H31*D31*(1+GrowthMarketRent)^8,IF(I31="Option",LCRenewal*H31*D31*(1+GrowthMarketRent)^8,0))))),IF(F31="",0,IF(AND(F31&gt;=DATE(2026+8,5,1),F31&lt;=DATE(2027+8,4,30)),(IF(I31="Vacate",TINew*D31,IF(I31="Market",Retention*TIRenewal*D31+(1-Retention)*TINew*D31,IF(I31="LeaseUp",TINew*D31,IF(I31="Option",TIRenewal*D31,0)))))+(IF(I31="Vacate",LCNew*H31*D31*(1+GrowthMarketRent)^8,IF(I31="Market",Retention*LCRenewal*H31*D31*(1+GrowthMarketRent)^8+(1-Retention)*LCNew*H31*D31*(1+GrowthMarketRent)^8,IF(I31="LeaseUp",LCNew*H31*D31*(1+GrowthMarketRent)^8,IF(I31="Option",LCRenewal*H31*D31*(1+GrowthMarketRent)^8,0))))),0))),0)</f>
        <v/>
      </c>
      <c r="AH31" s="14">
        <f>IFERROR(IF(AND(I31="LeaseUp",9=0),(IF(I31="Vacate",TINew*D31,IF(I31="Market",Retention*TIRenewal*D31+(1-Retention)*TINew*D31,IF(I31="LeaseUp",TINew*D31,IF(I31="Option",TIRenewal*D31,0)))))+(IF(I31="Vacate",LCNew*H31*D31*(1+GrowthMarketRent)^9,IF(I31="Market",Retention*LCRenewal*H31*D31*(1+GrowthMarketRent)^9+(1-Retention)*LCNew*H31*D31*(1+GrowthMarketRent)^9,IF(I31="LeaseUp",LCNew*H31*D31*(1+GrowthMarketRent)^9,IF(I31="Option",LCRenewal*H31*D31*(1+GrowthMarketRent)^9,0))))),IF(F31="",0,IF(AND(F31&gt;=DATE(2026+9,5,1),F31&lt;=DATE(2027+9,4,30)),(IF(I31="Vacate",TINew*D31,IF(I31="Market",Retention*TIRenewal*D31+(1-Retention)*TINew*D31,IF(I31="LeaseUp",TINew*D31,IF(I31="Option",TIRenewal*D31,0)))))+(IF(I31="Vacate",LCNew*H31*D31*(1+GrowthMarketRent)^9,IF(I31="Market",Retention*LCRenewal*H31*D31*(1+GrowthMarketRent)^9+(1-Retention)*LCNew*H31*D31*(1+GrowthMarketRent)^9,IF(I31="LeaseUp",LCNew*H31*D31*(1+GrowthMarketRent)^9,IF(I31="Option",LCRenewal*H31*D31*(1+GrowthMarketRent)^9,0))))),0))),0)</f>
        <v/>
      </c>
      <c r="AI31" s="14">
        <f>IFERROR(IF(AND(I31="LeaseUp",10=0),(IF(I31="Vacate",TINew*D31,IF(I31="Market",Retention*TIRenewal*D31+(1-Retention)*TINew*D31,IF(I31="LeaseUp",TINew*D31,IF(I31="Option",TIRenewal*D31,0)))))+(IF(I31="Vacate",LCNew*H31*D31*(1+GrowthMarketRent)^10,IF(I31="Market",Retention*LCRenewal*H31*D31*(1+GrowthMarketRent)^10+(1-Retention)*LCNew*H31*D31*(1+GrowthMarketRent)^10,IF(I31="LeaseUp",LCNew*H31*D31*(1+GrowthMarketRent)^10,IF(I31="Option",LCRenewal*H31*D31*(1+GrowthMarketRent)^10,0))))),IF(F31="",0,IF(AND(F31&gt;=DATE(2026+10,5,1),F31&lt;=DATE(2027+10,4,30)),(IF(I31="Vacate",TINew*D31,IF(I31="Market",Retention*TIRenewal*D31+(1-Retention)*TINew*D31,IF(I31="LeaseUp",TINew*D31,IF(I31="Option",TIRenewal*D31,0)))))+(IF(I31="Vacate",LCNew*H31*D31*(1+GrowthMarketRent)^10,IF(I31="Market",Retention*LCRenewal*H31*D31*(1+GrowthMarketRent)^10+(1-Retention)*LCNew*H31*D31*(1+GrowthMarketRent)^10,IF(I31="LeaseUp",LCNew*H31*D31*(1+GrowthMarketRent)^10,IF(I31="Option",LCRenewal*H31*D31*(1+GrowthMarketRent)^10,0))))),0))),0)</f>
        <v/>
      </c>
    </row>
    <row r="32">
      <c r="A32" t="inlineStr">
        <is>
          <t>Carrollton</t>
        </is>
      </c>
      <c r="B32" t="inlineStr">
        <is>
          <t>340</t>
        </is>
      </c>
      <c r="C32" t="inlineStr">
        <is>
          <t>TMII Enterprises LLC</t>
        </is>
      </c>
      <c r="D32" s="32" t="n">
        <v>1870</v>
      </c>
      <c r="E32" s="33" t="n">
        <v>45444</v>
      </c>
      <c r="F32" s="33" t="n">
        <v>46692</v>
      </c>
      <c r="G32" s="34" t="n">
        <v>16.4</v>
      </c>
      <c r="H32" s="16">
        <f>VLOOKUP("Carrollton — "&amp;J32,MLA!$A$5:$L$11,3,FALSE)</f>
        <v/>
      </c>
      <c r="I32" s="11" t="inlineStr">
        <is>
          <t>Market</t>
        </is>
      </c>
      <c r="J32" t="inlineStr">
        <is>
          <t>Studio</t>
        </is>
      </c>
      <c r="K32" t="inlineStr">
        <is>
          <t>Occupied</t>
        </is>
      </c>
      <c r="L32" t="inlineStr">
        <is>
          <t>Studio; Guarantor: Joseph McCusker</t>
        </is>
      </c>
      <c r="M32" s="20">
        <f>IF(E32="",0,(AnalysisStart-E32)/365.25)</f>
        <v/>
      </c>
      <c r="N32" s="14">
        <f>IFERROR(IF(I32="LeaseUp",H32*D32*(1+GrowthMarketRent)^0*IF(0=0,(12-DowntimeNew)/12,1),IF(F32="",0,IF(F32&gt;=DATE(2027+0,4,30),G32*D32*(1+EscalatorInLease)^(0+M32),IF(F32&lt;DATE(2026+0,5,1),IF(I32="Vacate",H32*D32*(1+GrowthMarketRent)^0*IF(INT((DATE(2026+0,10,31)-F32)/365.25)=0,(12-DowntimeNew)/12,1),IF(I32="Option",G32*D32*1.025*(1+EscalatorInLease)^0,IF(I32="Market",Retention*G32*D32*(1+EscalatorInLease)^(0+M32)+(1-Retention)*H32*D32*(1+GrowthMarketRent)^0*IF(INT((DATE(2026+0,10,31)-F32)/365.25)=0,(12-DowntimeNew)/12,1),IF(I32="LeaseUp",H32*D32*(1+GrowthMarketRent)^0*IF(0=0,(12-DowntimeNew)/12,1),0)))),((F32-DATE(2026+0,5,1))/365.25)*G32*D32*(1+EscalatorInLease)^(0+M32)+((DATE(2027+0,4,30)-F32)/365.25)*IF(I32="Vacate",H32*D32*(1+GrowthMarketRent)^0*IF(INT((DATE(2026+0,10,31)-F32)/365.25)=0,(12-DowntimeNew)/12,1),IF(I32="Option",G32*D32*1.025*(1+EscalatorInLease)^0,IF(I32="Market",Retention*G32*D32*(1+EscalatorInLease)^(0+M32)+(1-Retention)*H32*D32*(1+GrowthMarketRent)^0*IF(INT((DATE(2026+0,10,31)-F32)/365.25)=0,(12-DowntimeNew)/12,1),IF(I32="LeaseUp",H32*D32*(1+GrowthMarketRent)^0*IF(0=0,(12-DowntimeNew)/12,1),0)))))))),0)</f>
        <v/>
      </c>
      <c r="O32" s="14">
        <f>IFERROR(IF(I32="LeaseUp",H32*D32*(1+GrowthMarketRent)^1*IF(1=0,(12-DowntimeNew)/12,1),IF(F32="",0,IF(F32&gt;=DATE(2027+1,4,30),G32*D32*(1+EscalatorInLease)^(1+M32),IF(F32&lt;DATE(2026+1,5,1),IF(I32="Vacate",H32*D32*(1+GrowthMarketRent)^1*IF(INT((DATE(2026+1,10,31)-F32)/365.25)=0,(12-DowntimeNew)/12,1),IF(I32="Option",G32*D32*1.025*(1+EscalatorInLease)^1,IF(I32="Market",Retention*G32*D32*(1+EscalatorInLease)^(1+M32)+(1-Retention)*H32*D32*(1+GrowthMarketRent)^1*IF(INT((DATE(2026+1,10,31)-F32)/365.25)=0,(12-DowntimeNew)/12,1),IF(I32="LeaseUp",H32*D32*(1+GrowthMarketRent)^1*IF(1=0,(12-DowntimeNew)/12,1),0)))),((F32-DATE(2026+1,5,1))/365.25)*G32*D32*(1+EscalatorInLease)^(1+M32)+((DATE(2027+1,4,30)-F32)/365.25)*IF(I32="Vacate",H32*D32*(1+GrowthMarketRent)^1*IF(INT((DATE(2026+1,10,31)-F32)/365.25)=0,(12-DowntimeNew)/12,1),IF(I32="Option",G32*D32*1.025*(1+EscalatorInLease)^1,IF(I32="Market",Retention*G32*D32*(1+EscalatorInLease)^(1+M32)+(1-Retention)*H32*D32*(1+GrowthMarketRent)^1*IF(INT((DATE(2026+1,10,31)-F32)/365.25)=0,(12-DowntimeNew)/12,1),IF(I32="LeaseUp",H32*D32*(1+GrowthMarketRent)^1*IF(1=0,(12-DowntimeNew)/12,1),0)))))))),0)</f>
        <v/>
      </c>
      <c r="P32" s="14">
        <f>IFERROR(IF(I32="LeaseUp",H32*D32*(1+GrowthMarketRent)^2*IF(2=0,(12-DowntimeNew)/12,1),IF(F32="",0,IF(F32&gt;=DATE(2027+2,4,30),G32*D32*(1+EscalatorInLease)^(2+M32),IF(F32&lt;DATE(2026+2,5,1),IF(I32="Vacate",H32*D32*(1+GrowthMarketRent)^2*IF(INT((DATE(2026+2,10,31)-F32)/365.25)=0,(12-DowntimeNew)/12,1),IF(I32="Option",G32*D32*1.025*(1+EscalatorInLease)^2,IF(I32="Market",Retention*G32*D32*(1+EscalatorInLease)^(2+M32)+(1-Retention)*H32*D32*(1+GrowthMarketRent)^2*IF(INT((DATE(2026+2,10,31)-F32)/365.25)=0,(12-DowntimeNew)/12,1),IF(I32="LeaseUp",H32*D32*(1+GrowthMarketRent)^2*IF(2=0,(12-DowntimeNew)/12,1),0)))),((F32-DATE(2026+2,5,1))/365.25)*G32*D32*(1+EscalatorInLease)^(2+M32)+((DATE(2027+2,4,30)-F32)/365.25)*IF(I32="Vacate",H32*D32*(1+GrowthMarketRent)^2*IF(INT((DATE(2026+2,10,31)-F32)/365.25)=0,(12-DowntimeNew)/12,1),IF(I32="Option",G32*D32*1.025*(1+EscalatorInLease)^2,IF(I32="Market",Retention*G32*D32*(1+EscalatorInLease)^(2+M32)+(1-Retention)*H32*D32*(1+GrowthMarketRent)^2*IF(INT((DATE(2026+2,10,31)-F32)/365.25)=0,(12-DowntimeNew)/12,1),IF(I32="LeaseUp",H32*D32*(1+GrowthMarketRent)^2*IF(2=0,(12-DowntimeNew)/12,1),0)))))))),0)</f>
        <v/>
      </c>
      <c r="Q32" s="14">
        <f>IFERROR(IF(I32="LeaseUp",H32*D32*(1+GrowthMarketRent)^3*IF(3=0,(12-DowntimeNew)/12,1),IF(F32="",0,IF(F32&gt;=DATE(2027+3,4,30),G32*D32*(1+EscalatorInLease)^(3+M32),IF(F32&lt;DATE(2026+3,5,1),IF(I32="Vacate",H32*D32*(1+GrowthMarketRent)^3*IF(INT((DATE(2026+3,10,31)-F32)/365.25)=0,(12-DowntimeNew)/12,1),IF(I32="Option",G32*D32*1.025*(1+EscalatorInLease)^3,IF(I32="Market",Retention*G32*D32*(1+EscalatorInLease)^(3+M32)+(1-Retention)*H32*D32*(1+GrowthMarketRent)^3*IF(INT((DATE(2026+3,10,31)-F32)/365.25)=0,(12-DowntimeNew)/12,1),IF(I32="LeaseUp",H32*D32*(1+GrowthMarketRent)^3*IF(3=0,(12-DowntimeNew)/12,1),0)))),((F32-DATE(2026+3,5,1))/365.25)*G32*D32*(1+EscalatorInLease)^(3+M32)+((DATE(2027+3,4,30)-F32)/365.25)*IF(I32="Vacate",H32*D32*(1+GrowthMarketRent)^3*IF(INT((DATE(2026+3,10,31)-F32)/365.25)=0,(12-DowntimeNew)/12,1),IF(I32="Option",G32*D32*1.025*(1+EscalatorInLease)^3,IF(I32="Market",Retention*G32*D32*(1+EscalatorInLease)^(3+M32)+(1-Retention)*H32*D32*(1+GrowthMarketRent)^3*IF(INT((DATE(2026+3,10,31)-F32)/365.25)=0,(12-DowntimeNew)/12,1),IF(I32="LeaseUp",H32*D32*(1+GrowthMarketRent)^3*IF(3=0,(12-DowntimeNew)/12,1),0)))))))),0)</f>
        <v/>
      </c>
      <c r="R32" s="14">
        <f>IFERROR(IF(I32="LeaseUp",H32*D32*(1+GrowthMarketRent)^4*IF(4=0,(12-DowntimeNew)/12,1),IF(F32="",0,IF(F32&gt;=DATE(2027+4,4,30),G32*D32*(1+EscalatorInLease)^(4+M32),IF(F32&lt;DATE(2026+4,5,1),IF(I32="Vacate",H32*D32*(1+GrowthMarketRent)^4*IF(INT((DATE(2026+4,10,31)-F32)/365.25)=0,(12-DowntimeNew)/12,1),IF(I32="Option",G32*D32*1.025*(1+EscalatorInLease)^4,IF(I32="Market",Retention*G32*D32*(1+EscalatorInLease)^(4+M32)+(1-Retention)*H32*D32*(1+GrowthMarketRent)^4*IF(INT((DATE(2026+4,10,31)-F32)/365.25)=0,(12-DowntimeNew)/12,1),IF(I32="LeaseUp",H32*D32*(1+GrowthMarketRent)^4*IF(4=0,(12-DowntimeNew)/12,1),0)))),((F32-DATE(2026+4,5,1))/365.25)*G32*D32*(1+EscalatorInLease)^(4+M32)+((DATE(2027+4,4,30)-F32)/365.25)*IF(I32="Vacate",H32*D32*(1+GrowthMarketRent)^4*IF(INT((DATE(2026+4,10,31)-F32)/365.25)=0,(12-DowntimeNew)/12,1),IF(I32="Option",G32*D32*1.025*(1+EscalatorInLease)^4,IF(I32="Market",Retention*G32*D32*(1+EscalatorInLease)^(4+M32)+(1-Retention)*H32*D32*(1+GrowthMarketRent)^4*IF(INT((DATE(2026+4,10,31)-F32)/365.25)=0,(12-DowntimeNew)/12,1),IF(I32="LeaseUp",H32*D32*(1+GrowthMarketRent)^4*IF(4=0,(12-DowntimeNew)/12,1),0)))))))),0)</f>
        <v/>
      </c>
      <c r="S32" s="14">
        <f>IFERROR(IF(I32="LeaseUp",H32*D32*(1+GrowthMarketRent)^5*IF(5=0,(12-DowntimeNew)/12,1),IF(F32="",0,IF(F32&gt;=DATE(2027+5,4,30),G32*D32*(1+EscalatorInLease)^(5+M32),IF(F32&lt;DATE(2026+5,5,1),IF(I32="Vacate",H32*D32*(1+GrowthMarketRent)^5*IF(INT((DATE(2026+5,10,31)-F32)/365.25)=0,(12-DowntimeNew)/12,1),IF(I32="Option",G32*D32*1.025*(1+EscalatorInLease)^5,IF(I32="Market",Retention*G32*D32*(1+EscalatorInLease)^(5+M32)+(1-Retention)*H32*D32*(1+GrowthMarketRent)^5*IF(INT((DATE(2026+5,10,31)-F32)/365.25)=0,(12-DowntimeNew)/12,1),IF(I32="LeaseUp",H32*D32*(1+GrowthMarketRent)^5*IF(5=0,(12-DowntimeNew)/12,1),0)))),((F32-DATE(2026+5,5,1))/365.25)*G32*D32*(1+EscalatorInLease)^(5+M32)+((DATE(2027+5,4,30)-F32)/365.25)*IF(I32="Vacate",H32*D32*(1+GrowthMarketRent)^5*IF(INT((DATE(2026+5,10,31)-F32)/365.25)=0,(12-DowntimeNew)/12,1),IF(I32="Option",G32*D32*1.025*(1+EscalatorInLease)^5,IF(I32="Market",Retention*G32*D32*(1+EscalatorInLease)^(5+M32)+(1-Retention)*H32*D32*(1+GrowthMarketRent)^5*IF(INT((DATE(2026+5,10,31)-F32)/365.25)=0,(12-DowntimeNew)/12,1),IF(I32="LeaseUp",H32*D32*(1+GrowthMarketRent)^5*IF(5=0,(12-DowntimeNew)/12,1),0)))))))),0)</f>
        <v/>
      </c>
      <c r="T32" s="14">
        <f>IFERROR(IF(I32="LeaseUp",H32*D32*(1+GrowthMarketRent)^6*IF(6=0,(12-DowntimeNew)/12,1),IF(F32="",0,IF(F32&gt;=DATE(2027+6,4,30),G32*D32*(1+EscalatorInLease)^(6+M32),IF(F32&lt;DATE(2026+6,5,1),IF(I32="Vacate",H32*D32*(1+GrowthMarketRent)^6*IF(INT((DATE(2026+6,10,31)-F32)/365.25)=0,(12-DowntimeNew)/12,1),IF(I32="Option",G32*D32*1.025*(1+EscalatorInLease)^6,IF(I32="Market",Retention*G32*D32*(1+EscalatorInLease)^(6+M32)+(1-Retention)*H32*D32*(1+GrowthMarketRent)^6*IF(INT((DATE(2026+6,10,31)-F32)/365.25)=0,(12-DowntimeNew)/12,1),IF(I32="LeaseUp",H32*D32*(1+GrowthMarketRent)^6*IF(6=0,(12-DowntimeNew)/12,1),0)))),((F32-DATE(2026+6,5,1))/365.25)*G32*D32*(1+EscalatorInLease)^(6+M32)+((DATE(2027+6,4,30)-F32)/365.25)*IF(I32="Vacate",H32*D32*(1+GrowthMarketRent)^6*IF(INT((DATE(2026+6,10,31)-F32)/365.25)=0,(12-DowntimeNew)/12,1),IF(I32="Option",G32*D32*1.025*(1+EscalatorInLease)^6,IF(I32="Market",Retention*G32*D32*(1+EscalatorInLease)^(6+M32)+(1-Retention)*H32*D32*(1+GrowthMarketRent)^6*IF(INT((DATE(2026+6,10,31)-F32)/365.25)=0,(12-DowntimeNew)/12,1),IF(I32="LeaseUp",H32*D32*(1+GrowthMarketRent)^6*IF(6=0,(12-DowntimeNew)/12,1),0)))))))),0)</f>
        <v/>
      </c>
      <c r="U32" s="14">
        <f>IFERROR(IF(I32="LeaseUp",H32*D32*(1+GrowthMarketRent)^7*IF(7=0,(12-DowntimeNew)/12,1),IF(F32="",0,IF(F32&gt;=DATE(2027+7,4,30),G32*D32*(1+EscalatorInLease)^(7+M32),IF(F32&lt;DATE(2026+7,5,1),IF(I32="Vacate",H32*D32*(1+GrowthMarketRent)^7*IF(INT((DATE(2026+7,10,31)-F32)/365.25)=0,(12-DowntimeNew)/12,1),IF(I32="Option",G32*D32*1.025*(1+EscalatorInLease)^7,IF(I32="Market",Retention*G32*D32*(1+EscalatorInLease)^(7+M32)+(1-Retention)*H32*D32*(1+GrowthMarketRent)^7*IF(INT((DATE(2026+7,10,31)-F32)/365.25)=0,(12-DowntimeNew)/12,1),IF(I32="LeaseUp",H32*D32*(1+GrowthMarketRent)^7*IF(7=0,(12-DowntimeNew)/12,1),0)))),((F32-DATE(2026+7,5,1))/365.25)*G32*D32*(1+EscalatorInLease)^(7+M32)+((DATE(2027+7,4,30)-F32)/365.25)*IF(I32="Vacate",H32*D32*(1+GrowthMarketRent)^7*IF(INT((DATE(2026+7,10,31)-F32)/365.25)=0,(12-DowntimeNew)/12,1),IF(I32="Option",G32*D32*1.025*(1+EscalatorInLease)^7,IF(I32="Market",Retention*G32*D32*(1+EscalatorInLease)^(7+M32)+(1-Retention)*H32*D32*(1+GrowthMarketRent)^7*IF(INT((DATE(2026+7,10,31)-F32)/365.25)=0,(12-DowntimeNew)/12,1),IF(I32="LeaseUp",H32*D32*(1+GrowthMarketRent)^7*IF(7=0,(12-DowntimeNew)/12,1),0)))))))),0)</f>
        <v/>
      </c>
      <c r="V32" s="14">
        <f>IFERROR(IF(I32="LeaseUp",H32*D32*(1+GrowthMarketRent)^8*IF(8=0,(12-DowntimeNew)/12,1),IF(F32="",0,IF(F32&gt;=DATE(2027+8,4,30),G32*D32*(1+EscalatorInLease)^(8+M32),IF(F32&lt;DATE(2026+8,5,1),IF(I32="Vacate",H32*D32*(1+GrowthMarketRent)^8*IF(INT((DATE(2026+8,10,31)-F32)/365.25)=0,(12-DowntimeNew)/12,1),IF(I32="Option",G32*D32*1.025*(1+EscalatorInLease)^8,IF(I32="Market",Retention*G32*D32*(1+EscalatorInLease)^(8+M32)+(1-Retention)*H32*D32*(1+GrowthMarketRent)^8*IF(INT((DATE(2026+8,10,31)-F32)/365.25)=0,(12-DowntimeNew)/12,1),IF(I32="LeaseUp",H32*D32*(1+GrowthMarketRent)^8*IF(8=0,(12-DowntimeNew)/12,1),0)))),((F32-DATE(2026+8,5,1))/365.25)*G32*D32*(1+EscalatorInLease)^(8+M32)+((DATE(2027+8,4,30)-F32)/365.25)*IF(I32="Vacate",H32*D32*(1+GrowthMarketRent)^8*IF(INT((DATE(2026+8,10,31)-F32)/365.25)=0,(12-DowntimeNew)/12,1),IF(I32="Option",G32*D32*1.025*(1+EscalatorInLease)^8,IF(I32="Market",Retention*G32*D32*(1+EscalatorInLease)^(8+M32)+(1-Retention)*H32*D32*(1+GrowthMarketRent)^8*IF(INT((DATE(2026+8,10,31)-F32)/365.25)=0,(12-DowntimeNew)/12,1),IF(I32="LeaseUp",H32*D32*(1+GrowthMarketRent)^8*IF(8=0,(12-DowntimeNew)/12,1),0)))))))),0)</f>
        <v/>
      </c>
      <c r="W32" s="14">
        <f>IFERROR(IF(I32="LeaseUp",H32*D32*(1+GrowthMarketRent)^9*IF(9=0,(12-DowntimeNew)/12,1),IF(F32="",0,IF(F32&gt;=DATE(2027+9,4,30),G32*D32*(1+EscalatorInLease)^(9+M32),IF(F32&lt;DATE(2026+9,5,1),IF(I32="Vacate",H32*D32*(1+GrowthMarketRent)^9*IF(INT((DATE(2026+9,10,31)-F32)/365.25)=0,(12-DowntimeNew)/12,1),IF(I32="Option",G32*D32*1.025*(1+EscalatorInLease)^9,IF(I32="Market",Retention*G32*D32*(1+EscalatorInLease)^(9+M32)+(1-Retention)*H32*D32*(1+GrowthMarketRent)^9*IF(INT((DATE(2026+9,10,31)-F32)/365.25)=0,(12-DowntimeNew)/12,1),IF(I32="LeaseUp",H32*D32*(1+GrowthMarketRent)^9*IF(9=0,(12-DowntimeNew)/12,1),0)))),((F32-DATE(2026+9,5,1))/365.25)*G32*D32*(1+EscalatorInLease)^(9+M32)+((DATE(2027+9,4,30)-F32)/365.25)*IF(I32="Vacate",H32*D32*(1+GrowthMarketRent)^9*IF(INT((DATE(2026+9,10,31)-F32)/365.25)=0,(12-DowntimeNew)/12,1),IF(I32="Option",G32*D32*1.025*(1+EscalatorInLease)^9,IF(I32="Market",Retention*G32*D32*(1+EscalatorInLease)^(9+M32)+(1-Retention)*H32*D32*(1+GrowthMarketRent)^9*IF(INT((DATE(2026+9,10,31)-F32)/365.25)=0,(12-DowntimeNew)/12,1),IF(I32="LeaseUp",H32*D32*(1+GrowthMarketRent)^9*IF(9=0,(12-DowntimeNew)/12,1),0)))))))),0)</f>
        <v/>
      </c>
      <c r="X32" s="14">
        <f>IFERROR(IF(I32="LeaseUp",H32*D32*(1+GrowthMarketRent)^10*IF(10=0,(12-DowntimeNew)/12,1),IF(F32="",0,IF(F32&gt;=DATE(2027+10,4,30),G32*D32*(1+EscalatorInLease)^(10+M32),IF(F32&lt;DATE(2026+10,5,1),IF(I32="Vacate",H32*D32*(1+GrowthMarketRent)^10*IF(INT((DATE(2026+10,10,31)-F32)/365.25)=0,(12-DowntimeNew)/12,1),IF(I32="Option",G32*D32*1.025*(1+EscalatorInLease)^10,IF(I32="Market",Retention*G32*D32*(1+EscalatorInLease)^(10+M32)+(1-Retention)*H32*D32*(1+GrowthMarketRent)^10*IF(INT((DATE(2026+10,10,31)-F32)/365.25)=0,(12-DowntimeNew)/12,1),IF(I32="LeaseUp",H32*D32*(1+GrowthMarketRent)^10*IF(10=0,(12-DowntimeNew)/12,1),0)))),((F32-DATE(2026+10,5,1))/365.25)*G32*D32*(1+EscalatorInLease)^(10+M32)+((DATE(2027+10,4,30)-F32)/365.25)*IF(I32="Vacate",H32*D32*(1+GrowthMarketRent)^10*IF(INT((DATE(2026+10,10,31)-F32)/365.25)=0,(12-DowntimeNew)/12,1),IF(I32="Option",G32*D32*1.025*(1+EscalatorInLease)^10,IF(I32="Market",Retention*G32*D32*(1+EscalatorInLease)^(10+M32)+(1-Retention)*H32*D32*(1+GrowthMarketRent)^10*IF(INT((DATE(2026+10,10,31)-F32)/365.25)=0,(12-DowntimeNew)/12,1),IF(I32="LeaseUp",H32*D32*(1+GrowthMarketRent)^10*IF(10=0,(12-DowntimeNew)/12,1),0)))))))),0)</f>
        <v/>
      </c>
      <c r="Y32" s="14">
        <f>IFERROR(IF(AND(I32="LeaseUp",0=0),(IF(I32="Vacate",TINew*D32,IF(I32="Market",Retention*TIRenewal*D32+(1-Retention)*TINew*D32,IF(I32="LeaseUp",TINew*D32,IF(I32="Option",TIRenewal*D32,0)))))+(IF(I32="Vacate",LCNew*H32*D32*(1+GrowthMarketRent)^0,IF(I32="Market",Retention*LCRenewal*H32*D32*(1+GrowthMarketRent)^0+(1-Retention)*LCNew*H32*D32*(1+GrowthMarketRent)^0,IF(I32="LeaseUp",LCNew*H32*D32*(1+GrowthMarketRent)^0,IF(I32="Option",LCRenewal*H32*D32*(1+GrowthMarketRent)^0,0))))),IF(F32="",0,IF(AND(F32&gt;=DATE(2026+0,5,1),F32&lt;=DATE(2027+0,4,30)),(IF(I32="Vacate",TINew*D32,IF(I32="Market",Retention*TIRenewal*D32+(1-Retention)*TINew*D32,IF(I32="LeaseUp",TINew*D32,IF(I32="Option",TIRenewal*D32,0)))))+(IF(I32="Vacate",LCNew*H32*D32*(1+GrowthMarketRent)^0,IF(I32="Market",Retention*LCRenewal*H32*D32*(1+GrowthMarketRent)^0+(1-Retention)*LCNew*H32*D32*(1+GrowthMarketRent)^0,IF(I32="LeaseUp",LCNew*H32*D32*(1+GrowthMarketRent)^0,IF(I32="Option",LCRenewal*H32*D32*(1+GrowthMarketRent)^0,0))))),0))),0)</f>
        <v/>
      </c>
      <c r="Z32" s="14">
        <f>IFERROR(IF(AND(I32="LeaseUp",1=0),(IF(I32="Vacate",TINew*D32,IF(I32="Market",Retention*TIRenewal*D32+(1-Retention)*TINew*D32,IF(I32="LeaseUp",TINew*D32,IF(I32="Option",TIRenewal*D32,0)))))+(IF(I32="Vacate",LCNew*H32*D32*(1+GrowthMarketRent)^1,IF(I32="Market",Retention*LCRenewal*H32*D32*(1+GrowthMarketRent)^1+(1-Retention)*LCNew*H32*D32*(1+GrowthMarketRent)^1,IF(I32="LeaseUp",LCNew*H32*D32*(1+GrowthMarketRent)^1,IF(I32="Option",LCRenewal*H32*D32*(1+GrowthMarketRent)^1,0))))),IF(F32="",0,IF(AND(F32&gt;=DATE(2026+1,5,1),F32&lt;=DATE(2027+1,4,30)),(IF(I32="Vacate",TINew*D32,IF(I32="Market",Retention*TIRenewal*D32+(1-Retention)*TINew*D32,IF(I32="LeaseUp",TINew*D32,IF(I32="Option",TIRenewal*D32,0)))))+(IF(I32="Vacate",LCNew*H32*D32*(1+GrowthMarketRent)^1,IF(I32="Market",Retention*LCRenewal*H32*D32*(1+GrowthMarketRent)^1+(1-Retention)*LCNew*H32*D32*(1+GrowthMarketRent)^1,IF(I32="LeaseUp",LCNew*H32*D32*(1+GrowthMarketRent)^1,IF(I32="Option",LCRenewal*H32*D32*(1+GrowthMarketRent)^1,0))))),0))),0)</f>
        <v/>
      </c>
      <c r="AA32" s="14">
        <f>IFERROR(IF(AND(I32="LeaseUp",2=0),(IF(I32="Vacate",TINew*D32,IF(I32="Market",Retention*TIRenewal*D32+(1-Retention)*TINew*D32,IF(I32="LeaseUp",TINew*D32,IF(I32="Option",TIRenewal*D32,0)))))+(IF(I32="Vacate",LCNew*H32*D32*(1+GrowthMarketRent)^2,IF(I32="Market",Retention*LCRenewal*H32*D32*(1+GrowthMarketRent)^2+(1-Retention)*LCNew*H32*D32*(1+GrowthMarketRent)^2,IF(I32="LeaseUp",LCNew*H32*D32*(1+GrowthMarketRent)^2,IF(I32="Option",LCRenewal*H32*D32*(1+GrowthMarketRent)^2,0))))),IF(F32="",0,IF(AND(F32&gt;=DATE(2026+2,5,1),F32&lt;=DATE(2027+2,4,30)),(IF(I32="Vacate",TINew*D32,IF(I32="Market",Retention*TIRenewal*D32+(1-Retention)*TINew*D32,IF(I32="LeaseUp",TINew*D32,IF(I32="Option",TIRenewal*D32,0)))))+(IF(I32="Vacate",LCNew*H32*D32*(1+GrowthMarketRent)^2,IF(I32="Market",Retention*LCRenewal*H32*D32*(1+GrowthMarketRent)^2+(1-Retention)*LCNew*H32*D32*(1+GrowthMarketRent)^2,IF(I32="LeaseUp",LCNew*H32*D32*(1+GrowthMarketRent)^2,IF(I32="Option",LCRenewal*H32*D32*(1+GrowthMarketRent)^2,0))))),0))),0)</f>
        <v/>
      </c>
      <c r="AB32" s="14">
        <f>IFERROR(IF(AND(I32="LeaseUp",3=0),(IF(I32="Vacate",TINew*D32,IF(I32="Market",Retention*TIRenewal*D32+(1-Retention)*TINew*D32,IF(I32="LeaseUp",TINew*D32,IF(I32="Option",TIRenewal*D32,0)))))+(IF(I32="Vacate",LCNew*H32*D32*(1+GrowthMarketRent)^3,IF(I32="Market",Retention*LCRenewal*H32*D32*(1+GrowthMarketRent)^3+(1-Retention)*LCNew*H32*D32*(1+GrowthMarketRent)^3,IF(I32="LeaseUp",LCNew*H32*D32*(1+GrowthMarketRent)^3,IF(I32="Option",LCRenewal*H32*D32*(1+GrowthMarketRent)^3,0))))),IF(F32="",0,IF(AND(F32&gt;=DATE(2026+3,5,1),F32&lt;=DATE(2027+3,4,30)),(IF(I32="Vacate",TINew*D32,IF(I32="Market",Retention*TIRenewal*D32+(1-Retention)*TINew*D32,IF(I32="LeaseUp",TINew*D32,IF(I32="Option",TIRenewal*D32,0)))))+(IF(I32="Vacate",LCNew*H32*D32*(1+GrowthMarketRent)^3,IF(I32="Market",Retention*LCRenewal*H32*D32*(1+GrowthMarketRent)^3+(1-Retention)*LCNew*H32*D32*(1+GrowthMarketRent)^3,IF(I32="LeaseUp",LCNew*H32*D32*(1+GrowthMarketRent)^3,IF(I32="Option",LCRenewal*H32*D32*(1+GrowthMarketRent)^3,0))))),0))),0)</f>
        <v/>
      </c>
      <c r="AC32" s="14">
        <f>IFERROR(IF(AND(I32="LeaseUp",4=0),(IF(I32="Vacate",TINew*D32,IF(I32="Market",Retention*TIRenewal*D32+(1-Retention)*TINew*D32,IF(I32="LeaseUp",TINew*D32,IF(I32="Option",TIRenewal*D32,0)))))+(IF(I32="Vacate",LCNew*H32*D32*(1+GrowthMarketRent)^4,IF(I32="Market",Retention*LCRenewal*H32*D32*(1+GrowthMarketRent)^4+(1-Retention)*LCNew*H32*D32*(1+GrowthMarketRent)^4,IF(I32="LeaseUp",LCNew*H32*D32*(1+GrowthMarketRent)^4,IF(I32="Option",LCRenewal*H32*D32*(1+GrowthMarketRent)^4,0))))),IF(F32="",0,IF(AND(F32&gt;=DATE(2026+4,5,1),F32&lt;=DATE(2027+4,4,30)),(IF(I32="Vacate",TINew*D32,IF(I32="Market",Retention*TIRenewal*D32+(1-Retention)*TINew*D32,IF(I32="LeaseUp",TINew*D32,IF(I32="Option",TIRenewal*D32,0)))))+(IF(I32="Vacate",LCNew*H32*D32*(1+GrowthMarketRent)^4,IF(I32="Market",Retention*LCRenewal*H32*D32*(1+GrowthMarketRent)^4+(1-Retention)*LCNew*H32*D32*(1+GrowthMarketRent)^4,IF(I32="LeaseUp",LCNew*H32*D32*(1+GrowthMarketRent)^4,IF(I32="Option",LCRenewal*H32*D32*(1+GrowthMarketRent)^4,0))))),0))),0)</f>
        <v/>
      </c>
      <c r="AD32" s="14">
        <f>IFERROR(IF(AND(I32="LeaseUp",5=0),(IF(I32="Vacate",TINew*D32,IF(I32="Market",Retention*TIRenewal*D32+(1-Retention)*TINew*D32,IF(I32="LeaseUp",TINew*D32,IF(I32="Option",TIRenewal*D32,0)))))+(IF(I32="Vacate",LCNew*H32*D32*(1+GrowthMarketRent)^5,IF(I32="Market",Retention*LCRenewal*H32*D32*(1+GrowthMarketRent)^5+(1-Retention)*LCNew*H32*D32*(1+GrowthMarketRent)^5,IF(I32="LeaseUp",LCNew*H32*D32*(1+GrowthMarketRent)^5,IF(I32="Option",LCRenewal*H32*D32*(1+GrowthMarketRent)^5,0))))),IF(F32="",0,IF(AND(F32&gt;=DATE(2026+5,5,1),F32&lt;=DATE(2027+5,4,30)),(IF(I32="Vacate",TINew*D32,IF(I32="Market",Retention*TIRenewal*D32+(1-Retention)*TINew*D32,IF(I32="LeaseUp",TINew*D32,IF(I32="Option",TIRenewal*D32,0)))))+(IF(I32="Vacate",LCNew*H32*D32*(1+GrowthMarketRent)^5,IF(I32="Market",Retention*LCRenewal*H32*D32*(1+GrowthMarketRent)^5+(1-Retention)*LCNew*H32*D32*(1+GrowthMarketRent)^5,IF(I32="LeaseUp",LCNew*H32*D32*(1+GrowthMarketRent)^5,IF(I32="Option",LCRenewal*H32*D32*(1+GrowthMarketRent)^5,0))))),0))),0)</f>
        <v/>
      </c>
      <c r="AE32" s="14">
        <f>IFERROR(IF(AND(I32="LeaseUp",6=0),(IF(I32="Vacate",TINew*D32,IF(I32="Market",Retention*TIRenewal*D32+(1-Retention)*TINew*D32,IF(I32="LeaseUp",TINew*D32,IF(I32="Option",TIRenewal*D32,0)))))+(IF(I32="Vacate",LCNew*H32*D32*(1+GrowthMarketRent)^6,IF(I32="Market",Retention*LCRenewal*H32*D32*(1+GrowthMarketRent)^6+(1-Retention)*LCNew*H32*D32*(1+GrowthMarketRent)^6,IF(I32="LeaseUp",LCNew*H32*D32*(1+GrowthMarketRent)^6,IF(I32="Option",LCRenewal*H32*D32*(1+GrowthMarketRent)^6,0))))),IF(F32="",0,IF(AND(F32&gt;=DATE(2026+6,5,1),F32&lt;=DATE(2027+6,4,30)),(IF(I32="Vacate",TINew*D32,IF(I32="Market",Retention*TIRenewal*D32+(1-Retention)*TINew*D32,IF(I32="LeaseUp",TINew*D32,IF(I32="Option",TIRenewal*D32,0)))))+(IF(I32="Vacate",LCNew*H32*D32*(1+GrowthMarketRent)^6,IF(I32="Market",Retention*LCRenewal*H32*D32*(1+GrowthMarketRent)^6+(1-Retention)*LCNew*H32*D32*(1+GrowthMarketRent)^6,IF(I32="LeaseUp",LCNew*H32*D32*(1+GrowthMarketRent)^6,IF(I32="Option",LCRenewal*H32*D32*(1+GrowthMarketRent)^6,0))))),0))),0)</f>
        <v/>
      </c>
      <c r="AF32" s="14">
        <f>IFERROR(IF(AND(I32="LeaseUp",7=0),(IF(I32="Vacate",TINew*D32,IF(I32="Market",Retention*TIRenewal*D32+(1-Retention)*TINew*D32,IF(I32="LeaseUp",TINew*D32,IF(I32="Option",TIRenewal*D32,0)))))+(IF(I32="Vacate",LCNew*H32*D32*(1+GrowthMarketRent)^7,IF(I32="Market",Retention*LCRenewal*H32*D32*(1+GrowthMarketRent)^7+(1-Retention)*LCNew*H32*D32*(1+GrowthMarketRent)^7,IF(I32="LeaseUp",LCNew*H32*D32*(1+GrowthMarketRent)^7,IF(I32="Option",LCRenewal*H32*D32*(1+GrowthMarketRent)^7,0))))),IF(F32="",0,IF(AND(F32&gt;=DATE(2026+7,5,1),F32&lt;=DATE(2027+7,4,30)),(IF(I32="Vacate",TINew*D32,IF(I32="Market",Retention*TIRenewal*D32+(1-Retention)*TINew*D32,IF(I32="LeaseUp",TINew*D32,IF(I32="Option",TIRenewal*D32,0)))))+(IF(I32="Vacate",LCNew*H32*D32*(1+GrowthMarketRent)^7,IF(I32="Market",Retention*LCRenewal*H32*D32*(1+GrowthMarketRent)^7+(1-Retention)*LCNew*H32*D32*(1+GrowthMarketRent)^7,IF(I32="LeaseUp",LCNew*H32*D32*(1+GrowthMarketRent)^7,IF(I32="Option",LCRenewal*H32*D32*(1+GrowthMarketRent)^7,0))))),0))),0)</f>
        <v/>
      </c>
      <c r="AG32" s="14">
        <f>IFERROR(IF(AND(I32="LeaseUp",8=0),(IF(I32="Vacate",TINew*D32,IF(I32="Market",Retention*TIRenewal*D32+(1-Retention)*TINew*D32,IF(I32="LeaseUp",TINew*D32,IF(I32="Option",TIRenewal*D32,0)))))+(IF(I32="Vacate",LCNew*H32*D32*(1+GrowthMarketRent)^8,IF(I32="Market",Retention*LCRenewal*H32*D32*(1+GrowthMarketRent)^8+(1-Retention)*LCNew*H32*D32*(1+GrowthMarketRent)^8,IF(I32="LeaseUp",LCNew*H32*D32*(1+GrowthMarketRent)^8,IF(I32="Option",LCRenewal*H32*D32*(1+GrowthMarketRent)^8,0))))),IF(F32="",0,IF(AND(F32&gt;=DATE(2026+8,5,1),F32&lt;=DATE(2027+8,4,30)),(IF(I32="Vacate",TINew*D32,IF(I32="Market",Retention*TIRenewal*D32+(1-Retention)*TINew*D32,IF(I32="LeaseUp",TINew*D32,IF(I32="Option",TIRenewal*D32,0)))))+(IF(I32="Vacate",LCNew*H32*D32*(1+GrowthMarketRent)^8,IF(I32="Market",Retention*LCRenewal*H32*D32*(1+GrowthMarketRent)^8+(1-Retention)*LCNew*H32*D32*(1+GrowthMarketRent)^8,IF(I32="LeaseUp",LCNew*H32*D32*(1+GrowthMarketRent)^8,IF(I32="Option",LCRenewal*H32*D32*(1+GrowthMarketRent)^8,0))))),0))),0)</f>
        <v/>
      </c>
      <c r="AH32" s="14">
        <f>IFERROR(IF(AND(I32="LeaseUp",9=0),(IF(I32="Vacate",TINew*D32,IF(I32="Market",Retention*TIRenewal*D32+(1-Retention)*TINew*D32,IF(I32="LeaseUp",TINew*D32,IF(I32="Option",TIRenewal*D32,0)))))+(IF(I32="Vacate",LCNew*H32*D32*(1+GrowthMarketRent)^9,IF(I32="Market",Retention*LCRenewal*H32*D32*(1+GrowthMarketRent)^9+(1-Retention)*LCNew*H32*D32*(1+GrowthMarketRent)^9,IF(I32="LeaseUp",LCNew*H32*D32*(1+GrowthMarketRent)^9,IF(I32="Option",LCRenewal*H32*D32*(1+GrowthMarketRent)^9,0))))),IF(F32="",0,IF(AND(F32&gt;=DATE(2026+9,5,1),F32&lt;=DATE(2027+9,4,30)),(IF(I32="Vacate",TINew*D32,IF(I32="Market",Retention*TIRenewal*D32+(1-Retention)*TINew*D32,IF(I32="LeaseUp",TINew*D32,IF(I32="Option",TIRenewal*D32,0)))))+(IF(I32="Vacate",LCNew*H32*D32*(1+GrowthMarketRent)^9,IF(I32="Market",Retention*LCRenewal*H32*D32*(1+GrowthMarketRent)^9+(1-Retention)*LCNew*H32*D32*(1+GrowthMarketRent)^9,IF(I32="LeaseUp",LCNew*H32*D32*(1+GrowthMarketRent)^9,IF(I32="Option",LCRenewal*H32*D32*(1+GrowthMarketRent)^9,0))))),0))),0)</f>
        <v/>
      </c>
      <c r="AI32" s="14">
        <f>IFERROR(IF(AND(I32="LeaseUp",10=0),(IF(I32="Vacate",TINew*D32,IF(I32="Market",Retention*TIRenewal*D32+(1-Retention)*TINew*D32,IF(I32="LeaseUp",TINew*D32,IF(I32="Option",TIRenewal*D32,0)))))+(IF(I32="Vacate",LCNew*H32*D32*(1+GrowthMarketRent)^10,IF(I32="Market",Retention*LCRenewal*H32*D32*(1+GrowthMarketRent)^10+(1-Retention)*LCNew*H32*D32*(1+GrowthMarketRent)^10,IF(I32="LeaseUp",LCNew*H32*D32*(1+GrowthMarketRent)^10,IF(I32="Option",LCRenewal*H32*D32*(1+GrowthMarketRent)^10,0))))),IF(F32="",0,IF(AND(F32&gt;=DATE(2026+10,5,1),F32&lt;=DATE(2027+10,4,30)),(IF(I32="Vacate",TINew*D32,IF(I32="Market",Retention*TIRenewal*D32+(1-Retention)*TINew*D32,IF(I32="LeaseUp",TINew*D32,IF(I32="Option",TIRenewal*D32,0)))))+(IF(I32="Vacate",LCNew*H32*D32*(1+GrowthMarketRent)^10,IF(I32="Market",Retention*LCRenewal*H32*D32*(1+GrowthMarketRent)^10+(1-Retention)*LCNew*H32*D32*(1+GrowthMarketRent)^10,IF(I32="LeaseUp",LCNew*H32*D32*(1+GrowthMarketRent)^10,IF(I32="Option",LCRenewal*H32*D32*(1+GrowthMarketRent)^10,0))))),0))),0)</f>
        <v/>
      </c>
    </row>
    <row r="33">
      <c r="A33" t="inlineStr">
        <is>
          <t>Carrollton</t>
        </is>
      </c>
      <c r="B33" t="inlineStr">
        <is>
          <t>400</t>
        </is>
      </c>
      <c r="C33" t="inlineStr">
        <is>
          <t>Egnite Electric LLC</t>
        </is>
      </c>
      <c r="D33" s="32" t="n">
        <v>12805</v>
      </c>
      <c r="E33" s="33" t="n">
        <v>45962</v>
      </c>
      <c r="F33" s="33" t="n">
        <v>47757</v>
      </c>
      <c r="G33" s="34" t="n">
        <v>16.6199921905506</v>
      </c>
      <c r="H33" s="16">
        <f>VLOOKUP("Carrollton — "&amp;J33,MLA!$A$5:$L$11,3,FALSE)</f>
        <v/>
      </c>
      <c r="I33" s="11" t="inlineStr">
        <is>
          <t>Market</t>
        </is>
      </c>
      <c r="J33" t="inlineStr">
        <is>
          <t>Shop</t>
        </is>
      </c>
      <c r="K33" t="inlineStr">
        <is>
          <t>Occupied</t>
        </is>
      </c>
      <c r="L33" t="inlineStr">
        <is>
          <t>Shop; Guarantor: Jazziel Perea Perez</t>
        </is>
      </c>
      <c r="M33" s="20">
        <f>IF(E33="",0,(AnalysisStart-E33)/365.25)</f>
        <v/>
      </c>
      <c r="N33" s="14">
        <f>IFERROR(IF(I33="LeaseUp",H33*D33*(1+GrowthMarketRent)^0*IF(0=0,(12-DowntimeNew)/12,1),IF(F33="",0,IF(F33&gt;=DATE(2027+0,4,30),G33*D33*(1+EscalatorInLease)^(0+M33),IF(F33&lt;DATE(2026+0,5,1),IF(I33="Vacate",H33*D33*(1+GrowthMarketRent)^0*IF(INT((DATE(2026+0,10,31)-F33)/365.25)=0,(12-DowntimeNew)/12,1),IF(I33="Option",G33*D33*1.025*(1+EscalatorInLease)^0,IF(I33="Market",Retention*G33*D33*(1+EscalatorInLease)^(0+M33)+(1-Retention)*H33*D33*(1+GrowthMarketRent)^0*IF(INT((DATE(2026+0,10,31)-F33)/365.25)=0,(12-DowntimeNew)/12,1),IF(I33="LeaseUp",H33*D33*(1+GrowthMarketRent)^0*IF(0=0,(12-DowntimeNew)/12,1),0)))),((F33-DATE(2026+0,5,1))/365.25)*G33*D33*(1+EscalatorInLease)^(0+M33)+((DATE(2027+0,4,30)-F33)/365.25)*IF(I33="Vacate",H33*D33*(1+GrowthMarketRent)^0*IF(INT((DATE(2026+0,10,31)-F33)/365.25)=0,(12-DowntimeNew)/12,1),IF(I33="Option",G33*D33*1.025*(1+EscalatorInLease)^0,IF(I33="Market",Retention*G33*D33*(1+EscalatorInLease)^(0+M33)+(1-Retention)*H33*D33*(1+GrowthMarketRent)^0*IF(INT((DATE(2026+0,10,31)-F33)/365.25)=0,(12-DowntimeNew)/12,1),IF(I33="LeaseUp",H33*D33*(1+GrowthMarketRent)^0*IF(0=0,(12-DowntimeNew)/12,1),0)))))))),0)</f>
        <v/>
      </c>
      <c r="O33" s="14">
        <f>IFERROR(IF(I33="LeaseUp",H33*D33*(1+GrowthMarketRent)^1*IF(1=0,(12-DowntimeNew)/12,1),IF(F33="",0,IF(F33&gt;=DATE(2027+1,4,30),G33*D33*(1+EscalatorInLease)^(1+M33),IF(F33&lt;DATE(2026+1,5,1),IF(I33="Vacate",H33*D33*(1+GrowthMarketRent)^1*IF(INT((DATE(2026+1,10,31)-F33)/365.25)=0,(12-DowntimeNew)/12,1),IF(I33="Option",G33*D33*1.025*(1+EscalatorInLease)^1,IF(I33="Market",Retention*G33*D33*(1+EscalatorInLease)^(1+M33)+(1-Retention)*H33*D33*(1+GrowthMarketRent)^1*IF(INT((DATE(2026+1,10,31)-F33)/365.25)=0,(12-DowntimeNew)/12,1),IF(I33="LeaseUp",H33*D33*(1+GrowthMarketRent)^1*IF(1=0,(12-DowntimeNew)/12,1),0)))),((F33-DATE(2026+1,5,1))/365.25)*G33*D33*(1+EscalatorInLease)^(1+M33)+((DATE(2027+1,4,30)-F33)/365.25)*IF(I33="Vacate",H33*D33*(1+GrowthMarketRent)^1*IF(INT((DATE(2026+1,10,31)-F33)/365.25)=0,(12-DowntimeNew)/12,1),IF(I33="Option",G33*D33*1.025*(1+EscalatorInLease)^1,IF(I33="Market",Retention*G33*D33*(1+EscalatorInLease)^(1+M33)+(1-Retention)*H33*D33*(1+GrowthMarketRent)^1*IF(INT((DATE(2026+1,10,31)-F33)/365.25)=0,(12-DowntimeNew)/12,1),IF(I33="LeaseUp",H33*D33*(1+GrowthMarketRent)^1*IF(1=0,(12-DowntimeNew)/12,1),0)))))))),0)</f>
        <v/>
      </c>
      <c r="P33" s="14">
        <f>IFERROR(IF(I33="LeaseUp",H33*D33*(1+GrowthMarketRent)^2*IF(2=0,(12-DowntimeNew)/12,1),IF(F33="",0,IF(F33&gt;=DATE(2027+2,4,30),G33*D33*(1+EscalatorInLease)^(2+M33),IF(F33&lt;DATE(2026+2,5,1),IF(I33="Vacate",H33*D33*(1+GrowthMarketRent)^2*IF(INT((DATE(2026+2,10,31)-F33)/365.25)=0,(12-DowntimeNew)/12,1),IF(I33="Option",G33*D33*1.025*(1+EscalatorInLease)^2,IF(I33="Market",Retention*G33*D33*(1+EscalatorInLease)^(2+M33)+(1-Retention)*H33*D33*(1+GrowthMarketRent)^2*IF(INT((DATE(2026+2,10,31)-F33)/365.25)=0,(12-DowntimeNew)/12,1),IF(I33="LeaseUp",H33*D33*(1+GrowthMarketRent)^2*IF(2=0,(12-DowntimeNew)/12,1),0)))),((F33-DATE(2026+2,5,1))/365.25)*G33*D33*(1+EscalatorInLease)^(2+M33)+((DATE(2027+2,4,30)-F33)/365.25)*IF(I33="Vacate",H33*D33*(1+GrowthMarketRent)^2*IF(INT((DATE(2026+2,10,31)-F33)/365.25)=0,(12-DowntimeNew)/12,1),IF(I33="Option",G33*D33*1.025*(1+EscalatorInLease)^2,IF(I33="Market",Retention*G33*D33*(1+EscalatorInLease)^(2+M33)+(1-Retention)*H33*D33*(1+GrowthMarketRent)^2*IF(INT((DATE(2026+2,10,31)-F33)/365.25)=0,(12-DowntimeNew)/12,1),IF(I33="LeaseUp",H33*D33*(1+GrowthMarketRent)^2*IF(2=0,(12-DowntimeNew)/12,1),0)))))))),0)</f>
        <v/>
      </c>
      <c r="Q33" s="14">
        <f>IFERROR(IF(I33="LeaseUp",H33*D33*(1+GrowthMarketRent)^3*IF(3=0,(12-DowntimeNew)/12,1),IF(F33="",0,IF(F33&gt;=DATE(2027+3,4,30),G33*D33*(1+EscalatorInLease)^(3+M33),IF(F33&lt;DATE(2026+3,5,1),IF(I33="Vacate",H33*D33*(1+GrowthMarketRent)^3*IF(INT((DATE(2026+3,10,31)-F33)/365.25)=0,(12-DowntimeNew)/12,1),IF(I33="Option",G33*D33*1.025*(1+EscalatorInLease)^3,IF(I33="Market",Retention*G33*D33*(1+EscalatorInLease)^(3+M33)+(1-Retention)*H33*D33*(1+GrowthMarketRent)^3*IF(INT((DATE(2026+3,10,31)-F33)/365.25)=0,(12-DowntimeNew)/12,1),IF(I33="LeaseUp",H33*D33*(1+GrowthMarketRent)^3*IF(3=0,(12-DowntimeNew)/12,1),0)))),((F33-DATE(2026+3,5,1))/365.25)*G33*D33*(1+EscalatorInLease)^(3+M33)+((DATE(2027+3,4,30)-F33)/365.25)*IF(I33="Vacate",H33*D33*(1+GrowthMarketRent)^3*IF(INT((DATE(2026+3,10,31)-F33)/365.25)=0,(12-DowntimeNew)/12,1),IF(I33="Option",G33*D33*1.025*(1+EscalatorInLease)^3,IF(I33="Market",Retention*G33*D33*(1+EscalatorInLease)^(3+M33)+(1-Retention)*H33*D33*(1+GrowthMarketRent)^3*IF(INT((DATE(2026+3,10,31)-F33)/365.25)=0,(12-DowntimeNew)/12,1),IF(I33="LeaseUp",H33*D33*(1+GrowthMarketRent)^3*IF(3=0,(12-DowntimeNew)/12,1),0)))))))),0)</f>
        <v/>
      </c>
      <c r="R33" s="14">
        <f>IFERROR(IF(I33="LeaseUp",H33*D33*(1+GrowthMarketRent)^4*IF(4=0,(12-DowntimeNew)/12,1),IF(F33="",0,IF(F33&gt;=DATE(2027+4,4,30),G33*D33*(1+EscalatorInLease)^(4+M33),IF(F33&lt;DATE(2026+4,5,1),IF(I33="Vacate",H33*D33*(1+GrowthMarketRent)^4*IF(INT((DATE(2026+4,10,31)-F33)/365.25)=0,(12-DowntimeNew)/12,1),IF(I33="Option",G33*D33*1.025*(1+EscalatorInLease)^4,IF(I33="Market",Retention*G33*D33*(1+EscalatorInLease)^(4+M33)+(1-Retention)*H33*D33*(1+GrowthMarketRent)^4*IF(INT((DATE(2026+4,10,31)-F33)/365.25)=0,(12-DowntimeNew)/12,1),IF(I33="LeaseUp",H33*D33*(1+GrowthMarketRent)^4*IF(4=0,(12-DowntimeNew)/12,1),0)))),((F33-DATE(2026+4,5,1))/365.25)*G33*D33*(1+EscalatorInLease)^(4+M33)+((DATE(2027+4,4,30)-F33)/365.25)*IF(I33="Vacate",H33*D33*(1+GrowthMarketRent)^4*IF(INT((DATE(2026+4,10,31)-F33)/365.25)=0,(12-DowntimeNew)/12,1),IF(I33="Option",G33*D33*1.025*(1+EscalatorInLease)^4,IF(I33="Market",Retention*G33*D33*(1+EscalatorInLease)^(4+M33)+(1-Retention)*H33*D33*(1+GrowthMarketRent)^4*IF(INT((DATE(2026+4,10,31)-F33)/365.25)=0,(12-DowntimeNew)/12,1),IF(I33="LeaseUp",H33*D33*(1+GrowthMarketRent)^4*IF(4=0,(12-DowntimeNew)/12,1),0)))))))),0)</f>
        <v/>
      </c>
      <c r="S33" s="14">
        <f>IFERROR(IF(I33="LeaseUp",H33*D33*(1+GrowthMarketRent)^5*IF(5=0,(12-DowntimeNew)/12,1),IF(F33="",0,IF(F33&gt;=DATE(2027+5,4,30),G33*D33*(1+EscalatorInLease)^(5+M33),IF(F33&lt;DATE(2026+5,5,1),IF(I33="Vacate",H33*D33*(1+GrowthMarketRent)^5*IF(INT((DATE(2026+5,10,31)-F33)/365.25)=0,(12-DowntimeNew)/12,1),IF(I33="Option",G33*D33*1.025*(1+EscalatorInLease)^5,IF(I33="Market",Retention*G33*D33*(1+EscalatorInLease)^(5+M33)+(1-Retention)*H33*D33*(1+GrowthMarketRent)^5*IF(INT((DATE(2026+5,10,31)-F33)/365.25)=0,(12-DowntimeNew)/12,1),IF(I33="LeaseUp",H33*D33*(1+GrowthMarketRent)^5*IF(5=0,(12-DowntimeNew)/12,1),0)))),((F33-DATE(2026+5,5,1))/365.25)*G33*D33*(1+EscalatorInLease)^(5+M33)+((DATE(2027+5,4,30)-F33)/365.25)*IF(I33="Vacate",H33*D33*(1+GrowthMarketRent)^5*IF(INT((DATE(2026+5,10,31)-F33)/365.25)=0,(12-DowntimeNew)/12,1),IF(I33="Option",G33*D33*1.025*(1+EscalatorInLease)^5,IF(I33="Market",Retention*G33*D33*(1+EscalatorInLease)^(5+M33)+(1-Retention)*H33*D33*(1+GrowthMarketRent)^5*IF(INT((DATE(2026+5,10,31)-F33)/365.25)=0,(12-DowntimeNew)/12,1),IF(I33="LeaseUp",H33*D33*(1+GrowthMarketRent)^5*IF(5=0,(12-DowntimeNew)/12,1),0)))))))),0)</f>
        <v/>
      </c>
      <c r="T33" s="14">
        <f>IFERROR(IF(I33="LeaseUp",H33*D33*(1+GrowthMarketRent)^6*IF(6=0,(12-DowntimeNew)/12,1),IF(F33="",0,IF(F33&gt;=DATE(2027+6,4,30),G33*D33*(1+EscalatorInLease)^(6+M33),IF(F33&lt;DATE(2026+6,5,1),IF(I33="Vacate",H33*D33*(1+GrowthMarketRent)^6*IF(INT((DATE(2026+6,10,31)-F33)/365.25)=0,(12-DowntimeNew)/12,1),IF(I33="Option",G33*D33*1.025*(1+EscalatorInLease)^6,IF(I33="Market",Retention*G33*D33*(1+EscalatorInLease)^(6+M33)+(1-Retention)*H33*D33*(1+GrowthMarketRent)^6*IF(INT((DATE(2026+6,10,31)-F33)/365.25)=0,(12-DowntimeNew)/12,1),IF(I33="LeaseUp",H33*D33*(1+GrowthMarketRent)^6*IF(6=0,(12-DowntimeNew)/12,1),0)))),((F33-DATE(2026+6,5,1))/365.25)*G33*D33*(1+EscalatorInLease)^(6+M33)+((DATE(2027+6,4,30)-F33)/365.25)*IF(I33="Vacate",H33*D33*(1+GrowthMarketRent)^6*IF(INT((DATE(2026+6,10,31)-F33)/365.25)=0,(12-DowntimeNew)/12,1),IF(I33="Option",G33*D33*1.025*(1+EscalatorInLease)^6,IF(I33="Market",Retention*G33*D33*(1+EscalatorInLease)^(6+M33)+(1-Retention)*H33*D33*(1+GrowthMarketRent)^6*IF(INT((DATE(2026+6,10,31)-F33)/365.25)=0,(12-DowntimeNew)/12,1),IF(I33="LeaseUp",H33*D33*(1+GrowthMarketRent)^6*IF(6=0,(12-DowntimeNew)/12,1),0)))))))),0)</f>
        <v/>
      </c>
      <c r="U33" s="14">
        <f>IFERROR(IF(I33="LeaseUp",H33*D33*(1+GrowthMarketRent)^7*IF(7=0,(12-DowntimeNew)/12,1),IF(F33="",0,IF(F33&gt;=DATE(2027+7,4,30),G33*D33*(1+EscalatorInLease)^(7+M33),IF(F33&lt;DATE(2026+7,5,1),IF(I33="Vacate",H33*D33*(1+GrowthMarketRent)^7*IF(INT((DATE(2026+7,10,31)-F33)/365.25)=0,(12-DowntimeNew)/12,1),IF(I33="Option",G33*D33*1.025*(1+EscalatorInLease)^7,IF(I33="Market",Retention*G33*D33*(1+EscalatorInLease)^(7+M33)+(1-Retention)*H33*D33*(1+GrowthMarketRent)^7*IF(INT((DATE(2026+7,10,31)-F33)/365.25)=0,(12-DowntimeNew)/12,1),IF(I33="LeaseUp",H33*D33*(1+GrowthMarketRent)^7*IF(7=0,(12-DowntimeNew)/12,1),0)))),((F33-DATE(2026+7,5,1))/365.25)*G33*D33*(1+EscalatorInLease)^(7+M33)+((DATE(2027+7,4,30)-F33)/365.25)*IF(I33="Vacate",H33*D33*(1+GrowthMarketRent)^7*IF(INT((DATE(2026+7,10,31)-F33)/365.25)=0,(12-DowntimeNew)/12,1),IF(I33="Option",G33*D33*1.025*(1+EscalatorInLease)^7,IF(I33="Market",Retention*G33*D33*(1+EscalatorInLease)^(7+M33)+(1-Retention)*H33*D33*(1+GrowthMarketRent)^7*IF(INT((DATE(2026+7,10,31)-F33)/365.25)=0,(12-DowntimeNew)/12,1),IF(I33="LeaseUp",H33*D33*(1+GrowthMarketRent)^7*IF(7=0,(12-DowntimeNew)/12,1),0)))))))),0)</f>
        <v/>
      </c>
      <c r="V33" s="14">
        <f>IFERROR(IF(I33="LeaseUp",H33*D33*(1+GrowthMarketRent)^8*IF(8=0,(12-DowntimeNew)/12,1),IF(F33="",0,IF(F33&gt;=DATE(2027+8,4,30),G33*D33*(1+EscalatorInLease)^(8+M33),IF(F33&lt;DATE(2026+8,5,1),IF(I33="Vacate",H33*D33*(1+GrowthMarketRent)^8*IF(INT((DATE(2026+8,10,31)-F33)/365.25)=0,(12-DowntimeNew)/12,1),IF(I33="Option",G33*D33*1.025*(1+EscalatorInLease)^8,IF(I33="Market",Retention*G33*D33*(1+EscalatorInLease)^(8+M33)+(1-Retention)*H33*D33*(1+GrowthMarketRent)^8*IF(INT((DATE(2026+8,10,31)-F33)/365.25)=0,(12-DowntimeNew)/12,1),IF(I33="LeaseUp",H33*D33*(1+GrowthMarketRent)^8*IF(8=0,(12-DowntimeNew)/12,1),0)))),((F33-DATE(2026+8,5,1))/365.25)*G33*D33*(1+EscalatorInLease)^(8+M33)+((DATE(2027+8,4,30)-F33)/365.25)*IF(I33="Vacate",H33*D33*(1+GrowthMarketRent)^8*IF(INT((DATE(2026+8,10,31)-F33)/365.25)=0,(12-DowntimeNew)/12,1),IF(I33="Option",G33*D33*1.025*(1+EscalatorInLease)^8,IF(I33="Market",Retention*G33*D33*(1+EscalatorInLease)^(8+M33)+(1-Retention)*H33*D33*(1+GrowthMarketRent)^8*IF(INT((DATE(2026+8,10,31)-F33)/365.25)=0,(12-DowntimeNew)/12,1),IF(I33="LeaseUp",H33*D33*(1+GrowthMarketRent)^8*IF(8=0,(12-DowntimeNew)/12,1),0)))))))),0)</f>
        <v/>
      </c>
      <c r="W33" s="14">
        <f>IFERROR(IF(I33="LeaseUp",H33*D33*(1+GrowthMarketRent)^9*IF(9=0,(12-DowntimeNew)/12,1),IF(F33="",0,IF(F33&gt;=DATE(2027+9,4,30),G33*D33*(1+EscalatorInLease)^(9+M33),IF(F33&lt;DATE(2026+9,5,1),IF(I33="Vacate",H33*D33*(1+GrowthMarketRent)^9*IF(INT((DATE(2026+9,10,31)-F33)/365.25)=0,(12-DowntimeNew)/12,1),IF(I33="Option",G33*D33*1.025*(1+EscalatorInLease)^9,IF(I33="Market",Retention*G33*D33*(1+EscalatorInLease)^(9+M33)+(1-Retention)*H33*D33*(1+GrowthMarketRent)^9*IF(INT((DATE(2026+9,10,31)-F33)/365.25)=0,(12-DowntimeNew)/12,1),IF(I33="LeaseUp",H33*D33*(1+GrowthMarketRent)^9*IF(9=0,(12-DowntimeNew)/12,1),0)))),((F33-DATE(2026+9,5,1))/365.25)*G33*D33*(1+EscalatorInLease)^(9+M33)+((DATE(2027+9,4,30)-F33)/365.25)*IF(I33="Vacate",H33*D33*(1+GrowthMarketRent)^9*IF(INT((DATE(2026+9,10,31)-F33)/365.25)=0,(12-DowntimeNew)/12,1),IF(I33="Option",G33*D33*1.025*(1+EscalatorInLease)^9,IF(I33="Market",Retention*G33*D33*(1+EscalatorInLease)^(9+M33)+(1-Retention)*H33*D33*(1+GrowthMarketRent)^9*IF(INT((DATE(2026+9,10,31)-F33)/365.25)=0,(12-DowntimeNew)/12,1),IF(I33="LeaseUp",H33*D33*(1+GrowthMarketRent)^9*IF(9=0,(12-DowntimeNew)/12,1),0)))))))),0)</f>
        <v/>
      </c>
      <c r="X33" s="14">
        <f>IFERROR(IF(I33="LeaseUp",H33*D33*(1+GrowthMarketRent)^10*IF(10=0,(12-DowntimeNew)/12,1),IF(F33="",0,IF(F33&gt;=DATE(2027+10,4,30),G33*D33*(1+EscalatorInLease)^(10+M33),IF(F33&lt;DATE(2026+10,5,1),IF(I33="Vacate",H33*D33*(1+GrowthMarketRent)^10*IF(INT((DATE(2026+10,10,31)-F33)/365.25)=0,(12-DowntimeNew)/12,1),IF(I33="Option",G33*D33*1.025*(1+EscalatorInLease)^10,IF(I33="Market",Retention*G33*D33*(1+EscalatorInLease)^(10+M33)+(1-Retention)*H33*D33*(1+GrowthMarketRent)^10*IF(INT((DATE(2026+10,10,31)-F33)/365.25)=0,(12-DowntimeNew)/12,1),IF(I33="LeaseUp",H33*D33*(1+GrowthMarketRent)^10*IF(10=0,(12-DowntimeNew)/12,1),0)))),((F33-DATE(2026+10,5,1))/365.25)*G33*D33*(1+EscalatorInLease)^(10+M33)+((DATE(2027+10,4,30)-F33)/365.25)*IF(I33="Vacate",H33*D33*(1+GrowthMarketRent)^10*IF(INT((DATE(2026+10,10,31)-F33)/365.25)=0,(12-DowntimeNew)/12,1),IF(I33="Option",G33*D33*1.025*(1+EscalatorInLease)^10,IF(I33="Market",Retention*G33*D33*(1+EscalatorInLease)^(10+M33)+(1-Retention)*H33*D33*(1+GrowthMarketRent)^10*IF(INT((DATE(2026+10,10,31)-F33)/365.25)=0,(12-DowntimeNew)/12,1),IF(I33="LeaseUp",H33*D33*(1+GrowthMarketRent)^10*IF(10=0,(12-DowntimeNew)/12,1),0)))))))),0)</f>
        <v/>
      </c>
      <c r="Y33" s="14">
        <f>IFERROR(IF(AND(I33="LeaseUp",0=0),(IF(I33="Vacate",TINew*D33,IF(I33="Market",Retention*TIRenewal*D33+(1-Retention)*TINew*D33,IF(I33="LeaseUp",TINew*D33,IF(I33="Option",TIRenewal*D33,0)))))+(IF(I33="Vacate",LCNew*H33*D33*(1+GrowthMarketRent)^0,IF(I33="Market",Retention*LCRenewal*H33*D33*(1+GrowthMarketRent)^0+(1-Retention)*LCNew*H33*D33*(1+GrowthMarketRent)^0,IF(I33="LeaseUp",LCNew*H33*D33*(1+GrowthMarketRent)^0,IF(I33="Option",LCRenewal*H33*D33*(1+GrowthMarketRent)^0,0))))),IF(F33="",0,IF(AND(F33&gt;=DATE(2026+0,5,1),F33&lt;=DATE(2027+0,4,30)),(IF(I33="Vacate",TINew*D33,IF(I33="Market",Retention*TIRenewal*D33+(1-Retention)*TINew*D33,IF(I33="LeaseUp",TINew*D33,IF(I33="Option",TIRenewal*D33,0)))))+(IF(I33="Vacate",LCNew*H33*D33*(1+GrowthMarketRent)^0,IF(I33="Market",Retention*LCRenewal*H33*D33*(1+GrowthMarketRent)^0+(1-Retention)*LCNew*H33*D33*(1+GrowthMarketRent)^0,IF(I33="LeaseUp",LCNew*H33*D33*(1+GrowthMarketRent)^0,IF(I33="Option",LCRenewal*H33*D33*(1+GrowthMarketRent)^0,0))))),0))),0)</f>
        <v/>
      </c>
      <c r="Z33" s="14">
        <f>IFERROR(IF(AND(I33="LeaseUp",1=0),(IF(I33="Vacate",TINew*D33,IF(I33="Market",Retention*TIRenewal*D33+(1-Retention)*TINew*D33,IF(I33="LeaseUp",TINew*D33,IF(I33="Option",TIRenewal*D33,0)))))+(IF(I33="Vacate",LCNew*H33*D33*(1+GrowthMarketRent)^1,IF(I33="Market",Retention*LCRenewal*H33*D33*(1+GrowthMarketRent)^1+(1-Retention)*LCNew*H33*D33*(1+GrowthMarketRent)^1,IF(I33="LeaseUp",LCNew*H33*D33*(1+GrowthMarketRent)^1,IF(I33="Option",LCRenewal*H33*D33*(1+GrowthMarketRent)^1,0))))),IF(F33="",0,IF(AND(F33&gt;=DATE(2026+1,5,1),F33&lt;=DATE(2027+1,4,30)),(IF(I33="Vacate",TINew*D33,IF(I33="Market",Retention*TIRenewal*D33+(1-Retention)*TINew*D33,IF(I33="LeaseUp",TINew*D33,IF(I33="Option",TIRenewal*D33,0)))))+(IF(I33="Vacate",LCNew*H33*D33*(1+GrowthMarketRent)^1,IF(I33="Market",Retention*LCRenewal*H33*D33*(1+GrowthMarketRent)^1+(1-Retention)*LCNew*H33*D33*(1+GrowthMarketRent)^1,IF(I33="LeaseUp",LCNew*H33*D33*(1+GrowthMarketRent)^1,IF(I33="Option",LCRenewal*H33*D33*(1+GrowthMarketRent)^1,0))))),0))),0)</f>
        <v/>
      </c>
      <c r="AA33" s="14">
        <f>IFERROR(IF(AND(I33="LeaseUp",2=0),(IF(I33="Vacate",TINew*D33,IF(I33="Market",Retention*TIRenewal*D33+(1-Retention)*TINew*D33,IF(I33="LeaseUp",TINew*D33,IF(I33="Option",TIRenewal*D33,0)))))+(IF(I33="Vacate",LCNew*H33*D33*(1+GrowthMarketRent)^2,IF(I33="Market",Retention*LCRenewal*H33*D33*(1+GrowthMarketRent)^2+(1-Retention)*LCNew*H33*D33*(1+GrowthMarketRent)^2,IF(I33="LeaseUp",LCNew*H33*D33*(1+GrowthMarketRent)^2,IF(I33="Option",LCRenewal*H33*D33*(1+GrowthMarketRent)^2,0))))),IF(F33="",0,IF(AND(F33&gt;=DATE(2026+2,5,1),F33&lt;=DATE(2027+2,4,30)),(IF(I33="Vacate",TINew*D33,IF(I33="Market",Retention*TIRenewal*D33+(1-Retention)*TINew*D33,IF(I33="LeaseUp",TINew*D33,IF(I33="Option",TIRenewal*D33,0)))))+(IF(I33="Vacate",LCNew*H33*D33*(1+GrowthMarketRent)^2,IF(I33="Market",Retention*LCRenewal*H33*D33*(1+GrowthMarketRent)^2+(1-Retention)*LCNew*H33*D33*(1+GrowthMarketRent)^2,IF(I33="LeaseUp",LCNew*H33*D33*(1+GrowthMarketRent)^2,IF(I33="Option",LCRenewal*H33*D33*(1+GrowthMarketRent)^2,0))))),0))),0)</f>
        <v/>
      </c>
      <c r="AB33" s="14">
        <f>IFERROR(IF(AND(I33="LeaseUp",3=0),(IF(I33="Vacate",TINew*D33,IF(I33="Market",Retention*TIRenewal*D33+(1-Retention)*TINew*D33,IF(I33="LeaseUp",TINew*D33,IF(I33="Option",TIRenewal*D33,0)))))+(IF(I33="Vacate",LCNew*H33*D33*(1+GrowthMarketRent)^3,IF(I33="Market",Retention*LCRenewal*H33*D33*(1+GrowthMarketRent)^3+(1-Retention)*LCNew*H33*D33*(1+GrowthMarketRent)^3,IF(I33="LeaseUp",LCNew*H33*D33*(1+GrowthMarketRent)^3,IF(I33="Option",LCRenewal*H33*D33*(1+GrowthMarketRent)^3,0))))),IF(F33="",0,IF(AND(F33&gt;=DATE(2026+3,5,1),F33&lt;=DATE(2027+3,4,30)),(IF(I33="Vacate",TINew*D33,IF(I33="Market",Retention*TIRenewal*D33+(1-Retention)*TINew*D33,IF(I33="LeaseUp",TINew*D33,IF(I33="Option",TIRenewal*D33,0)))))+(IF(I33="Vacate",LCNew*H33*D33*(1+GrowthMarketRent)^3,IF(I33="Market",Retention*LCRenewal*H33*D33*(1+GrowthMarketRent)^3+(1-Retention)*LCNew*H33*D33*(1+GrowthMarketRent)^3,IF(I33="LeaseUp",LCNew*H33*D33*(1+GrowthMarketRent)^3,IF(I33="Option",LCRenewal*H33*D33*(1+GrowthMarketRent)^3,0))))),0))),0)</f>
        <v/>
      </c>
      <c r="AC33" s="14">
        <f>IFERROR(IF(AND(I33="LeaseUp",4=0),(IF(I33="Vacate",TINew*D33,IF(I33="Market",Retention*TIRenewal*D33+(1-Retention)*TINew*D33,IF(I33="LeaseUp",TINew*D33,IF(I33="Option",TIRenewal*D33,0)))))+(IF(I33="Vacate",LCNew*H33*D33*(1+GrowthMarketRent)^4,IF(I33="Market",Retention*LCRenewal*H33*D33*(1+GrowthMarketRent)^4+(1-Retention)*LCNew*H33*D33*(1+GrowthMarketRent)^4,IF(I33="LeaseUp",LCNew*H33*D33*(1+GrowthMarketRent)^4,IF(I33="Option",LCRenewal*H33*D33*(1+GrowthMarketRent)^4,0))))),IF(F33="",0,IF(AND(F33&gt;=DATE(2026+4,5,1),F33&lt;=DATE(2027+4,4,30)),(IF(I33="Vacate",TINew*D33,IF(I33="Market",Retention*TIRenewal*D33+(1-Retention)*TINew*D33,IF(I33="LeaseUp",TINew*D33,IF(I33="Option",TIRenewal*D33,0)))))+(IF(I33="Vacate",LCNew*H33*D33*(1+GrowthMarketRent)^4,IF(I33="Market",Retention*LCRenewal*H33*D33*(1+GrowthMarketRent)^4+(1-Retention)*LCNew*H33*D33*(1+GrowthMarketRent)^4,IF(I33="LeaseUp",LCNew*H33*D33*(1+GrowthMarketRent)^4,IF(I33="Option",LCRenewal*H33*D33*(1+GrowthMarketRent)^4,0))))),0))),0)</f>
        <v/>
      </c>
      <c r="AD33" s="14">
        <f>IFERROR(IF(AND(I33="LeaseUp",5=0),(IF(I33="Vacate",TINew*D33,IF(I33="Market",Retention*TIRenewal*D33+(1-Retention)*TINew*D33,IF(I33="LeaseUp",TINew*D33,IF(I33="Option",TIRenewal*D33,0)))))+(IF(I33="Vacate",LCNew*H33*D33*(1+GrowthMarketRent)^5,IF(I33="Market",Retention*LCRenewal*H33*D33*(1+GrowthMarketRent)^5+(1-Retention)*LCNew*H33*D33*(1+GrowthMarketRent)^5,IF(I33="LeaseUp",LCNew*H33*D33*(1+GrowthMarketRent)^5,IF(I33="Option",LCRenewal*H33*D33*(1+GrowthMarketRent)^5,0))))),IF(F33="",0,IF(AND(F33&gt;=DATE(2026+5,5,1),F33&lt;=DATE(2027+5,4,30)),(IF(I33="Vacate",TINew*D33,IF(I33="Market",Retention*TIRenewal*D33+(1-Retention)*TINew*D33,IF(I33="LeaseUp",TINew*D33,IF(I33="Option",TIRenewal*D33,0)))))+(IF(I33="Vacate",LCNew*H33*D33*(1+GrowthMarketRent)^5,IF(I33="Market",Retention*LCRenewal*H33*D33*(1+GrowthMarketRent)^5+(1-Retention)*LCNew*H33*D33*(1+GrowthMarketRent)^5,IF(I33="LeaseUp",LCNew*H33*D33*(1+GrowthMarketRent)^5,IF(I33="Option",LCRenewal*H33*D33*(1+GrowthMarketRent)^5,0))))),0))),0)</f>
        <v/>
      </c>
      <c r="AE33" s="14">
        <f>IFERROR(IF(AND(I33="LeaseUp",6=0),(IF(I33="Vacate",TINew*D33,IF(I33="Market",Retention*TIRenewal*D33+(1-Retention)*TINew*D33,IF(I33="LeaseUp",TINew*D33,IF(I33="Option",TIRenewal*D33,0)))))+(IF(I33="Vacate",LCNew*H33*D33*(1+GrowthMarketRent)^6,IF(I33="Market",Retention*LCRenewal*H33*D33*(1+GrowthMarketRent)^6+(1-Retention)*LCNew*H33*D33*(1+GrowthMarketRent)^6,IF(I33="LeaseUp",LCNew*H33*D33*(1+GrowthMarketRent)^6,IF(I33="Option",LCRenewal*H33*D33*(1+GrowthMarketRent)^6,0))))),IF(F33="",0,IF(AND(F33&gt;=DATE(2026+6,5,1),F33&lt;=DATE(2027+6,4,30)),(IF(I33="Vacate",TINew*D33,IF(I33="Market",Retention*TIRenewal*D33+(1-Retention)*TINew*D33,IF(I33="LeaseUp",TINew*D33,IF(I33="Option",TIRenewal*D33,0)))))+(IF(I33="Vacate",LCNew*H33*D33*(1+GrowthMarketRent)^6,IF(I33="Market",Retention*LCRenewal*H33*D33*(1+GrowthMarketRent)^6+(1-Retention)*LCNew*H33*D33*(1+GrowthMarketRent)^6,IF(I33="LeaseUp",LCNew*H33*D33*(1+GrowthMarketRent)^6,IF(I33="Option",LCRenewal*H33*D33*(1+GrowthMarketRent)^6,0))))),0))),0)</f>
        <v/>
      </c>
      <c r="AF33" s="14">
        <f>IFERROR(IF(AND(I33="LeaseUp",7=0),(IF(I33="Vacate",TINew*D33,IF(I33="Market",Retention*TIRenewal*D33+(1-Retention)*TINew*D33,IF(I33="LeaseUp",TINew*D33,IF(I33="Option",TIRenewal*D33,0)))))+(IF(I33="Vacate",LCNew*H33*D33*(1+GrowthMarketRent)^7,IF(I33="Market",Retention*LCRenewal*H33*D33*(1+GrowthMarketRent)^7+(1-Retention)*LCNew*H33*D33*(1+GrowthMarketRent)^7,IF(I33="LeaseUp",LCNew*H33*D33*(1+GrowthMarketRent)^7,IF(I33="Option",LCRenewal*H33*D33*(1+GrowthMarketRent)^7,0))))),IF(F33="",0,IF(AND(F33&gt;=DATE(2026+7,5,1),F33&lt;=DATE(2027+7,4,30)),(IF(I33="Vacate",TINew*D33,IF(I33="Market",Retention*TIRenewal*D33+(1-Retention)*TINew*D33,IF(I33="LeaseUp",TINew*D33,IF(I33="Option",TIRenewal*D33,0)))))+(IF(I33="Vacate",LCNew*H33*D33*(1+GrowthMarketRent)^7,IF(I33="Market",Retention*LCRenewal*H33*D33*(1+GrowthMarketRent)^7+(1-Retention)*LCNew*H33*D33*(1+GrowthMarketRent)^7,IF(I33="LeaseUp",LCNew*H33*D33*(1+GrowthMarketRent)^7,IF(I33="Option",LCRenewal*H33*D33*(1+GrowthMarketRent)^7,0))))),0))),0)</f>
        <v/>
      </c>
      <c r="AG33" s="14">
        <f>IFERROR(IF(AND(I33="LeaseUp",8=0),(IF(I33="Vacate",TINew*D33,IF(I33="Market",Retention*TIRenewal*D33+(1-Retention)*TINew*D33,IF(I33="LeaseUp",TINew*D33,IF(I33="Option",TIRenewal*D33,0)))))+(IF(I33="Vacate",LCNew*H33*D33*(1+GrowthMarketRent)^8,IF(I33="Market",Retention*LCRenewal*H33*D33*(1+GrowthMarketRent)^8+(1-Retention)*LCNew*H33*D33*(1+GrowthMarketRent)^8,IF(I33="LeaseUp",LCNew*H33*D33*(1+GrowthMarketRent)^8,IF(I33="Option",LCRenewal*H33*D33*(1+GrowthMarketRent)^8,0))))),IF(F33="",0,IF(AND(F33&gt;=DATE(2026+8,5,1),F33&lt;=DATE(2027+8,4,30)),(IF(I33="Vacate",TINew*D33,IF(I33="Market",Retention*TIRenewal*D33+(1-Retention)*TINew*D33,IF(I33="LeaseUp",TINew*D33,IF(I33="Option",TIRenewal*D33,0)))))+(IF(I33="Vacate",LCNew*H33*D33*(1+GrowthMarketRent)^8,IF(I33="Market",Retention*LCRenewal*H33*D33*(1+GrowthMarketRent)^8+(1-Retention)*LCNew*H33*D33*(1+GrowthMarketRent)^8,IF(I33="LeaseUp",LCNew*H33*D33*(1+GrowthMarketRent)^8,IF(I33="Option",LCRenewal*H33*D33*(1+GrowthMarketRent)^8,0))))),0))),0)</f>
        <v/>
      </c>
      <c r="AH33" s="14">
        <f>IFERROR(IF(AND(I33="LeaseUp",9=0),(IF(I33="Vacate",TINew*D33,IF(I33="Market",Retention*TIRenewal*D33+(1-Retention)*TINew*D33,IF(I33="LeaseUp",TINew*D33,IF(I33="Option",TIRenewal*D33,0)))))+(IF(I33="Vacate",LCNew*H33*D33*(1+GrowthMarketRent)^9,IF(I33="Market",Retention*LCRenewal*H33*D33*(1+GrowthMarketRent)^9+(1-Retention)*LCNew*H33*D33*(1+GrowthMarketRent)^9,IF(I33="LeaseUp",LCNew*H33*D33*(1+GrowthMarketRent)^9,IF(I33="Option",LCRenewal*H33*D33*(1+GrowthMarketRent)^9,0))))),IF(F33="",0,IF(AND(F33&gt;=DATE(2026+9,5,1),F33&lt;=DATE(2027+9,4,30)),(IF(I33="Vacate",TINew*D33,IF(I33="Market",Retention*TIRenewal*D33+(1-Retention)*TINew*D33,IF(I33="LeaseUp",TINew*D33,IF(I33="Option",TIRenewal*D33,0)))))+(IF(I33="Vacate",LCNew*H33*D33*(1+GrowthMarketRent)^9,IF(I33="Market",Retention*LCRenewal*H33*D33*(1+GrowthMarketRent)^9+(1-Retention)*LCNew*H33*D33*(1+GrowthMarketRent)^9,IF(I33="LeaseUp",LCNew*H33*D33*(1+GrowthMarketRent)^9,IF(I33="Option",LCRenewal*H33*D33*(1+GrowthMarketRent)^9,0))))),0))),0)</f>
        <v/>
      </c>
      <c r="AI33" s="14">
        <f>IFERROR(IF(AND(I33="LeaseUp",10=0),(IF(I33="Vacate",TINew*D33,IF(I33="Market",Retention*TIRenewal*D33+(1-Retention)*TINew*D33,IF(I33="LeaseUp",TINew*D33,IF(I33="Option",TIRenewal*D33,0)))))+(IF(I33="Vacate",LCNew*H33*D33*(1+GrowthMarketRent)^10,IF(I33="Market",Retention*LCRenewal*H33*D33*(1+GrowthMarketRent)^10+(1-Retention)*LCNew*H33*D33*(1+GrowthMarketRent)^10,IF(I33="LeaseUp",LCNew*H33*D33*(1+GrowthMarketRent)^10,IF(I33="Option",LCRenewal*H33*D33*(1+GrowthMarketRent)^10,0))))),IF(F33="",0,IF(AND(F33&gt;=DATE(2026+10,5,1),F33&lt;=DATE(2027+10,4,30)),(IF(I33="Vacate",TINew*D33,IF(I33="Market",Retention*TIRenewal*D33+(1-Retention)*TINew*D33,IF(I33="LeaseUp",TINew*D33,IF(I33="Option",TIRenewal*D33,0)))))+(IF(I33="Vacate",LCNew*H33*D33*(1+GrowthMarketRent)^10,IF(I33="Market",Retention*LCRenewal*H33*D33*(1+GrowthMarketRent)^10+(1-Retention)*LCNew*H33*D33*(1+GrowthMarketRent)^10,IF(I33="LeaseUp",LCNew*H33*D33*(1+GrowthMarketRent)^10,IF(I33="Option",LCRenewal*H33*D33*(1+GrowthMarketRent)^10,0))))),0))),0)</f>
        <v/>
      </c>
    </row>
    <row r="34">
      <c r="A34" t="inlineStr">
        <is>
          <t>Carrollton</t>
        </is>
      </c>
      <c r="B34" t="inlineStr">
        <is>
          <t>412</t>
        </is>
      </c>
      <c r="C34" t="inlineStr">
        <is>
          <t>Egnite Electric LLC</t>
        </is>
      </c>
      <c r="D34" s="32" t="n">
        <v>2600</v>
      </c>
      <c r="E34" s="33" t="n">
        <v>46054</v>
      </c>
      <c r="F34" s="33" t="n">
        <v>47757</v>
      </c>
      <c r="G34" s="34" t="n">
        <v>18</v>
      </c>
      <c r="H34" s="16">
        <f>VLOOKUP("Carrollton — "&amp;J34,MLA!$A$5:$L$11,3,FALSE)</f>
        <v/>
      </c>
      <c r="I34" s="11" t="inlineStr">
        <is>
          <t>Market</t>
        </is>
      </c>
      <c r="J34" t="inlineStr">
        <is>
          <t>Shop</t>
        </is>
      </c>
      <c r="K34" t="inlineStr">
        <is>
          <t>Occupied</t>
        </is>
      </c>
      <c r="L34" t="inlineStr">
        <is>
          <t>Shop; Guarantor: Jazziel Perea Perez</t>
        </is>
      </c>
      <c r="M34" s="20">
        <f>IF(E34="",0,(AnalysisStart-E34)/365.25)</f>
        <v/>
      </c>
      <c r="N34" s="14">
        <f>IFERROR(IF(I34="LeaseUp",H34*D34*(1+GrowthMarketRent)^0*IF(0=0,(12-DowntimeNew)/12,1),IF(F34="",0,IF(F34&gt;=DATE(2027+0,4,30),G34*D34*(1+EscalatorInLease)^(0+M34),IF(F34&lt;DATE(2026+0,5,1),IF(I34="Vacate",H34*D34*(1+GrowthMarketRent)^0*IF(INT((DATE(2026+0,10,31)-F34)/365.25)=0,(12-DowntimeNew)/12,1),IF(I34="Option",G34*D34*1.025*(1+EscalatorInLease)^0,IF(I34="Market",Retention*G34*D34*(1+EscalatorInLease)^(0+M34)+(1-Retention)*H34*D34*(1+GrowthMarketRent)^0*IF(INT((DATE(2026+0,10,31)-F34)/365.25)=0,(12-DowntimeNew)/12,1),IF(I34="LeaseUp",H34*D34*(1+GrowthMarketRent)^0*IF(0=0,(12-DowntimeNew)/12,1),0)))),((F34-DATE(2026+0,5,1))/365.25)*G34*D34*(1+EscalatorInLease)^(0+M34)+((DATE(2027+0,4,30)-F34)/365.25)*IF(I34="Vacate",H34*D34*(1+GrowthMarketRent)^0*IF(INT((DATE(2026+0,10,31)-F34)/365.25)=0,(12-DowntimeNew)/12,1),IF(I34="Option",G34*D34*1.025*(1+EscalatorInLease)^0,IF(I34="Market",Retention*G34*D34*(1+EscalatorInLease)^(0+M34)+(1-Retention)*H34*D34*(1+GrowthMarketRent)^0*IF(INT((DATE(2026+0,10,31)-F34)/365.25)=0,(12-DowntimeNew)/12,1),IF(I34="LeaseUp",H34*D34*(1+GrowthMarketRent)^0*IF(0=0,(12-DowntimeNew)/12,1),0)))))))),0)</f>
        <v/>
      </c>
      <c r="O34" s="14">
        <f>IFERROR(IF(I34="LeaseUp",H34*D34*(1+GrowthMarketRent)^1*IF(1=0,(12-DowntimeNew)/12,1),IF(F34="",0,IF(F34&gt;=DATE(2027+1,4,30),G34*D34*(1+EscalatorInLease)^(1+M34),IF(F34&lt;DATE(2026+1,5,1),IF(I34="Vacate",H34*D34*(1+GrowthMarketRent)^1*IF(INT((DATE(2026+1,10,31)-F34)/365.25)=0,(12-DowntimeNew)/12,1),IF(I34="Option",G34*D34*1.025*(1+EscalatorInLease)^1,IF(I34="Market",Retention*G34*D34*(1+EscalatorInLease)^(1+M34)+(1-Retention)*H34*D34*(1+GrowthMarketRent)^1*IF(INT((DATE(2026+1,10,31)-F34)/365.25)=0,(12-DowntimeNew)/12,1),IF(I34="LeaseUp",H34*D34*(1+GrowthMarketRent)^1*IF(1=0,(12-DowntimeNew)/12,1),0)))),((F34-DATE(2026+1,5,1))/365.25)*G34*D34*(1+EscalatorInLease)^(1+M34)+((DATE(2027+1,4,30)-F34)/365.25)*IF(I34="Vacate",H34*D34*(1+GrowthMarketRent)^1*IF(INT((DATE(2026+1,10,31)-F34)/365.25)=0,(12-DowntimeNew)/12,1),IF(I34="Option",G34*D34*1.025*(1+EscalatorInLease)^1,IF(I34="Market",Retention*G34*D34*(1+EscalatorInLease)^(1+M34)+(1-Retention)*H34*D34*(1+GrowthMarketRent)^1*IF(INT((DATE(2026+1,10,31)-F34)/365.25)=0,(12-DowntimeNew)/12,1),IF(I34="LeaseUp",H34*D34*(1+GrowthMarketRent)^1*IF(1=0,(12-DowntimeNew)/12,1),0)))))))),0)</f>
        <v/>
      </c>
      <c r="P34" s="14">
        <f>IFERROR(IF(I34="LeaseUp",H34*D34*(1+GrowthMarketRent)^2*IF(2=0,(12-DowntimeNew)/12,1),IF(F34="",0,IF(F34&gt;=DATE(2027+2,4,30),G34*D34*(1+EscalatorInLease)^(2+M34),IF(F34&lt;DATE(2026+2,5,1),IF(I34="Vacate",H34*D34*(1+GrowthMarketRent)^2*IF(INT((DATE(2026+2,10,31)-F34)/365.25)=0,(12-DowntimeNew)/12,1),IF(I34="Option",G34*D34*1.025*(1+EscalatorInLease)^2,IF(I34="Market",Retention*G34*D34*(1+EscalatorInLease)^(2+M34)+(1-Retention)*H34*D34*(1+GrowthMarketRent)^2*IF(INT((DATE(2026+2,10,31)-F34)/365.25)=0,(12-DowntimeNew)/12,1),IF(I34="LeaseUp",H34*D34*(1+GrowthMarketRent)^2*IF(2=0,(12-DowntimeNew)/12,1),0)))),((F34-DATE(2026+2,5,1))/365.25)*G34*D34*(1+EscalatorInLease)^(2+M34)+((DATE(2027+2,4,30)-F34)/365.25)*IF(I34="Vacate",H34*D34*(1+GrowthMarketRent)^2*IF(INT((DATE(2026+2,10,31)-F34)/365.25)=0,(12-DowntimeNew)/12,1),IF(I34="Option",G34*D34*1.025*(1+EscalatorInLease)^2,IF(I34="Market",Retention*G34*D34*(1+EscalatorInLease)^(2+M34)+(1-Retention)*H34*D34*(1+GrowthMarketRent)^2*IF(INT((DATE(2026+2,10,31)-F34)/365.25)=0,(12-DowntimeNew)/12,1),IF(I34="LeaseUp",H34*D34*(1+GrowthMarketRent)^2*IF(2=0,(12-DowntimeNew)/12,1),0)))))))),0)</f>
        <v/>
      </c>
      <c r="Q34" s="14">
        <f>IFERROR(IF(I34="LeaseUp",H34*D34*(1+GrowthMarketRent)^3*IF(3=0,(12-DowntimeNew)/12,1),IF(F34="",0,IF(F34&gt;=DATE(2027+3,4,30),G34*D34*(1+EscalatorInLease)^(3+M34),IF(F34&lt;DATE(2026+3,5,1),IF(I34="Vacate",H34*D34*(1+GrowthMarketRent)^3*IF(INT((DATE(2026+3,10,31)-F34)/365.25)=0,(12-DowntimeNew)/12,1),IF(I34="Option",G34*D34*1.025*(1+EscalatorInLease)^3,IF(I34="Market",Retention*G34*D34*(1+EscalatorInLease)^(3+M34)+(1-Retention)*H34*D34*(1+GrowthMarketRent)^3*IF(INT((DATE(2026+3,10,31)-F34)/365.25)=0,(12-DowntimeNew)/12,1),IF(I34="LeaseUp",H34*D34*(1+GrowthMarketRent)^3*IF(3=0,(12-DowntimeNew)/12,1),0)))),((F34-DATE(2026+3,5,1))/365.25)*G34*D34*(1+EscalatorInLease)^(3+M34)+((DATE(2027+3,4,30)-F34)/365.25)*IF(I34="Vacate",H34*D34*(1+GrowthMarketRent)^3*IF(INT((DATE(2026+3,10,31)-F34)/365.25)=0,(12-DowntimeNew)/12,1),IF(I34="Option",G34*D34*1.025*(1+EscalatorInLease)^3,IF(I34="Market",Retention*G34*D34*(1+EscalatorInLease)^(3+M34)+(1-Retention)*H34*D34*(1+GrowthMarketRent)^3*IF(INT((DATE(2026+3,10,31)-F34)/365.25)=0,(12-DowntimeNew)/12,1),IF(I34="LeaseUp",H34*D34*(1+GrowthMarketRent)^3*IF(3=0,(12-DowntimeNew)/12,1),0)))))))),0)</f>
        <v/>
      </c>
      <c r="R34" s="14">
        <f>IFERROR(IF(I34="LeaseUp",H34*D34*(1+GrowthMarketRent)^4*IF(4=0,(12-DowntimeNew)/12,1),IF(F34="",0,IF(F34&gt;=DATE(2027+4,4,30),G34*D34*(1+EscalatorInLease)^(4+M34),IF(F34&lt;DATE(2026+4,5,1),IF(I34="Vacate",H34*D34*(1+GrowthMarketRent)^4*IF(INT((DATE(2026+4,10,31)-F34)/365.25)=0,(12-DowntimeNew)/12,1),IF(I34="Option",G34*D34*1.025*(1+EscalatorInLease)^4,IF(I34="Market",Retention*G34*D34*(1+EscalatorInLease)^(4+M34)+(1-Retention)*H34*D34*(1+GrowthMarketRent)^4*IF(INT((DATE(2026+4,10,31)-F34)/365.25)=0,(12-DowntimeNew)/12,1),IF(I34="LeaseUp",H34*D34*(1+GrowthMarketRent)^4*IF(4=0,(12-DowntimeNew)/12,1),0)))),((F34-DATE(2026+4,5,1))/365.25)*G34*D34*(1+EscalatorInLease)^(4+M34)+((DATE(2027+4,4,30)-F34)/365.25)*IF(I34="Vacate",H34*D34*(1+GrowthMarketRent)^4*IF(INT((DATE(2026+4,10,31)-F34)/365.25)=0,(12-DowntimeNew)/12,1),IF(I34="Option",G34*D34*1.025*(1+EscalatorInLease)^4,IF(I34="Market",Retention*G34*D34*(1+EscalatorInLease)^(4+M34)+(1-Retention)*H34*D34*(1+GrowthMarketRent)^4*IF(INT((DATE(2026+4,10,31)-F34)/365.25)=0,(12-DowntimeNew)/12,1),IF(I34="LeaseUp",H34*D34*(1+GrowthMarketRent)^4*IF(4=0,(12-DowntimeNew)/12,1),0)))))))),0)</f>
        <v/>
      </c>
      <c r="S34" s="14">
        <f>IFERROR(IF(I34="LeaseUp",H34*D34*(1+GrowthMarketRent)^5*IF(5=0,(12-DowntimeNew)/12,1),IF(F34="",0,IF(F34&gt;=DATE(2027+5,4,30),G34*D34*(1+EscalatorInLease)^(5+M34),IF(F34&lt;DATE(2026+5,5,1),IF(I34="Vacate",H34*D34*(1+GrowthMarketRent)^5*IF(INT((DATE(2026+5,10,31)-F34)/365.25)=0,(12-DowntimeNew)/12,1),IF(I34="Option",G34*D34*1.025*(1+EscalatorInLease)^5,IF(I34="Market",Retention*G34*D34*(1+EscalatorInLease)^(5+M34)+(1-Retention)*H34*D34*(1+GrowthMarketRent)^5*IF(INT((DATE(2026+5,10,31)-F34)/365.25)=0,(12-DowntimeNew)/12,1),IF(I34="LeaseUp",H34*D34*(1+GrowthMarketRent)^5*IF(5=0,(12-DowntimeNew)/12,1),0)))),((F34-DATE(2026+5,5,1))/365.25)*G34*D34*(1+EscalatorInLease)^(5+M34)+((DATE(2027+5,4,30)-F34)/365.25)*IF(I34="Vacate",H34*D34*(1+GrowthMarketRent)^5*IF(INT((DATE(2026+5,10,31)-F34)/365.25)=0,(12-DowntimeNew)/12,1),IF(I34="Option",G34*D34*1.025*(1+EscalatorInLease)^5,IF(I34="Market",Retention*G34*D34*(1+EscalatorInLease)^(5+M34)+(1-Retention)*H34*D34*(1+GrowthMarketRent)^5*IF(INT((DATE(2026+5,10,31)-F34)/365.25)=0,(12-DowntimeNew)/12,1),IF(I34="LeaseUp",H34*D34*(1+GrowthMarketRent)^5*IF(5=0,(12-DowntimeNew)/12,1),0)))))))),0)</f>
        <v/>
      </c>
      <c r="T34" s="14">
        <f>IFERROR(IF(I34="LeaseUp",H34*D34*(1+GrowthMarketRent)^6*IF(6=0,(12-DowntimeNew)/12,1),IF(F34="",0,IF(F34&gt;=DATE(2027+6,4,30),G34*D34*(1+EscalatorInLease)^(6+M34),IF(F34&lt;DATE(2026+6,5,1),IF(I34="Vacate",H34*D34*(1+GrowthMarketRent)^6*IF(INT((DATE(2026+6,10,31)-F34)/365.25)=0,(12-DowntimeNew)/12,1),IF(I34="Option",G34*D34*1.025*(1+EscalatorInLease)^6,IF(I34="Market",Retention*G34*D34*(1+EscalatorInLease)^(6+M34)+(1-Retention)*H34*D34*(1+GrowthMarketRent)^6*IF(INT((DATE(2026+6,10,31)-F34)/365.25)=0,(12-DowntimeNew)/12,1),IF(I34="LeaseUp",H34*D34*(1+GrowthMarketRent)^6*IF(6=0,(12-DowntimeNew)/12,1),0)))),((F34-DATE(2026+6,5,1))/365.25)*G34*D34*(1+EscalatorInLease)^(6+M34)+((DATE(2027+6,4,30)-F34)/365.25)*IF(I34="Vacate",H34*D34*(1+GrowthMarketRent)^6*IF(INT((DATE(2026+6,10,31)-F34)/365.25)=0,(12-DowntimeNew)/12,1),IF(I34="Option",G34*D34*1.025*(1+EscalatorInLease)^6,IF(I34="Market",Retention*G34*D34*(1+EscalatorInLease)^(6+M34)+(1-Retention)*H34*D34*(1+GrowthMarketRent)^6*IF(INT((DATE(2026+6,10,31)-F34)/365.25)=0,(12-DowntimeNew)/12,1),IF(I34="LeaseUp",H34*D34*(1+GrowthMarketRent)^6*IF(6=0,(12-DowntimeNew)/12,1),0)))))))),0)</f>
        <v/>
      </c>
      <c r="U34" s="14">
        <f>IFERROR(IF(I34="LeaseUp",H34*D34*(1+GrowthMarketRent)^7*IF(7=0,(12-DowntimeNew)/12,1),IF(F34="",0,IF(F34&gt;=DATE(2027+7,4,30),G34*D34*(1+EscalatorInLease)^(7+M34),IF(F34&lt;DATE(2026+7,5,1),IF(I34="Vacate",H34*D34*(1+GrowthMarketRent)^7*IF(INT((DATE(2026+7,10,31)-F34)/365.25)=0,(12-DowntimeNew)/12,1),IF(I34="Option",G34*D34*1.025*(1+EscalatorInLease)^7,IF(I34="Market",Retention*G34*D34*(1+EscalatorInLease)^(7+M34)+(1-Retention)*H34*D34*(1+GrowthMarketRent)^7*IF(INT((DATE(2026+7,10,31)-F34)/365.25)=0,(12-DowntimeNew)/12,1),IF(I34="LeaseUp",H34*D34*(1+GrowthMarketRent)^7*IF(7=0,(12-DowntimeNew)/12,1),0)))),((F34-DATE(2026+7,5,1))/365.25)*G34*D34*(1+EscalatorInLease)^(7+M34)+((DATE(2027+7,4,30)-F34)/365.25)*IF(I34="Vacate",H34*D34*(1+GrowthMarketRent)^7*IF(INT((DATE(2026+7,10,31)-F34)/365.25)=0,(12-DowntimeNew)/12,1),IF(I34="Option",G34*D34*1.025*(1+EscalatorInLease)^7,IF(I34="Market",Retention*G34*D34*(1+EscalatorInLease)^(7+M34)+(1-Retention)*H34*D34*(1+GrowthMarketRent)^7*IF(INT((DATE(2026+7,10,31)-F34)/365.25)=0,(12-DowntimeNew)/12,1),IF(I34="LeaseUp",H34*D34*(1+GrowthMarketRent)^7*IF(7=0,(12-DowntimeNew)/12,1),0)))))))),0)</f>
        <v/>
      </c>
      <c r="V34" s="14">
        <f>IFERROR(IF(I34="LeaseUp",H34*D34*(1+GrowthMarketRent)^8*IF(8=0,(12-DowntimeNew)/12,1),IF(F34="",0,IF(F34&gt;=DATE(2027+8,4,30),G34*D34*(1+EscalatorInLease)^(8+M34),IF(F34&lt;DATE(2026+8,5,1),IF(I34="Vacate",H34*D34*(1+GrowthMarketRent)^8*IF(INT((DATE(2026+8,10,31)-F34)/365.25)=0,(12-DowntimeNew)/12,1),IF(I34="Option",G34*D34*1.025*(1+EscalatorInLease)^8,IF(I34="Market",Retention*G34*D34*(1+EscalatorInLease)^(8+M34)+(1-Retention)*H34*D34*(1+GrowthMarketRent)^8*IF(INT((DATE(2026+8,10,31)-F34)/365.25)=0,(12-DowntimeNew)/12,1),IF(I34="LeaseUp",H34*D34*(1+GrowthMarketRent)^8*IF(8=0,(12-DowntimeNew)/12,1),0)))),((F34-DATE(2026+8,5,1))/365.25)*G34*D34*(1+EscalatorInLease)^(8+M34)+((DATE(2027+8,4,30)-F34)/365.25)*IF(I34="Vacate",H34*D34*(1+GrowthMarketRent)^8*IF(INT((DATE(2026+8,10,31)-F34)/365.25)=0,(12-DowntimeNew)/12,1),IF(I34="Option",G34*D34*1.025*(1+EscalatorInLease)^8,IF(I34="Market",Retention*G34*D34*(1+EscalatorInLease)^(8+M34)+(1-Retention)*H34*D34*(1+GrowthMarketRent)^8*IF(INT((DATE(2026+8,10,31)-F34)/365.25)=0,(12-DowntimeNew)/12,1),IF(I34="LeaseUp",H34*D34*(1+GrowthMarketRent)^8*IF(8=0,(12-DowntimeNew)/12,1),0)))))))),0)</f>
        <v/>
      </c>
      <c r="W34" s="14">
        <f>IFERROR(IF(I34="LeaseUp",H34*D34*(1+GrowthMarketRent)^9*IF(9=0,(12-DowntimeNew)/12,1),IF(F34="",0,IF(F34&gt;=DATE(2027+9,4,30),G34*D34*(1+EscalatorInLease)^(9+M34),IF(F34&lt;DATE(2026+9,5,1),IF(I34="Vacate",H34*D34*(1+GrowthMarketRent)^9*IF(INT((DATE(2026+9,10,31)-F34)/365.25)=0,(12-DowntimeNew)/12,1),IF(I34="Option",G34*D34*1.025*(1+EscalatorInLease)^9,IF(I34="Market",Retention*G34*D34*(1+EscalatorInLease)^(9+M34)+(1-Retention)*H34*D34*(1+GrowthMarketRent)^9*IF(INT((DATE(2026+9,10,31)-F34)/365.25)=0,(12-DowntimeNew)/12,1),IF(I34="LeaseUp",H34*D34*(1+GrowthMarketRent)^9*IF(9=0,(12-DowntimeNew)/12,1),0)))),((F34-DATE(2026+9,5,1))/365.25)*G34*D34*(1+EscalatorInLease)^(9+M34)+((DATE(2027+9,4,30)-F34)/365.25)*IF(I34="Vacate",H34*D34*(1+GrowthMarketRent)^9*IF(INT((DATE(2026+9,10,31)-F34)/365.25)=0,(12-DowntimeNew)/12,1),IF(I34="Option",G34*D34*1.025*(1+EscalatorInLease)^9,IF(I34="Market",Retention*G34*D34*(1+EscalatorInLease)^(9+M34)+(1-Retention)*H34*D34*(1+GrowthMarketRent)^9*IF(INT((DATE(2026+9,10,31)-F34)/365.25)=0,(12-DowntimeNew)/12,1),IF(I34="LeaseUp",H34*D34*(1+GrowthMarketRent)^9*IF(9=0,(12-DowntimeNew)/12,1),0)))))))),0)</f>
        <v/>
      </c>
      <c r="X34" s="14">
        <f>IFERROR(IF(I34="LeaseUp",H34*D34*(1+GrowthMarketRent)^10*IF(10=0,(12-DowntimeNew)/12,1),IF(F34="",0,IF(F34&gt;=DATE(2027+10,4,30),G34*D34*(1+EscalatorInLease)^(10+M34),IF(F34&lt;DATE(2026+10,5,1),IF(I34="Vacate",H34*D34*(1+GrowthMarketRent)^10*IF(INT((DATE(2026+10,10,31)-F34)/365.25)=0,(12-DowntimeNew)/12,1),IF(I34="Option",G34*D34*1.025*(1+EscalatorInLease)^10,IF(I34="Market",Retention*G34*D34*(1+EscalatorInLease)^(10+M34)+(1-Retention)*H34*D34*(1+GrowthMarketRent)^10*IF(INT((DATE(2026+10,10,31)-F34)/365.25)=0,(12-DowntimeNew)/12,1),IF(I34="LeaseUp",H34*D34*(1+GrowthMarketRent)^10*IF(10=0,(12-DowntimeNew)/12,1),0)))),((F34-DATE(2026+10,5,1))/365.25)*G34*D34*(1+EscalatorInLease)^(10+M34)+((DATE(2027+10,4,30)-F34)/365.25)*IF(I34="Vacate",H34*D34*(1+GrowthMarketRent)^10*IF(INT((DATE(2026+10,10,31)-F34)/365.25)=0,(12-DowntimeNew)/12,1),IF(I34="Option",G34*D34*1.025*(1+EscalatorInLease)^10,IF(I34="Market",Retention*G34*D34*(1+EscalatorInLease)^(10+M34)+(1-Retention)*H34*D34*(1+GrowthMarketRent)^10*IF(INT((DATE(2026+10,10,31)-F34)/365.25)=0,(12-DowntimeNew)/12,1),IF(I34="LeaseUp",H34*D34*(1+GrowthMarketRent)^10*IF(10=0,(12-DowntimeNew)/12,1),0)))))))),0)</f>
        <v/>
      </c>
      <c r="Y34" s="14">
        <f>IFERROR(IF(AND(I34="LeaseUp",0=0),(IF(I34="Vacate",TINew*D34,IF(I34="Market",Retention*TIRenewal*D34+(1-Retention)*TINew*D34,IF(I34="LeaseUp",TINew*D34,IF(I34="Option",TIRenewal*D34,0)))))+(IF(I34="Vacate",LCNew*H34*D34*(1+GrowthMarketRent)^0,IF(I34="Market",Retention*LCRenewal*H34*D34*(1+GrowthMarketRent)^0+(1-Retention)*LCNew*H34*D34*(1+GrowthMarketRent)^0,IF(I34="LeaseUp",LCNew*H34*D34*(1+GrowthMarketRent)^0,IF(I34="Option",LCRenewal*H34*D34*(1+GrowthMarketRent)^0,0))))),IF(F34="",0,IF(AND(F34&gt;=DATE(2026+0,5,1),F34&lt;=DATE(2027+0,4,30)),(IF(I34="Vacate",TINew*D34,IF(I34="Market",Retention*TIRenewal*D34+(1-Retention)*TINew*D34,IF(I34="LeaseUp",TINew*D34,IF(I34="Option",TIRenewal*D34,0)))))+(IF(I34="Vacate",LCNew*H34*D34*(1+GrowthMarketRent)^0,IF(I34="Market",Retention*LCRenewal*H34*D34*(1+GrowthMarketRent)^0+(1-Retention)*LCNew*H34*D34*(1+GrowthMarketRent)^0,IF(I34="LeaseUp",LCNew*H34*D34*(1+GrowthMarketRent)^0,IF(I34="Option",LCRenewal*H34*D34*(1+GrowthMarketRent)^0,0))))),0))),0)</f>
        <v/>
      </c>
      <c r="Z34" s="14">
        <f>IFERROR(IF(AND(I34="LeaseUp",1=0),(IF(I34="Vacate",TINew*D34,IF(I34="Market",Retention*TIRenewal*D34+(1-Retention)*TINew*D34,IF(I34="LeaseUp",TINew*D34,IF(I34="Option",TIRenewal*D34,0)))))+(IF(I34="Vacate",LCNew*H34*D34*(1+GrowthMarketRent)^1,IF(I34="Market",Retention*LCRenewal*H34*D34*(1+GrowthMarketRent)^1+(1-Retention)*LCNew*H34*D34*(1+GrowthMarketRent)^1,IF(I34="LeaseUp",LCNew*H34*D34*(1+GrowthMarketRent)^1,IF(I34="Option",LCRenewal*H34*D34*(1+GrowthMarketRent)^1,0))))),IF(F34="",0,IF(AND(F34&gt;=DATE(2026+1,5,1),F34&lt;=DATE(2027+1,4,30)),(IF(I34="Vacate",TINew*D34,IF(I34="Market",Retention*TIRenewal*D34+(1-Retention)*TINew*D34,IF(I34="LeaseUp",TINew*D34,IF(I34="Option",TIRenewal*D34,0)))))+(IF(I34="Vacate",LCNew*H34*D34*(1+GrowthMarketRent)^1,IF(I34="Market",Retention*LCRenewal*H34*D34*(1+GrowthMarketRent)^1+(1-Retention)*LCNew*H34*D34*(1+GrowthMarketRent)^1,IF(I34="LeaseUp",LCNew*H34*D34*(1+GrowthMarketRent)^1,IF(I34="Option",LCRenewal*H34*D34*(1+GrowthMarketRent)^1,0))))),0))),0)</f>
        <v/>
      </c>
      <c r="AA34" s="14">
        <f>IFERROR(IF(AND(I34="LeaseUp",2=0),(IF(I34="Vacate",TINew*D34,IF(I34="Market",Retention*TIRenewal*D34+(1-Retention)*TINew*D34,IF(I34="LeaseUp",TINew*D34,IF(I34="Option",TIRenewal*D34,0)))))+(IF(I34="Vacate",LCNew*H34*D34*(1+GrowthMarketRent)^2,IF(I34="Market",Retention*LCRenewal*H34*D34*(1+GrowthMarketRent)^2+(1-Retention)*LCNew*H34*D34*(1+GrowthMarketRent)^2,IF(I34="LeaseUp",LCNew*H34*D34*(1+GrowthMarketRent)^2,IF(I34="Option",LCRenewal*H34*D34*(1+GrowthMarketRent)^2,0))))),IF(F34="",0,IF(AND(F34&gt;=DATE(2026+2,5,1),F34&lt;=DATE(2027+2,4,30)),(IF(I34="Vacate",TINew*D34,IF(I34="Market",Retention*TIRenewal*D34+(1-Retention)*TINew*D34,IF(I34="LeaseUp",TINew*D34,IF(I34="Option",TIRenewal*D34,0)))))+(IF(I34="Vacate",LCNew*H34*D34*(1+GrowthMarketRent)^2,IF(I34="Market",Retention*LCRenewal*H34*D34*(1+GrowthMarketRent)^2+(1-Retention)*LCNew*H34*D34*(1+GrowthMarketRent)^2,IF(I34="LeaseUp",LCNew*H34*D34*(1+GrowthMarketRent)^2,IF(I34="Option",LCRenewal*H34*D34*(1+GrowthMarketRent)^2,0))))),0))),0)</f>
        <v/>
      </c>
      <c r="AB34" s="14">
        <f>IFERROR(IF(AND(I34="LeaseUp",3=0),(IF(I34="Vacate",TINew*D34,IF(I34="Market",Retention*TIRenewal*D34+(1-Retention)*TINew*D34,IF(I34="LeaseUp",TINew*D34,IF(I34="Option",TIRenewal*D34,0)))))+(IF(I34="Vacate",LCNew*H34*D34*(1+GrowthMarketRent)^3,IF(I34="Market",Retention*LCRenewal*H34*D34*(1+GrowthMarketRent)^3+(1-Retention)*LCNew*H34*D34*(1+GrowthMarketRent)^3,IF(I34="LeaseUp",LCNew*H34*D34*(1+GrowthMarketRent)^3,IF(I34="Option",LCRenewal*H34*D34*(1+GrowthMarketRent)^3,0))))),IF(F34="",0,IF(AND(F34&gt;=DATE(2026+3,5,1),F34&lt;=DATE(2027+3,4,30)),(IF(I34="Vacate",TINew*D34,IF(I34="Market",Retention*TIRenewal*D34+(1-Retention)*TINew*D34,IF(I34="LeaseUp",TINew*D34,IF(I34="Option",TIRenewal*D34,0)))))+(IF(I34="Vacate",LCNew*H34*D34*(1+GrowthMarketRent)^3,IF(I34="Market",Retention*LCRenewal*H34*D34*(1+GrowthMarketRent)^3+(1-Retention)*LCNew*H34*D34*(1+GrowthMarketRent)^3,IF(I34="LeaseUp",LCNew*H34*D34*(1+GrowthMarketRent)^3,IF(I34="Option",LCRenewal*H34*D34*(1+GrowthMarketRent)^3,0))))),0))),0)</f>
        <v/>
      </c>
      <c r="AC34" s="14">
        <f>IFERROR(IF(AND(I34="LeaseUp",4=0),(IF(I34="Vacate",TINew*D34,IF(I34="Market",Retention*TIRenewal*D34+(1-Retention)*TINew*D34,IF(I34="LeaseUp",TINew*D34,IF(I34="Option",TIRenewal*D34,0)))))+(IF(I34="Vacate",LCNew*H34*D34*(1+GrowthMarketRent)^4,IF(I34="Market",Retention*LCRenewal*H34*D34*(1+GrowthMarketRent)^4+(1-Retention)*LCNew*H34*D34*(1+GrowthMarketRent)^4,IF(I34="LeaseUp",LCNew*H34*D34*(1+GrowthMarketRent)^4,IF(I34="Option",LCRenewal*H34*D34*(1+GrowthMarketRent)^4,0))))),IF(F34="",0,IF(AND(F34&gt;=DATE(2026+4,5,1),F34&lt;=DATE(2027+4,4,30)),(IF(I34="Vacate",TINew*D34,IF(I34="Market",Retention*TIRenewal*D34+(1-Retention)*TINew*D34,IF(I34="LeaseUp",TINew*D34,IF(I34="Option",TIRenewal*D34,0)))))+(IF(I34="Vacate",LCNew*H34*D34*(1+GrowthMarketRent)^4,IF(I34="Market",Retention*LCRenewal*H34*D34*(1+GrowthMarketRent)^4+(1-Retention)*LCNew*H34*D34*(1+GrowthMarketRent)^4,IF(I34="LeaseUp",LCNew*H34*D34*(1+GrowthMarketRent)^4,IF(I34="Option",LCRenewal*H34*D34*(1+GrowthMarketRent)^4,0))))),0))),0)</f>
        <v/>
      </c>
      <c r="AD34" s="14">
        <f>IFERROR(IF(AND(I34="LeaseUp",5=0),(IF(I34="Vacate",TINew*D34,IF(I34="Market",Retention*TIRenewal*D34+(1-Retention)*TINew*D34,IF(I34="LeaseUp",TINew*D34,IF(I34="Option",TIRenewal*D34,0)))))+(IF(I34="Vacate",LCNew*H34*D34*(1+GrowthMarketRent)^5,IF(I34="Market",Retention*LCRenewal*H34*D34*(1+GrowthMarketRent)^5+(1-Retention)*LCNew*H34*D34*(1+GrowthMarketRent)^5,IF(I34="LeaseUp",LCNew*H34*D34*(1+GrowthMarketRent)^5,IF(I34="Option",LCRenewal*H34*D34*(1+GrowthMarketRent)^5,0))))),IF(F34="",0,IF(AND(F34&gt;=DATE(2026+5,5,1),F34&lt;=DATE(2027+5,4,30)),(IF(I34="Vacate",TINew*D34,IF(I34="Market",Retention*TIRenewal*D34+(1-Retention)*TINew*D34,IF(I34="LeaseUp",TINew*D34,IF(I34="Option",TIRenewal*D34,0)))))+(IF(I34="Vacate",LCNew*H34*D34*(1+GrowthMarketRent)^5,IF(I34="Market",Retention*LCRenewal*H34*D34*(1+GrowthMarketRent)^5+(1-Retention)*LCNew*H34*D34*(1+GrowthMarketRent)^5,IF(I34="LeaseUp",LCNew*H34*D34*(1+GrowthMarketRent)^5,IF(I34="Option",LCRenewal*H34*D34*(1+GrowthMarketRent)^5,0))))),0))),0)</f>
        <v/>
      </c>
      <c r="AE34" s="14">
        <f>IFERROR(IF(AND(I34="LeaseUp",6=0),(IF(I34="Vacate",TINew*D34,IF(I34="Market",Retention*TIRenewal*D34+(1-Retention)*TINew*D34,IF(I34="LeaseUp",TINew*D34,IF(I34="Option",TIRenewal*D34,0)))))+(IF(I34="Vacate",LCNew*H34*D34*(1+GrowthMarketRent)^6,IF(I34="Market",Retention*LCRenewal*H34*D34*(1+GrowthMarketRent)^6+(1-Retention)*LCNew*H34*D34*(1+GrowthMarketRent)^6,IF(I34="LeaseUp",LCNew*H34*D34*(1+GrowthMarketRent)^6,IF(I34="Option",LCRenewal*H34*D34*(1+GrowthMarketRent)^6,0))))),IF(F34="",0,IF(AND(F34&gt;=DATE(2026+6,5,1),F34&lt;=DATE(2027+6,4,30)),(IF(I34="Vacate",TINew*D34,IF(I34="Market",Retention*TIRenewal*D34+(1-Retention)*TINew*D34,IF(I34="LeaseUp",TINew*D34,IF(I34="Option",TIRenewal*D34,0)))))+(IF(I34="Vacate",LCNew*H34*D34*(1+GrowthMarketRent)^6,IF(I34="Market",Retention*LCRenewal*H34*D34*(1+GrowthMarketRent)^6+(1-Retention)*LCNew*H34*D34*(1+GrowthMarketRent)^6,IF(I34="LeaseUp",LCNew*H34*D34*(1+GrowthMarketRent)^6,IF(I34="Option",LCRenewal*H34*D34*(1+GrowthMarketRent)^6,0))))),0))),0)</f>
        <v/>
      </c>
      <c r="AF34" s="14">
        <f>IFERROR(IF(AND(I34="LeaseUp",7=0),(IF(I34="Vacate",TINew*D34,IF(I34="Market",Retention*TIRenewal*D34+(1-Retention)*TINew*D34,IF(I34="LeaseUp",TINew*D34,IF(I34="Option",TIRenewal*D34,0)))))+(IF(I34="Vacate",LCNew*H34*D34*(1+GrowthMarketRent)^7,IF(I34="Market",Retention*LCRenewal*H34*D34*(1+GrowthMarketRent)^7+(1-Retention)*LCNew*H34*D34*(1+GrowthMarketRent)^7,IF(I34="LeaseUp",LCNew*H34*D34*(1+GrowthMarketRent)^7,IF(I34="Option",LCRenewal*H34*D34*(1+GrowthMarketRent)^7,0))))),IF(F34="",0,IF(AND(F34&gt;=DATE(2026+7,5,1),F34&lt;=DATE(2027+7,4,30)),(IF(I34="Vacate",TINew*D34,IF(I34="Market",Retention*TIRenewal*D34+(1-Retention)*TINew*D34,IF(I34="LeaseUp",TINew*D34,IF(I34="Option",TIRenewal*D34,0)))))+(IF(I34="Vacate",LCNew*H34*D34*(1+GrowthMarketRent)^7,IF(I34="Market",Retention*LCRenewal*H34*D34*(1+GrowthMarketRent)^7+(1-Retention)*LCNew*H34*D34*(1+GrowthMarketRent)^7,IF(I34="LeaseUp",LCNew*H34*D34*(1+GrowthMarketRent)^7,IF(I34="Option",LCRenewal*H34*D34*(1+GrowthMarketRent)^7,0))))),0))),0)</f>
        <v/>
      </c>
      <c r="AG34" s="14">
        <f>IFERROR(IF(AND(I34="LeaseUp",8=0),(IF(I34="Vacate",TINew*D34,IF(I34="Market",Retention*TIRenewal*D34+(1-Retention)*TINew*D34,IF(I34="LeaseUp",TINew*D34,IF(I34="Option",TIRenewal*D34,0)))))+(IF(I34="Vacate",LCNew*H34*D34*(1+GrowthMarketRent)^8,IF(I34="Market",Retention*LCRenewal*H34*D34*(1+GrowthMarketRent)^8+(1-Retention)*LCNew*H34*D34*(1+GrowthMarketRent)^8,IF(I34="LeaseUp",LCNew*H34*D34*(1+GrowthMarketRent)^8,IF(I34="Option",LCRenewal*H34*D34*(1+GrowthMarketRent)^8,0))))),IF(F34="",0,IF(AND(F34&gt;=DATE(2026+8,5,1),F34&lt;=DATE(2027+8,4,30)),(IF(I34="Vacate",TINew*D34,IF(I34="Market",Retention*TIRenewal*D34+(1-Retention)*TINew*D34,IF(I34="LeaseUp",TINew*D34,IF(I34="Option",TIRenewal*D34,0)))))+(IF(I34="Vacate",LCNew*H34*D34*(1+GrowthMarketRent)^8,IF(I34="Market",Retention*LCRenewal*H34*D34*(1+GrowthMarketRent)^8+(1-Retention)*LCNew*H34*D34*(1+GrowthMarketRent)^8,IF(I34="LeaseUp",LCNew*H34*D34*(1+GrowthMarketRent)^8,IF(I34="Option",LCRenewal*H34*D34*(1+GrowthMarketRent)^8,0))))),0))),0)</f>
        <v/>
      </c>
      <c r="AH34" s="14">
        <f>IFERROR(IF(AND(I34="LeaseUp",9=0),(IF(I34="Vacate",TINew*D34,IF(I34="Market",Retention*TIRenewal*D34+(1-Retention)*TINew*D34,IF(I34="LeaseUp",TINew*D34,IF(I34="Option",TIRenewal*D34,0)))))+(IF(I34="Vacate",LCNew*H34*D34*(1+GrowthMarketRent)^9,IF(I34="Market",Retention*LCRenewal*H34*D34*(1+GrowthMarketRent)^9+(1-Retention)*LCNew*H34*D34*(1+GrowthMarketRent)^9,IF(I34="LeaseUp",LCNew*H34*D34*(1+GrowthMarketRent)^9,IF(I34="Option",LCRenewal*H34*D34*(1+GrowthMarketRent)^9,0))))),IF(F34="",0,IF(AND(F34&gt;=DATE(2026+9,5,1),F34&lt;=DATE(2027+9,4,30)),(IF(I34="Vacate",TINew*D34,IF(I34="Market",Retention*TIRenewal*D34+(1-Retention)*TINew*D34,IF(I34="LeaseUp",TINew*D34,IF(I34="Option",TIRenewal*D34,0)))))+(IF(I34="Vacate",LCNew*H34*D34*(1+GrowthMarketRent)^9,IF(I34="Market",Retention*LCRenewal*H34*D34*(1+GrowthMarketRent)^9+(1-Retention)*LCNew*H34*D34*(1+GrowthMarketRent)^9,IF(I34="LeaseUp",LCNew*H34*D34*(1+GrowthMarketRent)^9,IF(I34="Option",LCRenewal*H34*D34*(1+GrowthMarketRent)^9,0))))),0))),0)</f>
        <v/>
      </c>
      <c r="AI34" s="14">
        <f>IFERROR(IF(AND(I34="LeaseUp",10=0),(IF(I34="Vacate",TINew*D34,IF(I34="Market",Retention*TIRenewal*D34+(1-Retention)*TINew*D34,IF(I34="LeaseUp",TINew*D34,IF(I34="Option",TIRenewal*D34,0)))))+(IF(I34="Vacate",LCNew*H34*D34*(1+GrowthMarketRent)^10,IF(I34="Market",Retention*LCRenewal*H34*D34*(1+GrowthMarketRent)^10+(1-Retention)*LCNew*H34*D34*(1+GrowthMarketRent)^10,IF(I34="LeaseUp",LCNew*H34*D34*(1+GrowthMarketRent)^10,IF(I34="Option",LCRenewal*H34*D34*(1+GrowthMarketRent)^10,0))))),IF(F34="",0,IF(AND(F34&gt;=DATE(2026+10,5,1),F34&lt;=DATE(2027+10,4,30)),(IF(I34="Vacate",TINew*D34,IF(I34="Market",Retention*TIRenewal*D34+(1-Retention)*TINew*D34,IF(I34="LeaseUp",TINew*D34,IF(I34="Option",TIRenewal*D34,0)))))+(IF(I34="Vacate",LCNew*H34*D34*(1+GrowthMarketRent)^10,IF(I34="Market",Retention*LCRenewal*H34*D34*(1+GrowthMarketRent)^10+(1-Retention)*LCNew*H34*D34*(1+GrowthMarketRent)^10,IF(I34="LeaseUp",LCNew*H34*D34*(1+GrowthMarketRent)^10,IF(I34="Option",LCRenewal*H34*D34*(1+GrowthMarketRent)^10,0))))),0))),0)</f>
        <v/>
      </c>
    </row>
    <row r="35">
      <c r="A35" t="inlineStr">
        <is>
          <t>Carrollton</t>
        </is>
      </c>
      <c r="B35" t="inlineStr">
        <is>
          <t>416</t>
        </is>
      </c>
      <c r="C35" t="inlineStr">
        <is>
          <t>Egnite Electric LLC</t>
        </is>
      </c>
      <c r="D35" s="32" t="n">
        <v>2600</v>
      </c>
      <c r="E35" s="33" t="n">
        <v>45748</v>
      </c>
      <c r="F35" s="33" t="n">
        <v>47178</v>
      </c>
      <c r="G35" s="34" t="n">
        <v>18.45</v>
      </c>
      <c r="H35" s="16">
        <f>VLOOKUP("Carrollton — "&amp;J35,MLA!$A$5:$L$11,3,FALSE)</f>
        <v/>
      </c>
      <c r="I35" s="11" t="inlineStr">
        <is>
          <t>Market</t>
        </is>
      </c>
      <c r="J35" t="inlineStr">
        <is>
          <t>Shop</t>
        </is>
      </c>
      <c r="K35" t="inlineStr">
        <is>
          <t>Occupied</t>
        </is>
      </c>
      <c r="L35" t="inlineStr">
        <is>
          <t>Shop; Guarantor: Richard Simon</t>
        </is>
      </c>
      <c r="M35" s="20">
        <f>IF(E35="",0,(AnalysisStart-E35)/365.25)</f>
        <v/>
      </c>
      <c r="N35" s="14">
        <f>IFERROR(IF(I35="LeaseUp",H35*D35*(1+GrowthMarketRent)^0*IF(0=0,(12-DowntimeNew)/12,1),IF(F35="",0,IF(F35&gt;=DATE(2027+0,4,30),G35*D35*(1+EscalatorInLease)^(0+M35),IF(F35&lt;DATE(2026+0,5,1),IF(I35="Vacate",H35*D35*(1+GrowthMarketRent)^0*IF(INT((DATE(2026+0,10,31)-F35)/365.25)=0,(12-DowntimeNew)/12,1),IF(I35="Option",G35*D35*1.025*(1+EscalatorInLease)^0,IF(I35="Market",Retention*G35*D35*(1+EscalatorInLease)^(0+M35)+(1-Retention)*H35*D35*(1+GrowthMarketRent)^0*IF(INT((DATE(2026+0,10,31)-F35)/365.25)=0,(12-DowntimeNew)/12,1),IF(I35="LeaseUp",H35*D35*(1+GrowthMarketRent)^0*IF(0=0,(12-DowntimeNew)/12,1),0)))),((F35-DATE(2026+0,5,1))/365.25)*G35*D35*(1+EscalatorInLease)^(0+M35)+((DATE(2027+0,4,30)-F35)/365.25)*IF(I35="Vacate",H35*D35*(1+GrowthMarketRent)^0*IF(INT((DATE(2026+0,10,31)-F35)/365.25)=0,(12-DowntimeNew)/12,1),IF(I35="Option",G35*D35*1.025*(1+EscalatorInLease)^0,IF(I35="Market",Retention*G35*D35*(1+EscalatorInLease)^(0+M35)+(1-Retention)*H35*D35*(1+GrowthMarketRent)^0*IF(INT((DATE(2026+0,10,31)-F35)/365.25)=0,(12-DowntimeNew)/12,1),IF(I35="LeaseUp",H35*D35*(1+GrowthMarketRent)^0*IF(0=0,(12-DowntimeNew)/12,1),0)))))))),0)</f>
        <v/>
      </c>
      <c r="O35" s="14">
        <f>IFERROR(IF(I35="LeaseUp",H35*D35*(1+GrowthMarketRent)^1*IF(1=0,(12-DowntimeNew)/12,1),IF(F35="",0,IF(F35&gt;=DATE(2027+1,4,30),G35*D35*(1+EscalatorInLease)^(1+M35),IF(F35&lt;DATE(2026+1,5,1),IF(I35="Vacate",H35*D35*(1+GrowthMarketRent)^1*IF(INT((DATE(2026+1,10,31)-F35)/365.25)=0,(12-DowntimeNew)/12,1),IF(I35="Option",G35*D35*1.025*(1+EscalatorInLease)^1,IF(I35="Market",Retention*G35*D35*(1+EscalatorInLease)^(1+M35)+(1-Retention)*H35*D35*(1+GrowthMarketRent)^1*IF(INT((DATE(2026+1,10,31)-F35)/365.25)=0,(12-DowntimeNew)/12,1),IF(I35="LeaseUp",H35*D35*(1+GrowthMarketRent)^1*IF(1=0,(12-DowntimeNew)/12,1),0)))),((F35-DATE(2026+1,5,1))/365.25)*G35*D35*(1+EscalatorInLease)^(1+M35)+((DATE(2027+1,4,30)-F35)/365.25)*IF(I35="Vacate",H35*D35*(1+GrowthMarketRent)^1*IF(INT((DATE(2026+1,10,31)-F35)/365.25)=0,(12-DowntimeNew)/12,1),IF(I35="Option",G35*D35*1.025*(1+EscalatorInLease)^1,IF(I35="Market",Retention*G35*D35*(1+EscalatorInLease)^(1+M35)+(1-Retention)*H35*D35*(1+GrowthMarketRent)^1*IF(INT((DATE(2026+1,10,31)-F35)/365.25)=0,(12-DowntimeNew)/12,1),IF(I35="LeaseUp",H35*D35*(1+GrowthMarketRent)^1*IF(1=0,(12-DowntimeNew)/12,1),0)))))))),0)</f>
        <v/>
      </c>
      <c r="P35" s="14">
        <f>IFERROR(IF(I35="LeaseUp",H35*D35*(1+GrowthMarketRent)^2*IF(2=0,(12-DowntimeNew)/12,1),IF(F35="",0,IF(F35&gt;=DATE(2027+2,4,30),G35*D35*(1+EscalatorInLease)^(2+M35),IF(F35&lt;DATE(2026+2,5,1),IF(I35="Vacate",H35*D35*(1+GrowthMarketRent)^2*IF(INT((DATE(2026+2,10,31)-F35)/365.25)=0,(12-DowntimeNew)/12,1),IF(I35="Option",G35*D35*1.025*(1+EscalatorInLease)^2,IF(I35="Market",Retention*G35*D35*(1+EscalatorInLease)^(2+M35)+(1-Retention)*H35*D35*(1+GrowthMarketRent)^2*IF(INT((DATE(2026+2,10,31)-F35)/365.25)=0,(12-DowntimeNew)/12,1),IF(I35="LeaseUp",H35*D35*(1+GrowthMarketRent)^2*IF(2=0,(12-DowntimeNew)/12,1),0)))),((F35-DATE(2026+2,5,1))/365.25)*G35*D35*(1+EscalatorInLease)^(2+M35)+((DATE(2027+2,4,30)-F35)/365.25)*IF(I35="Vacate",H35*D35*(1+GrowthMarketRent)^2*IF(INT((DATE(2026+2,10,31)-F35)/365.25)=0,(12-DowntimeNew)/12,1),IF(I35="Option",G35*D35*1.025*(1+EscalatorInLease)^2,IF(I35="Market",Retention*G35*D35*(1+EscalatorInLease)^(2+M35)+(1-Retention)*H35*D35*(1+GrowthMarketRent)^2*IF(INT((DATE(2026+2,10,31)-F35)/365.25)=0,(12-DowntimeNew)/12,1),IF(I35="LeaseUp",H35*D35*(1+GrowthMarketRent)^2*IF(2=0,(12-DowntimeNew)/12,1),0)))))))),0)</f>
        <v/>
      </c>
      <c r="Q35" s="14">
        <f>IFERROR(IF(I35="LeaseUp",H35*D35*(1+GrowthMarketRent)^3*IF(3=0,(12-DowntimeNew)/12,1),IF(F35="",0,IF(F35&gt;=DATE(2027+3,4,30),G35*D35*(1+EscalatorInLease)^(3+M35),IF(F35&lt;DATE(2026+3,5,1),IF(I35="Vacate",H35*D35*(1+GrowthMarketRent)^3*IF(INT((DATE(2026+3,10,31)-F35)/365.25)=0,(12-DowntimeNew)/12,1),IF(I35="Option",G35*D35*1.025*(1+EscalatorInLease)^3,IF(I35="Market",Retention*G35*D35*(1+EscalatorInLease)^(3+M35)+(1-Retention)*H35*D35*(1+GrowthMarketRent)^3*IF(INT((DATE(2026+3,10,31)-F35)/365.25)=0,(12-DowntimeNew)/12,1),IF(I35="LeaseUp",H35*D35*(1+GrowthMarketRent)^3*IF(3=0,(12-DowntimeNew)/12,1),0)))),((F35-DATE(2026+3,5,1))/365.25)*G35*D35*(1+EscalatorInLease)^(3+M35)+((DATE(2027+3,4,30)-F35)/365.25)*IF(I35="Vacate",H35*D35*(1+GrowthMarketRent)^3*IF(INT((DATE(2026+3,10,31)-F35)/365.25)=0,(12-DowntimeNew)/12,1),IF(I35="Option",G35*D35*1.025*(1+EscalatorInLease)^3,IF(I35="Market",Retention*G35*D35*(1+EscalatorInLease)^(3+M35)+(1-Retention)*H35*D35*(1+GrowthMarketRent)^3*IF(INT((DATE(2026+3,10,31)-F35)/365.25)=0,(12-DowntimeNew)/12,1),IF(I35="LeaseUp",H35*D35*(1+GrowthMarketRent)^3*IF(3=0,(12-DowntimeNew)/12,1),0)))))))),0)</f>
        <v/>
      </c>
      <c r="R35" s="14">
        <f>IFERROR(IF(I35="LeaseUp",H35*D35*(1+GrowthMarketRent)^4*IF(4=0,(12-DowntimeNew)/12,1),IF(F35="",0,IF(F35&gt;=DATE(2027+4,4,30),G35*D35*(1+EscalatorInLease)^(4+M35),IF(F35&lt;DATE(2026+4,5,1),IF(I35="Vacate",H35*D35*(1+GrowthMarketRent)^4*IF(INT((DATE(2026+4,10,31)-F35)/365.25)=0,(12-DowntimeNew)/12,1),IF(I35="Option",G35*D35*1.025*(1+EscalatorInLease)^4,IF(I35="Market",Retention*G35*D35*(1+EscalatorInLease)^(4+M35)+(1-Retention)*H35*D35*(1+GrowthMarketRent)^4*IF(INT((DATE(2026+4,10,31)-F35)/365.25)=0,(12-DowntimeNew)/12,1),IF(I35="LeaseUp",H35*D35*(1+GrowthMarketRent)^4*IF(4=0,(12-DowntimeNew)/12,1),0)))),((F35-DATE(2026+4,5,1))/365.25)*G35*D35*(1+EscalatorInLease)^(4+M35)+((DATE(2027+4,4,30)-F35)/365.25)*IF(I35="Vacate",H35*D35*(1+GrowthMarketRent)^4*IF(INT((DATE(2026+4,10,31)-F35)/365.25)=0,(12-DowntimeNew)/12,1),IF(I35="Option",G35*D35*1.025*(1+EscalatorInLease)^4,IF(I35="Market",Retention*G35*D35*(1+EscalatorInLease)^(4+M35)+(1-Retention)*H35*D35*(1+GrowthMarketRent)^4*IF(INT((DATE(2026+4,10,31)-F35)/365.25)=0,(12-DowntimeNew)/12,1),IF(I35="LeaseUp",H35*D35*(1+GrowthMarketRent)^4*IF(4=0,(12-DowntimeNew)/12,1),0)))))))),0)</f>
        <v/>
      </c>
      <c r="S35" s="14">
        <f>IFERROR(IF(I35="LeaseUp",H35*D35*(1+GrowthMarketRent)^5*IF(5=0,(12-DowntimeNew)/12,1),IF(F35="",0,IF(F35&gt;=DATE(2027+5,4,30),G35*D35*(1+EscalatorInLease)^(5+M35),IF(F35&lt;DATE(2026+5,5,1),IF(I35="Vacate",H35*D35*(1+GrowthMarketRent)^5*IF(INT((DATE(2026+5,10,31)-F35)/365.25)=0,(12-DowntimeNew)/12,1),IF(I35="Option",G35*D35*1.025*(1+EscalatorInLease)^5,IF(I35="Market",Retention*G35*D35*(1+EscalatorInLease)^(5+M35)+(1-Retention)*H35*D35*(1+GrowthMarketRent)^5*IF(INT((DATE(2026+5,10,31)-F35)/365.25)=0,(12-DowntimeNew)/12,1),IF(I35="LeaseUp",H35*D35*(1+GrowthMarketRent)^5*IF(5=0,(12-DowntimeNew)/12,1),0)))),((F35-DATE(2026+5,5,1))/365.25)*G35*D35*(1+EscalatorInLease)^(5+M35)+((DATE(2027+5,4,30)-F35)/365.25)*IF(I35="Vacate",H35*D35*(1+GrowthMarketRent)^5*IF(INT((DATE(2026+5,10,31)-F35)/365.25)=0,(12-DowntimeNew)/12,1),IF(I35="Option",G35*D35*1.025*(1+EscalatorInLease)^5,IF(I35="Market",Retention*G35*D35*(1+EscalatorInLease)^(5+M35)+(1-Retention)*H35*D35*(1+GrowthMarketRent)^5*IF(INT((DATE(2026+5,10,31)-F35)/365.25)=0,(12-DowntimeNew)/12,1),IF(I35="LeaseUp",H35*D35*(1+GrowthMarketRent)^5*IF(5=0,(12-DowntimeNew)/12,1),0)))))))),0)</f>
        <v/>
      </c>
      <c r="T35" s="14">
        <f>IFERROR(IF(I35="LeaseUp",H35*D35*(1+GrowthMarketRent)^6*IF(6=0,(12-DowntimeNew)/12,1),IF(F35="",0,IF(F35&gt;=DATE(2027+6,4,30),G35*D35*(1+EscalatorInLease)^(6+M35),IF(F35&lt;DATE(2026+6,5,1),IF(I35="Vacate",H35*D35*(1+GrowthMarketRent)^6*IF(INT((DATE(2026+6,10,31)-F35)/365.25)=0,(12-DowntimeNew)/12,1),IF(I35="Option",G35*D35*1.025*(1+EscalatorInLease)^6,IF(I35="Market",Retention*G35*D35*(1+EscalatorInLease)^(6+M35)+(1-Retention)*H35*D35*(1+GrowthMarketRent)^6*IF(INT((DATE(2026+6,10,31)-F35)/365.25)=0,(12-DowntimeNew)/12,1),IF(I35="LeaseUp",H35*D35*(1+GrowthMarketRent)^6*IF(6=0,(12-DowntimeNew)/12,1),0)))),((F35-DATE(2026+6,5,1))/365.25)*G35*D35*(1+EscalatorInLease)^(6+M35)+((DATE(2027+6,4,30)-F35)/365.25)*IF(I35="Vacate",H35*D35*(1+GrowthMarketRent)^6*IF(INT((DATE(2026+6,10,31)-F35)/365.25)=0,(12-DowntimeNew)/12,1),IF(I35="Option",G35*D35*1.025*(1+EscalatorInLease)^6,IF(I35="Market",Retention*G35*D35*(1+EscalatorInLease)^(6+M35)+(1-Retention)*H35*D35*(1+GrowthMarketRent)^6*IF(INT((DATE(2026+6,10,31)-F35)/365.25)=0,(12-DowntimeNew)/12,1),IF(I35="LeaseUp",H35*D35*(1+GrowthMarketRent)^6*IF(6=0,(12-DowntimeNew)/12,1),0)))))))),0)</f>
        <v/>
      </c>
      <c r="U35" s="14">
        <f>IFERROR(IF(I35="LeaseUp",H35*D35*(1+GrowthMarketRent)^7*IF(7=0,(12-DowntimeNew)/12,1),IF(F35="",0,IF(F35&gt;=DATE(2027+7,4,30),G35*D35*(1+EscalatorInLease)^(7+M35),IF(F35&lt;DATE(2026+7,5,1),IF(I35="Vacate",H35*D35*(1+GrowthMarketRent)^7*IF(INT((DATE(2026+7,10,31)-F35)/365.25)=0,(12-DowntimeNew)/12,1),IF(I35="Option",G35*D35*1.025*(1+EscalatorInLease)^7,IF(I35="Market",Retention*G35*D35*(1+EscalatorInLease)^(7+M35)+(1-Retention)*H35*D35*(1+GrowthMarketRent)^7*IF(INT((DATE(2026+7,10,31)-F35)/365.25)=0,(12-DowntimeNew)/12,1),IF(I35="LeaseUp",H35*D35*(1+GrowthMarketRent)^7*IF(7=0,(12-DowntimeNew)/12,1),0)))),((F35-DATE(2026+7,5,1))/365.25)*G35*D35*(1+EscalatorInLease)^(7+M35)+((DATE(2027+7,4,30)-F35)/365.25)*IF(I35="Vacate",H35*D35*(1+GrowthMarketRent)^7*IF(INT((DATE(2026+7,10,31)-F35)/365.25)=0,(12-DowntimeNew)/12,1),IF(I35="Option",G35*D35*1.025*(1+EscalatorInLease)^7,IF(I35="Market",Retention*G35*D35*(1+EscalatorInLease)^(7+M35)+(1-Retention)*H35*D35*(1+GrowthMarketRent)^7*IF(INT((DATE(2026+7,10,31)-F35)/365.25)=0,(12-DowntimeNew)/12,1),IF(I35="LeaseUp",H35*D35*(1+GrowthMarketRent)^7*IF(7=0,(12-DowntimeNew)/12,1),0)))))))),0)</f>
        <v/>
      </c>
      <c r="V35" s="14">
        <f>IFERROR(IF(I35="LeaseUp",H35*D35*(1+GrowthMarketRent)^8*IF(8=0,(12-DowntimeNew)/12,1),IF(F35="",0,IF(F35&gt;=DATE(2027+8,4,30),G35*D35*(1+EscalatorInLease)^(8+M35),IF(F35&lt;DATE(2026+8,5,1),IF(I35="Vacate",H35*D35*(1+GrowthMarketRent)^8*IF(INT((DATE(2026+8,10,31)-F35)/365.25)=0,(12-DowntimeNew)/12,1),IF(I35="Option",G35*D35*1.025*(1+EscalatorInLease)^8,IF(I35="Market",Retention*G35*D35*(1+EscalatorInLease)^(8+M35)+(1-Retention)*H35*D35*(1+GrowthMarketRent)^8*IF(INT((DATE(2026+8,10,31)-F35)/365.25)=0,(12-DowntimeNew)/12,1),IF(I35="LeaseUp",H35*D35*(1+GrowthMarketRent)^8*IF(8=0,(12-DowntimeNew)/12,1),0)))),((F35-DATE(2026+8,5,1))/365.25)*G35*D35*(1+EscalatorInLease)^(8+M35)+((DATE(2027+8,4,30)-F35)/365.25)*IF(I35="Vacate",H35*D35*(1+GrowthMarketRent)^8*IF(INT((DATE(2026+8,10,31)-F35)/365.25)=0,(12-DowntimeNew)/12,1),IF(I35="Option",G35*D35*1.025*(1+EscalatorInLease)^8,IF(I35="Market",Retention*G35*D35*(1+EscalatorInLease)^(8+M35)+(1-Retention)*H35*D35*(1+GrowthMarketRent)^8*IF(INT((DATE(2026+8,10,31)-F35)/365.25)=0,(12-DowntimeNew)/12,1),IF(I35="LeaseUp",H35*D35*(1+GrowthMarketRent)^8*IF(8=0,(12-DowntimeNew)/12,1),0)))))))),0)</f>
        <v/>
      </c>
      <c r="W35" s="14">
        <f>IFERROR(IF(I35="LeaseUp",H35*D35*(1+GrowthMarketRent)^9*IF(9=0,(12-DowntimeNew)/12,1),IF(F35="",0,IF(F35&gt;=DATE(2027+9,4,30),G35*D35*(1+EscalatorInLease)^(9+M35),IF(F35&lt;DATE(2026+9,5,1),IF(I35="Vacate",H35*D35*(1+GrowthMarketRent)^9*IF(INT((DATE(2026+9,10,31)-F35)/365.25)=0,(12-DowntimeNew)/12,1),IF(I35="Option",G35*D35*1.025*(1+EscalatorInLease)^9,IF(I35="Market",Retention*G35*D35*(1+EscalatorInLease)^(9+M35)+(1-Retention)*H35*D35*(1+GrowthMarketRent)^9*IF(INT((DATE(2026+9,10,31)-F35)/365.25)=0,(12-DowntimeNew)/12,1),IF(I35="LeaseUp",H35*D35*(1+GrowthMarketRent)^9*IF(9=0,(12-DowntimeNew)/12,1),0)))),((F35-DATE(2026+9,5,1))/365.25)*G35*D35*(1+EscalatorInLease)^(9+M35)+((DATE(2027+9,4,30)-F35)/365.25)*IF(I35="Vacate",H35*D35*(1+GrowthMarketRent)^9*IF(INT((DATE(2026+9,10,31)-F35)/365.25)=0,(12-DowntimeNew)/12,1),IF(I35="Option",G35*D35*1.025*(1+EscalatorInLease)^9,IF(I35="Market",Retention*G35*D35*(1+EscalatorInLease)^(9+M35)+(1-Retention)*H35*D35*(1+GrowthMarketRent)^9*IF(INT((DATE(2026+9,10,31)-F35)/365.25)=0,(12-DowntimeNew)/12,1),IF(I35="LeaseUp",H35*D35*(1+GrowthMarketRent)^9*IF(9=0,(12-DowntimeNew)/12,1),0)))))))),0)</f>
        <v/>
      </c>
      <c r="X35" s="14">
        <f>IFERROR(IF(I35="LeaseUp",H35*D35*(1+GrowthMarketRent)^10*IF(10=0,(12-DowntimeNew)/12,1),IF(F35="",0,IF(F35&gt;=DATE(2027+10,4,30),G35*D35*(1+EscalatorInLease)^(10+M35),IF(F35&lt;DATE(2026+10,5,1),IF(I35="Vacate",H35*D35*(1+GrowthMarketRent)^10*IF(INT((DATE(2026+10,10,31)-F35)/365.25)=0,(12-DowntimeNew)/12,1),IF(I35="Option",G35*D35*1.025*(1+EscalatorInLease)^10,IF(I35="Market",Retention*G35*D35*(1+EscalatorInLease)^(10+M35)+(1-Retention)*H35*D35*(1+GrowthMarketRent)^10*IF(INT((DATE(2026+10,10,31)-F35)/365.25)=0,(12-DowntimeNew)/12,1),IF(I35="LeaseUp",H35*D35*(1+GrowthMarketRent)^10*IF(10=0,(12-DowntimeNew)/12,1),0)))),((F35-DATE(2026+10,5,1))/365.25)*G35*D35*(1+EscalatorInLease)^(10+M35)+((DATE(2027+10,4,30)-F35)/365.25)*IF(I35="Vacate",H35*D35*(1+GrowthMarketRent)^10*IF(INT((DATE(2026+10,10,31)-F35)/365.25)=0,(12-DowntimeNew)/12,1),IF(I35="Option",G35*D35*1.025*(1+EscalatorInLease)^10,IF(I35="Market",Retention*G35*D35*(1+EscalatorInLease)^(10+M35)+(1-Retention)*H35*D35*(1+GrowthMarketRent)^10*IF(INT((DATE(2026+10,10,31)-F35)/365.25)=0,(12-DowntimeNew)/12,1),IF(I35="LeaseUp",H35*D35*(1+GrowthMarketRent)^10*IF(10=0,(12-DowntimeNew)/12,1),0)))))))),0)</f>
        <v/>
      </c>
      <c r="Y35" s="14">
        <f>IFERROR(IF(AND(I35="LeaseUp",0=0),(IF(I35="Vacate",TINew*D35,IF(I35="Market",Retention*TIRenewal*D35+(1-Retention)*TINew*D35,IF(I35="LeaseUp",TINew*D35,IF(I35="Option",TIRenewal*D35,0)))))+(IF(I35="Vacate",LCNew*H35*D35*(1+GrowthMarketRent)^0,IF(I35="Market",Retention*LCRenewal*H35*D35*(1+GrowthMarketRent)^0+(1-Retention)*LCNew*H35*D35*(1+GrowthMarketRent)^0,IF(I35="LeaseUp",LCNew*H35*D35*(1+GrowthMarketRent)^0,IF(I35="Option",LCRenewal*H35*D35*(1+GrowthMarketRent)^0,0))))),IF(F35="",0,IF(AND(F35&gt;=DATE(2026+0,5,1),F35&lt;=DATE(2027+0,4,30)),(IF(I35="Vacate",TINew*D35,IF(I35="Market",Retention*TIRenewal*D35+(1-Retention)*TINew*D35,IF(I35="LeaseUp",TINew*D35,IF(I35="Option",TIRenewal*D35,0)))))+(IF(I35="Vacate",LCNew*H35*D35*(1+GrowthMarketRent)^0,IF(I35="Market",Retention*LCRenewal*H35*D35*(1+GrowthMarketRent)^0+(1-Retention)*LCNew*H35*D35*(1+GrowthMarketRent)^0,IF(I35="LeaseUp",LCNew*H35*D35*(1+GrowthMarketRent)^0,IF(I35="Option",LCRenewal*H35*D35*(1+GrowthMarketRent)^0,0))))),0))),0)</f>
        <v/>
      </c>
      <c r="Z35" s="14">
        <f>IFERROR(IF(AND(I35="LeaseUp",1=0),(IF(I35="Vacate",TINew*D35,IF(I35="Market",Retention*TIRenewal*D35+(1-Retention)*TINew*D35,IF(I35="LeaseUp",TINew*D35,IF(I35="Option",TIRenewal*D35,0)))))+(IF(I35="Vacate",LCNew*H35*D35*(1+GrowthMarketRent)^1,IF(I35="Market",Retention*LCRenewal*H35*D35*(1+GrowthMarketRent)^1+(1-Retention)*LCNew*H35*D35*(1+GrowthMarketRent)^1,IF(I35="LeaseUp",LCNew*H35*D35*(1+GrowthMarketRent)^1,IF(I35="Option",LCRenewal*H35*D35*(1+GrowthMarketRent)^1,0))))),IF(F35="",0,IF(AND(F35&gt;=DATE(2026+1,5,1),F35&lt;=DATE(2027+1,4,30)),(IF(I35="Vacate",TINew*D35,IF(I35="Market",Retention*TIRenewal*D35+(1-Retention)*TINew*D35,IF(I35="LeaseUp",TINew*D35,IF(I35="Option",TIRenewal*D35,0)))))+(IF(I35="Vacate",LCNew*H35*D35*(1+GrowthMarketRent)^1,IF(I35="Market",Retention*LCRenewal*H35*D35*(1+GrowthMarketRent)^1+(1-Retention)*LCNew*H35*D35*(1+GrowthMarketRent)^1,IF(I35="LeaseUp",LCNew*H35*D35*(1+GrowthMarketRent)^1,IF(I35="Option",LCRenewal*H35*D35*(1+GrowthMarketRent)^1,0))))),0))),0)</f>
        <v/>
      </c>
      <c r="AA35" s="14">
        <f>IFERROR(IF(AND(I35="LeaseUp",2=0),(IF(I35="Vacate",TINew*D35,IF(I35="Market",Retention*TIRenewal*D35+(1-Retention)*TINew*D35,IF(I35="LeaseUp",TINew*D35,IF(I35="Option",TIRenewal*D35,0)))))+(IF(I35="Vacate",LCNew*H35*D35*(1+GrowthMarketRent)^2,IF(I35="Market",Retention*LCRenewal*H35*D35*(1+GrowthMarketRent)^2+(1-Retention)*LCNew*H35*D35*(1+GrowthMarketRent)^2,IF(I35="LeaseUp",LCNew*H35*D35*(1+GrowthMarketRent)^2,IF(I35="Option",LCRenewal*H35*D35*(1+GrowthMarketRent)^2,0))))),IF(F35="",0,IF(AND(F35&gt;=DATE(2026+2,5,1),F35&lt;=DATE(2027+2,4,30)),(IF(I35="Vacate",TINew*D35,IF(I35="Market",Retention*TIRenewal*D35+(1-Retention)*TINew*D35,IF(I35="LeaseUp",TINew*D35,IF(I35="Option",TIRenewal*D35,0)))))+(IF(I35="Vacate",LCNew*H35*D35*(1+GrowthMarketRent)^2,IF(I35="Market",Retention*LCRenewal*H35*D35*(1+GrowthMarketRent)^2+(1-Retention)*LCNew*H35*D35*(1+GrowthMarketRent)^2,IF(I35="LeaseUp",LCNew*H35*D35*(1+GrowthMarketRent)^2,IF(I35="Option",LCRenewal*H35*D35*(1+GrowthMarketRent)^2,0))))),0))),0)</f>
        <v/>
      </c>
      <c r="AB35" s="14">
        <f>IFERROR(IF(AND(I35="LeaseUp",3=0),(IF(I35="Vacate",TINew*D35,IF(I35="Market",Retention*TIRenewal*D35+(1-Retention)*TINew*D35,IF(I35="LeaseUp",TINew*D35,IF(I35="Option",TIRenewal*D35,0)))))+(IF(I35="Vacate",LCNew*H35*D35*(1+GrowthMarketRent)^3,IF(I35="Market",Retention*LCRenewal*H35*D35*(1+GrowthMarketRent)^3+(1-Retention)*LCNew*H35*D35*(1+GrowthMarketRent)^3,IF(I35="LeaseUp",LCNew*H35*D35*(1+GrowthMarketRent)^3,IF(I35="Option",LCRenewal*H35*D35*(1+GrowthMarketRent)^3,0))))),IF(F35="",0,IF(AND(F35&gt;=DATE(2026+3,5,1),F35&lt;=DATE(2027+3,4,30)),(IF(I35="Vacate",TINew*D35,IF(I35="Market",Retention*TIRenewal*D35+(1-Retention)*TINew*D35,IF(I35="LeaseUp",TINew*D35,IF(I35="Option",TIRenewal*D35,0)))))+(IF(I35="Vacate",LCNew*H35*D35*(1+GrowthMarketRent)^3,IF(I35="Market",Retention*LCRenewal*H35*D35*(1+GrowthMarketRent)^3+(1-Retention)*LCNew*H35*D35*(1+GrowthMarketRent)^3,IF(I35="LeaseUp",LCNew*H35*D35*(1+GrowthMarketRent)^3,IF(I35="Option",LCRenewal*H35*D35*(1+GrowthMarketRent)^3,0))))),0))),0)</f>
        <v/>
      </c>
      <c r="AC35" s="14">
        <f>IFERROR(IF(AND(I35="LeaseUp",4=0),(IF(I35="Vacate",TINew*D35,IF(I35="Market",Retention*TIRenewal*D35+(1-Retention)*TINew*D35,IF(I35="LeaseUp",TINew*D35,IF(I35="Option",TIRenewal*D35,0)))))+(IF(I35="Vacate",LCNew*H35*D35*(1+GrowthMarketRent)^4,IF(I35="Market",Retention*LCRenewal*H35*D35*(1+GrowthMarketRent)^4+(1-Retention)*LCNew*H35*D35*(1+GrowthMarketRent)^4,IF(I35="LeaseUp",LCNew*H35*D35*(1+GrowthMarketRent)^4,IF(I35="Option",LCRenewal*H35*D35*(1+GrowthMarketRent)^4,0))))),IF(F35="",0,IF(AND(F35&gt;=DATE(2026+4,5,1),F35&lt;=DATE(2027+4,4,30)),(IF(I35="Vacate",TINew*D35,IF(I35="Market",Retention*TIRenewal*D35+(1-Retention)*TINew*D35,IF(I35="LeaseUp",TINew*D35,IF(I35="Option",TIRenewal*D35,0)))))+(IF(I35="Vacate",LCNew*H35*D35*(1+GrowthMarketRent)^4,IF(I35="Market",Retention*LCRenewal*H35*D35*(1+GrowthMarketRent)^4+(1-Retention)*LCNew*H35*D35*(1+GrowthMarketRent)^4,IF(I35="LeaseUp",LCNew*H35*D35*(1+GrowthMarketRent)^4,IF(I35="Option",LCRenewal*H35*D35*(1+GrowthMarketRent)^4,0))))),0))),0)</f>
        <v/>
      </c>
      <c r="AD35" s="14">
        <f>IFERROR(IF(AND(I35="LeaseUp",5=0),(IF(I35="Vacate",TINew*D35,IF(I35="Market",Retention*TIRenewal*D35+(1-Retention)*TINew*D35,IF(I35="LeaseUp",TINew*D35,IF(I35="Option",TIRenewal*D35,0)))))+(IF(I35="Vacate",LCNew*H35*D35*(1+GrowthMarketRent)^5,IF(I35="Market",Retention*LCRenewal*H35*D35*(1+GrowthMarketRent)^5+(1-Retention)*LCNew*H35*D35*(1+GrowthMarketRent)^5,IF(I35="LeaseUp",LCNew*H35*D35*(1+GrowthMarketRent)^5,IF(I35="Option",LCRenewal*H35*D35*(1+GrowthMarketRent)^5,0))))),IF(F35="",0,IF(AND(F35&gt;=DATE(2026+5,5,1),F35&lt;=DATE(2027+5,4,30)),(IF(I35="Vacate",TINew*D35,IF(I35="Market",Retention*TIRenewal*D35+(1-Retention)*TINew*D35,IF(I35="LeaseUp",TINew*D35,IF(I35="Option",TIRenewal*D35,0)))))+(IF(I35="Vacate",LCNew*H35*D35*(1+GrowthMarketRent)^5,IF(I35="Market",Retention*LCRenewal*H35*D35*(1+GrowthMarketRent)^5+(1-Retention)*LCNew*H35*D35*(1+GrowthMarketRent)^5,IF(I35="LeaseUp",LCNew*H35*D35*(1+GrowthMarketRent)^5,IF(I35="Option",LCRenewal*H35*D35*(1+GrowthMarketRent)^5,0))))),0))),0)</f>
        <v/>
      </c>
      <c r="AE35" s="14">
        <f>IFERROR(IF(AND(I35="LeaseUp",6=0),(IF(I35="Vacate",TINew*D35,IF(I35="Market",Retention*TIRenewal*D35+(1-Retention)*TINew*D35,IF(I35="LeaseUp",TINew*D35,IF(I35="Option",TIRenewal*D35,0)))))+(IF(I35="Vacate",LCNew*H35*D35*(1+GrowthMarketRent)^6,IF(I35="Market",Retention*LCRenewal*H35*D35*(1+GrowthMarketRent)^6+(1-Retention)*LCNew*H35*D35*(1+GrowthMarketRent)^6,IF(I35="LeaseUp",LCNew*H35*D35*(1+GrowthMarketRent)^6,IF(I35="Option",LCRenewal*H35*D35*(1+GrowthMarketRent)^6,0))))),IF(F35="",0,IF(AND(F35&gt;=DATE(2026+6,5,1),F35&lt;=DATE(2027+6,4,30)),(IF(I35="Vacate",TINew*D35,IF(I35="Market",Retention*TIRenewal*D35+(1-Retention)*TINew*D35,IF(I35="LeaseUp",TINew*D35,IF(I35="Option",TIRenewal*D35,0)))))+(IF(I35="Vacate",LCNew*H35*D35*(1+GrowthMarketRent)^6,IF(I35="Market",Retention*LCRenewal*H35*D35*(1+GrowthMarketRent)^6+(1-Retention)*LCNew*H35*D35*(1+GrowthMarketRent)^6,IF(I35="LeaseUp",LCNew*H35*D35*(1+GrowthMarketRent)^6,IF(I35="Option",LCRenewal*H35*D35*(1+GrowthMarketRent)^6,0))))),0))),0)</f>
        <v/>
      </c>
      <c r="AF35" s="14">
        <f>IFERROR(IF(AND(I35="LeaseUp",7=0),(IF(I35="Vacate",TINew*D35,IF(I35="Market",Retention*TIRenewal*D35+(1-Retention)*TINew*D35,IF(I35="LeaseUp",TINew*D35,IF(I35="Option",TIRenewal*D35,0)))))+(IF(I35="Vacate",LCNew*H35*D35*(1+GrowthMarketRent)^7,IF(I35="Market",Retention*LCRenewal*H35*D35*(1+GrowthMarketRent)^7+(1-Retention)*LCNew*H35*D35*(1+GrowthMarketRent)^7,IF(I35="LeaseUp",LCNew*H35*D35*(1+GrowthMarketRent)^7,IF(I35="Option",LCRenewal*H35*D35*(1+GrowthMarketRent)^7,0))))),IF(F35="",0,IF(AND(F35&gt;=DATE(2026+7,5,1),F35&lt;=DATE(2027+7,4,30)),(IF(I35="Vacate",TINew*D35,IF(I35="Market",Retention*TIRenewal*D35+(1-Retention)*TINew*D35,IF(I35="LeaseUp",TINew*D35,IF(I35="Option",TIRenewal*D35,0)))))+(IF(I35="Vacate",LCNew*H35*D35*(1+GrowthMarketRent)^7,IF(I35="Market",Retention*LCRenewal*H35*D35*(1+GrowthMarketRent)^7+(1-Retention)*LCNew*H35*D35*(1+GrowthMarketRent)^7,IF(I35="LeaseUp",LCNew*H35*D35*(1+GrowthMarketRent)^7,IF(I35="Option",LCRenewal*H35*D35*(1+GrowthMarketRent)^7,0))))),0))),0)</f>
        <v/>
      </c>
      <c r="AG35" s="14">
        <f>IFERROR(IF(AND(I35="LeaseUp",8=0),(IF(I35="Vacate",TINew*D35,IF(I35="Market",Retention*TIRenewal*D35+(1-Retention)*TINew*D35,IF(I35="LeaseUp",TINew*D35,IF(I35="Option",TIRenewal*D35,0)))))+(IF(I35="Vacate",LCNew*H35*D35*(1+GrowthMarketRent)^8,IF(I35="Market",Retention*LCRenewal*H35*D35*(1+GrowthMarketRent)^8+(1-Retention)*LCNew*H35*D35*(1+GrowthMarketRent)^8,IF(I35="LeaseUp",LCNew*H35*D35*(1+GrowthMarketRent)^8,IF(I35="Option",LCRenewal*H35*D35*(1+GrowthMarketRent)^8,0))))),IF(F35="",0,IF(AND(F35&gt;=DATE(2026+8,5,1),F35&lt;=DATE(2027+8,4,30)),(IF(I35="Vacate",TINew*D35,IF(I35="Market",Retention*TIRenewal*D35+(1-Retention)*TINew*D35,IF(I35="LeaseUp",TINew*D35,IF(I35="Option",TIRenewal*D35,0)))))+(IF(I35="Vacate",LCNew*H35*D35*(1+GrowthMarketRent)^8,IF(I35="Market",Retention*LCRenewal*H35*D35*(1+GrowthMarketRent)^8+(1-Retention)*LCNew*H35*D35*(1+GrowthMarketRent)^8,IF(I35="LeaseUp",LCNew*H35*D35*(1+GrowthMarketRent)^8,IF(I35="Option",LCRenewal*H35*D35*(1+GrowthMarketRent)^8,0))))),0))),0)</f>
        <v/>
      </c>
      <c r="AH35" s="14">
        <f>IFERROR(IF(AND(I35="LeaseUp",9=0),(IF(I35="Vacate",TINew*D35,IF(I35="Market",Retention*TIRenewal*D35+(1-Retention)*TINew*D35,IF(I35="LeaseUp",TINew*D35,IF(I35="Option",TIRenewal*D35,0)))))+(IF(I35="Vacate",LCNew*H35*D35*(1+GrowthMarketRent)^9,IF(I35="Market",Retention*LCRenewal*H35*D35*(1+GrowthMarketRent)^9+(1-Retention)*LCNew*H35*D35*(1+GrowthMarketRent)^9,IF(I35="LeaseUp",LCNew*H35*D35*(1+GrowthMarketRent)^9,IF(I35="Option",LCRenewal*H35*D35*(1+GrowthMarketRent)^9,0))))),IF(F35="",0,IF(AND(F35&gt;=DATE(2026+9,5,1),F35&lt;=DATE(2027+9,4,30)),(IF(I35="Vacate",TINew*D35,IF(I35="Market",Retention*TIRenewal*D35+(1-Retention)*TINew*D35,IF(I35="LeaseUp",TINew*D35,IF(I35="Option",TIRenewal*D35,0)))))+(IF(I35="Vacate",LCNew*H35*D35*(1+GrowthMarketRent)^9,IF(I35="Market",Retention*LCRenewal*H35*D35*(1+GrowthMarketRent)^9+(1-Retention)*LCNew*H35*D35*(1+GrowthMarketRent)^9,IF(I35="LeaseUp",LCNew*H35*D35*(1+GrowthMarketRent)^9,IF(I35="Option",LCRenewal*H35*D35*(1+GrowthMarketRent)^9,0))))),0))),0)</f>
        <v/>
      </c>
      <c r="AI35" s="14">
        <f>IFERROR(IF(AND(I35="LeaseUp",10=0),(IF(I35="Vacate",TINew*D35,IF(I35="Market",Retention*TIRenewal*D35+(1-Retention)*TINew*D35,IF(I35="LeaseUp",TINew*D35,IF(I35="Option",TIRenewal*D35,0)))))+(IF(I35="Vacate",LCNew*H35*D35*(1+GrowthMarketRent)^10,IF(I35="Market",Retention*LCRenewal*H35*D35*(1+GrowthMarketRent)^10+(1-Retention)*LCNew*H35*D35*(1+GrowthMarketRent)^10,IF(I35="LeaseUp",LCNew*H35*D35*(1+GrowthMarketRent)^10,IF(I35="Option",LCRenewal*H35*D35*(1+GrowthMarketRent)^10,0))))),IF(F35="",0,IF(AND(F35&gt;=DATE(2026+10,5,1),F35&lt;=DATE(2027+10,4,30)),(IF(I35="Vacate",TINew*D35,IF(I35="Market",Retention*TIRenewal*D35+(1-Retention)*TINew*D35,IF(I35="LeaseUp",TINew*D35,IF(I35="Option",TIRenewal*D35,0)))))+(IF(I35="Vacate",LCNew*H35*D35*(1+GrowthMarketRent)^10,IF(I35="Market",Retention*LCRenewal*H35*D35*(1+GrowthMarketRent)^10+(1-Retention)*LCNew*H35*D35*(1+GrowthMarketRent)^10,IF(I35="LeaseUp",LCNew*H35*D35*(1+GrowthMarketRent)^10,IF(I35="Option",LCRenewal*H35*D35*(1+GrowthMarketRent)^10,0))))),0))),0)</f>
        <v/>
      </c>
    </row>
    <row r="36">
      <c r="A36" t="inlineStr">
        <is>
          <t>Carrollton</t>
        </is>
      </c>
      <c r="B36" t="inlineStr">
        <is>
          <t>420</t>
        </is>
      </c>
      <c r="C36" t="inlineStr">
        <is>
          <t>DT Creations Inc.</t>
        </is>
      </c>
      <c r="D36" s="32" t="n">
        <v>3450</v>
      </c>
      <c r="E36" s="33" t="n">
        <v>45689</v>
      </c>
      <c r="F36" s="33" t="n">
        <v>46935</v>
      </c>
      <c r="G36" s="34" t="n">
        <v>16.4</v>
      </c>
      <c r="H36" s="16">
        <f>VLOOKUP("Carrollton — "&amp;J36,MLA!$A$5:$L$11,3,FALSE)</f>
        <v/>
      </c>
      <c r="I36" s="11" t="inlineStr">
        <is>
          <t>Market</t>
        </is>
      </c>
      <c r="J36" t="inlineStr">
        <is>
          <t>Shop</t>
        </is>
      </c>
      <c r="K36" t="inlineStr">
        <is>
          <t>Occupied</t>
        </is>
      </c>
      <c r="L36" t="inlineStr">
        <is>
          <t>Shop; Guarantor: Jazziel Ruben Perea</t>
        </is>
      </c>
      <c r="M36" s="20">
        <f>IF(E36="",0,(AnalysisStart-E36)/365.25)</f>
        <v/>
      </c>
      <c r="N36" s="14">
        <f>IFERROR(IF(I36="LeaseUp",H36*D36*(1+GrowthMarketRent)^0*IF(0=0,(12-DowntimeNew)/12,1),IF(F36="",0,IF(F36&gt;=DATE(2027+0,4,30),G36*D36*(1+EscalatorInLease)^(0+M36),IF(F36&lt;DATE(2026+0,5,1),IF(I36="Vacate",H36*D36*(1+GrowthMarketRent)^0*IF(INT((DATE(2026+0,10,31)-F36)/365.25)=0,(12-DowntimeNew)/12,1),IF(I36="Option",G36*D36*1.025*(1+EscalatorInLease)^0,IF(I36="Market",Retention*G36*D36*(1+EscalatorInLease)^(0+M36)+(1-Retention)*H36*D36*(1+GrowthMarketRent)^0*IF(INT((DATE(2026+0,10,31)-F36)/365.25)=0,(12-DowntimeNew)/12,1),IF(I36="LeaseUp",H36*D36*(1+GrowthMarketRent)^0*IF(0=0,(12-DowntimeNew)/12,1),0)))),((F36-DATE(2026+0,5,1))/365.25)*G36*D36*(1+EscalatorInLease)^(0+M36)+((DATE(2027+0,4,30)-F36)/365.25)*IF(I36="Vacate",H36*D36*(1+GrowthMarketRent)^0*IF(INT((DATE(2026+0,10,31)-F36)/365.25)=0,(12-DowntimeNew)/12,1),IF(I36="Option",G36*D36*1.025*(1+EscalatorInLease)^0,IF(I36="Market",Retention*G36*D36*(1+EscalatorInLease)^(0+M36)+(1-Retention)*H36*D36*(1+GrowthMarketRent)^0*IF(INT((DATE(2026+0,10,31)-F36)/365.25)=0,(12-DowntimeNew)/12,1),IF(I36="LeaseUp",H36*D36*(1+GrowthMarketRent)^0*IF(0=0,(12-DowntimeNew)/12,1),0)))))))),0)</f>
        <v/>
      </c>
      <c r="O36" s="14">
        <f>IFERROR(IF(I36="LeaseUp",H36*D36*(1+GrowthMarketRent)^1*IF(1=0,(12-DowntimeNew)/12,1),IF(F36="",0,IF(F36&gt;=DATE(2027+1,4,30),G36*D36*(1+EscalatorInLease)^(1+M36),IF(F36&lt;DATE(2026+1,5,1),IF(I36="Vacate",H36*D36*(1+GrowthMarketRent)^1*IF(INT((DATE(2026+1,10,31)-F36)/365.25)=0,(12-DowntimeNew)/12,1),IF(I36="Option",G36*D36*1.025*(1+EscalatorInLease)^1,IF(I36="Market",Retention*G36*D36*(1+EscalatorInLease)^(1+M36)+(1-Retention)*H36*D36*(1+GrowthMarketRent)^1*IF(INT((DATE(2026+1,10,31)-F36)/365.25)=0,(12-DowntimeNew)/12,1),IF(I36="LeaseUp",H36*D36*(1+GrowthMarketRent)^1*IF(1=0,(12-DowntimeNew)/12,1),0)))),((F36-DATE(2026+1,5,1))/365.25)*G36*D36*(1+EscalatorInLease)^(1+M36)+((DATE(2027+1,4,30)-F36)/365.25)*IF(I36="Vacate",H36*D36*(1+GrowthMarketRent)^1*IF(INT((DATE(2026+1,10,31)-F36)/365.25)=0,(12-DowntimeNew)/12,1),IF(I36="Option",G36*D36*1.025*(1+EscalatorInLease)^1,IF(I36="Market",Retention*G36*D36*(1+EscalatorInLease)^(1+M36)+(1-Retention)*H36*D36*(1+GrowthMarketRent)^1*IF(INT((DATE(2026+1,10,31)-F36)/365.25)=0,(12-DowntimeNew)/12,1),IF(I36="LeaseUp",H36*D36*(1+GrowthMarketRent)^1*IF(1=0,(12-DowntimeNew)/12,1),0)))))))),0)</f>
        <v/>
      </c>
      <c r="P36" s="14">
        <f>IFERROR(IF(I36="LeaseUp",H36*D36*(1+GrowthMarketRent)^2*IF(2=0,(12-DowntimeNew)/12,1),IF(F36="",0,IF(F36&gt;=DATE(2027+2,4,30),G36*D36*(1+EscalatorInLease)^(2+M36),IF(F36&lt;DATE(2026+2,5,1),IF(I36="Vacate",H36*D36*(1+GrowthMarketRent)^2*IF(INT((DATE(2026+2,10,31)-F36)/365.25)=0,(12-DowntimeNew)/12,1),IF(I36="Option",G36*D36*1.025*(1+EscalatorInLease)^2,IF(I36="Market",Retention*G36*D36*(1+EscalatorInLease)^(2+M36)+(1-Retention)*H36*D36*(1+GrowthMarketRent)^2*IF(INT((DATE(2026+2,10,31)-F36)/365.25)=0,(12-DowntimeNew)/12,1),IF(I36="LeaseUp",H36*D36*(1+GrowthMarketRent)^2*IF(2=0,(12-DowntimeNew)/12,1),0)))),((F36-DATE(2026+2,5,1))/365.25)*G36*D36*(1+EscalatorInLease)^(2+M36)+((DATE(2027+2,4,30)-F36)/365.25)*IF(I36="Vacate",H36*D36*(1+GrowthMarketRent)^2*IF(INT((DATE(2026+2,10,31)-F36)/365.25)=0,(12-DowntimeNew)/12,1),IF(I36="Option",G36*D36*1.025*(1+EscalatorInLease)^2,IF(I36="Market",Retention*G36*D36*(1+EscalatorInLease)^(2+M36)+(1-Retention)*H36*D36*(1+GrowthMarketRent)^2*IF(INT((DATE(2026+2,10,31)-F36)/365.25)=0,(12-DowntimeNew)/12,1),IF(I36="LeaseUp",H36*D36*(1+GrowthMarketRent)^2*IF(2=0,(12-DowntimeNew)/12,1),0)))))))),0)</f>
        <v/>
      </c>
      <c r="Q36" s="14">
        <f>IFERROR(IF(I36="LeaseUp",H36*D36*(1+GrowthMarketRent)^3*IF(3=0,(12-DowntimeNew)/12,1),IF(F36="",0,IF(F36&gt;=DATE(2027+3,4,30),G36*D36*(1+EscalatorInLease)^(3+M36),IF(F36&lt;DATE(2026+3,5,1),IF(I36="Vacate",H36*D36*(1+GrowthMarketRent)^3*IF(INT((DATE(2026+3,10,31)-F36)/365.25)=0,(12-DowntimeNew)/12,1),IF(I36="Option",G36*D36*1.025*(1+EscalatorInLease)^3,IF(I36="Market",Retention*G36*D36*(1+EscalatorInLease)^(3+M36)+(1-Retention)*H36*D36*(1+GrowthMarketRent)^3*IF(INT((DATE(2026+3,10,31)-F36)/365.25)=0,(12-DowntimeNew)/12,1),IF(I36="LeaseUp",H36*D36*(1+GrowthMarketRent)^3*IF(3=0,(12-DowntimeNew)/12,1),0)))),((F36-DATE(2026+3,5,1))/365.25)*G36*D36*(1+EscalatorInLease)^(3+M36)+((DATE(2027+3,4,30)-F36)/365.25)*IF(I36="Vacate",H36*D36*(1+GrowthMarketRent)^3*IF(INT((DATE(2026+3,10,31)-F36)/365.25)=0,(12-DowntimeNew)/12,1),IF(I36="Option",G36*D36*1.025*(1+EscalatorInLease)^3,IF(I36="Market",Retention*G36*D36*(1+EscalatorInLease)^(3+M36)+(1-Retention)*H36*D36*(1+GrowthMarketRent)^3*IF(INT((DATE(2026+3,10,31)-F36)/365.25)=0,(12-DowntimeNew)/12,1),IF(I36="LeaseUp",H36*D36*(1+GrowthMarketRent)^3*IF(3=0,(12-DowntimeNew)/12,1),0)))))))),0)</f>
        <v/>
      </c>
      <c r="R36" s="14">
        <f>IFERROR(IF(I36="LeaseUp",H36*D36*(1+GrowthMarketRent)^4*IF(4=0,(12-DowntimeNew)/12,1),IF(F36="",0,IF(F36&gt;=DATE(2027+4,4,30),G36*D36*(1+EscalatorInLease)^(4+M36),IF(F36&lt;DATE(2026+4,5,1),IF(I36="Vacate",H36*D36*(1+GrowthMarketRent)^4*IF(INT((DATE(2026+4,10,31)-F36)/365.25)=0,(12-DowntimeNew)/12,1),IF(I36="Option",G36*D36*1.025*(1+EscalatorInLease)^4,IF(I36="Market",Retention*G36*D36*(1+EscalatorInLease)^(4+M36)+(1-Retention)*H36*D36*(1+GrowthMarketRent)^4*IF(INT((DATE(2026+4,10,31)-F36)/365.25)=0,(12-DowntimeNew)/12,1),IF(I36="LeaseUp",H36*D36*(1+GrowthMarketRent)^4*IF(4=0,(12-DowntimeNew)/12,1),0)))),((F36-DATE(2026+4,5,1))/365.25)*G36*D36*(1+EscalatorInLease)^(4+M36)+((DATE(2027+4,4,30)-F36)/365.25)*IF(I36="Vacate",H36*D36*(1+GrowthMarketRent)^4*IF(INT((DATE(2026+4,10,31)-F36)/365.25)=0,(12-DowntimeNew)/12,1),IF(I36="Option",G36*D36*1.025*(1+EscalatorInLease)^4,IF(I36="Market",Retention*G36*D36*(1+EscalatorInLease)^(4+M36)+(1-Retention)*H36*D36*(1+GrowthMarketRent)^4*IF(INT((DATE(2026+4,10,31)-F36)/365.25)=0,(12-DowntimeNew)/12,1),IF(I36="LeaseUp",H36*D36*(1+GrowthMarketRent)^4*IF(4=0,(12-DowntimeNew)/12,1),0)))))))),0)</f>
        <v/>
      </c>
      <c r="S36" s="14">
        <f>IFERROR(IF(I36="LeaseUp",H36*D36*(1+GrowthMarketRent)^5*IF(5=0,(12-DowntimeNew)/12,1),IF(F36="",0,IF(F36&gt;=DATE(2027+5,4,30),G36*D36*(1+EscalatorInLease)^(5+M36),IF(F36&lt;DATE(2026+5,5,1),IF(I36="Vacate",H36*D36*(1+GrowthMarketRent)^5*IF(INT((DATE(2026+5,10,31)-F36)/365.25)=0,(12-DowntimeNew)/12,1),IF(I36="Option",G36*D36*1.025*(1+EscalatorInLease)^5,IF(I36="Market",Retention*G36*D36*(1+EscalatorInLease)^(5+M36)+(1-Retention)*H36*D36*(1+GrowthMarketRent)^5*IF(INT((DATE(2026+5,10,31)-F36)/365.25)=0,(12-DowntimeNew)/12,1),IF(I36="LeaseUp",H36*D36*(1+GrowthMarketRent)^5*IF(5=0,(12-DowntimeNew)/12,1),0)))),((F36-DATE(2026+5,5,1))/365.25)*G36*D36*(1+EscalatorInLease)^(5+M36)+((DATE(2027+5,4,30)-F36)/365.25)*IF(I36="Vacate",H36*D36*(1+GrowthMarketRent)^5*IF(INT((DATE(2026+5,10,31)-F36)/365.25)=0,(12-DowntimeNew)/12,1),IF(I36="Option",G36*D36*1.025*(1+EscalatorInLease)^5,IF(I36="Market",Retention*G36*D36*(1+EscalatorInLease)^(5+M36)+(1-Retention)*H36*D36*(1+GrowthMarketRent)^5*IF(INT((DATE(2026+5,10,31)-F36)/365.25)=0,(12-DowntimeNew)/12,1),IF(I36="LeaseUp",H36*D36*(1+GrowthMarketRent)^5*IF(5=0,(12-DowntimeNew)/12,1),0)))))))),0)</f>
        <v/>
      </c>
      <c r="T36" s="14">
        <f>IFERROR(IF(I36="LeaseUp",H36*D36*(1+GrowthMarketRent)^6*IF(6=0,(12-DowntimeNew)/12,1),IF(F36="",0,IF(F36&gt;=DATE(2027+6,4,30),G36*D36*(1+EscalatorInLease)^(6+M36),IF(F36&lt;DATE(2026+6,5,1),IF(I36="Vacate",H36*D36*(1+GrowthMarketRent)^6*IF(INT((DATE(2026+6,10,31)-F36)/365.25)=0,(12-DowntimeNew)/12,1),IF(I36="Option",G36*D36*1.025*(1+EscalatorInLease)^6,IF(I36="Market",Retention*G36*D36*(1+EscalatorInLease)^(6+M36)+(1-Retention)*H36*D36*(1+GrowthMarketRent)^6*IF(INT((DATE(2026+6,10,31)-F36)/365.25)=0,(12-DowntimeNew)/12,1),IF(I36="LeaseUp",H36*D36*(1+GrowthMarketRent)^6*IF(6=0,(12-DowntimeNew)/12,1),0)))),((F36-DATE(2026+6,5,1))/365.25)*G36*D36*(1+EscalatorInLease)^(6+M36)+((DATE(2027+6,4,30)-F36)/365.25)*IF(I36="Vacate",H36*D36*(1+GrowthMarketRent)^6*IF(INT((DATE(2026+6,10,31)-F36)/365.25)=0,(12-DowntimeNew)/12,1),IF(I36="Option",G36*D36*1.025*(1+EscalatorInLease)^6,IF(I36="Market",Retention*G36*D36*(1+EscalatorInLease)^(6+M36)+(1-Retention)*H36*D36*(1+GrowthMarketRent)^6*IF(INT((DATE(2026+6,10,31)-F36)/365.25)=0,(12-DowntimeNew)/12,1),IF(I36="LeaseUp",H36*D36*(1+GrowthMarketRent)^6*IF(6=0,(12-DowntimeNew)/12,1),0)))))))),0)</f>
        <v/>
      </c>
      <c r="U36" s="14">
        <f>IFERROR(IF(I36="LeaseUp",H36*D36*(1+GrowthMarketRent)^7*IF(7=0,(12-DowntimeNew)/12,1),IF(F36="",0,IF(F36&gt;=DATE(2027+7,4,30),G36*D36*(1+EscalatorInLease)^(7+M36),IF(F36&lt;DATE(2026+7,5,1),IF(I36="Vacate",H36*D36*(1+GrowthMarketRent)^7*IF(INT((DATE(2026+7,10,31)-F36)/365.25)=0,(12-DowntimeNew)/12,1),IF(I36="Option",G36*D36*1.025*(1+EscalatorInLease)^7,IF(I36="Market",Retention*G36*D36*(1+EscalatorInLease)^(7+M36)+(1-Retention)*H36*D36*(1+GrowthMarketRent)^7*IF(INT((DATE(2026+7,10,31)-F36)/365.25)=0,(12-DowntimeNew)/12,1),IF(I36="LeaseUp",H36*D36*(1+GrowthMarketRent)^7*IF(7=0,(12-DowntimeNew)/12,1),0)))),((F36-DATE(2026+7,5,1))/365.25)*G36*D36*(1+EscalatorInLease)^(7+M36)+((DATE(2027+7,4,30)-F36)/365.25)*IF(I36="Vacate",H36*D36*(1+GrowthMarketRent)^7*IF(INT((DATE(2026+7,10,31)-F36)/365.25)=0,(12-DowntimeNew)/12,1),IF(I36="Option",G36*D36*1.025*(1+EscalatorInLease)^7,IF(I36="Market",Retention*G36*D36*(1+EscalatorInLease)^(7+M36)+(1-Retention)*H36*D36*(1+GrowthMarketRent)^7*IF(INT((DATE(2026+7,10,31)-F36)/365.25)=0,(12-DowntimeNew)/12,1),IF(I36="LeaseUp",H36*D36*(1+GrowthMarketRent)^7*IF(7=0,(12-DowntimeNew)/12,1),0)))))))),0)</f>
        <v/>
      </c>
      <c r="V36" s="14">
        <f>IFERROR(IF(I36="LeaseUp",H36*D36*(1+GrowthMarketRent)^8*IF(8=0,(12-DowntimeNew)/12,1),IF(F36="",0,IF(F36&gt;=DATE(2027+8,4,30),G36*D36*(1+EscalatorInLease)^(8+M36),IF(F36&lt;DATE(2026+8,5,1),IF(I36="Vacate",H36*D36*(1+GrowthMarketRent)^8*IF(INT((DATE(2026+8,10,31)-F36)/365.25)=0,(12-DowntimeNew)/12,1),IF(I36="Option",G36*D36*1.025*(1+EscalatorInLease)^8,IF(I36="Market",Retention*G36*D36*(1+EscalatorInLease)^(8+M36)+(1-Retention)*H36*D36*(1+GrowthMarketRent)^8*IF(INT((DATE(2026+8,10,31)-F36)/365.25)=0,(12-DowntimeNew)/12,1),IF(I36="LeaseUp",H36*D36*(1+GrowthMarketRent)^8*IF(8=0,(12-DowntimeNew)/12,1),0)))),((F36-DATE(2026+8,5,1))/365.25)*G36*D36*(1+EscalatorInLease)^(8+M36)+((DATE(2027+8,4,30)-F36)/365.25)*IF(I36="Vacate",H36*D36*(1+GrowthMarketRent)^8*IF(INT((DATE(2026+8,10,31)-F36)/365.25)=0,(12-DowntimeNew)/12,1),IF(I36="Option",G36*D36*1.025*(1+EscalatorInLease)^8,IF(I36="Market",Retention*G36*D36*(1+EscalatorInLease)^(8+M36)+(1-Retention)*H36*D36*(1+GrowthMarketRent)^8*IF(INT((DATE(2026+8,10,31)-F36)/365.25)=0,(12-DowntimeNew)/12,1),IF(I36="LeaseUp",H36*D36*(1+GrowthMarketRent)^8*IF(8=0,(12-DowntimeNew)/12,1),0)))))))),0)</f>
        <v/>
      </c>
      <c r="W36" s="14">
        <f>IFERROR(IF(I36="LeaseUp",H36*D36*(1+GrowthMarketRent)^9*IF(9=0,(12-DowntimeNew)/12,1),IF(F36="",0,IF(F36&gt;=DATE(2027+9,4,30),G36*D36*(1+EscalatorInLease)^(9+M36),IF(F36&lt;DATE(2026+9,5,1),IF(I36="Vacate",H36*D36*(1+GrowthMarketRent)^9*IF(INT((DATE(2026+9,10,31)-F36)/365.25)=0,(12-DowntimeNew)/12,1),IF(I36="Option",G36*D36*1.025*(1+EscalatorInLease)^9,IF(I36="Market",Retention*G36*D36*(1+EscalatorInLease)^(9+M36)+(1-Retention)*H36*D36*(1+GrowthMarketRent)^9*IF(INT((DATE(2026+9,10,31)-F36)/365.25)=0,(12-DowntimeNew)/12,1),IF(I36="LeaseUp",H36*D36*(1+GrowthMarketRent)^9*IF(9=0,(12-DowntimeNew)/12,1),0)))),((F36-DATE(2026+9,5,1))/365.25)*G36*D36*(1+EscalatorInLease)^(9+M36)+((DATE(2027+9,4,30)-F36)/365.25)*IF(I36="Vacate",H36*D36*(1+GrowthMarketRent)^9*IF(INT((DATE(2026+9,10,31)-F36)/365.25)=0,(12-DowntimeNew)/12,1),IF(I36="Option",G36*D36*1.025*(1+EscalatorInLease)^9,IF(I36="Market",Retention*G36*D36*(1+EscalatorInLease)^(9+M36)+(1-Retention)*H36*D36*(1+GrowthMarketRent)^9*IF(INT((DATE(2026+9,10,31)-F36)/365.25)=0,(12-DowntimeNew)/12,1),IF(I36="LeaseUp",H36*D36*(1+GrowthMarketRent)^9*IF(9=0,(12-DowntimeNew)/12,1),0)))))))),0)</f>
        <v/>
      </c>
      <c r="X36" s="14">
        <f>IFERROR(IF(I36="LeaseUp",H36*D36*(1+GrowthMarketRent)^10*IF(10=0,(12-DowntimeNew)/12,1),IF(F36="",0,IF(F36&gt;=DATE(2027+10,4,30),G36*D36*(1+EscalatorInLease)^(10+M36),IF(F36&lt;DATE(2026+10,5,1),IF(I36="Vacate",H36*D36*(1+GrowthMarketRent)^10*IF(INT((DATE(2026+10,10,31)-F36)/365.25)=0,(12-DowntimeNew)/12,1),IF(I36="Option",G36*D36*1.025*(1+EscalatorInLease)^10,IF(I36="Market",Retention*G36*D36*(1+EscalatorInLease)^(10+M36)+(1-Retention)*H36*D36*(1+GrowthMarketRent)^10*IF(INT((DATE(2026+10,10,31)-F36)/365.25)=0,(12-DowntimeNew)/12,1),IF(I36="LeaseUp",H36*D36*(1+GrowthMarketRent)^10*IF(10=0,(12-DowntimeNew)/12,1),0)))),((F36-DATE(2026+10,5,1))/365.25)*G36*D36*(1+EscalatorInLease)^(10+M36)+((DATE(2027+10,4,30)-F36)/365.25)*IF(I36="Vacate",H36*D36*(1+GrowthMarketRent)^10*IF(INT((DATE(2026+10,10,31)-F36)/365.25)=0,(12-DowntimeNew)/12,1),IF(I36="Option",G36*D36*1.025*(1+EscalatorInLease)^10,IF(I36="Market",Retention*G36*D36*(1+EscalatorInLease)^(10+M36)+(1-Retention)*H36*D36*(1+GrowthMarketRent)^10*IF(INT((DATE(2026+10,10,31)-F36)/365.25)=0,(12-DowntimeNew)/12,1),IF(I36="LeaseUp",H36*D36*(1+GrowthMarketRent)^10*IF(10=0,(12-DowntimeNew)/12,1),0)))))))),0)</f>
        <v/>
      </c>
      <c r="Y36" s="14">
        <f>IFERROR(IF(AND(I36="LeaseUp",0=0),(IF(I36="Vacate",TINew*D36,IF(I36="Market",Retention*TIRenewal*D36+(1-Retention)*TINew*D36,IF(I36="LeaseUp",TINew*D36,IF(I36="Option",TIRenewal*D36,0)))))+(IF(I36="Vacate",LCNew*H36*D36*(1+GrowthMarketRent)^0,IF(I36="Market",Retention*LCRenewal*H36*D36*(1+GrowthMarketRent)^0+(1-Retention)*LCNew*H36*D36*(1+GrowthMarketRent)^0,IF(I36="LeaseUp",LCNew*H36*D36*(1+GrowthMarketRent)^0,IF(I36="Option",LCRenewal*H36*D36*(1+GrowthMarketRent)^0,0))))),IF(F36="",0,IF(AND(F36&gt;=DATE(2026+0,5,1),F36&lt;=DATE(2027+0,4,30)),(IF(I36="Vacate",TINew*D36,IF(I36="Market",Retention*TIRenewal*D36+(1-Retention)*TINew*D36,IF(I36="LeaseUp",TINew*D36,IF(I36="Option",TIRenewal*D36,0)))))+(IF(I36="Vacate",LCNew*H36*D36*(1+GrowthMarketRent)^0,IF(I36="Market",Retention*LCRenewal*H36*D36*(1+GrowthMarketRent)^0+(1-Retention)*LCNew*H36*D36*(1+GrowthMarketRent)^0,IF(I36="LeaseUp",LCNew*H36*D36*(1+GrowthMarketRent)^0,IF(I36="Option",LCRenewal*H36*D36*(1+GrowthMarketRent)^0,0))))),0))),0)</f>
        <v/>
      </c>
      <c r="Z36" s="14">
        <f>IFERROR(IF(AND(I36="LeaseUp",1=0),(IF(I36="Vacate",TINew*D36,IF(I36="Market",Retention*TIRenewal*D36+(1-Retention)*TINew*D36,IF(I36="LeaseUp",TINew*D36,IF(I36="Option",TIRenewal*D36,0)))))+(IF(I36="Vacate",LCNew*H36*D36*(1+GrowthMarketRent)^1,IF(I36="Market",Retention*LCRenewal*H36*D36*(1+GrowthMarketRent)^1+(1-Retention)*LCNew*H36*D36*(1+GrowthMarketRent)^1,IF(I36="LeaseUp",LCNew*H36*D36*(1+GrowthMarketRent)^1,IF(I36="Option",LCRenewal*H36*D36*(1+GrowthMarketRent)^1,0))))),IF(F36="",0,IF(AND(F36&gt;=DATE(2026+1,5,1),F36&lt;=DATE(2027+1,4,30)),(IF(I36="Vacate",TINew*D36,IF(I36="Market",Retention*TIRenewal*D36+(1-Retention)*TINew*D36,IF(I36="LeaseUp",TINew*D36,IF(I36="Option",TIRenewal*D36,0)))))+(IF(I36="Vacate",LCNew*H36*D36*(1+GrowthMarketRent)^1,IF(I36="Market",Retention*LCRenewal*H36*D36*(1+GrowthMarketRent)^1+(1-Retention)*LCNew*H36*D36*(1+GrowthMarketRent)^1,IF(I36="LeaseUp",LCNew*H36*D36*(1+GrowthMarketRent)^1,IF(I36="Option",LCRenewal*H36*D36*(1+GrowthMarketRent)^1,0))))),0))),0)</f>
        <v/>
      </c>
      <c r="AA36" s="14">
        <f>IFERROR(IF(AND(I36="LeaseUp",2=0),(IF(I36="Vacate",TINew*D36,IF(I36="Market",Retention*TIRenewal*D36+(1-Retention)*TINew*D36,IF(I36="LeaseUp",TINew*D36,IF(I36="Option",TIRenewal*D36,0)))))+(IF(I36="Vacate",LCNew*H36*D36*(1+GrowthMarketRent)^2,IF(I36="Market",Retention*LCRenewal*H36*D36*(1+GrowthMarketRent)^2+(1-Retention)*LCNew*H36*D36*(1+GrowthMarketRent)^2,IF(I36="LeaseUp",LCNew*H36*D36*(1+GrowthMarketRent)^2,IF(I36="Option",LCRenewal*H36*D36*(1+GrowthMarketRent)^2,0))))),IF(F36="",0,IF(AND(F36&gt;=DATE(2026+2,5,1),F36&lt;=DATE(2027+2,4,30)),(IF(I36="Vacate",TINew*D36,IF(I36="Market",Retention*TIRenewal*D36+(1-Retention)*TINew*D36,IF(I36="LeaseUp",TINew*D36,IF(I36="Option",TIRenewal*D36,0)))))+(IF(I36="Vacate",LCNew*H36*D36*(1+GrowthMarketRent)^2,IF(I36="Market",Retention*LCRenewal*H36*D36*(1+GrowthMarketRent)^2+(1-Retention)*LCNew*H36*D36*(1+GrowthMarketRent)^2,IF(I36="LeaseUp",LCNew*H36*D36*(1+GrowthMarketRent)^2,IF(I36="Option",LCRenewal*H36*D36*(1+GrowthMarketRent)^2,0))))),0))),0)</f>
        <v/>
      </c>
      <c r="AB36" s="14">
        <f>IFERROR(IF(AND(I36="LeaseUp",3=0),(IF(I36="Vacate",TINew*D36,IF(I36="Market",Retention*TIRenewal*D36+(1-Retention)*TINew*D36,IF(I36="LeaseUp",TINew*D36,IF(I36="Option",TIRenewal*D36,0)))))+(IF(I36="Vacate",LCNew*H36*D36*(1+GrowthMarketRent)^3,IF(I36="Market",Retention*LCRenewal*H36*D36*(1+GrowthMarketRent)^3+(1-Retention)*LCNew*H36*D36*(1+GrowthMarketRent)^3,IF(I36="LeaseUp",LCNew*H36*D36*(1+GrowthMarketRent)^3,IF(I36="Option",LCRenewal*H36*D36*(1+GrowthMarketRent)^3,0))))),IF(F36="",0,IF(AND(F36&gt;=DATE(2026+3,5,1),F36&lt;=DATE(2027+3,4,30)),(IF(I36="Vacate",TINew*D36,IF(I36="Market",Retention*TIRenewal*D36+(1-Retention)*TINew*D36,IF(I36="LeaseUp",TINew*D36,IF(I36="Option",TIRenewal*D36,0)))))+(IF(I36="Vacate",LCNew*H36*D36*(1+GrowthMarketRent)^3,IF(I36="Market",Retention*LCRenewal*H36*D36*(1+GrowthMarketRent)^3+(1-Retention)*LCNew*H36*D36*(1+GrowthMarketRent)^3,IF(I36="LeaseUp",LCNew*H36*D36*(1+GrowthMarketRent)^3,IF(I36="Option",LCRenewal*H36*D36*(1+GrowthMarketRent)^3,0))))),0))),0)</f>
        <v/>
      </c>
      <c r="AC36" s="14">
        <f>IFERROR(IF(AND(I36="LeaseUp",4=0),(IF(I36="Vacate",TINew*D36,IF(I36="Market",Retention*TIRenewal*D36+(1-Retention)*TINew*D36,IF(I36="LeaseUp",TINew*D36,IF(I36="Option",TIRenewal*D36,0)))))+(IF(I36="Vacate",LCNew*H36*D36*(1+GrowthMarketRent)^4,IF(I36="Market",Retention*LCRenewal*H36*D36*(1+GrowthMarketRent)^4+(1-Retention)*LCNew*H36*D36*(1+GrowthMarketRent)^4,IF(I36="LeaseUp",LCNew*H36*D36*(1+GrowthMarketRent)^4,IF(I36="Option",LCRenewal*H36*D36*(1+GrowthMarketRent)^4,0))))),IF(F36="",0,IF(AND(F36&gt;=DATE(2026+4,5,1),F36&lt;=DATE(2027+4,4,30)),(IF(I36="Vacate",TINew*D36,IF(I36="Market",Retention*TIRenewal*D36+(1-Retention)*TINew*D36,IF(I36="LeaseUp",TINew*D36,IF(I36="Option",TIRenewal*D36,0)))))+(IF(I36="Vacate",LCNew*H36*D36*(1+GrowthMarketRent)^4,IF(I36="Market",Retention*LCRenewal*H36*D36*(1+GrowthMarketRent)^4+(1-Retention)*LCNew*H36*D36*(1+GrowthMarketRent)^4,IF(I36="LeaseUp",LCNew*H36*D36*(1+GrowthMarketRent)^4,IF(I36="Option",LCRenewal*H36*D36*(1+GrowthMarketRent)^4,0))))),0))),0)</f>
        <v/>
      </c>
      <c r="AD36" s="14">
        <f>IFERROR(IF(AND(I36="LeaseUp",5=0),(IF(I36="Vacate",TINew*D36,IF(I36="Market",Retention*TIRenewal*D36+(1-Retention)*TINew*D36,IF(I36="LeaseUp",TINew*D36,IF(I36="Option",TIRenewal*D36,0)))))+(IF(I36="Vacate",LCNew*H36*D36*(1+GrowthMarketRent)^5,IF(I36="Market",Retention*LCRenewal*H36*D36*(1+GrowthMarketRent)^5+(1-Retention)*LCNew*H36*D36*(1+GrowthMarketRent)^5,IF(I36="LeaseUp",LCNew*H36*D36*(1+GrowthMarketRent)^5,IF(I36="Option",LCRenewal*H36*D36*(1+GrowthMarketRent)^5,0))))),IF(F36="",0,IF(AND(F36&gt;=DATE(2026+5,5,1),F36&lt;=DATE(2027+5,4,30)),(IF(I36="Vacate",TINew*D36,IF(I36="Market",Retention*TIRenewal*D36+(1-Retention)*TINew*D36,IF(I36="LeaseUp",TINew*D36,IF(I36="Option",TIRenewal*D36,0)))))+(IF(I36="Vacate",LCNew*H36*D36*(1+GrowthMarketRent)^5,IF(I36="Market",Retention*LCRenewal*H36*D36*(1+GrowthMarketRent)^5+(1-Retention)*LCNew*H36*D36*(1+GrowthMarketRent)^5,IF(I36="LeaseUp",LCNew*H36*D36*(1+GrowthMarketRent)^5,IF(I36="Option",LCRenewal*H36*D36*(1+GrowthMarketRent)^5,0))))),0))),0)</f>
        <v/>
      </c>
      <c r="AE36" s="14">
        <f>IFERROR(IF(AND(I36="LeaseUp",6=0),(IF(I36="Vacate",TINew*D36,IF(I36="Market",Retention*TIRenewal*D36+(1-Retention)*TINew*D36,IF(I36="LeaseUp",TINew*D36,IF(I36="Option",TIRenewal*D36,0)))))+(IF(I36="Vacate",LCNew*H36*D36*(1+GrowthMarketRent)^6,IF(I36="Market",Retention*LCRenewal*H36*D36*(1+GrowthMarketRent)^6+(1-Retention)*LCNew*H36*D36*(1+GrowthMarketRent)^6,IF(I36="LeaseUp",LCNew*H36*D36*(1+GrowthMarketRent)^6,IF(I36="Option",LCRenewal*H36*D36*(1+GrowthMarketRent)^6,0))))),IF(F36="",0,IF(AND(F36&gt;=DATE(2026+6,5,1),F36&lt;=DATE(2027+6,4,30)),(IF(I36="Vacate",TINew*D36,IF(I36="Market",Retention*TIRenewal*D36+(1-Retention)*TINew*D36,IF(I36="LeaseUp",TINew*D36,IF(I36="Option",TIRenewal*D36,0)))))+(IF(I36="Vacate",LCNew*H36*D36*(1+GrowthMarketRent)^6,IF(I36="Market",Retention*LCRenewal*H36*D36*(1+GrowthMarketRent)^6+(1-Retention)*LCNew*H36*D36*(1+GrowthMarketRent)^6,IF(I36="LeaseUp",LCNew*H36*D36*(1+GrowthMarketRent)^6,IF(I36="Option",LCRenewal*H36*D36*(1+GrowthMarketRent)^6,0))))),0))),0)</f>
        <v/>
      </c>
      <c r="AF36" s="14">
        <f>IFERROR(IF(AND(I36="LeaseUp",7=0),(IF(I36="Vacate",TINew*D36,IF(I36="Market",Retention*TIRenewal*D36+(1-Retention)*TINew*D36,IF(I36="LeaseUp",TINew*D36,IF(I36="Option",TIRenewal*D36,0)))))+(IF(I36="Vacate",LCNew*H36*D36*(1+GrowthMarketRent)^7,IF(I36="Market",Retention*LCRenewal*H36*D36*(1+GrowthMarketRent)^7+(1-Retention)*LCNew*H36*D36*(1+GrowthMarketRent)^7,IF(I36="LeaseUp",LCNew*H36*D36*(1+GrowthMarketRent)^7,IF(I36="Option",LCRenewal*H36*D36*(1+GrowthMarketRent)^7,0))))),IF(F36="",0,IF(AND(F36&gt;=DATE(2026+7,5,1),F36&lt;=DATE(2027+7,4,30)),(IF(I36="Vacate",TINew*D36,IF(I36="Market",Retention*TIRenewal*D36+(1-Retention)*TINew*D36,IF(I36="LeaseUp",TINew*D36,IF(I36="Option",TIRenewal*D36,0)))))+(IF(I36="Vacate",LCNew*H36*D36*(1+GrowthMarketRent)^7,IF(I36="Market",Retention*LCRenewal*H36*D36*(1+GrowthMarketRent)^7+(1-Retention)*LCNew*H36*D36*(1+GrowthMarketRent)^7,IF(I36="LeaseUp",LCNew*H36*D36*(1+GrowthMarketRent)^7,IF(I36="Option",LCRenewal*H36*D36*(1+GrowthMarketRent)^7,0))))),0))),0)</f>
        <v/>
      </c>
      <c r="AG36" s="14">
        <f>IFERROR(IF(AND(I36="LeaseUp",8=0),(IF(I36="Vacate",TINew*D36,IF(I36="Market",Retention*TIRenewal*D36+(1-Retention)*TINew*D36,IF(I36="LeaseUp",TINew*D36,IF(I36="Option",TIRenewal*D36,0)))))+(IF(I36="Vacate",LCNew*H36*D36*(1+GrowthMarketRent)^8,IF(I36="Market",Retention*LCRenewal*H36*D36*(1+GrowthMarketRent)^8+(1-Retention)*LCNew*H36*D36*(1+GrowthMarketRent)^8,IF(I36="LeaseUp",LCNew*H36*D36*(1+GrowthMarketRent)^8,IF(I36="Option",LCRenewal*H36*D36*(1+GrowthMarketRent)^8,0))))),IF(F36="",0,IF(AND(F36&gt;=DATE(2026+8,5,1),F36&lt;=DATE(2027+8,4,30)),(IF(I36="Vacate",TINew*D36,IF(I36="Market",Retention*TIRenewal*D36+(1-Retention)*TINew*D36,IF(I36="LeaseUp",TINew*D36,IF(I36="Option",TIRenewal*D36,0)))))+(IF(I36="Vacate",LCNew*H36*D36*(1+GrowthMarketRent)^8,IF(I36="Market",Retention*LCRenewal*H36*D36*(1+GrowthMarketRent)^8+(1-Retention)*LCNew*H36*D36*(1+GrowthMarketRent)^8,IF(I36="LeaseUp",LCNew*H36*D36*(1+GrowthMarketRent)^8,IF(I36="Option",LCRenewal*H36*D36*(1+GrowthMarketRent)^8,0))))),0))),0)</f>
        <v/>
      </c>
      <c r="AH36" s="14">
        <f>IFERROR(IF(AND(I36="LeaseUp",9=0),(IF(I36="Vacate",TINew*D36,IF(I36="Market",Retention*TIRenewal*D36+(1-Retention)*TINew*D36,IF(I36="LeaseUp",TINew*D36,IF(I36="Option",TIRenewal*D36,0)))))+(IF(I36="Vacate",LCNew*H36*D36*(1+GrowthMarketRent)^9,IF(I36="Market",Retention*LCRenewal*H36*D36*(1+GrowthMarketRent)^9+(1-Retention)*LCNew*H36*D36*(1+GrowthMarketRent)^9,IF(I36="LeaseUp",LCNew*H36*D36*(1+GrowthMarketRent)^9,IF(I36="Option",LCRenewal*H36*D36*(1+GrowthMarketRent)^9,0))))),IF(F36="",0,IF(AND(F36&gt;=DATE(2026+9,5,1),F36&lt;=DATE(2027+9,4,30)),(IF(I36="Vacate",TINew*D36,IF(I36="Market",Retention*TIRenewal*D36+(1-Retention)*TINew*D36,IF(I36="LeaseUp",TINew*D36,IF(I36="Option",TIRenewal*D36,0)))))+(IF(I36="Vacate",LCNew*H36*D36*(1+GrowthMarketRent)^9,IF(I36="Market",Retention*LCRenewal*H36*D36*(1+GrowthMarketRent)^9+(1-Retention)*LCNew*H36*D36*(1+GrowthMarketRent)^9,IF(I36="LeaseUp",LCNew*H36*D36*(1+GrowthMarketRent)^9,IF(I36="Option",LCRenewal*H36*D36*(1+GrowthMarketRent)^9,0))))),0))),0)</f>
        <v/>
      </c>
      <c r="AI36" s="14">
        <f>IFERROR(IF(AND(I36="LeaseUp",10=0),(IF(I36="Vacate",TINew*D36,IF(I36="Market",Retention*TIRenewal*D36+(1-Retention)*TINew*D36,IF(I36="LeaseUp",TINew*D36,IF(I36="Option",TIRenewal*D36,0)))))+(IF(I36="Vacate",LCNew*H36*D36*(1+GrowthMarketRent)^10,IF(I36="Market",Retention*LCRenewal*H36*D36*(1+GrowthMarketRent)^10+(1-Retention)*LCNew*H36*D36*(1+GrowthMarketRent)^10,IF(I36="LeaseUp",LCNew*H36*D36*(1+GrowthMarketRent)^10,IF(I36="Option",LCRenewal*H36*D36*(1+GrowthMarketRent)^10,0))))),IF(F36="",0,IF(AND(F36&gt;=DATE(2026+10,5,1),F36&lt;=DATE(2027+10,4,30)),(IF(I36="Vacate",TINew*D36,IF(I36="Market",Retention*TIRenewal*D36+(1-Retention)*TINew*D36,IF(I36="LeaseUp",TINew*D36,IF(I36="Option",TIRenewal*D36,0)))))+(IF(I36="Vacate",LCNew*H36*D36*(1+GrowthMarketRent)^10,IF(I36="Market",Retention*LCRenewal*H36*D36*(1+GrowthMarketRent)^10+(1-Retention)*LCNew*H36*D36*(1+GrowthMarketRent)^10,IF(I36="LeaseUp",LCNew*H36*D36*(1+GrowthMarketRent)^10,IF(I36="Option",LCRenewal*H36*D36*(1+GrowthMarketRent)^10,0))))),0))),0)</f>
        <v/>
      </c>
    </row>
    <row r="37">
      <c r="A37" t="inlineStr">
        <is>
          <t>Carrollton</t>
        </is>
      </c>
      <c r="B37" t="inlineStr">
        <is>
          <t>424</t>
        </is>
      </c>
      <c r="C37" t="inlineStr">
        <is>
          <t>Metro Elevator DFW Inc.</t>
        </is>
      </c>
      <c r="D37" s="32" t="n">
        <v>2600</v>
      </c>
      <c r="E37" s="33" t="n">
        <v>46023</v>
      </c>
      <c r="F37" s="33" t="n">
        <v>47027</v>
      </c>
      <c r="G37" s="34" t="n">
        <v>18</v>
      </c>
      <c r="H37" s="16">
        <f>VLOOKUP("Carrollton — "&amp;J37,MLA!$A$5:$L$11,3,FALSE)</f>
        <v/>
      </c>
      <c r="I37" s="11" t="inlineStr">
        <is>
          <t>Market</t>
        </is>
      </c>
      <c r="J37" t="inlineStr">
        <is>
          <t>Shop</t>
        </is>
      </c>
      <c r="K37" t="inlineStr">
        <is>
          <t>Occupied</t>
        </is>
      </c>
      <c r="L37" t="inlineStr">
        <is>
          <t>Shop; Guarantor: Brad Hager</t>
        </is>
      </c>
      <c r="M37" s="20">
        <f>IF(E37="",0,(AnalysisStart-E37)/365.25)</f>
        <v/>
      </c>
      <c r="N37" s="14">
        <f>IFERROR(IF(I37="LeaseUp",H37*D37*(1+GrowthMarketRent)^0*IF(0=0,(12-DowntimeNew)/12,1),IF(F37="",0,IF(F37&gt;=DATE(2027+0,4,30),G37*D37*(1+EscalatorInLease)^(0+M37),IF(F37&lt;DATE(2026+0,5,1),IF(I37="Vacate",H37*D37*(1+GrowthMarketRent)^0*IF(INT((DATE(2026+0,10,31)-F37)/365.25)=0,(12-DowntimeNew)/12,1),IF(I37="Option",G37*D37*1.025*(1+EscalatorInLease)^0,IF(I37="Market",Retention*G37*D37*(1+EscalatorInLease)^(0+M37)+(1-Retention)*H37*D37*(1+GrowthMarketRent)^0*IF(INT((DATE(2026+0,10,31)-F37)/365.25)=0,(12-DowntimeNew)/12,1),IF(I37="LeaseUp",H37*D37*(1+GrowthMarketRent)^0*IF(0=0,(12-DowntimeNew)/12,1),0)))),((F37-DATE(2026+0,5,1))/365.25)*G37*D37*(1+EscalatorInLease)^(0+M37)+((DATE(2027+0,4,30)-F37)/365.25)*IF(I37="Vacate",H37*D37*(1+GrowthMarketRent)^0*IF(INT((DATE(2026+0,10,31)-F37)/365.25)=0,(12-DowntimeNew)/12,1),IF(I37="Option",G37*D37*1.025*(1+EscalatorInLease)^0,IF(I37="Market",Retention*G37*D37*(1+EscalatorInLease)^(0+M37)+(1-Retention)*H37*D37*(1+GrowthMarketRent)^0*IF(INT((DATE(2026+0,10,31)-F37)/365.25)=0,(12-DowntimeNew)/12,1),IF(I37="LeaseUp",H37*D37*(1+GrowthMarketRent)^0*IF(0=0,(12-DowntimeNew)/12,1),0)))))))),0)</f>
        <v/>
      </c>
      <c r="O37" s="14">
        <f>IFERROR(IF(I37="LeaseUp",H37*D37*(1+GrowthMarketRent)^1*IF(1=0,(12-DowntimeNew)/12,1),IF(F37="",0,IF(F37&gt;=DATE(2027+1,4,30),G37*D37*(1+EscalatorInLease)^(1+M37),IF(F37&lt;DATE(2026+1,5,1),IF(I37="Vacate",H37*D37*(1+GrowthMarketRent)^1*IF(INT((DATE(2026+1,10,31)-F37)/365.25)=0,(12-DowntimeNew)/12,1),IF(I37="Option",G37*D37*1.025*(1+EscalatorInLease)^1,IF(I37="Market",Retention*G37*D37*(1+EscalatorInLease)^(1+M37)+(1-Retention)*H37*D37*(1+GrowthMarketRent)^1*IF(INT((DATE(2026+1,10,31)-F37)/365.25)=0,(12-DowntimeNew)/12,1),IF(I37="LeaseUp",H37*D37*(1+GrowthMarketRent)^1*IF(1=0,(12-DowntimeNew)/12,1),0)))),((F37-DATE(2026+1,5,1))/365.25)*G37*D37*(1+EscalatorInLease)^(1+M37)+((DATE(2027+1,4,30)-F37)/365.25)*IF(I37="Vacate",H37*D37*(1+GrowthMarketRent)^1*IF(INT((DATE(2026+1,10,31)-F37)/365.25)=0,(12-DowntimeNew)/12,1),IF(I37="Option",G37*D37*1.025*(1+EscalatorInLease)^1,IF(I37="Market",Retention*G37*D37*(1+EscalatorInLease)^(1+M37)+(1-Retention)*H37*D37*(1+GrowthMarketRent)^1*IF(INT((DATE(2026+1,10,31)-F37)/365.25)=0,(12-DowntimeNew)/12,1),IF(I37="LeaseUp",H37*D37*(1+GrowthMarketRent)^1*IF(1=0,(12-DowntimeNew)/12,1),0)))))))),0)</f>
        <v/>
      </c>
      <c r="P37" s="14">
        <f>IFERROR(IF(I37="LeaseUp",H37*D37*(1+GrowthMarketRent)^2*IF(2=0,(12-DowntimeNew)/12,1),IF(F37="",0,IF(F37&gt;=DATE(2027+2,4,30),G37*D37*(1+EscalatorInLease)^(2+M37),IF(F37&lt;DATE(2026+2,5,1),IF(I37="Vacate",H37*D37*(1+GrowthMarketRent)^2*IF(INT((DATE(2026+2,10,31)-F37)/365.25)=0,(12-DowntimeNew)/12,1),IF(I37="Option",G37*D37*1.025*(1+EscalatorInLease)^2,IF(I37="Market",Retention*G37*D37*(1+EscalatorInLease)^(2+M37)+(1-Retention)*H37*D37*(1+GrowthMarketRent)^2*IF(INT((DATE(2026+2,10,31)-F37)/365.25)=0,(12-DowntimeNew)/12,1),IF(I37="LeaseUp",H37*D37*(1+GrowthMarketRent)^2*IF(2=0,(12-DowntimeNew)/12,1),0)))),((F37-DATE(2026+2,5,1))/365.25)*G37*D37*(1+EscalatorInLease)^(2+M37)+((DATE(2027+2,4,30)-F37)/365.25)*IF(I37="Vacate",H37*D37*(1+GrowthMarketRent)^2*IF(INT((DATE(2026+2,10,31)-F37)/365.25)=0,(12-DowntimeNew)/12,1),IF(I37="Option",G37*D37*1.025*(1+EscalatorInLease)^2,IF(I37="Market",Retention*G37*D37*(1+EscalatorInLease)^(2+M37)+(1-Retention)*H37*D37*(1+GrowthMarketRent)^2*IF(INT((DATE(2026+2,10,31)-F37)/365.25)=0,(12-DowntimeNew)/12,1),IF(I37="LeaseUp",H37*D37*(1+GrowthMarketRent)^2*IF(2=0,(12-DowntimeNew)/12,1),0)))))))),0)</f>
        <v/>
      </c>
      <c r="Q37" s="14">
        <f>IFERROR(IF(I37="LeaseUp",H37*D37*(1+GrowthMarketRent)^3*IF(3=0,(12-DowntimeNew)/12,1),IF(F37="",0,IF(F37&gt;=DATE(2027+3,4,30),G37*D37*(1+EscalatorInLease)^(3+M37),IF(F37&lt;DATE(2026+3,5,1),IF(I37="Vacate",H37*D37*(1+GrowthMarketRent)^3*IF(INT((DATE(2026+3,10,31)-F37)/365.25)=0,(12-DowntimeNew)/12,1),IF(I37="Option",G37*D37*1.025*(1+EscalatorInLease)^3,IF(I37="Market",Retention*G37*D37*(1+EscalatorInLease)^(3+M37)+(1-Retention)*H37*D37*(1+GrowthMarketRent)^3*IF(INT((DATE(2026+3,10,31)-F37)/365.25)=0,(12-DowntimeNew)/12,1),IF(I37="LeaseUp",H37*D37*(1+GrowthMarketRent)^3*IF(3=0,(12-DowntimeNew)/12,1),0)))),((F37-DATE(2026+3,5,1))/365.25)*G37*D37*(1+EscalatorInLease)^(3+M37)+((DATE(2027+3,4,30)-F37)/365.25)*IF(I37="Vacate",H37*D37*(1+GrowthMarketRent)^3*IF(INT((DATE(2026+3,10,31)-F37)/365.25)=0,(12-DowntimeNew)/12,1),IF(I37="Option",G37*D37*1.025*(1+EscalatorInLease)^3,IF(I37="Market",Retention*G37*D37*(1+EscalatorInLease)^(3+M37)+(1-Retention)*H37*D37*(1+GrowthMarketRent)^3*IF(INT((DATE(2026+3,10,31)-F37)/365.25)=0,(12-DowntimeNew)/12,1),IF(I37="LeaseUp",H37*D37*(1+GrowthMarketRent)^3*IF(3=0,(12-DowntimeNew)/12,1),0)))))))),0)</f>
        <v/>
      </c>
      <c r="R37" s="14">
        <f>IFERROR(IF(I37="LeaseUp",H37*D37*(1+GrowthMarketRent)^4*IF(4=0,(12-DowntimeNew)/12,1),IF(F37="",0,IF(F37&gt;=DATE(2027+4,4,30),G37*D37*(1+EscalatorInLease)^(4+M37),IF(F37&lt;DATE(2026+4,5,1),IF(I37="Vacate",H37*D37*(1+GrowthMarketRent)^4*IF(INT((DATE(2026+4,10,31)-F37)/365.25)=0,(12-DowntimeNew)/12,1),IF(I37="Option",G37*D37*1.025*(1+EscalatorInLease)^4,IF(I37="Market",Retention*G37*D37*(1+EscalatorInLease)^(4+M37)+(1-Retention)*H37*D37*(1+GrowthMarketRent)^4*IF(INT((DATE(2026+4,10,31)-F37)/365.25)=0,(12-DowntimeNew)/12,1),IF(I37="LeaseUp",H37*D37*(1+GrowthMarketRent)^4*IF(4=0,(12-DowntimeNew)/12,1),0)))),((F37-DATE(2026+4,5,1))/365.25)*G37*D37*(1+EscalatorInLease)^(4+M37)+((DATE(2027+4,4,30)-F37)/365.25)*IF(I37="Vacate",H37*D37*(1+GrowthMarketRent)^4*IF(INT((DATE(2026+4,10,31)-F37)/365.25)=0,(12-DowntimeNew)/12,1),IF(I37="Option",G37*D37*1.025*(1+EscalatorInLease)^4,IF(I37="Market",Retention*G37*D37*(1+EscalatorInLease)^(4+M37)+(1-Retention)*H37*D37*(1+GrowthMarketRent)^4*IF(INT((DATE(2026+4,10,31)-F37)/365.25)=0,(12-DowntimeNew)/12,1),IF(I37="LeaseUp",H37*D37*(1+GrowthMarketRent)^4*IF(4=0,(12-DowntimeNew)/12,1),0)))))))),0)</f>
        <v/>
      </c>
      <c r="S37" s="14">
        <f>IFERROR(IF(I37="LeaseUp",H37*D37*(1+GrowthMarketRent)^5*IF(5=0,(12-DowntimeNew)/12,1),IF(F37="",0,IF(F37&gt;=DATE(2027+5,4,30),G37*D37*(1+EscalatorInLease)^(5+M37),IF(F37&lt;DATE(2026+5,5,1),IF(I37="Vacate",H37*D37*(1+GrowthMarketRent)^5*IF(INT((DATE(2026+5,10,31)-F37)/365.25)=0,(12-DowntimeNew)/12,1),IF(I37="Option",G37*D37*1.025*(1+EscalatorInLease)^5,IF(I37="Market",Retention*G37*D37*(1+EscalatorInLease)^(5+M37)+(1-Retention)*H37*D37*(1+GrowthMarketRent)^5*IF(INT((DATE(2026+5,10,31)-F37)/365.25)=0,(12-DowntimeNew)/12,1),IF(I37="LeaseUp",H37*D37*(1+GrowthMarketRent)^5*IF(5=0,(12-DowntimeNew)/12,1),0)))),((F37-DATE(2026+5,5,1))/365.25)*G37*D37*(1+EscalatorInLease)^(5+M37)+((DATE(2027+5,4,30)-F37)/365.25)*IF(I37="Vacate",H37*D37*(1+GrowthMarketRent)^5*IF(INT((DATE(2026+5,10,31)-F37)/365.25)=0,(12-DowntimeNew)/12,1),IF(I37="Option",G37*D37*1.025*(1+EscalatorInLease)^5,IF(I37="Market",Retention*G37*D37*(1+EscalatorInLease)^(5+M37)+(1-Retention)*H37*D37*(1+GrowthMarketRent)^5*IF(INT((DATE(2026+5,10,31)-F37)/365.25)=0,(12-DowntimeNew)/12,1),IF(I37="LeaseUp",H37*D37*(1+GrowthMarketRent)^5*IF(5=0,(12-DowntimeNew)/12,1),0)))))))),0)</f>
        <v/>
      </c>
      <c r="T37" s="14">
        <f>IFERROR(IF(I37="LeaseUp",H37*D37*(1+GrowthMarketRent)^6*IF(6=0,(12-DowntimeNew)/12,1),IF(F37="",0,IF(F37&gt;=DATE(2027+6,4,30),G37*D37*(1+EscalatorInLease)^(6+M37),IF(F37&lt;DATE(2026+6,5,1),IF(I37="Vacate",H37*D37*(1+GrowthMarketRent)^6*IF(INT((DATE(2026+6,10,31)-F37)/365.25)=0,(12-DowntimeNew)/12,1),IF(I37="Option",G37*D37*1.025*(1+EscalatorInLease)^6,IF(I37="Market",Retention*G37*D37*(1+EscalatorInLease)^(6+M37)+(1-Retention)*H37*D37*(1+GrowthMarketRent)^6*IF(INT((DATE(2026+6,10,31)-F37)/365.25)=0,(12-DowntimeNew)/12,1),IF(I37="LeaseUp",H37*D37*(1+GrowthMarketRent)^6*IF(6=0,(12-DowntimeNew)/12,1),0)))),((F37-DATE(2026+6,5,1))/365.25)*G37*D37*(1+EscalatorInLease)^(6+M37)+((DATE(2027+6,4,30)-F37)/365.25)*IF(I37="Vacate",H37*D37*(1+GrowthMarketRent)^6*IF(INT((DATE(2026+6,10,31)-F37)/365.25)=0,(12-DowntimeNew)/12,1),IF(I37="Option",G37*D37*1.025*(1+EscalatorInLease)^6,IF(I37="Market",Retention*G37*D37*(1+EscalatorInLease)^(6+M37)+(1-Retention)*H37*D37*(1+GrowthMarketRent)^6*IF(INT((DATE(2026+6,10,31)-F37)/365.25)=0,(12-DowntimeNew)/12,1),IF(I37="LeaseUp",H37*D37*(1+GrowthMarketRent)^6*IF(6=0,(12-DowntimeNew)/12,1),0)))))))),0)</f>
        <v/>
      </c>
      <c r="U37" s="14">
        <f>IFERROR(IF(I37="LeaseUp",H37*D37*(1+GrowthMarketRent)^7*IF(7=0,(12-DowntimeNew)/12,1),IF(F37="",0,IF(F37&gt;=DATE(2027+7,4,30),G37*D37*(1+EscalatorInLease)^(7+M37),IF(F37&lt;DATE(2026+7,5,1),IF(I37="Vacate",H37*D37*(1+GrowthMarketRent)^7*IF(INT((DATE(2026+7,10,31)-F37)/365.25)=0,(12-DowntimeNew)/12,1),IF(I37="Option",G37*D37*1.025*(1+EscalatorInLease)^7,IF(I37="Market",Retention*G37*D37*(1+EscalatorInLease)^(7+M37)+(1-Retention)*H37*D37*(1+GrowthMarketRent)^7*IF(INT((DATE(2026+7,10,31)-F37)/365.25)=0,(12-DowntimeNew)/12,1),IF(I37="LeaseUp",H37*D37*(1+GrowthMarketRent)^7*IF(7=0,(12-DowntimeNew)/12,1),0)))),((F37-DATE(2026+7,5,1))/365.25)*G37*D37*(1+EscalatorInLease)^(7+M37)+((DATE(2027+7,4,30)-F37)/365.25)*IF(I37="Vacate",H37*D37*(1+GrowthMarketRent)^7*IF(INT((DATE(2026+7,10,31)-F37)/365.25)=0,(12-DowntimeNew)/12,1),IF(I37="Option",G37*D37*1.025*(1+EscalatorInLease)^7,IF(I37="Market",Retention*G37*D37*(1+EscalatorInLease)^(7+M37)+(1-Retention)*H37*D37*(1+GrowthMarketRent)^7*IF(INT((DATE(2026+7,10,31)-F37)/365.25)=0,(12-DowntimeNew)/12,1),IF(I37="LeaseUp",H37*D37*(1+GrowthMarketRent)^7*IF(7=0,(12-DowntimeNew)/12,1),0)))))))),0)</f>
        <v/>
      </c>
      <c r="V37" s="14">
        <f>IFERROR(IF(I37="LeaseUp",H37*D37*(1+GrowthMarketRent)^8*IF(8=0,(12-DowntimeNew)/12,1),IF(F37="",0,IF(F37&gt;=DATE(2027+8,4,30),G37*D37*(1+EscalatorInLease)^(8+M37),IF(F37&lt;DATE(2026+8,5,1),IF(I37="Vacate",H37*D37*(1+GrowthMarketRent)^8*IF(INT((DATE(2026+8,10,31)-F37)/365.25)=0,(12-DowntimeNew)/12,1),IF(I37="Option",G37*D37*1.025*(1+EscalatorInLease)^8,IF(I37="Market",Retention*G37*D37*(1+EscalatorInLease)^(8+M37)+(1-Retention)*H37*D37*(1+GrowthMarketRent)^8*IF(INT((DATE(2026+8,10,31)-F37)/365.25)=0,(12-DowntimeNew)/12,1),IF(I37="LeaseUp",H37*D37*(1+GrowthMarketRent)^8*IF(8=0,(12-DowntimeNew)/12,1),0)))),((F37-DATE(2026+8,5,1))/365.25)*G37*D37*(1+EscalatorInLease)^(8+M37)+((DATE(2027+8,4,30)-F37)/365.25)*IF(I37="Vacate",H37*D37*(1+GrowthMarketRent)^8*IF(INT((DATE(2026+8,10,31)-F37)/365.25)=0,(12-DowntimeNew)/12,1),IF(I37="Option",G37*D37*1.025*(1+EscalatorInLease)^8,IF(I37="Market",Retention*G37*D37*(1+EscalatorInLease)^(8+M37)+(1-Retention)*H37*D37*(1+GrowthMarketRent)^8*IF(INT((DATE(2026+8,10,31)-F37)/365.25)=0,(12-DowntimeNew)/12,1),IF(I37="LeaseUp",H37*D37*(1+GrowthMarketRent)^8*IF(8=0,(12-DowntimeNew)/12,1),0)))))))),0)</f>
        <v/>
      </c>
      <c r="W37" s="14">
        <f>IFERROR(IF(I37="LeaseUp",H37*D37*(1+GrowthMarketRent)^9*IF(9=0,(12-DowntimeNew)/12,1),IF(F37="",0,IF(F37&gt;=DATE(2027+9,4,30),G37*D37*(1+EscalatorInLease)^(9+M37),IF(F37&lt;DATE(2026+9,5,1),IF(I37="Vacate",H37*D37*(1+GrowthMarketRent)^9*IF(INT((DATE(2026+9,10,31)-F37)/365.25)=0,(12-DowntimeNew)/12,1),IF(I37="Option",G37*D37*1.025*(1+EscalatorInLease)^9,IF(I37="Market",Retention*G37*D37*(1+EscalatorInLease)^(9+M37)+(1-Retention)*H37*D37*(1+GrowthMarketRent)^9*IF(INT((DATE(2026+9,10,31)-F37)/365.25)=0,(12-DowntimeNew)/12,1),IF(I37="LeaseUp",H37*D37*(1+GrowthMarketRent)^9*IF(9=0,(12-DowntimeNew)/12,1),0)))),((F37-DATE(2026+9,5,1))/365.25)*G37*D37*(1+EscalatorInLease)^(9+M37)+((DATE(2027+9,4,30)-F37)/365.25)*IF(I37="Vacate",H37*D37*(1+GrowthMarketRent)^9*IF(INT((DATE(2026+9,10,31)-F37)/365.25)=0,(12-DowntimeNew)/12,1),IF(I37="Option",G37*D37*1.025*(1+EscalatorInLease)^9,IF(I37="Market",Retention*G37*D37*(1+EscalatorInLease)^(9+M37)+(1-Retention)*H37*D37*(1+GrowthMarketRent)^9*IF(INT((DATE(2026+9,10,31)-F37)/365.25)=0,(12-DowntimeNew)/12,1),IF(I37="LeaseUp",H37*D37*(1+GrowthMarketRent)^9*IF(9=0,(12-DowntimeNew)/12,1),0)))))))),0)</f>
        <v/>
      </c>
      <c r="X37" s="14">
        <f>IFERROR(IF(I37="LeaseUp",H37*D37*(1+GrowthMarketRent)^10*IF(10=0,(12-DowntimeNew)/12,1),IF(F37="",0,IF(F37&gt;=DATE(2027+10,4,30),G37*D37*(1+EscalatorInLease)^(10+M37),IF(F37&lt;DATE(2026+10,5,1),IF(I37="Vacate",H37*D37*(1+GrowthMarketRent)^10*IF(INT((DATE(2026+10,10,31)-F37)/365.25)=0,(12-DowntimeNew)/12,1),IF(I37="Option",G37*D37*1.025*(1+EscalatorInLease)^10,IF(I37="Market",Retention*G37*D37*(1+EscalatorInLease)^(10+M37)+(1-Retention)*H37*D37*(1+GrowthMarketRent)^10*IF(INT((DATE(2026+10,10,31)-F37)/365.25)=0,(12-DowntimeNew)/12,1),IF(I37="LeaseUp",H37*D37*(1+GrowthMarketRent)^10*IF(10=0,(12-DowntimeNew)/12,1),0)))),((F37-DATE(2026+10,5,1))/365.25)*G37*D37*(1+EscalatorInLease)^(10+M37)+((DATE(2027+10,4,30)-F37)/365.25)*IF(I37="Vacate",H37*D37*(1+GrowthMarketRent)^10*IF(INT((DATE(2026+10,10,31)-F37)/365.25)=0,(12-DowntimeNew)/12,1),IF(I37="Option",G37*D37*1.025*(1+EscalatorInLease)^10,IF(I37="Market",Retention*G37*D37*(1+EscalatorInLease)^(10+M37)+(1-Retention)*H37*D37*(1+GrowthMarketRent)^10*IF(INT((DATE(2026+10,10,31)-F37)/365.25)=0,(12-DowntimeNew)/12,1),IF(I37="LeaseUp",H37*D37*(1+GrowthMarketRent)^10*IF(10=0,(12-DowntimeNew)/12,1),0)))))))),0)</f>
        <v/>
      </c>
      <c r="Y37" s="14">
        <f>IFERROR(IF(AND(I37="LeaseUp",0=0),(IF(I37="Vacate",TINew*D37,IF(I37="Market",Retention*TIRenewal*D37+(1-Retention)*TINew*D37,IF(I37="LeaseUp",TINew*D37,IF(I37="Option",TIRenewal*D37,0)))))+(IF(I37="Vacate",LCNew*H37*D37*(1+GrowthMarketRent)^0,IF(I37="Market",Retention*LCRenewal*H37*D37*(1+GrowthMarketRent)^0+(1-Retention)*LCNew*H37*D37*(1+GrowthMarketRent)^0,IF(I37="LeaseUp",LCNew*H37*D37*(1+GrowthMarketRent)^0,IF(I37="Option",LCRenewal*H37*D37*(1+GrowthMarketRent)^0,0))))),IF(F37="",0,IF(AND(F37&gt;=DATE(2026+0,5,1),F37&lt;=DATE(2027+0,4,30)),(IF(I37="Vacate",TINew*D37,IF(I37="Market",Retention*TIRenewal*D37+(1-Retention)*TINew*D37,IF(I37="LeaseUp",TINew*D37,IF(I37="Option",TIRenewal*D37,0)))))+(IF(I37="Vacate",LCNew*H37*D37*(1+GrowthMarketRent)^0,IF(I37="Market",Retention*LCRenewal*H37*D37*(1+GrowthMarketRent)^0+(1-Retention)*LCNew*H37*D37*(1+GrowthMarketRent)^0,IF(I37="LeaseUp",LCNew*H37*D37*(1+GrowthMarketRent)^0,IF(I37="Option",LCRenewal*H37*D37*(1+GrowthMarketRent)^0,0))))),0))),0)</f>
        <v/>
      </c>
      <c r="Z37" s="14">
        <f>IFERROR(IF(AND(I37="LeaseUp",1=0),(IF(I37="Vacate",TINew*D37,IF(I37="Market",Retention*TIRenewal*D37+(1-Retention)*TINew*D37,IF(I37="LeaseUp",TINew*D37,IF(I37="Option",TIRenewal*D37,0)))))+(IF(I37="Vacate",LCNew*H37*D37*(1+GrowthMarketRent)^1,IF(I37="Market",Retention*LCRenewal*H37*D37*(1+GrowthMarketRent)^1+(1-Retention)*LCNew*H37*D37*(1+GrowthMarketRent)^1,IF(I37="LeaseUp",LCNew*H37*D37*(1+GrowthMarketRent)^1,IF(I37="Option",LCRenewal*H37*D37*(1+GrowthMarketRent)^1,0))))),IF(F37="",0,IF(AND(F37&gt;=DATE(2026+1,5,1),F37&lt;=DATE(2027+1,4,30)),(IF(I37="Vacate",TINew*D37,IF(I37="Market",Retention*TIRenewal*D37+(1-Retention)*TINew*D37,IF(I37="LeaseUp",TINew*D37,IF(I37="Option",TIRenewal*D37,0)))))+(IF(I37="Vacate",LCNew*H37*D37*(1+GrowthMarketRent)^1,IF(I37="Market",Retention*LCRenewal*H37*D37*(1+GrowthMarketRent)^1+(1-Retention)*LCNew*H37*D37*(1+GrowthMarketRent)^1,IF(I37="LeaseUp",LCNew*H37*D37*(1+GrowthMarketRent)^1,IF(I37="Option",LCRenewal*H37*D37*(1+GrowthMarketRent)^1,0))))),0))),0)</f>
        <v/>
      </c>
      <c r="AA37" s="14">
        <f>IFERROR(IF(AND(I37="LeaseUp",2=0),(IF(I37="Vacate",TINew*D37,IF(I37="Market",Retention*TIRenewal*D37+(1-Retention)*TINew*D37,IF(I37="LeaseUp",TINew*D37,IF(I37="Option",TIRenewal*D37,0)))))+(IF(I37="Vacate",LCNew*H37*D37*(1+GrowthMarketRent)^2,IF(I37="Market",Retention*LCRenewal*H37*D37*(1+GrowthMarketRent)^2+(1-Retention)*LCNew*H37*D37*(1+GrowthMarketRent)^2,IF(I37="LeaseUp",LCNew*H37*D37*(1+GrowthMarketRent)^2,IF(I37="Option",LCRenewal*H37*D37*(1+GrowthMarketRent)^2,0))))),IF(F37="",0,IF(AND(F37&gt;=DATE(2026+2,5,1),F37&lt;=DATE(2027+2,4,30)),(IF(I37="Vacate",TINew*D37,IF(I37="Market",Retention*TIRenewal*D37+(1-Retention)*TINew*D37,IF(I37="LeaseUp",TINew*D37,IF(I37="Option",TIRenewal*D37,0)))))+(IF(I37="Vacate",LCNew*H37*D37*(1+GrowthMarketRent)^2,IF(I37="Market",Retention*LCRenewal*H37*D37*(1+GrowthMarketRent)^2+(1-Retention)*LCNew*H37*D37*(1+GrowthMarketRent)^2,IF(I37="LeaseUp",LCNew*H37*D37*(1+GrowthMarketRent)^2,IF(I37="Option",LCRenewal*H37*D37*(1+GrowthMarketRent)^2,0))))),0))),0)</f>
        <v/>
      </c>
      <c r="AB37" s="14">
        <f>IFERROR(IF(AND(I37="LeaseUp",3=0),(IF(I37="Vacate",TINew*D37,IF(I37="Market",Retention*TIRenewal*D37+(1-Retention)*TINew*D37,IF(I37="LeaseUp",TINew*D37,IF(I37="Option",TIRenewal*D37,0)))))+(IF(I37="Vacate",LCNew*H37*D37*(1+GrowthMarketRent)^3,IF(I37="Market",Retention*LCRenewal*H37*D37*(1+GrowthMarketRent)^3+(1-Retention)*LCNew*H37*D37*(1+GrowthMarketRent)^3,IF(I37="LeaseUp",LCNew*H37*D37*(1+GrowthMarketRent)^3,IF(I37="Option",LCRenewal*H37*D37*(1+GrowthMarketRent)^3,0))))),IF(F37="",0,IF(AND(F37&gt;=DATE(2026+3,5,1),F37&lt;=DATE(2027+3,4,30)),(IF(I37="Vacate",TINew*D37,IF(I37="Market",Retention*TIRenewal*D37+(1-Retention)*TINew*D37,IF(I37="LeaseUp",TINew*D37,IF(I37="Option",TIRenewal*D37,0)))))+(IF(I37="Vacate",LCNew*H37*D37*(1+GrowthMarketRent)^3,IF(I37="Market",Retention*LCRenewal*H37*D37*(1+GrowthMarketRent)^3+(1-Retention)*LCNew*H37*D37*(1+GrowthMarketRent)^3,IF(I37="LeaseUp",LCNew*H37*D37*(1+GrowthMarketRent)^3,IF(I37="Option",LCRenewal*H37*D37*(1+GrowthMarketRent)^3,0))))),0))),0)</f>
        <v/>
      </c>
      <c r="AC37" s="14">
        <f>IFERROR(IF(AND(I37="LeaseUp",4=0),(IF(I37="Vacate",TINew*D37,IF(I37="Market",Retention*TIRenewal*D37+(1-Retention)*TINew*D37,IF(I37="LeaseUp",TINew*D37,IF(I37="Option",TIRenewal*D37,0)))))+(IF(I37="Vacate",LCNew*H37*D37*(1+GrowthMarketRent)^4,IF(I37="Market",Retention*LCRenewal*H37*D37*(1+GrowthMarketRent)^4+(1-Retention)*LCNew*H37*D37*(1+GrowthMarketRent)^4,IF(I37="LeaseUp",LCNew*H37*D37*(1+GrowthMarketRent)^4,IF(I37="Option",LCRenewal*H37*D37*(1+GrowthMarketRent)^4,0))))),IF(F37="",0,IF(AND(F37&gt;=DATE(2026+4,5,1),F37&lt;=DATE(2027+4,4,30)),(IF(I37="Vacate",TINew*D37,IF(I37="Market",Retention*TIRenewal*D37+(1-Retention)*TINew*D37,IF(I37="LeaseUp",TINew*D37,IF(I37="Option",TIRenewal*D37,0)))))+(IF(I37="Vacate",LCNew*H37*D37*(1+GrowthMarketRent)^4,IF(I37="Market",Retention*LCRenewal*H37*D37*(1+GrowthMarketRent)^4+(1-Retention)*LCNew*H37*D37*(1+GrowthMarketRent)^4,IF(I37="LeaseUp",LCNew*H37*D37*(1+GrowthMarketRent)^4,IF(I37="Option",LCRenewal*H37*D37*(1+GrowthMarketRent)^4,0))))),0))),0)</f>
        <v/>
      </c>
      <c r="AD37" s="14">
        <f>IFERROR(IF(AND(I37="LeaseUp",5=0),(IF(I37="Vacate",TINew*D37,IF(I37="Market",Retention*TIRenewal*D37+(1-Retention)*TINew*D37,IF(I37="LeaseUp",TINew*D37,IF(I37="Option",TIRenewal*D37,0)))))+(IF(I37="Vacate",LCNew*H37*D37*(1+GrowthMarketRent)^5,IF(I37="Market",Retention*LCRenewal*H37*D37*(1+GrowthMarketRent)^5+(1-Retention)*LCNew*H37*D37*(1+GrowthMarketRent)^5,IF(I37="LeaseUp",LCNew*H37*D37*(1+GrowthMarketRent)^5,IF(I37="Option",LCRenewal*H37*D37*(1+GrowthMarketRent)^5,0))))),IF(F37="",0,IF(AND(F37&gt;=DATE(2026+5,5,1),F37&lt;=DATE(2027+5,4,30)),(IF(I37="Vacate",TINew*D37,IF(I37="Market",Retention*TIRenewal*D37+(1-Retention)*TINew*D37,IF(I37="LeaseUp",TINew*D37,IF(I37="Option",TIRenewal*D37,0)))))+(IF(I37="Vacate",LCNew*H37*D37*(1+GrowthMarketRent)^5,IF(I37="Market",Retention*LCRenewal*H37*D37*(1+GrowthMarketRent)^5+(1-Retention)*LCNew*H37*D37*(1+GrowthMarketRent)^5,IF(I37="LeaseUp",LCNew*H37*D37*(1+GrowthMarketRent)^5,IF(I37="Option",LCRenewal*H37*D37*(1+GrowthMarketRent)^5,0))))),0))),0)</f>
        <v/>
      </c>
      <c r="AE37" s="14">
        <f>IFERROR(IF(AND(I37="LeaseUp",6=0),(IF(I37="Vacate",TINew*D37,IF(I37="Market",Retention*TIRenewal*D37+(1-Retention)*TINew*D37,IF(I37="LeaseUp",TINew*D37,IF(I37="Option",TIRenewal*D37,0)))))+(IF(I37="Vacate",LCNew*H37*D37*(1+GrowthMarketRent)^6,IF(I37="Market",Retention*LCRenewal*H37*D37*(1+GrowthMarketRent)^6+(1-Retention)*LCNew*H37*D37*(1+GrowthMarketRent)^6,IF(I37="LeaseUp",LCNew*H37*D37*(1+GrowthMarketRent)^6,IF(I37="Option",LCRenewal*H37*D37*(1+GrowthMarketRent)^6,0))))),IF(F37="",0,IF(AND(F37&gt;=DATE(2026+6,5,1),F37&lt;=DATE(2027+6,4,30)),(IF(I37="Vacate",TINew*D37,IF(I37="Market",Retention*TIRenewal*D37+(1-Retention)*TINew*D37,IF(I37="LeaseUp",TINew*D37,IF(I37="Option",TIRenewal*D37,0)))))+(IF(I37="Vacate",LCNew*H37*D37*(1+GrowthMarketRent)^6,IF(I37="Market",Retention*LCRenewal*H37*D37*(1+GrowthMarketRent)^6+(1-Retention)*LCNew*H37*D37*(1+GrowthMarketRent)^6,IF(I37="LeaseUp",LCNew*H37*D37*(1+GrowthMarketRent)^6,IF(I37="Option",LCRenewal*H37*D37*(1+GrowthMarketRent)^6,0))))),0))),0)</f>
        <v/>
      </c>
      <c r="AF37" s="14">
        <f>IFERROR(IF(AND(I37="LeaseUp",7=0),(IF(I37="Vacate",TINew*D37,IF(I37="Market",Retention*TIRenewal*D37+(1-Retention)*TINew*D37,IF(I37="LeaseUp",TINew*D37,IF(I37="Option",TIRenewal*D37,0)))))+(IF(I37="Vacate",LCNew*H37*D37*(1+GrowthMarketRent)^7,IF(I37="Market",Retention*LCRenewal*H37*D37*(1+GrowthMarketRent)^7+(1-Retention)*LCNew*H37*D37*(1+GrowthMarketRent)^7,IF(I37="LeaseUp",LCNew*H37*D37*(1+GrowthMarketRent)^7,IF(I37="Option",LCRenewal*H37*D37*(1+GrowthMarketRent)^7,0))))),IF(F37="",0,IF(AND(F37&gt;=DATE(2026+7,5,1),F37&lt;=DATE(2027+7,4,30)),(IF(I37="Vacate",TINew*D37,IF(I37="Market",Retention*TIRenewal*D37+(1-Retention)*TINew*D37,IF(I37="LeaseUp",TINew*D37,IF(I37="Option",TIRenewal*D37,0)))))+(IF(I37="Vacate",LCNew*H37*D37*(1+GrowthMarketRent)^7,IF(I37="Market",Retention*LCRenewal*H37*D37*(1+GrowthMarketRent)^7+(1-Retention)*LCNew*H37*D37*(1+GrowthMarketRent)^7,IF(I37="LeaseUp",LCNew*H37*D37*(1+GrowthMarketRent)^7,IF(I37="Option",LCRenewal*H37*D37*(1+GrowthMarketRent)^7,0))))),0))),0)</f>
        <v/>
      </c>
      <c r="AG37" s="14">
        <f>IFERROR(IF(AND(I37="LeaseUp",8=0),(IF(I37="Vacate",TINew*D37,IF(I37="Market",Retention*TIRenewal*D37+(1-Retention)*TINew*D37,IF(I37="LeaseUp",TINew*D37,IF(I37="Option",TIRenewal*D37,0)))))+(IF(I37="Vacate",LCNew*H37*D37*(1+GrowthMarketRent)^8,IF(I37="Market",Retention*LCRenewal*H37*D37*(1+GrowthMarketRent)^8+(1-Retention)*LCNew*H37*D37*(1+GrowthMarketRent)^8,IF(I37="LeaseUp",LCNew*H37*D37*(1+GrowthMarketRent)^8,IF(I37="Option",LCRenewal*H37*D37*(1+GrowthMarketRent)^8,0))))),IF(F37="",0,IF(AND(F37&gt;=DATE(2026+8,5,1),F37&lt;=DATE(2027+8,4,30)),(IF(I37="Vacate",TINew*D37,IF(I37="Market",Retention*TIRenewal*D37+(1-Retention)*TINew*D37,IF(I37="LeaseUp",TINew*D37,IF(I37="Option",TIRenewal*D37,0)))))+(IF(I37="Vacate",LCNew*H37*D37*(1+GrowthMarketRent)^8,IF(I37="Market",Retention*LCRenewal*H37*D37*(1+GrowthMarketRent)^8+(1-Retention)*LCNew*H37*D37*(1+GrowthMarketRent)^8,IF(I37="LeaseUp",LCNew*H37*D37*(1+GrowthMarketRent)^8,IF(I37="Option",LCRenewal*H37*D37*(1+GrowthMarketRent)^8,0))))),0))),0)</f>
        <v/>
      </c>
      <c r="AH37" s="14">
        <f>IFERROR(IF(AND(I37="LeaseUp",9=0),(IF(I37="Vacate",TINew*D37,IF(I37="Market",Retention*TIRenewal*D37+(1-Retention)*TINew*D37,IF(I37="LeaseUp",TINew*D37,IF(I37="Option",TIRenewal*D37,0)))))+(IF(I37="Vacate",LCNew*H37*D37*(1+GrowthMarketRent)^9,IF(I37="Market",Retention*LCRenewal*H37*D37*(1+GrowthMarketRent)^9+(1-Retention)*LCNew*H37*D37*(1+GrowthMarketRent)^9,IF(I37="LeaseUp",LCNew*H37*D37*(1+GrowthMarketRent)^9,IF(I37="Option",LCRenewal*H37*D37*(1+GrowthMarketRent)^9,0))))),IF(F37="",0,IF(AND(F37&gt;=DATE(2026+9,5,1),F37&lt;=DATE(2027+9,4,30)),(IF(I37="Vacate",TINew*D37,IF(I37="Market",Retention*TIRenewal*D37+(1-Retention)*TINew*D37,IF(I37="LeaseUp",TINew*D37,IF(I37="Option",TIRenewal*D37,0)))))+(IF(I37="Vacate",LCNew*H37*D37*(1+GrowthMarketRent)^9,IF(I37="Market",Retention*LCRenewal*H37*D37*(1+GrowthMarketRent)^9+(1-Retention)*LCNew*H37*D37*(1+GrowthMarketRent)^9,IF(I37="LeaseUp",LCNew*H37*D37*(1+GrowthMarketRent)^9,IF(I37="Option",LCRenewal*H37*D37*(1+GrowthMarketRent)^9,0))))),0))),0)</f>
        <v/>
      </c>
      <c r="AI37" s="14">
        <f>IFERROR(IF(AND(I37="LeaseUp",10=0),(IF(I37="Vacate",TINew*D37,IF(I37="Market",Retention*TIRenewal*D37+(1-Retention)*TINew*D37,IF(I37="LeaseUp",TINew*D37,IF(I37="Option",TIRenewal*D37,0)))))+(IF(I37="Vacate",LCNew*H37*D37*(1+GrowthMarketRent)^10,IF(I37="Market",Retention*LCRenewal*H37*D37*(1+GrowthMarketRent)^10+(1-Retention)*LCNew*H37*D37*(1+GrowthMarketRent)^10,IF(I37="LeaseUp",LCNew*H37*D37*(1+GrowthMarketRent)^10,IF(I37="Option",LCRenewal*H37*D37*(1+GrowthMarketRent)^10,0))))),IF(F37="",0,IF(AND(F37&gt;=DATE(2026+10,5,1),F37&lt;=DATE(2027+10,4,30)),(IF(I37="Vacate",TINew*D37,IF(I37="Market",Retention*TIRenewal*D37+(1-Retention)*TINew*D37,IF(I37="LeaseUp",TINew*D37,IF(I37="Option",TIRenewal*D37,0)))))+(IF(I37="Vacate",LCNew*H37*D37*(1+GrowthMarketRent)^10,IF(I37="Market",Retention*LCRenewal*H37*D37*(1+GrowthMarketRent)^10+(1-Retention)*LCNew*H37*D37*(1+GrowthMarketRent)^10,IF(I37="LeaseUp",LCNew*H37*D37*(1+GrowthMarketRent)^10,IF(I37="Option",LCRenewal*H37*D37*(1+GrowthMarketRent)^10,0))))),0))),0)</f>
        <v/>
      </c>
    </row>
    <row r="38">
      <c r="A38" t="inlineStr">
        <is>
          <t>Carrollton</t>
        </is>
      </c>
      <c r="B38" t="inlineStr">
        <is>
          <t>428</t>
        </is>
      </c>
      <c r="C38" t="inlineStr">
        <is>
          <t>Metro Elevator DFW Inc.</t>
        </is>
      </c>
      <c r="D38" s="32" t="n">
        <v>2600</v>
      </c>
      <c r="E38" s="33" t="n">
        <v>45778</v>
      </c>
      <c r="F38" s="33" t="n">
        <v>47027</v>
      </c>
      <c r="G38" s="34" t="n">
        <v>18.45</v>
      </c>
      <c r="H38" s="16">
        <f>VLOOKUP("Carrollton — "&amp;J38,MLA!$A$5:$L$11,3,FALSE)</f>
        <v/>
      </c>
      <c r="I38" s="11" t="inlineStr">
        <is>
          <t>Market</t>
        </is>
      </c>
      <c r="J38" t="inlineStr">
        <is>
          <t>Shop</t>
        </is>
      </c>
      <c r="K38" t="inlineStr">
        <is>
          <t>Occupied</t>
        </is>
      </c>
      <c r="L38" t="inlineStr">
        <is>
          <t>Shop; Guarantor: Metro Elevator Holdings</t>
        </is>
      </c>
      <c r="M38" s="20">
        <f>IF(E38="",0,(AnalysisStart-E38)/365.25)</f>
        <v/>
      </c>
      <c r="N38" s="14">
        <f>IFERROR(IF(I38="LeaseUp",H38*D38*(1+GrowthMarketRent)^0*IF(0=0,(12-DowntimeNew)/12,1),IF(F38="",0,IF(F38&gt;=DATE(2027+0,4,30),G38*D38*(1+EscalatorInLease)^(0+M38),IF(F38&lt;DATE(2026+0,5,1),IF(I38="Vacate",H38*D38*(1+GrowthMarketRent)^0*IF(INT((DATE(2026+0,10,31)-F38)/365.25)=0,(12-DowntimeNew)/12,1),IF(I38="Option",G38*D38*1.025*(1+EscalatorInLease)^0,IF(I38="Market",Retention*G38*D38*(1+EscalatorInLease)^(0+M38)+(1-Retention)*H38*D38*(1+GrowthMarketRent)^0*IF(INT((DATE(2026+0,10,31)-F38)/365.25)=0,(12-DowntimeNew)/12,1),IF(I38="LeaseUp",H38*D38*(1+GrowthMarketRent)^0*IF(0=0,(12-DowntimeNew)/12,1),0)))),((F38-DATE(2026+0,5,1))/365.25)*G38*D38*(1+EscalatorInLease)^(0+M38)+((DATE(2027+0,4,30)-F38)/365.25)*IF(I38="Vacate",H38*D38*(1+GrowthMarketRent)^0*IF(INT((DATE(2026+0,10,31)-F38)/365.25)=0,(12-DowntimeNew)/12,1),IF(I38="Option",G38*D38*1.025*(1+EscalatorInLease)^0,IF(I38="Market",Retention*G38*D38*(1+EscalatorInLease)^(0+M38)+(1-Retention)*H38*D38*(1+GrowthMarketRent)^0*IF(INT((DATE(2026+0,10,31)-F38)/365.25)=0,(12-DowntimeNew)/12,1),IF(I38="LeaseUp",H38*D38*(1+GrowthMarketRent)^0*IF(0=0,(12-DowntimeNew)/12,1),0)))))))),0)</f>
        <v/>
      </c>
      <c r="O38" s="14">
        <f>IFERROR(IF(I38="LeaseUp",H38*D38*(1+GrowthMarketRent)^1*IF(1=0,(12-DowntimeNew)/12,1),IF(F38="",0,IF(F38&gt;=DATE(2027+1,4,30),G38*D38*(1+EscalatorInLease)^(1+M38),IF(F38&lt;DATE(2026+1,5,1),IF(I38="Vacate",H38*D38*(1+GrowthMarketRent)^1*IF(INT((DATE(2026+1,10,31)-F38)/365.25)=0,(12-DowntimeNew)/12,1),IF(I38="Option",G38*D38*1.025*(1+EscalatorInLease)^1,IF(I38="Market",Retention*G38*D38*(1+EscalatorInLease)^(1+M38)+(1-Retention)*H38*D38*(1+GrowthMarketRent)^1*IF(INT((DATE(2026+1,10,31)-F38)/365.25)=0,(12-DowntimeNew)/12,1),IF(I38="LeaseUp",H38*D38*(1+GrowthMarketRent)^1*IF(1=0,(12-DowntimeNew)/12,1),0)))),((F38-DATE(2026+1,5,1))/365.25)*G38*D38*(1+EscalatorInLease)^(1+M38)+((DATE(2027+1,4,30)-F38)/365.25)*IF(I38="Vacate",H38*D38*(1+GrowthMarketRent)^1*IF(INT((DATE(2026+1,10,31)-F38)/365.25)=0,(12-DowntimeNew)/12,1),IF(I38="Option",G38*D38*1.025*(1+EscalatorInLease)^1,IF(I38="Market",Retention*G38*D38*(1+EscalatorInLease)^(1+M38)+(1-Retention)*H38*D38*(1+GrowthMarketRent)^1*IF(INT((DATE(2026+1,10,31)-F38)/365.25)=0,(12-DowntimeNew)/12,1),IF(I38="LeaseUp",H38*D38*(1+GrowthMarketRent)^1*IF(1=0,(12-DowntimeNew)/12,1),0)))))))),0)</f>
        <v/>
      </c>
      <c r="P38" s="14">
        <f>IFERROR(IF(I38="LeaseUp",H38*D38*(1+GrowthMarketRent)^2*IF(2=0,(12-DowntimeNew)/12,1),IF(F38="",0,IF(F38&gt;=DATE(2027+2,4,30),G38*D38*(1+EscalatorInLease)^(2+M38),IF(F38&lt;DATE(2026+2,5,1),IF(I38="Vacate",H38*D38*(1+GrowthMarketRent)^2*IF(INT((DATE(2026+2,10,31)-F38)/365.25)=0,(12-DowntimeNew)/12,1),IF(I38="Option",G38*D38*1.025*(1+EscalatorInLease)^2,IF(I38="Market",Retention*G38*D38*(1+EscalatorInLease)^(2+M38)+(1-Retention)*H38*D38*(1+GrowthMarketRent)^2*IF(INT((DATE(2026+2,10,31)-F38)/365.25)=0,(12-DowntimeNew)/12,1),IF(I38="LeaseUp",H38*D38*(1+GrowthMarketRent)^2*IF(2=0,(12-DowntimeNew)/12,1),0)))),((F38-DATE(2026+2,5,1))/365.25)*G38*D38*(1+EscalatorInLease)^(2+M38)+((DATE(2027+2,4,30)-F38)/365.25)*IF(I38="Vacate",H38*D38*(1+GrowthMarketRent)^2*IF(INT((DATE(2026+2,10,31)-F38)/365.25)=0,(12-DowntimeNew)/12,1),IF(I38="Option",G38*D38*1.025*(1+EscalatorInLease)^2,IF(I38="Market",Retention*G38*D38*(1+EscalatorInLease)^(2+M38)+(1-Retention)*H38*D38*(1+GrowthMarketRent)^2*IF(INT((DATE(2026+2,10,31)-F38)/365.25)=0,(12-DowntimeNew)/12,1),IF(I38="LeaseUp",H38*D38*(1+GrowthMarketRent)^2*IF(2=0,(12-DowntimeNew)/12,1),0)))))))),0)</f>
        <v/>
      </c>
      <c r="Q38" s="14">
        <f>IFERROR(IF(I38="LeaseUp",H38*D38*(1+GrowthMarketRent)^3*IF(3=0,(12-DowntimeNew)/12,1),IF(F38="",0,IF(F38&gt;=DATE(2027+3,4,30),G38*D38*(1+EscalatorInLease)^(3+M38),IF(F38&lt;DATE(2026+3,5,1),IF(I38="Vacate",H38*D38*(1+GrowthMarketRent)^3*IF(INT((DATE(2026+3,10,31)-F38)/365.25)=0,(12-DowntimeNew)/12,1),IF(I38="Option",G38*D38*1.025*(1+EscalatorInLease)^3,IF(I38="Market",Retention*G38*D38*(1+EscalatorInLease)^(3+M38)+(1-Retention)*H38*D38*(1+GrowthMarketRent)^3*IF(INT((DATE(2026+3,10,31)-F38)/365.25)=0,(12-DowntimeNew)/12,1),IF(I38="LeaseUp",H38*D38*(1+GrowthMarketRent)^3*IF(3=0,(12-DowntimeNew)/12,1),0)))),((F38-DATE(2026+3,5,1))/365.25)*G38*D38*(1+EscalatorInLease)^(3+M38)+((DATE(2027+3,4,30)-F38)/365.25)*IF(I38="Vacate",H38*D38*(1+GrowthMarketRent)^3*IF(INT((DATE(2026+3,10,31)-F38)/365.25)=0,(12-DowntimeNew)/12,1),IF(I38="Option",G38*D38*1.025*(1+EscalatorInLease)^3,IF(I38="Market",Retention*G38*D38*(1+EscalatorInLease)^(3+M38)+(1-Retention)*H38*D38*(1+GrowthMarketRent)^3*IF(INT((DATE(2026+3,10,31)-F38)/365.25)=0,(12-DowntimeNew)/12,1),IF(I38="LeaseUp",H38*D38*(1+GrowthMarketRent)^3*IF(3=0,(12-DowntimeNew)/12,1),0)))))))),0)</f>
        <v/>
      </c>
      <c r="R38" s="14">
        <f>IFERROR(IF(I38="LeaseUp",H38*D38*(1+GrowthMarketRent)^4*IF(4=0,(12-DowntimeNew)/12,1),IF(F38="",0,IF(F38&gt;=DATE(2027+4,4,30),G38*D38*(1+EscalatorInLease)^(4+M38),IF(F38&lt;DATE(2026+4,5,1),IF(I38="Vacate",H38*D38*(1+GrowthMarketRent)^4*IF(INT((DATE(2026+4,10,31)-F38)/365.25)=0,(12-DowntimeNew)/12,1),IF(I38="Option",G38*D38*1.025*(1+EscalatorInLease)^4,IF(I38="Market",Retention*G38*D38*(1+EscalatorInLease)^(4+M38)+(1-Retention)*H38*D38*(1+GrowthMarketRent)^4*IF(INT((DATE(2026+4,10,31)-F38)/365.25)=0,(12-DowntimeNew)/12,1),IF(I38="LeaseUp",H38*D38*(1+GrowthMarketRent)^4*IF(4=0,(12-DowntimeNew)/12,1),0)))),((F38-DATE(2026+4,5,1))/365.25)*G38*D38*(1+EscalatorInLease)^(4+M38)+((DATE(2027+4,4,30)-F38)/365.25)*IF(I38="Vacate",H38*D38*(1+GrowthMarketRent)^4*IF(INT((DATE(2026+4,10,31)-F38)/365.25)=0,(12-DowntimeNew)/12,1),IF(I38="Option",G38*D38*1.025*(1+EscalatorInLease)^4,IF(I38="Market",Retention*G38*D38*(1+EscalatorInLease)^(4+M38)+(1-Retention)*H38*D38*(1+GrowthMarketRent)^4*IF(INT((DATE(2026+4,10,31)-F38)/365.25)=0,(12-DowntimeNew)/12,1),IF(I38="LeaseUp",H38*D38*(1+GrowthMarketRent)^4*IF(4=0,(12-DowntimeNew)/12,1),0)))))))),0)</f>
        <v/>
      </c>
      <c r="S38" s="14">
        <f>IFERROR(IF(I38="LeaseUp",H38*D38*(1+GrowthMarketRent)^5*IF(5=0,(12-DowntimeNew)/12,1),IF(F38="",0,IF(F38&gt;=DATE(2027+5,4,30),G38*D38*(1+EscalatorInLease)^(5+M38),IF(F38&lt;DATE(2026+5,5,1),IF(I38="Vacate",H38*D38*(1+GrowthMarketRent)^5*IF(INT((DATE(2026+5,10,31)-F38)/365.25)=0,(12-DowntimeNew)/12,1),IF(I38="Option",G38*D38*1.025*(1+EscalatorInLease)^5,IF(I38="Market",Retention*G38*D38*(1+EscalatorInLease)^(5+M38)+(1-Retention)*H38*D38*(1+GrowthMarketRent)^5*IF(INT((DATE(2026+5,10,31)-F38)/365.25)=0,(12-DowntimeNew)/12,1),IF(I38="LeaseUp",H38*D38*(1+GrowthMarketRent)^5*IF(5=0,(12-DowntimeNew)/12,1),0)))),((F38-DATE(2026+5,5,1))/365.25)*G38*D38*(1+EscalatorInLease)^(5+M38)+((DATE(2027+5,4,30)-F38)/365.25)*IF(I38="Vacate",H38*D38*(1+GrowthMarketRent)^5*IF(INT((DATE(2026+5,10,31)-F38)/365.25)=0,(12-DowntimeNew)/12,1),IF(I38="Option",G38*D38*1.025*(1+EscalatorInLease)^5,IF(I38="Market",Retention*G38*D38*(1+EscalatorInLease)^(5+M38)+(1-Retention)*H38*D38*(1+GrowthMarketRent)^5*IF(INT((DATE(2026+5,10,31)-F38)/365.25)=0,(12-DowntimeNew)/12,1),IF(I38="LeaseUp",H38*D38*(1+GrowthMarketRent)^5*IF(5=0,(12-DowntimeNew)/12,1),0)))))))),0)</f>
        <v/>
      </c>
      <c r="T38" s="14">
        <f>IFERROR(IF(I38="LeaseUp",H38*D38*(1+GrowthMarketRent)^6*IF(6=0,(12-DowntimeNew)/12,1),IF(F38="",0,IF(F38&gt;=DATE(2027+6,4,30),G38*D38*(1+EscalatorInLease)^(6+M38),IF(F38&lt;DATE(2026+6,5,1),IF(I38="Vacate",H38*D38*(1+GrowthMarketRent)^6*IF(INT((DATE(2026+6,10,31)-F38)/365.25)=0,(12-DowntimeNew)/12,1),IF(I38="Option",G38*D38*1.025*(1+EscalatorInLease)^6,IF(I38="Market",Retention*G38*D38*(1+EscalatorInLease)^(6+M38)+(1-Retention)*H38*D38*(1+GrowthMarketRent)^6*IF(INT((DATE(2026+6,10,31)-F38)/365.25)=0,(12-DowntimeNew)/12,1),IF(I38="LeaseUp",H38*D38*(1+GrowthMarketRent)^6*IF(6=0,(12-DowntimeNew)/12,1),0)))),((F38-DATE(2026+6,5,1))/365.25)*G38*D38*(1+EscalatorInLease)^(6+M38)+((DATE(2027+6,4,30)-F38)/365.25)*IF(I38="Vacate",H38*D38*(1+GrowthMarketRent)^6*IF(INT((DATE(2026+6,10,31)-F38)/365.25)=0,(12-DowntimeNew)/12,1),IF(I38="Option",G38*D38*1.025*(1+EscalatorInLease)^6,IF(I38="Market",Retention*G38*D38*(1+EscalatorInLease)^(6+M38)+(1-Retention)*H38*D38*(1+GrowthMarketRent)^6*IF(INT((DATE(2026+6,10,31)-F38)/365.25)=0,(12-DowntimeNew)/12,1),IF(I38="LeaseUp",H38*D38*(1+GrowthMarketRent)^6*IF(6=0,(12-DowntimeNew)/12,1),0)))))))),0)</f>
        <v/>
      </c>
      <c r="U38" s="14">
        <f>IFERROR(IF(I38="LeaseUp",H38*D38*(1+GrowthMarketRent)^7*IF(7=0,(12-DowntimeNew)/12,1),IF(F38="",0,IF(F38&gt;=DATE(2027+7,4,30),G38*D38*(1+EscalatorInLease)^(7+M38),IF(F38&lt;DATE(2026+7,5,1),IF(I38="Vacate",H38*D38*(1+GrowthMarketRent)^7*IF(INT((DATE(2026+7,10,31)-F38)/365.25)=0,(12-DowntimeNew)/12,1),IF(I38="Option",G38*D38*1.025*(1+EscalatorInLease)^7,IF(I38="Market",Retention*G38*D38*(1+EscalatorInLease)^(7+M38)+(1-Retention)*H38*D38*(1+GrowthMarketRent)^7*IF(INT((DATE(2026+7,10,31)-F38)/365.25)=0,(12-DowntimeNew)/12,1),IF(I38="LeaseUp",H38*D38*(1+GrowthMarketRent)^7*IF(7=0,(12-DowntimeNew)/12,1),0)))),((F38-DATE(2026+7,5,1))/365.25)*G38*D38*(1+EscalatorInLease)^(7+M38)+((DATE(2027+7,4,30)-F38)/365.25)*IF(I38="Vacate",H38*D38*(1+GrowthMarketRent)^7*IF(INT((DATE(2026+7,10,31)-F38)/365.25)=0,(12-DowntimeNew)/12,1),IF(I38="Option",G38*D38*1.025*(1+EscalatorInLease)^7,IF(I38="Market",Retention*G38*D38*(1+EscalatorInLease)^(7+M38)+(1-Retention)*H38*D38*(1+GrowthMarketRent)^7*IF(INT((DATE(2026+7,10,31)-F38)/365.25)=0,(12-DowntimeNew)/12,1),IF(I38="LeaseUp",H38*D38*(1+GrowthMarketRent)^7*IF(7=0,(12-DowntimeNew)/12,1),0)))))))),0)</f>
        <v/>
      </c>
      <c r="V38" s="14">
        <f>IFERROR(IF(I38="LeaseUp",H38*D38*(1+GrowthMarketRent)^8*IF(8=0,(12-DowntimeNew)/12,1),IF(F38="",0,IF(F38&gt;=DATE(2027+8,4,30),G38*D38*(1+EscalatorInLease)^(8+M38),IF(F38&lt;DATE(2026+8,5,1),IF(I38="Vacate",H38*D38*(1+GrowthMarketRent)^8*IF(INT((DATE(2026+8,10,31)-F38)/365.25)=0,(12-DowntimeNew)/12,1),IF(I38="Option",G38*D38*1.025*(1+EscalatorInLease)^8,IF(I38="Market",Retention*G38*D38*(1+EscalatorInLease)^(8+M38)+(1-Retention)*H38*D38*(1+GrowthMarketRent)^8*IF(INT((DATE(2026+8,10,31)-F38)/365.25)=0,(12-DowntimeNew)/12,1),IF(I38="LeaseUp",H38*D38*(1+GrowthMarketRent)^8*IF(8=0,(12-DowntimeNew)/12,1),0)))),((F38-DATE(2026+8,5,1))/365.25)*G38*D38*(1+EscalatorInLease)^(8+M38)+((DATE(2027+8,4,30)-F38)/365.25)*IF(I38="Vacate",H38*D38*(1+GrowthMarketRent)^8*IF(INT((DATE(2026+8,10,31)-F38)/365.25)=0,(12-DowntimeNew)/12,1),IF(I38="Option",G38*D38*1.025*(1+EscalatorInLease)^8,IF(I38="Market",Retention*G38*D38*(1+EscalatorInLease)^(8+M38)+(1-Retention)*H38*D38*(1+GrowthMarketRent)^8*IF(INT((DATE(2026+8,10,31)-F38)/365.25)=0,(12-DowntimeNew)/12,1),IF(I38="LeaseUp",H38*D38*(1+GrowthMarketRent)^8*IF(8=0,(12-DowntimeNew)/12,1),0)))))))),0)</f>
        <v/>
      </c>
      <c r="W38" s="14">
        <f>IFERROR(IF(I38="LeaseUp",H38*D38*(1+GrowthMarketRent)^9*IF(9=0,(12-DowntimeNew)/12,1),IF(F38="",0,IF(F38&gt;=DATE(2027+9,4,30),G38*D38*(1+EscalatorInLease)^(9+M38),IF(F38&lt;DATE(2026+9,5,1),IF(I38="Vacate",H38*D38*(1+GrowthMarketRent)^9*IF(INT((DATE(2026+9,10,31)-F38)/365.25)=0,(12-DowntimeNew)/12,1),IF(I38="Option",G38*D38*1.025*(1+EscalatorInLease)^9,IF(I38="Market",Retention*G38*D38*(1+EscalatorInLease)^(9+M38)+(1-Retention)*H38*D38*(1+GrowthMarketRent)^9*IF(INT((DATE(2026+9,10,31)-F38)/365.25)=0,(12-DowntimeNew)/12,1),IF(I38="LeaseUp",H38*D38*(1+GrowthMarketRent)^9*IF(9=0,(12-DowntimeNew)/12,1),0)))),((F38-DATE(2026+9,5,1))/365.25)*G38*D38*(1+EscalatorInLease)^(9+M38)+((DATE(2027+9,4,30)-F38)/365.25)*IF(I38="Vacate",H38*D38*(1+GrowthMarketRent)^9*IF(INT((DATE(2026+9,10,31)-F38)/365.25)=0,(12-DowntimeNew)/12,1),IF(I38="Option",G38*D38*1.025*(1+EscalatorInLease)^9,IF(I38="Market",Retention*G38*D38*(1+EscalatorInLease)^(9+M38)+(1-Retention)*H38*D38*(1+GrowthMarketRent)^9*IF(INT((DATE(2026+9,10,31)-F38)/365.25)=0,(12-DowntimeNew)/12,1),IF(I38="LeaseUp",H38*D38*(1+GrowthMarketRent)^9*IF(9=0,(12-DowntimeNew)/12,1),0)))))))),0)</f>
        <v/>
      </c>
      <c r="X38" s="14">
        <f>IFERROR(IF(I38="LeaseUp",H38*D38*(1+GrowthMarketRent)^10*IF(10=0,(12-DowntimeNew)/12,1),IF(F38="",0,IF(F38&gt;=DATE(2027+10,4,30),G38*D38*(1+EscalatorInLease)^(10+M38),IF(F38&lt;DATE(2026+10,5,1),IF(I38="Vacate",H38*D38*(1+GrowthMarketRent)^10*IF(INT((DATE(2026+10,10,31)-F38)/365.25)=0,(12-DowntimeNew)/12,1),IF(I38="Option",G38*D38*1.025*(1+EscalatorInLease)^10,IF(I38="Market",Retention*G38*D38*(1+EscalatorInLease)^(10+M38)+(1-Retention)*H38*D38*(1+GrowthMarketRent)^10*IF(INT((DATE(2026+10,10,31)-F38)/365.25)=0,(12-DowntimeNew)/12,1),IF(I38="LeaseUp",H38*D38*(1+GrowthMarketRent)^10*IF(10=0,(12-DowntimeNew)/12,1),0)))),((F38-DATE(2026+10,5,1))/365.25)*G38*D38*(1+EscalatorInLease)^(10+M38)+((DATE(2027+10,4,30)-F38)/365.25)*IF(I38="Vacate",H38*D38*(1+GrowthMarketRent)^10*IF(INT((DATE(2026+10,10,31)-F38)/365.25)=0,(12-DowntimeNew)/12,1),IF(I38="Option",G38*D38*1.025*(1+EscalatorInLease)^10,IF(I38="Market",Retention*G38*D38*(1+EscalatorInLease)^(10+M38)+(1-Retention)*H38*D38*(1+GrowthMarketRent)^10*IF(INT((DATE(2026+10,10,31)-F38)/365.25)=0,(12-DowntimeNew)/12,1),IF(I38="LeaseUp",H38*D38*(1+GrowthMarketRent)^10*IF(10=0,(12-DowntimeNew)/12,1),0)))))))),0)</f>
        <v/>
      </c>
      <c r="Y38" s="14">
        <f>IFERROR(IF(AND(I38="LeaseUp",0=0),(IF(I38="Vacate",TINew*D38,IF(I38="Market",Retention*TIRenewal*D38+(1-Retention)*TINew*D38,IF(I38="LeaseUp",TINew*D38,IF(I38="Option",TIRenewal*D38,0)))))+(IF(I38="Vacate",LCNew*H38*D38*(1+GrowthMarketRent)^0,IF(I38="Market",Retention*LCRenewal*H38*D38*(1+GrowthMarketRent)^0+(1-Retention)*LCNew*H38*D38*(1+GrowthMarketRent)^0,IF(I38="LeaseUp",LCNew*H38*D38*(1+GrowthMarketRent)^0,IF(I38="Option",LCRenewal*H38*D38*(1+GrowthMarketRent)^0,0))))),IF(F38="",0,IF(AND(F38&gt;=DATE(2026+0,5,1),F38&lt;=DATE(2027+0,4,30)),(IF(I38="Vacate",TINew*D38,IF(I38="Market",Retention*TIRenewal*D38+(1-Retention)*TINew*D38,IF(I38="LeaseUp",TINew*D38,IF(I38="Option",TIRenewal*D38,0)))))+(IF(I38="Vacate",LCNew*H38*D38*(1+GrowthMarketRent)^0,IF(I38="Market",Retention*LCRenewal*H38*D38*(1+GrowthMarketRent)^0+(1-Retention)*LCNew*H38*D38*(1+GrowthMarketRent)^0,IF(I38="LeaseUp",LCNew*H38*D38*(1+GrowthMarketRent)^0,IF(I38="Option",LCRenewal*H38*D38*(1+GrowthMarketRent)^0,0))))),0))),0)</f>
        <v/>
      </c>
      <c r="Z38" s="14">
        <f>IFERROR(IF(AND(I38="LeaseUp",1=0),(IF(I38="Vacate",TINew*D38,IF(I38="Market",Retention*TIRenewal*D38+(1-Retention)*TINew*D38,IF(I38="LeaseUp",TINew*D38,IF(I38="Option",TIRenewal*D38,0)))))+(IF(I38="Vacate",LCNew*H38*D38*(1+GrowthMarketRent)^1,IF(I38="Market",Retention*LCRenewal*H38*D38*(1+GrowthMarketRent)^1+(1-Retention)*LCNew*H38*D38*(1+GrowthMarketRent)^1,IF(I38="LeaseUp",LCNew*H38*D38*(1+GrowthMarketRent)^1,IF(I38="Option",LCRenewal*H38*D38*(1+GrowthMarketRent)^1,0))))),IF(F38="",0,IF(AND(F38&gt;=DATE(2026+1,5,1),F38&lt;=DATE(2027+1,4,30)),(IF(I38="Vacate",TINew*D38,IF(I38="Market",Retention*TIRenewal*D38+(1-Retention)*TINew*D38,IF(I38="LeaseUp",TINew*D38,IF(I38="Option",TIRenewal*D38,0)))))+(IF(I38="Vacate",LCNew*H38*D38*(1+GrowthMarketRent)^1,IF(I38="Market",Retention*LCRenewal*H38*D38*(1+GrowthMarketRent)^1+(1-Retention)*LCNew*H38*D38*(1+GrowthMarketRent)^1,IF(I38="LeaseUp",LCNew*H38*D38*(1+GrowthMarketRent)^1,IF(I38="Option",LCRenewal*H38*D38*(1+GrowthMarketRent)^1,0))))),0))),0)</f>
        <v/>
      </c>
      <c r="AA38" s="14">
        <f>IFERROR(IF(AND(I38="LeaseUp",2=0),(IF(I38="Vacate",TINew*D38,IF(I38="Market",Retention*TIRenewal*D38+(1-Retention)*TINew*D38,IF(I38="LeaseUp",TINew*D38,IF(I38="Option",TIRenewal*D38,0)))))+(IF(I38="Vacate",LCNew*H38*D38*(1+GrowthMarketRent)^2,IF(I38="Market",Retention*LCRenewal*H38*D38*(1+GrowthMarketRent)^2+(1-Retention)*LCNew*H38*D38*(1+GrowthMarketRent)^2,IF(I38="LeaseUp",LCNew*H38*D38*(1+GrowthMarketRent)^2,IF(I38="Option",LCRenewal*H38*D38*(1+GrowthMarketRent)^2,0))))),IF(F38="",0,IF(AND(F38&gt;=DATE(2026+2,5,1),F38&lt;=DATE(2027+2,4,30)),(IF(I38="Vacate",TINew*D38,IF(I38="Market",Retention*TIRenewal*D38+(1-Retention)*TINew*D38,IF(I38="LeaseUp",TINew*D38,IF(I38="Option",TIRenewal*D38,0)))))+(IF(I38="Vacate",LCNew*H38*D38*(1+GrowthMarketRent)^2,IF(I38="Market",Retention*LCRenewal*H38*D38*(1+GrowthMarketRent)^2+(1-Retention)*LCNew*H38*D38*(1+GrowthMarketRent)^2,IF(I38="LeaseUp",LCNew*H38*D38*(1+GrowthMarketRent)^2,IF(I38="Option",LCRenewal*H38*D38*(1+GrowthMarketRent)^2,0))))),0))),0)</f>
        <v/>
      </c>
      <c r="AB38" s="14">
        <f>IFERROR(IF(AND(I38="LeaseUp",3=0),(IF(I38="Vacate",TINew*D38,IF(I38="Market",Retention*TIRenewal*D38+(1-Retention)*TINew*D38,IF(I38="LeaseUp",TINew*D38,IF(I38="Option",TIRenewal*D38,0)))))+(IF(I38="Vacate",LCNew*H38*D38*(1+GrowthMarketRent)^3,IF(I38="Market",Retention*LCRenewal*H38*D38*(1+GrowthMarketRent)^3+(1-Retention)*LCNew*H38*D38*(1+GrowthMarketRent)^3,IF(I38="LeaseUp",LCNew*H38*D38*(1+GrowthMarketRent)^3,IF(I38="Option",LCRenewal*H38*D38*(1+GrowthMarketRent)^3,0))))),IF(F38="",0,IF(AND(F38&gt;=DATE(2026+3,5,1),F38&lt;=DATE(2027+3,4,30)),(IF(I38="Vacate",TINew*D38,IF(I38="Market",Retention*TIRenewal*D38+(1-Retention)*TINew*D38,IF(I38="LeaseUp",TINew*D38,IF(I38="Option",TIRenewal*D38,0)))))+(IF(I38="Vacate",LCNew*H38*D38*(1+GrowthMarketRent)^3,IF(I38="Market",Retention*LCRenewal*H38*D38*(1+GrowthMarketRent)^3+(1-Retention)*LCNew*H38*D38*(1+GrowthMarketRent)^3,IF(I38="LeaseUp",LCNew*H38*D38*(1+GrowthMarketRent)^3,IF(I38="Option",LCRenewal*H38*D38*(1+GrowthMarketRent)^3,0))))),0))),0)</f>
        <v/>
      </c>
      <c r="AC38" s="14">
        <f>IFERROR(IF(AND(I38="LeaseUp",4=0),(IF(I38="Vacate",TINew*D38,IF(I38="Market",Retention*TIRenewal*D38+(1-Retention)*TINew*D38,IF(I38="LeaseUp",TINew*D38,IF(I38="Option",TIRenewal*D38,0)))))+(IF(I38="Vacate",LCNew*H38*D38*(1+GrowthMarketRent)^4,IF(I38="Market",Retention*LCRenewal*H38*D38*(1+GrowthMarketRent)^4+(1-Retention)*LCNew*H38*D38*(1+GrowthMarketRent)^4,IF(I38="LeaseUp",LCNew*H38*D38*(1+GrowthMarketRent)^4,IF(I38="Option",LCRenewal*H38*D38*(1+GrowthMarketRent)^4,0))))),IF(F38="",0,IF(AND(F38&gt;=DATE(2026+4,5,1),F38&lt;=DATE(2027+4,4,30)),(IF(I38="Vacate",TINew*D38,IF(I38="Market",Retention*TIRenewal*D38+(1-Retention)*TINew*D38,IF(I38="LeaseUp",TINew*D38,IF(I38="Option",TIRenewal*D38,0)))))+(IF(I38="Vacate",LCNew*H38*D38*(1+GrowthMarketRent)^4,IF(I38="Market",Retention*LCRenewal*H38*D38*(1+GrowthMarketRent)^4+(1-Retention)*LCNew*H38*D38*(1+GrowthMarketRent)^4,IF(I38="LeaseUp",LCNew*H38*D38*(1+GrowthMarketRent)^4,IF(I38="Option",LCRenewal*H38*D38*(1+GrowthMarketRent)^4,0))))),0))),0)</f>
        <v/>
      </c>
      <c r="AD38" s="14">
        <f>IFERROR(IF(AND(I38="LeaseUp",5=0),(IF(I38="Vacate",TINew*D38,IF(I38="Market",Retention*TIRenewal*D38+(1-Retention)*TINew*D38,IF(I38="LeaseUp",TINew*D38,IF(I38="Option",TIRenewal*D38,0)))))+(IF(I38="Vacate",LCNew*H38*D38*(1+GrowthMarketRent)^5,IF(I38="Market",Retention*LCRenewal*H38*D38*(1+GrowthMarketRent)^5+(1-Retention)*LCNew*H38*D38*(1+GrowthMarketRent)^5,IF(I38="LeaseUp",LCNew*H38*D38*(1+GrowthMarketRent)^5,IF(I38="Option",LCRenewal*H38*D38*(1+GrowthMarketRent)^5,0))))),IF(F38="",0,IF(AND(F38&gt;=DATE(2026+5,5,1),F38&lt;=DATE(2027+5,4,30)),(IF(I38="Vacate",TINew*D38,IF(I38="Market",Retention*TIRenewal*D38+(1-Retention)*TINew*D38,IF(I38="LeaseUp",TINew*D38,IF(I38="Option",TIRenewal*D38,0)))))+(IF(I38="Vacate",LCNew*H38*D38*(1+GrowthMarketRent)^5,IF(I38="Market",Retention*LCRenewal*H38*D38*(1+GrowthMarketRent)^5+(1-Retention)*LCNew*H38*D38*(1+GrowthMarketRent)^5,IF(I38="LeaseUp",LCNew*H38*D38*(1+GrowthMarketRent)^5,IF(I38="Option",LCRenewal*H38*D38*(1+GrowthMarketRent)^5,0))))),0))),0)</f>
        <v/>
      </c>
      <c r="AE38" s="14">
        <f>IFERROR(IF(AND(I38="LeaseUp",6=0),(IF(I38="Vacate",TINew*D38,IF(I38="Market",Retention*TIRenewal*D38+(1-Retention)*TINew*D38,IF(I38="LeaseUp",TINew*D38,IF(I38="Option",TIRenewal*D38,0)))))+(IF(I38="Vacate",LCNew*H38*D38*(1+GrowthMarketRent)^6,IF(I38="Market",Retention*LCRenewal*H38*D38*(1+GrowthMarketRent)^6+(1-Retention)*LCNew*H38*D38*(1+GrowthMarketRent)^6,IF(I38="LeaseUp",LCNew*H38*D38*(1+GrowthMarketRent)^6,IF(I38="Option",LCRenewal*H38*D38*(1+GrowthMarketRent)^6,0))))),IF(F38="",0,IF(AND(F38&gt;=DATE(2026+6,5,1),F38&lt;=DATE(2027+6,4,30)),(IF(I38="Vacate",TINew*D38,IF(I38="Market",Retention*TIRenewal*D38+(1-Retention)*TINew*D38,IF(I38="LeaseUp",TINew*D38,IF(I38="Option",TIRenewal*D38,0)))))+(IF(I38="Vacate",LCNew*H38*D38*(1+GrowthMarketRent)^6,IF(I38="Market",Retention*LCRenewal*H38*D38*(1+GrowthMarketRent)^6+(1-Retention)*LCNew*H38*D38*(1+GrowthMarketRent)^6,IF(I38="LeaseUp",LCNew*H38*D38*(1+GrowthMarketRent)^6,IF(I38="Option",LCRenewal*H38*D38*(1+GrowthMarketRent)^6,0))))),0))),0)</f>
        <v/>
      </c>
      <c r="AF38" s="14">
        <f>IFERROR(IF(AND(I38="LeaseUp",7=0),(IF(I38="Vacate",TINew*D38,IF(I38="Market",Retention*TIRenewal*D38+(1-Retention)*TINew*D38,IF(I38="LeaseUp",TINew*D38,IF(I38="Option",TIRenewal*D38,0)))))+(IF(I38="Vacate",LCNew*H38*D38*(1+GrowthMarketRent)^7,IF(I38="Market",Retention*LCRenewal*H38*D38*(1+GrowthMarketRent)^7+(1-Retention)*LCNew*H38*D38*(1+GrowthMarketRent)^7,IF(I38="LeaseUp",LCNew*H38*D38*(1+GrowthMarketRent)^7,IF(I38="Option",LCRenewal*H38*D38*(1+GrowthMarketRent)^7,0))))),IF(F38="",0,IF(AND(F38&gt;=DATE(2026+7,5,1),F38&lt;=DATE(2027+7,4,30)),(IF(I38="Vacate",TINew*D38,IF(I38="Market",Retention*TIRenewal*D38+(1-Retention)*TINew*D38,IF(I38="LeaseUp",TINew*D38,IF(I38="Option",TIRenewal*D38,0)))))+(IF(I38="Vacate",LCNew*H38*D38*(1+GrowthMarketRent)^7,IF(I38="Market",Retention*LCRenewal*H38*D38*(1+GrowthMarketRent)^7+(1-Retention)*LCNew*H38*D38*(1+GrowthMarketRent)^7,IF(I38="LeaseUp",LCNew*H38*D38*(1+GrowthMarketRent)^7,IF(I38="Option",LCRenewal*H38*D38*(1+GrowthMarketRent)^7,0))))),0))),0)</f>
        <v/>
      </c>
      <c r="AG38" s="14">
        <f>IFERROR(IF(AND(I38="LeaseUp",8=0),(IF(I38="Vacate",TINew*D38,IF(I38="Market",Retention*TIRenewal*D38+(1-Retention)*TINew*D38,IF(I38="LeaseUp",TINew*D38,IF(I38="Option",TIRenewal*D38,0)))))+(IF(I38="Vacate",LCNew*H38*D38*(1+GrowthMarketRent)^8,IF(I38="Market",Retention*LCRenewal*H38*D38*(1+GrowthMarketRent)^8+(1-Retention)*LCNew*H38*D38*(1+GrowthMarketRent)^8,IF(I38="LeaseUp",LCNew*H38*D38*(1+GrowthMarketRent)^8,IF(I38="Option",LCRenewal*H38*D38*(1+GrowthMarketRent)^8,0))))),IF(F38="",0,IF(AND(F38&gt;=DATE(2026+8,5,1),F38&lt;=DATE(2027+8,4,30)),(IF(I38="Vacate",TINew*D38,IF(I38="Market",Retention*TIRenewal*D38+(1-Retention)*TINew*D38,IF(I38="LeaseUp",TINew*D38,IF(I38="Option",TIRenewal*D38,0)))))+(IF(I38="Vacate",LCNew*H38*D38*(1+GrowthMarketRent)^8,IF(I38="Market",Retention*LCRenewal*H38*D38*(1+GrowthMarketRent)^8+(1-Retention)*LCNew*H38*D38*(1+GrowthMarketRent)^8,IF(I38="LeaseUp",LCNew*H38*D38*(1+GrowthMarketRent)^8,IF(I38="Option",LCRenewal*H38*D38*(1+GrowthMarketRent)^8,0))))),0))),0)</f>
        <v/>
      </c>
      <c r="AH38" s="14">
        <f>IFERROR(IF(AND(I38="LeaseUp",9=0),(IF(I38="Vacate",TINew*D38,IF(I38="Market",Retention*TIRenewal*D38+(1-Retention)*TINew*D38,IF(I38="LeaseUp",TINew*D38,IF(I38="Option",TIRenewal*D38,0)))))+(IF(I38="Vacate",LCNew*H38*D38*(1+GrowthMarketRent)^9,IF(I38="Market",Retention*LCRenewal*H38*D38*(1+GrowthMarketRent)^9+(1-Retention)*LCNew*H38*D38*(1+GrowthMarketRent)^9,IF(I38="LeaseUp",LCNew*H38*D38*(1+GrowthMarketRent)^9,IF(I38="Option",LCRenewal*H38*D38*(1+GrowthMarketRent)^9,0))))),IF(F38="",0,IF(AND(F38&gt;=DATE(2026+9,5,1),F38&lt;=DATE(2027+9,4,30)),(IF(I38="Vacate",TINew*D38,IF(I38="Market",Retention*TIRenewal*D38+(1-Retention)*TINew*D38,IF(I38="LeaseUp",TINew*D38,IF(I38="Option",TIRenewal*D38,0)))))+(IF(I38="Vacate",LCNew*H38*D38*(1+GrowthMarketRent)^9,IF(I38="Market",Retention*LCRenewal*H38*D38*(1+GrowthMarketRent)^9+(1-Retention)*LCNew*H38*D38*(1+GrowthMarketRent)^9,IF(I38="LeaseUp",LCNew*H38*D38*(1+GrowthMarketRent)^9,IF(I38="Option",LCRenewal*H38*D38*(1+GrowthMarketRent)^9,0))))),0))),0)</f>
        <v/>
      </c>
      <c r="AI38" s="14">
        <f>IFERROR(IF(AND(I38="LeaseUp",10=0),(IF(I38="Vacate",TINew*D38,IF(I38="Market",Retention*TIRenewal*D38+(1-Retention)*TINew*D38,IF(I38="LeaseUp",TINew*D38,IF(I38="Option",TIRenewal*D38,0)))))+(IF(I38="Vacate",LCNew*H38*D38*(1+GrowthMarketRent)^10,IF(I38="Market",Retention*LCRenewal*H38*D38*(1+GrowthMarketRent)^10+(1-Retention)*LCNew*H38*D38*(1+GrowthMarketRent)^10,IF(I38="LeaseUp",LCNew*H38*D38*(1+GrowthMarketRent)^10,IF(I38="Option",LCRenewal*H38*D38*(1+GrowthMarketRent)^10,0))))),IF(F38="",0,IF(AND(F38&gt;=DATE(2026+10,5,1),F38&lt;=DATE(2027+10,4,30)),(IF(I38="Vacate",TINew*D38,IF(I38="Market",Retention*TIRenewal*D38+(1-Retention)*TINew*D38,IF(I38="LeaseUp",TINew*D38,IF(I38="Option",TIRenewal*D38,0)))))+(IF(I38="Vacate",LCNew*H38*D38*(1+GrowthMarketRent)^10,IF(I38="Market",Retention*LCRenewal*H38*D38*(1+GrowthMarketRent)^10+(1-Retention)*LCNew*H38*D38*(1+GrowthMarketRent)^10,IF(I38="LeaseUp",LCNew*H38*D38*(1+GrowthMarketRent)^10,IF(I38="Option",LCRenewal*H38*D38*(1+GrowthMarketRent)^10,0))))),0))),0)</f>
        <v/>
      </c>
    </row>
    <row r="39">
      <c r="A39" t="inlineStr">
        <is>
          <t>Carrollton</t>
        </is>
      </c>
      <c r="B39" t="inlineStr">
        <is>
          <t>432</t>
        </is>
      </c>
      <c r="C39" t="inlineStr">
        <is>
          <t>Metro Elevator DFW Inc.</t>
        </is>
      </c>
      <c r="D39" s="32" t="n">
        <v>4525</v>
      </c>
      <c r="E39" s="33" t="n">
        <v>45778</v>
      </c>
      <c r="F39" s="33" t="n">
        <v>46844</v>
      </c>
      <c r="G39" s="34" t="n">
        <v>18.4499447513812</v>
      </c>
      <c r="H39" s="16">
        <f>VLOOKUP("Carrollton — "&amp;J39,MLA!$A$5:$L$11,3,FALSE)</f>
        <v/>
      </c>
      <c r="I39" s="11" t="inlineStr">
        <is>
          <t>Market</t>
        </is>
      </c>
      <c r="J39" t="inlineStr">
        <is>
          <t>Shop</t>
        </is>
      </c>
      <c r="K39" t="inlineStr">
        <is>
          <t>Occupied</t>
        </is>
      </c>
      <c r="L39" t="inlineStr">
        <is>
          <t>Shop</t>
        </is>
      </c>
      <c r="M39" s="20">
        <f>IF(E39="",0,(AnalysisStart-E39)/365.25)</f>
        <v/>
      </c>
      <c r="N39" s="14">
        <f>IFERROR(IF(I39="LeaseUp",H39*D39*(1+GrowthMarketRent)^0*IF(0=0,(12-DowntimeNew)/12,1),IF(F39="",0,IF(F39&gt;=DATE(2027+0,4,30),G39*D39*(1+EscalatorInLease)^(0+M39),IF(F39&lt;DATE(2026+0,5,1),IF(I39="Vacate",H39*D39*(1+GrowthMarketRent)^0*IF(INT((DATE(2026+0,10,31)-F39)/365.25)=0,(12-DowntimeNew)/12,1),IF(I39="Option",G39*D39*1.025*(1+EscalatorInLease)^0,IF(I39="Market",Retention*G39*D39*(1+EscalatorInLease)^(0+M39)+(1-Retention)*H39*D39*(1+GrowthMarketRent)^0*IF(INT((DATE(2026+0,10,31)-F39)/365.25)=0,(12-DowntimeNew)/12,1),IF(I39="LeaseUp",H39*D39*(1+GrowthMarketRent)^0*IF(0=0,(12-DowntimeNew)/12,1),0)))),((F39-DATE(2026+0,5,1))/365.25)*G39*D39*(1+EscalatorInLease)^(0+M39)+((DATE(2027+0,4,30)-F39)/365.25)*IF(I39="Vacate",H39*D39*(1+GrowthMarketRent)^0*IF(INT((DATE(2026+0,10,31)-F39)/365.25)=0,(12-DowntimeNew)/12,1),IF(I39="Option",G39*D39*1.025*(1+EscalatorInLease)^0,IF(I39="Market",Retention*G39*D39*(1+EscalatorInLease)^(0+M39)+(1-Retention)*H39*D39*(1+GrowthMarketRent)^0*IF(INT((DATE(2026+0,10,31)-F39)/365.25)=0,(12-DowntimeNew)/12,1),IF(I39="LeaseUp",H39*D39*(1+GrowthMarketRent)^0*IF(0=0,(12-DowntimeNew)/12,1),0)))))))),0)</f>
        <v/>
      </c>
      <c r="O39" s="14">
        <f>IFERROR(IF(I39="LeaseUp",H39*D39*(1+GrowthMarketRent)^1*IF(1=0,(12-DowntimeNew)/12,1),IF(F39="",0,IF(F39&gt;=DATE(2027+1,4,30),G39*D39*(1+EscalatorInLease)^(1+M39),IF(F39&lt;DATE(2026+1,5,1),IF(I39="Vacate",H39*D39*(1+GrowthMarketRent)^1*IF(INT((DATE(2026+1,10,31)-F39)/365.25)=0,(12-DowntimeNew)/12,1),IF(I39="Option",G39*D39*1.025*(1+EscalatorInLease)^1,IF(I39="Market",Retention*G39*D39*(1+EscalatorInLease)^(1+M39)+(1-Retention)*H39*D39*(1+GrowthMarketRent)^1*IF(INT((DATE(2026+1,10,31)-F39)/365.25)=0,(12-DowntimeNew)/12,1),IF(I39="LeaseUp",H39*D39*(1+GrowthMarketRent)^1*IF(1=0,(12-DowntimeNew)/12,1),0)))),((F39-DATE(2026+1,5,1))/365.25)*G39*D39*(1+EscalatorInLease)^(1+M39)+((DATE(2027+1,4,30)-F39)/365.25)*IF(I39="Vacate",H39*D39*(1+GrowthMarketRent)^1*IF(INT((DATE(2026+1,10,31)-F39)/365.25)=0,(12-DowntimeNew)/12,1),IF(I39="Option",G39*D39*1.025*(1+EscalatorInLease)^1,IF(I39="Market",Retention*G39*D39*(1+EscalatorInLease)^(1+M39)+(1-Retention)*H39*D39*(1+GrowthMarketRent)^1*IF(INT((DATE(2026+1,10,31)-F39)/365.25)=0,(12-DowntimeNew)/12,1),IF(I39="LeaseUp",H39*D39*(1+GrowthMarketRent)^1*IF(1=0,(12-DowntimeNew)/12,1),0)))))))),0)</f>
        <v/>
      </c>
      <c r="P39" s="14">
        <f>IFERROR(IF(I39="LeaseUp",H39*D39*(1+GrowthMarketRent)^2*IF(2=0,(12-DowntimeNew)/12,1),IF(F39="",0,IF(F39&gt;=DATE(2027+2,4,30),G39*D39*(1+EscalatorInLease)^(2+M39),IF(F39&lt;DATE(2026+2,5,1),IF(I39="Vacate",H39*D39*(1+GrowthMarketRent)^2*IF(INT((DATE(2026+2,10,31)-F39)/365.25)=0,(12-DowntimeNew)/12,1),IF(I39="Option",G39*D39*1.025*(1+EscalatorInLease)^2,IF(I39="Market",Retention*G39*D39*(1+EscalatorInLease)^(2+M39)+(1-Retention)*H39*D39*(1+GrowthMarketRent)^2*IF(INT((DATE(2026+2,10,31)-F39)/365.25)=0,(12-DowntimeNew)/12,1),IF(I39="LeaseUp",H39*D39*(1+GrowthMarketRent)^2*IF(2=0,(12-DowntimeNew)/12,1),0)))),((F39-DATE(2026+2,5,1))/365.25)*G39*D39*(1+EscalatorInLease)^(2+M39)+((DATE(2027+2,4,30)-F39)/365.25)*IF(I39="Vacate",H39*D39*(1+GrowthMarketRent)^2*IF(INT((DATE(2026+2,10,31)-F39)/365.25)=0,(12-DowntimeNew)/12,1),IF(I39="Option",G39*D39*1.025*(1+EscalatorInLease)^2,IF(I39="Market",Retention*G39*D39*(1+EscalatorInLease)^(2+M39)+(1-Retention)*H39*D39*(1+GrowthMarketRent)^2*IF(INT((DATE(2026+2,10,31)-F39)/365.25)=0,(12-DowntimeNew)/12,1),IF(I39="LeaseUp",H39*D39*(1+GrowthMarketRent)^2*IF(2=0,(12-DowntimeNew)/12,1),0)))))))),0)</f>
        <v/>
      </c>
      <c r="Q39" s="14">
        <f>IFERROR(IF(I39="LeaseUp",H39*D39*(1+GrowthMarketRent)^3*IF(3=0,(12-DowntimeNew)/12,1),IF(F39="",0,IF(F39&gt;=DATE(2027+3,4,30),G39*D39*(1+EscalatorInLease)^(3+M39),IF(F39&lt;DATE(2026+3,5,1),IF(I39="Vacate",H39*D39*(1+GrowthMarketRent)^3*IF(INT((DATE(2026+3,10,31)-F39)/365.25)=0,(12-DowntimeNew)/12,1),IF(I39="Option",G39*D39*1.025*(1+EscalatorInLease)^3,IF(I39="Market",Retention*G39*D39*(1+EscalatorInLease)^(3+M39)+(1-Retention)*H39*D39*(1+GrowthMarketRent)^3*IF(INT((DATE(2026+3,10,31)-F39)/365.25)=0,(12-DowntimeNew)/12,1),IF(I39="LeaseUp",H39*D39*(1+GrowthMarketRent)^3*IF(3=0,(12-DowntimeNew)/12,1),0)))),((F39-DATE(2026+3,5,1))/365.25)*G39*D39*(1+EscalatorInLease)^(3+M39)+((DATE(2027+3,4,30)-F39)/365.25)*IF(I39="Vacate",H39*D39*(1+GrowthMarketRent)^3*IF(INT((DATE(2026+3,10,31)-F39)/365.25)=0,(12-DowntimeNew)/12,1),IF(I39="Option",G39*D39*1.025*(1+EscalatorInLease)^3,IF(I39="Market",Retention*G39*D39*(1+EscalatorInLease)^(3+M39)+(1-Retention)*H39*D39*(1+GrowthMarketRent)^3*IF(INT((DATE(2026+3,10,31)-F39)/365.25)=0,(12-DowntimeNew)/12,1),IF(I39="LeaseUp",H39*D39*(1+GrowthMarketRent)^3*IF(3=0,(12-DowntimeNew)/12,1),0)))))))),0)</f>
        <v/>
      </c>
      <c r="R39" s="14">
        <f>IFERROR(IF(I39="LeaseUp",H39*D39*(1+GrowthMarketRent)^4*IF(4=0,(12-DowntimeNew)/12,1),IF(F39="",0,IF(F39&gt;=DATE(2027+4,4,30),G39*D39*(1+EscalatorInLease)^(4+M39),IF(F39&lt;DATE(2026+4,5,1),IF(I39="Vacate",H39*D39*(1+GrowthMarketRent)^4*IF(INT((DATE(2026+4,10,31)-F39)/365.25)=0,(12-DowntimeNew)/12,1),IF(I39="Option",G39*D39*1.025*(1+EscalatorInLease)^4,IF(I39="Market",Retention*G39*D39*(1+EscalatorInLease)^(4+M39)+(1-Retention)*H39*D39*(1+GrowthMarketRent)^4*IF(INT((DATE(2026+4,10,31)-F39)/365.25)=0,(12-DowntimeNew)/12,1),IF(I39="LeaseUp",H39*D39*(1+GrowthMarketRent)^4*IF(4=0,(12-DowntimeNew)/12,1),0)))),((F39-DATE(2026+4,5,1))/365.25)*G39*D39*(1+EscalatorInLease)^(4+M39)+((DATE(2027+4,4,30)-F39)/365.25)*IF(I39="Vacate",H39*D39*(1+GrowthMarketRent)^4*IF(INT((DATE(2026+4,10,31)-F39)/365.25)=0,(12-DowntimeNew)/12,1),IF(I39="Option",G39*D39*1.025*(1+EscalatorInLease)^4,IF(I39="Market",Retention*G39*D39*(1+EscalatorInLease)^(4+M39)+(1-Retention)*H39*D39*(1+GrowthMarketRent)^4*IF(INT((DATE(2026+4,10,31)-F39)/365.25)=0,(12-DowntimeNew)/12,1),IF(I39="LeaseUp",H39*D39*(1+GrowthMarketRent)^4*IF(4=0,(12-DowntimeNew)/12,1),0)))))))),0)</f>
        <v/>
      </c>
      <c r="S39" s="14">
        <f>IFERROR(IF(I39="LeaseUp",H39*D39*(1+GrowthMarketRent)^5*IF(5=0,(12-DowntimeNew)/12,1),IF(F39="",0,IF(F39&gt;=DATE(2027+5,4,30),G39*D39*(1+EscalatorInLease)^(5+M39),IF(F39&lt;DATE(2026+5,5,1),IF(I39="Vacate",H39*D39*(1+GrowthMarketRent)^5*IF(INT((DATE(2026+5,10,31)-F39)/365.25)=0,(12-DowntimeNew)/12,1),IF(I39="Option",G39*D39*1.025*(1+EscalatorInLease)^5,IF(I39="Market",Retention*G39*D39*(1+EscalatorInLease)^(5+M39)+(1-Retention)*H39*D39*(1+GrowthMarketRent)^5*IF(INT((DATE(2026+5,10,31)-F39)/365.25)=0,(12-DowntimeNew)/12,1),IF(I39="LeaseUp",H39*D39*(1+GrowthMarketRent)^5*IF(5=0,(12-DowntimeNew)/12,1),0)))),((F39-DATE(2026+5,5,1))/365.25)*G39*D39*(1+EscalatorInLease)^(5+M39)+((DATE(2027+5,4,30)-F39)/365.25)*IF(I39="Vacate",H39*D39*(1+GrowthMarketRent)^5*IF(INT((DATE(2026+5,10,31)-F39)/365.25)=0,(12-DowntimeNew)/12,1),IF(I39="Option",G39*D39*1.025*(1+EscalatorInLease)^5,IF(I39="Market",Retention*G39*D39*(1+EscalatorInLease)^(5+M39)+(1-Retention)*H39*D39*(1+GrowthMarketRent)^5*IF(INT((DATE(2026+5,10,31)-F39)/365.25)=0,(12-DowntimeNew)/12,1),IF(I39="LeaseUp",H39*D39*(1+GrowthMarketRent)^5*IF(5=0,(12-DowntimeNew)/12,1),0)))))))),0)</f>
        <v/>
      </c>
      <c r="T39" s="14">
        <f>IFERROR(IF(I39="LeaseUp",H39*D39*(1+GrowthMarketRent)^6*IF(6=0,(12-DowntimeNew)/12,1),IF(F39="",0,IF(F39&gt;=DATE(2027+6,4,30),G39*D39*(1+EscalatorInLease)^(6+M39),IF(F39&lt;DATE(2026+6,5,1),IF(I39="Vacate",H39*D39*(1+GrowthMarketRent)^6*IF(INT((DATE(2026+6,10,31)-F39)/365.25)=0,(12-DowntimeNew)/12,1),IF(I39="Option",G39*D39*1.025*(1+EscalatorInLease)^6,IF(I39="Market",Retention*G39*D39*(1+EscalatorInLease)^(6+M39)+(1-Retention)*H39*D39*(1+GrowthMarketRent)^6*IF(INT((DATE(2026+6,10,31)-F39)/365.25)=0,(12-DowntimeNew)/12,1),IF(I39="LeaseUp",H39*D39*(1+GrowthMarketRent)^6*IF(6=0,(12-DowntimeNew)/12,1),0)))),((F39-DATE(2026+6,5,1))/365.25)*G39*D39*(1+EscalatorInLease)^(6+M39)+((DATE(2027+6,4,30)-F39)/365.25)*IF(I39="Vacate",H39*D39*(1+GrowthMarketRent)^6*IF(INT((DATE(2026+6,10,31)-F39)/365.25)=0,(12-DowntimeNew)/12,1),IF(I39="Option",G39*D39*1.025*(1+EscalatorInLease)^6,IF(I39="Market",Retention*G39*D39*(1+EscalatorInLease)^(6+M39)+(1-Retention)*H39*D39*(1+GrowthMarketRent)^6*IF(INT((DATE(2026+6,10,31)-F39)/365.25)=0,(12-DowntimeNew)/12,1),IF(I39="LeaseUp",H39*D39*(1+GrowthMarketRent)^6*IF(6=0,(12-DowntimeNew)/12,1),0)))))))),0)</f>
        <v/>
      </c>
      <c r="U39" s="14">
        <f>IFERROR(IF(I39="LeaseUp",H39*D39*(1+GrowthMarketRent)^7*IF(7=0,(12-DowntimeNew)/12,1),IF(F39="",0,IF(F39&gt;=DATE(2027+7,4,30),G39*D39*(1+EscalatorInLease)^(7+M39),IF(F39&lt;DATE(2026+7,5,1),IF(I39="Vacate",H39*D39*(1+GrowthMarketRent)^7*IF(INT((DATE(2026+7,10,31)-F39)/365.25)=0,(12-DowntimeNew)/12,1),IF(I39="Option",G39*D39*1.025*(1+EscalatorInLease)^7,IF(I39="Market",Retention*G39*D39*(1+EscalatorInLease)^(7+M39)+(1-Retention)*H39*D39*(1+GrowthMarketRent)^7*IF(INT((DATE(2026+7,10,31)-F39)/365.25)=0,(12-DowntimeNew)/12,1),IF(I39="LeaseUp",H39*D39*(1+GrowthMarketRent)^7*IF(7=0,(12-DowntimeNew)/12,1),0)))),((F39-DATE(2026+7,5,1))/365.25)*G39*D39*(1+EscalatorInLease)^(7+M39)+((DATE(2027+7,4,30)-F39)/365.25)*IF(I39="Vacate",H39*D39*(1+GrowthMarketRent)^7*IF(INT((DATE(2026+7,10,31)-F39)/365.25)=0,(12-DowntimeNew)/12,1),IF(I39="Option",G39*D39*1.025*(1+EscalatorInLease)^7,IF(I39="Market",Retention*G39*D39*(1+EscalatorInLease)^(7+M39)+(1-Retention)*H39*D39*(1+GrowthMarketRent)^7*IF(INT((DATE(2026+7,10,31)-F39)/365.25)=0,(12-DowntimeNew)/12,1),IF(I39="LeaseUp",H39*D39*(1+GrowthMarketRent)^7*IF(7=0,(12-DowntimeNew)/12,1),0)))))))),0)</f>
        <v/>
      </c>
      <c r="V39" s="14">
        <f>IFERROR(IF(I39="LeaseUp",H39*D39*(1+GrowthMarketRent)^8*IF(8=0,(12-DowntimeNew)/12,1),IF(F39="",0,IF(F39&gt;=DATE(2027+8,4,30),G39*D39*(1+EscalatorInLease)^(8+M39),IF(F39&lt;DATE(2026+8,5,1),IF(I39="Vacate",H39*D39*(1+GrowthMarketRent)^8*IF(INT((DATE(2026+8,10,31)-F39)/365.25)=0,(12-DowntimeNew)/12,1),IF(I39="Option",G39*D39*1.025*(1+EscalatorInLease)^8,IF(I39="Market",Retention*G39*D39*(1+EscalatorInLease)^(8+M39)+(1-Retention)*H39*D39*(1+GrowthMarketRent)^8*IF(INT((DATE(2026+8,10,31)-F39)/365.25)=0,(12-DowntimeNew)/12,1),IF(I39="LeaseUp",H39*D39*(1+GrowthMarketRent)^8*IF(8=0,(12-DowntimeNew)/12,1),0)))),((F39-DATE(2026+8,5,1))/365.25)*G39*D39*(1+EscalatorInLease)^(8+M39)+((DATE(2027+8,4,30)-F39)/365.25)*IF(I39="Vacate",H39*D39*(1+GrowthMarketRent)^8*IF(INT((DATE(2026+8,10,31)-F39)/365.25)=0,(12-DowntimeNew)/12,1),IF(I39="Option",G39*D39*1.025*(1+EscalatorInLease)^8,IF(I39="Market",Retention*G39*D39*(1+EscalatorInLease)^(8+M39)+(1-Retention)*H39*D39*(1+GrowthMarketRent)^8*IF(INT((DATE(2026+8,10,31)-F39)/365.25)=0,(12-DowntimeNew)/12,1),IF(I39="LeaseUp",H39*D39*(1+GrowthMarketRent)^8*IF(8=0,(12-DowntimeNew)/12,1),0)))))))),0)</f>
        <v/>
      </c>
      <c r="W39" s="14">
        <f>IFERROR(IF(I39="LeaseUp",H39*D39*(1+GrowthMarketRent)^9*IF(9=0,(12-DowntimeNew)/12,1),IF(F39="",0,IF(F39&gt;=DATE(2027+9,4,30),G39*D39*(1+EscalatorInLease)^(9+M39),IF(F39&lt;DATE(2026+9,5,1),IF(I39="Vacate",H39*D39*(1+GrowthMarketRent)^9*IF(INT((DATE(2026+9,10,31)-F39)/365.25)=0,(12-DowntimeNew)/12,1),IF(I39="Option",G39*D39*1.025*(1+EscalatorInLease)^9,IF(I39="Market",Retention*G39*D39*(1+EscalatorInLease)^(9+M39)+(1-Retention)*H39*D39*(1+GrowthMarketRent)^9*IF(INT((DATE(2026+9,10,31)-F39)/365.25)=0,(12-DowntimeNew)/12,1),IF(I39="LeaseUp",H39*D39*(1+GrowthMarketRent)^9*IF(9=0,(12-DowntimeNew)/12,1),0)))),((F39-DATE(2026+9,5,1))/365.25)*G39*D39*(1+EscalatorInLease)^(9+M39)+((DATE(2027+9,4,30)-F39)/365.25)*IF(I39="Vacate",H39*D39*(1+GrowthMarketRent)^9*IF(INT((DATE(2026+9,10,31)-F39)/365.25)=0,(12-DowntimeNew)/12,1),IF(I39="Option",G39*D39*1.025*(1+EscalatorInLease)^9,IF(I39="Market",Retention*G39*D39*(1+EscalatorInLease)^(9+M39)+(1-Retention)*H39*D39*(1+GrowthMarketRent)^9*IF(INT((DATE(2026+9,10,31)-F39)/365.25)=0,(12-DowntimeNew)/12,1),IF(I39="LeaseUp",H39*D39*(1+GrowthMarketRent)^9*IF(9=0,(12-DowntimeNew)/12,1),0)))))))),0)</f>
        <v/>
      </c>
      <c r="X39" s="14">
        <f>IFERROR(IF(I39="LeaseUp",H39*D39*(1+GrowthMarketRent)^10*IF(10=0,(12-DowntimeNew)/12,1),IF(F39="",0,IF(F39&gt;=DATE(2027+10,4,30),G39*D39*(1+EscalatorInLease)^(10+M39),IF(F39&lt;DATE(2026+10,5,1),IF(I39="Vacate",H39*D39*(1+GrowthMarketRent)^10*IF(INT((DATE(2026+10,10,31)-F39)/365.25)=0,(12-DowntimeNew)/12,1),IF(I39="Option",G39*D39*1.025*(1+EscalatorInLease)^10,IF(I39="Market",Retention*G39*D39*(1+EscalatorInLease)^(10+M39)+(1-Retention)*H39*D39*(1+GrowthMarketRent)^10*IF(INT((DATE(2026+10,10,31)-F39)/365.25)=0,(12-DowntimeNew)/12,1),IF(I39="LeaseUp",H39*D39*(1+GrowthMarketRent)^10*IF(10=0,(12-DowntimeNew)/12,1),0)))),((F39-DATE(2026+10,5,1))/365.25)*G39*D39*(1+EscalatorInLease)^(10+M39)+((DATE(2027+10,4,30)-F39)/365.25)*IF(I39="Vacate",H39*D39*(1+GrowthMarketRent)^10*IF(INT((DATE(2026+10,10,31)-F39)/365.25)=0,(12-DowntimeNew)/12,1),IF(I39="Option",G39*D39*1.025*(1+EscalatorInLease)^10,IF(I39="Market",Retention*G39*D39*(1+EscalatorInLease)^(10+M39)+(1-Retention)*H39*D39*(1+GrowthMarketRent)^10*IF(INT((DATE(2026+10,10,31)-F39)/365.25)=0,(12-DowntimeNew)/12,1),IF(I39="LeaseUp",H39*D39*(1+GrowthMarketRent)^10*IF(10=0,(12-DowntimeNew)/12,1),0)))))))),0)</f>
        <v/>
      </c>
      <c r="Y39" s="14">
        <f>IFERROR(IF(AND(I39="LeaseUp",0=0),(IF(I39="Vacate",TINew*D39,IF(I39="Market",Retention*TIRenewal*D39+(1-Retention)*TINew*D39,IF(I39="LeaseUp",TINew*D39,IF(I39="Option",TIRenewal*D39,0)))))+(IF(I39="Vacate",LCNew*H39*D39*(1+GrowthMarketRent)^0,IF(I39="Market",Retention*LCRenewal*H39*D39*(1+GrowthMarketRent)^0+(1-Retention)*LCNew*H39*D39*(1+GrowthMarketRent)^0,IF(I39="LeaseUp",LCNew*H39*D39*(1+GrowthMarketRent)^0,IF(I39="Option",LCRenewal*H39*D39*(1+GrowthMarketRent)^0,0))))),IF(F39="",0,IF(AND(F39&gt;=DATE(2026+0,5,1),F39&lt;=DATE(2027+0,4,30)),(IF(I39="Vacate",TINew*D39,IF(I39="Market",Retention*TIRenewal*D39+(1-Retention)*TINew*D39,IF(I39="LeaseUp",TINew*D39,IF(I39="Option",TIRenewal*D39,0)))))+(IF(I39="Vacate",LCNew*H39*D39*(1+GrowthMarketRent)^0,IF(I39="Market",Retention*LCRenewal*H39*D39*(1+GrowthMarketRent)^0+(1-Retention)*LCNew*H39*D39*(1+GrowthMarketRent)^0,IF(I39="LeaseUp",LCNew*H39*D39*(1+GrowthMarketRent)^0,IF(I39="Option",LCRenewal*H39*D39*(1+GrowthMarketRent)^0,0))))),0))),0)</f>
        <v/>
      </c>
      <c r="Z39" s="14">
        <f>IFERROR(IF(AND(I39="LeaseUp",1=0),(IF(I39="Vacate",TINew*D39,IF(I39="Market",Retention*TIRenewal*D39+(1-Retention)*TINew*D39,IF(I39="LeaseUp",TINew*D39,IF(I39="Option",TIRenewal*D39,0)))))+(IF(I39="Vacate",LCNew*H39*D39*(1+GrowthMarketRent)^1,IF(I39="Market",Retention*LCRenewal*H39*D39*(1+GrowthMarketRent)^1+(1-Retention)*LCNew*H39*D39*(1+GrowthMarketRent)^1,IF(I39="LeaseUp",LCNew*H39*D39*(1+GrowthMarketRent)^1,IF(I39="Option",LCRenewal*H39*D39*(1+GrowthMarketRent)^1,0))))),IF(F39="",0,IF(AND(F39&gt;=DATE(2026+1,5,1),F39&lt;=DATE(2027+1,4,30)),(IF(I39="Vacate",TINew*D39,IF(I39="Market",Retention*TIRenewal*D39+(1-Retention)*TINew*D39,IF(I39="LeaseUp",TINew*D39,IF(I39="Option",TIRenewal*D39,0)))))+(IF(I39="Vacate",LCNew*H39*D39*(1+GrowthMarketRent)^1,IF(I39="Market",Retention*LCRenewal*H39*D39*(1+GrowthMarketRent)^1+(1-Retention)*LCNew*H39*D39*(1+GrowthMarketRent)^1,IF(I39="LeaseUp",LCNew*H39*D39*(1+GrowthMarketRent)^1,IF(I39="Option",LCRenewal*H39*D39*(1+GrowthMarketRent)^1,0))))),0))),0)</f>
        <v/>
      </c>
      <c r="AA39" s="14">
        <f>IFERROR(IF(AND(I39="LeaseUp",2=0),(IF(I39="Vacate",TINew*D39,IF(I39="Market",Retention*TIRenewal*D39+(1-Retention)*TINew*D39,IF(I39="LeaseUp",TINew*D39,IF(I39="Option",TIRenewal*D39,0)))))+(IF(I39="Vacate",LCNew*H39*D39*(1+GrowthMarketRent)^2,IF(I39="Market",Retention*LCRenewal*H39*D39*(1+GrowthMarketRent)^2+(1-Retention)*LCNew*H39*D39*(1+GrowthMarketRent)^2,IF(I39="LeaseUp",LCNew*H39*D39*(1+GrowthMarketRent)^2,IF(I39="Option",LCRenewal*H39*D39*(1+GrowthMarketRent)^2,0))))),IF(F39="",0,IF(AND(F39&gt;=DATE(2026+2,5,1),F39&lt;=DATE(2027+2,4,30)),(IF(I39="Vacate",TINew*D39,IF(I39="Market",Retention*TIRenewal*D39+(1-Retention)*TINew*D39,IF(I39="LeaseUp",TINew*D39,IF(I39="Option",TIRenewal*D39,0)))))+(IF(I39="Vacate",LCNew*H39*D39*(1+GrowthMarketRent)^2,IF(I39="Market",Retention*LCRenewal*H39*D39*(1+GrowthMarketRent)^2+(1-Retention)*LCNew*H39*D39*(1+GrowthMarketRent)^2,IF(I39="LeaseUp",LCNew*H39*D39*(1+GrowthMarketRent)^2,IF(I39="Option",LCRenewal*H39*D39*(1+GrowthMarketRent)^2,0))))),0))),0)</f>
        <v/>
      </c>
      <c r="AB39" s="14">
        <f>IFERROR(IF(AND(I39="LeaseUp",3=0),(IF(I39="Vacate",TINew*D39,IF(I39="Market",Retention*TIRenewal*D39+(1-Retention)*TINew*D39,IF(I39="LeaseUp",TINew*D39,IF(I39="Option",TIRenewal*D39,0)))))+(IF(I39="Vacate",LCNew*H39*D39*(1+GrowthMarketRent)^3,IF(I39="Market",Retention*LCRenewal*H39*D39*(1+GrowthMarketRent)^3+(1-Retention)*LCNew*H39*D39*(1+GrowthMarketRent)^3,IF(I39="LeaseUp",LCNew*H39*D39*(1+GrowthMarketRent)^3,IF(I39="Option",LCRenewal*H39*D39*(1+GrowthMarketRent)^3,0))))),IF(F39="",0,IF(AND(F39&gt;=DATE(2026+3,5,1),F39&lt;=DATE(2027+3,4,30)),(IF(I39="Vacate",TINew*D39,IF(I39="Market",Retention*TIRenewal*D39+(1-Retention)*TINew*D39,IF(I39="LeaseUp",TINew*D39,IF(I39="Option",TIRenewal*D39,0)))))+(IF(I39="Vacate",LCNew*H39*D39*(1+GrowthMarketRent)^3,IF(I39="Market",Retention*LCRenewal*H39*D39*(1+GrowthMarketRent)^3+(1-Retention)*LCNew*H39*D39*(1+GrowthMarketRent)^3,IF(I39="LeaseUp",LCNew*H39*D39*(1+GrowthMarketRent)^3,IF(I39="Option",LCRenewal*H39*D39*(1+GrowthMarketRent)^3,0))))),0))),0)</f>
        <v/>
      </c>
      <c r="AC39" s="14">
        <f>IFERROR(IF(AND(I39="LeaseUp",4=0),(IF(I39="Vacate",TINew*D39,IF(I39="Market",Retention*TIRenewal*D39+(1-Retention)*TINew*D39,IF(I39="LeaseUp",TINew*D39,IF(I39="Option",TIRenewal*D39,0)))))+(IF(I39="Vacate",LCNew*H39*D39*(1+GrowthMarketRent)^4,IF(I39="Market",Retention*LCRenewal*H39*D39*(1+GrowthMarketRent)^4+(1-Retention)*LCNew*H39*D39*(1+GrowthMarketRent)^4,IF(I39="LeaseUp",LCNew*H39*D39*(1+GrowthMarketRent)^4,IF(I39="Option",LCRenewal*H39*D39*(1+GrowthMarketRent)^4,0))))),IF(F39="",0,IF(AND(F39&gt;=DATE(2026+4,5,1),F39&lt;=DATE(2027+4,4,30)),(IF(I39="Vacate",TINew*D39,IF(I39="Market",Retention*TIRenewal*D39+(1-Retention)*TINew*D39,IF(I39="LeaseUp",TINew*D39,IF(I39="Option",TIRenewal*D39,0)))))+(IF(I39="Vacate",LCNew*H39*D39*(1+GrowthMarketRent)^4,IF(I39="Market",Retention*LCRenewal*H39*D39*(1+GrowthMarketRent)^4+(1-Retention)*LCNew*H39*D39*(1+GrowthMarketRent)^4,IF(I39="LeaseUp",LCNew*H39*D39*(1+GrowthMarketRent)^4,IF(I39="Option",LCRenewal*H39*D39*(1+GrowthMarketRent)^4,0))))),0))),0)</f>
        <v/>
      </c>
      <c r="AD39" s="14">
        <f>IFERROR(IF(AND(I39="LeaseUp",5=0),(IF(I39="Vacate",TINew*D39,IF(I39="Market",Retention*TIRenewal*D39+(1-Retention)*TINew*D39,IF(I39="LeaseUp",TINew*D39,IF(I39="Option",TIRenewal*D39,0)))))+(IF(I39="Vacate",LCNew*H39*D39*(1+GrowthMarketRent)^5,IF(I39="Market",Retention*LCRenewal*H39*D39*(1+GrowthMarketRent)^5+(1-Retention)*LCNew*H39*D39*(1+GrowthMarketRent)^5,IF(I39="LeaseUp",LCNew*H39*D39*(1+GrowthMarketRent)^5,IF(I39="Option",LCRenewal*H39*D39*(1+GrowthMarketRent)^5,0))))),IF(F39="",0,IF(AND(F39&gt;=DATE(2026+5,5,1),F39&lt;=DATE(2027+5,4,30)),(IF(I39="Vacate",TINew*D39,IF(I39="Market",Retention*TIRenewal*D39+(1-Retention)*TINew*D39,IF(I39="LeaseUp",TINew*D39,IF(I39="Option",TIRenewal*D39,0)))))+(IF(I39="Vacate",LCNew*H39*D39*(1+GrowthMarketRent)^5,IF(I39="Market",Retention*LCRenewal*H39*D39*(1+GrowthMarketRent)^5+(1-Retention)*LCNew*H39*D39*(1+GrowthMarketRent)^5,IF(I39="LeaseUp",LCNew*H39*D39*(1+GrowthMarketRent)^5,IF(I39="Option",LCRenewal*H39*D39*(1+GrowthMarketRent)^5,0))))),0))),0)</f>
        <v/>
      </c>
      <c r="AE39" s="14">
        <f>IFERROR(IF(AND(I39="LeaseUp",6=0),(IF(I39="Vacate",TINew*D39,IF(I39="Market",Retention*TIRenewal*D39+(1-Retention)*TINew*D39,IF(I39="LeaseUp",TINew*D39,IF(I39="Option",TIRenewal*D39,0)))))+(IF(I39="Vacate",LCNew*H39*D39*(1+GrowthMarketRent)^6,IF(I39="Market",Retention*LCRenewal*H39*D39*(1+GrowthMarketRent)^6+(1-Retention)*LCNew*H39*D39*(1+GrowthMarketRent)^6,IF(I39="LeaseUp",LCNew*H39*D39*(1+GrowthMarketRent)^6,IF(I39="Option",LCRenewal*H39*D39*(1+GrowthMarketRent)^6,0))))),IF(F39="",0,IF(AND(F39&gt;=DATE(2026+6,5,1),F39&lt;=DATE(2027+6,4,30)),(IF(I39="Vacate",TINew*D39,IF(I39="Market",Retention*TIRenewal*D39+(1-Retention)*TINew*D39,IF(I39="LeaseUp",TINew*D39,IF(I39="Option",TIRenewal*D39,0)))))+(IF(I39="Vacate",LCNew*H39*D39*(1+GrowthMarketRent)^6,IF(I39="Market",Retention*LCRenewal*H39*D39*(1+GrowthMarketRent)^6+(1-Retention)*LCNew*H39*D39*(1+GrowthMarketRent)^6,IF(I39="LeaseUp",LCNew*H39*D39*(1+GrowthMarketRent)^6,IF(I39="Option",LCRenewal*H39*D39*(1+GrowthMarketRent)^6,0))))),0))),0)</f>
        <v/>
      </c>
      <c r="AF39" s="14">
        <f>IFERROR(IF(AND(I39="LeaseUp",7=0),(IF(I39="Vacate",TINew*D39,IF(I39="Market",Retention*TIRenewal*D39+(1-Retention)*TINew*D39,IF(I39="LeaseUp",TINew*D39,IF(I39="Option",TIRenewal*D39,0)))))+(IF(I39="Vacate",LCNew*H39*D39*(1+GrowthMarketRent)^7,IF(I39="Market",Retention*LCRenewal*H39*D39*(1+GrowthMarketRent)^7+(1-Retention)*LCNew*H39*D39*(1+GrowthMarketRent)^7,IF(I39="LeaseUp",LCNew*H39*D39*(1+GrowthMarketRent)^7,IF(I39="Option",LCRenewal*H39*D39*(1+GrowthMarketRent)^7,0))))),IF(F39="",0,IF(AND(F39&gt;=DATE(2026+7,5,1),F39&lt;=DATE(2027+7,4,30)),(IF(I39="Vacate",TINew*D39,IF(I39="Market",Retention*TIRenewal*D39+(1-Retention)*TINew*D39,IF(I39="LeaseUp",TINew*D39,IF(I39="Option",TIRenewal*D39,0)))))+(IF(I39="Vacate",LCNew*H39*D39*(1+GrowthMarketRent)^7,IF(I39="Market",Retention*LCRenewal*H39*D39*(1+GrowthMarketRent)^7+(1-Retention)*LCNew*H39*D39*(1+GrowthMarketRent)^7,IF(I39="LeaseUp",LCNew*H39*D39*(1+GrowthMarketRent)^7,IF(I39="Option",LCRenewal*H39*D39*(1+GrowthMarketRent)^7,0))))),0))),0)</f>
        <v/>
      </c>
      <c r="AG39" s="14">
        <f>IFERROR(IF(AND(I39="LeaseUp",8=0),(IF(I39="Vacate",TINew*D39,IF(I39="Market",Retention*TIRenewal*D39+(1-Retention)*TINew*D39,IF(I39="LeaseUp",TINew*D39,IF(I39="Option",TIRenewal*D39,0)))))+(IF(I39="Vacate",LCNew*H39*D39*(1+GrowthMarketRent)^8,IF(I39="Market",Retention*LCRenewal*H39*D39*(1+GrowthMarketRent)^8+(1-Retention)*LCNew*H39*D39*(1+GrowthMarketRent)^8,IF(I39="LeaseUp",LCNew*H39*D39*(1+GrowthMarketRent)^8,IF(I39="Option",LCRenewal*H39*D39*(1+GrowthMarketRent)^8,0))))),IF(F39="",0,IF(AND(F39&gt;=DATE(2026+8,5,1),F39&lt;=DATE(2027+8,4,30)),(IF(I39="Vacate",TINew*D39,IF(I39="Market",Retention*TIRenewal*D39+(1-Retention)*TINew*D39,IF(I39="LeaseUp",TINew*D39,IF(I39="Option",TIRenewal*D39,0)))))+(IF(I39="Vacate",LCNew*H39*D39*(1+GrowthMarketRent)^8,IF(I39="Market",Retention*LCRenewal*H39*D39*(1+GrowthMarketRent)^8+(1-Retention)*LCNew*H39*D39*(1+GrowthMarketRent)^8,IF(I39="LeaseUp",LCNew*H39*D39*(1+GrowthMarketRent)^8,IF(I39="Option",LCRenewal*H39*D39*(1+GrowthMarketRent)^8,0))))),0))),0)</f>
        <v/>
      </c>
      <c r="AH39" s="14">
        <f>IFERROR(IF(AND(I39="LeaseUp",9=0),(IF(I39="Vacate",TINew*D39,IF(I39="Market",Retention*TIRenewal*D39+(1-Retention)*TINew*D39,IF(I39="LeaseUp",TINew*D39,IF(I39="Option",TIRenewal*D39,0)))))+(IF(I39="Vacate",LCNew*H39*D39*(1+GrowthMarketRent)^9,IF(I39="Market",Retention*LCRenewal*H39*D39*(1+GrowthMarketRent)^9+(1-Retention)*LCNew*H39*D39*(1+GrowthMarketRent)^9,IF(I39="LeaseUp",LCNew*H39*D39*(1+GrowthMarketRent)^9,IF(I39="Option",LCRenewal*H39*D39*(1+GrowthMarketRent)^9,0))))),IF(F39="",0,IF(AND(F39&gt;=DATE(2026+9,5,1),F39&lt;=DATE(2027+9,4,30)),(IF(I39="Vacate",TINew*D39,IF(I39="Market",Retention*TIRenewal*D39+(1-Retention)*TINew*D39,IF(I39="LeaseUp",TINew*D39,IF(I39="Option",TIRenewal*D39,0)))))+(IF(I39="Vacate",LCNew*H39*D39*(1+GrowthMarketRent)^9,IF(I39="Market",Retention*LCRenewal*H39*D39*(1+GrowthMarketRent)^9+(1-Retention)*LCNew*H39*D39*(1+GrowthMarketRent)^9,IF(I39="LeaseUp",LCNew*H39*D39*(1+GrowthMarketRent)^9,IF(I39="Option",LCRenewal*H39*D39*(1+GrowthMarketRent)^9,0))))),0))),0)</f>
        <v/>
      </c>
      <c r="AI39" s="14">
        <f>IFERROR(IF(AND(I39="LeaseUp",10=0),(IF(I39="Vacate",TINew*D39,IF(I39="Market",Retention*TIRenewal*D39+(1-Retention)*TINew*D39,IF(I39="LeaseUp",TINew*D39,IF(I39="Option",TIRenewal*D39,0)))))+(IF(I39="Vacate",LCNew*H39*D39*(1+GrowthMarketRent)^10,IF(I39="Market",Retention*LCRenewal*H39*D39*(1+GrowthMarketRent)^10+(1-Retention)*LCNew*H39*D39*(1+GrowthMarketRent)^10,IF(I39="LeaseUp",LCNew*H39*D39*(1+GrowthMarketRent)^10,IF(I39="Option",LCRenewal*H39*D39*(1+GrowthMarketRent)^10,0))))),IF(F39="",0,IF(AND(F39&gt;=DATE(2026+10,5,1),F39&lt;=DATE(2027+10,4,30)),(IF(I39="Vacate",TINew*D39,IF(I39="Market",Retention*TIRenewal*D39+(1-Retention)*TINew*D39,IF(I39="LeaseUp",TINew*D39,IF(I39="Option",TIRenewal*D39,0)))))+(IF(I39="Vacate",LCNew*H39*D39*(1+GrowthMarketRent)^10,IF(I39="Market",Retention*LCRenewal*H39*D39*(1+GrowthMarketRent)^10+(1-Retention)*LCNew*H39*D39*(1+GrowthMarketRent)^10,IF(I39="LeaseUp",LCNew*H39*D39*(1+GrowthMarketRent)^10,IF(I39="Option",LCRenewal*H39*D39*(1+GrowthMarketRent)^10,0))))),0))),0)</f>
        <v/>
      </c>
    </row>
    <row r="40">
      <c r="A40" t="inlineStr">
        <is>
          <t>Carrollton</t>
        </is>
      </c>
      <c r="B40" t="inlineStr">
        <is>
          <t>440</t>
        </is>
      </c>
      <c r="C40" t="inlineStr">
        <is>
          <t>Prime Facility Maintenance Inc.</t>
        </is>
      </c>
      <c r="D40" s="32" t="n">
        <v>3450</v>
      </c>
      <c r="E40" s="33" t="n">
        <v>45717</v>
      </c>
      <c r="F40" s="33" t="n">
        <v>46966</v>
      </c>
      <c r="G40" s="34" t="n">
        <v>16.4</v>
      </c>
      <c r="H40" s="16">
        <f>VLOOKUP("Carrollton — "&amp;J40,MLA!$A$5:$L$11,3,FALSE)</f>
        <v/>
      </c>
      <c r="I40" s="11" t="inlineStr">
        <is>
          <t>Market</t>
        </is>
      </c>
      <c r="J40" t="inlineStr">
        <is>
          <t>Shop</t>
        </is>
      </c>
      <c r="K40" t="inlineStr">
        <is>
          <t>Occupied</t>
        </is>
      </c>
      <c r="L40" t="inlineStr">
        <is>
          <t>Shop; Guarantor: Seferino Marquez</t>
        </is>
      </c>
      <c r="M40" s="20">
        <f>IF(E40="",0,(AnalysisStart-E40)/365.25)</f>
        <v/>
      </c>
      <c r="N40" s="14">
        <f>IFERROR(IF(I40="LeaseUp",H40*D40*(1+GrowthMarketRent)^0*IF(0=0,(12-DowntimeNew)/12,1),IF(F40="",0,IF(F40&gt;=DATE(2027+0,4,30),G40*D40*(1+EscalatorInLease)^(0+M40),IF(F40&lt;DATE(2026+0,5,1),IF(I40="Vacate",H40*D40*(1+GrowthMarketRent)^0*IF(INT((DATE(2026+0,10,31)-F40)/365.25)=0,(12-DowntimeNew)/12,1),IF(I40="Option",G40*D40*1.025*(1+EscalatorInLease)^0,IF(I40="Market",Retention*G40*D40*(1+EscalatorInLease)^(0+M40)+(1-Retention)*H40*D40*(1+GrowthMarketRent)^0*IF(INT((DATE(2026+0,10,31)-F40)/365.25)=0,(12-DowntimeNew)/12,1),IF(I40="LeaseUp",H40*D40*(1+GrowthMarketRent)^0*IF(0=0,(12-DowntimeNew)/12,1),0)))),((F40-DATE(2026+0,5,1))/365.25)*G40*D40*(1+EscalatorInLease)^(0+M40)+((DATE(2027+0,4,30)-F40)/365.25)*IF(I40="Vacate",H40*D40*(1+GrowthMarketRent)^0*IF(INT((DATE(2026+0,10,31)-F40)/365.25)=0,(12-DowntimeNew)/12,1),IF(I40="Option",G40*D40*1.025*(1+EscalatorInLease)^0,IF(I40="Market",Retention*G40*D40*(1+EscalatorInLease)^(0+M40)+(1-Retention)*H40*D40*(1+GrowthMarketRent)^0*IF(INT((DATE(2026+0,10,31)-F40)/365.25)=0,(12-DowntimeNew)/12,1),IF(I40="LeaseUp",H40*D40*(1+GrowthMarketRent)^0*IF(0=0,(12-DowntimeNew)/12,1),0)))))))),0)</f>
        <v/>
      </c>
      <c r="O40" s="14">
        <f>IFERROR(IF(I40="LeaseUp",H40*D40*(1+GrowthMarketRent)^1*IF(1=0,(12-DowntimeNew)/12,1),IF(F40="",0,IF(F40&gt;=DATE(2027+1,4,30),G40*D40*(1+EscalatorInLease)^(1+M40),IF(F40&lt;DATE(2026+1,5,1),IF(I40="Vacate",H40*D40*(1+GrowthMarketRent)^1*IF(INT((DATE(2026+1,10,31)-F40)/365.25)=0,(12-DowntimeNew)/12,1),IF(I40="Option",G40*D40*1.025*(1+EscalatorInLease)^1,IF(I40="Market",Retention*G40*D40*(1+EscalatorInLease)^(1+M40)+(1-Retention)*H40*D40*(1+GrowthMarketRent)^1*IF(INT((DATE(2026+1,10,31)-F40)/365.25)=0,(12-DowntimeNew)/12,1),IF(I40="LeaseUp",H40*D40*(1+GrowthMarketRent)^1*IF(1=0,(12-DowntimeNew)/12,1),0)))),((F40-DATE(2026+1,5,1))/365.25)*G40*D40*(1+EscalatorInLease)^(1+M40)+((DATE(2027+1,4,30)-F40)/365.25)*IF(I40="Vacate",H40*D40*(1+GrowthMarketRent)^1*IF(INT((DATE(2026+1,10,31)-F40)/365.25)=0,(12-DowntimeNew)/12,1),IF(I40="Option",G40*D40*1.025*(1+EscalatorInLease)^1,IF(I40="Market",Retention*G40*D40*(1+EscalatorInLease)^(1+M40)+(1-Retention)*H40*D40*(1+GrowthMarketRent)^1*IF(INT((DATE(2026+1,10,31)-F40)/365.25)=0,(12-DowntimeNew)/12,1),IF(I40="LeaseUp",H40*D40*(1+GrowthMarketRent)^1*IF(1=0,(12-DowntimeNew)/12,1),0)))))))),0)</f>
        <v/>
      </c>
      <c r="P40" s="14">
        <f>IFERROR(IF(I40="LeaseUp",H40*D40*(1+GrowthMarketRent)^2*IF(2=0,(12-DowntimeNew)/12,1),IF(F40="",0,IF(F40&gt;=DATE(2027+2,4,30),G40*D40*(1+EscalatorInLease)^(2+M40),IF(F40&lt;DATE(2026+2,5,1),IF(I40="Vacate",H40*D40*(1+GrowthMarketRent)^2*IF(INT((DATE(2026+2,10,31)-F40)/365.25)=0,(12-DowntimeNew)/12,1),IF(I40="Option",G40*D40*1.025*(1+EscalatorInLease)^2,IF(I40="Market",Retention*G40*D40*(1+EscalatorInLease)^(2+M40)+(1-Retention)*H40*D40*(1+GrowthMarketRent)^2*IF(INT((DATE(2026+2,10,31)-F40)/365.25)=0,(12-DowntimeNew)/12,1),IF(I40="LeaseUp",H40*D40*(1+GrowthMarketRent)^2*IF(2=0,(12-DowntimeNew)/12,1),0)))),((F40-DATE(2026+2,5,1))/365.25)*G40*D40*(1+EscalatorInLease)^(2+M40)+((DATE(2027+2,4,30)-F40)/365.25)*IF(I40="Vacate",H40*D40*(1+GrowthMarketRent)^2*IF(INT((DATE(2026+2,10,31)-F40)/365.25)=0,(12-DowntimeNew)/12,1),IF(I40="Option",G40*D40*1.025*(1+EscalatorInLease)^2,IF(I40="Market",Retention*G40*D40*(1+EscalatorInLease)^(2+M40)+(1-Retention)*H40*D40*(1+GrowthMarketRent)^2*IF(INT((DATE(2026+2,10,31)-F40)/365.25)=0,(12-DowntimeNew)/12,1),IF(I40="LeaseUp",H40*D40*(1+GrowthMarketRent)^2*IF(2=0,(12-DowntimeNew)/12,1),0)))))))),0)</f>
        <v/>
      </c>
      <c r="Q40" s="14">
        <f>IFERROR(IF(I40="LeaseUp",H40*D40*(1+GrowthMarketRent)^3*IF(3=0,(12-DowntimeNew)/12,1),IF(F40="",0,IF(F40&gt;=DATE(2027+3,4,30),G40*D40*(1+EscalatorInLease)^(3+M40),IF(F40&lt;DATE(2026+3,5,1),IF(I40="Vacate",H40*D40*(1+GrowthMarketRent)^3*IF(INT((DATE(2026+3,10,31)-F40)/365.25)=0,(12-DowntimeNew)/12,1),IF(I40="Option",G40*D40*1.025*(1+EscalatorInLease)^3,IF(I40="Market",Retention*G40*D40*(1+EscalatorInLease)^(3+M40)+(1-Retention)*H40*D40*(1+GrowthMarketRent)^3*IF(INT((DATE(2026+3,10,31)-F40)/365.25)=0,(12-DowntimeNew)/12,1),IF(I40="LeaseUp",H40*D40*(1+GrowthMarketRent)^3*IF(3=0,(12-DowntimeNew)/12,1),0)))),((F40-DATE(2026+3,5,1))/365.25)*G40*D40*(1+EscalatorInLease)^(3+M40)+((DATE(2027+3,4,30)-F40)/365.25)*IF(I40="Vacate",H40*D40*(1+GrowthMarketRent)^3*IF(INT((DATE(2026+3,10,31)-F40)/365.25)=0,(12-DowntimeNew)/12,1),IF(I40="Option",G40*D40*1.025*(1+EscalatorInLease)^3,IF(I40="Market",Retention*G40*D40*(1+EscalatorInLease)^(3+M40)+(1-Retention)*H40*D40*(1+GrowthMarketRent)^3*IF(INT((DATE(2026+3,10,31)-F40)/365.25)=0,(12-DowntimeNew)/12,1),IF(I40="LeaseUp",H40*D40*(1+GrowthMarketRent)^3*IF(3=0,(12-DowntimeNew)/12,1),0)))))))),0)</f>
        <v/>
      </c>
      <c r="R40" s="14">
        <f>IFERROR(IF(I40="LeaseUp",H40*D40*(1+GrowthMarketRent)^4*IF(4=0,(12-DowntimeNew)/12,1),IF(F40="",0,IF(F40&gt;=DATE(2027+4,4,30),G40*D40*(1+EscalatorInLease)^(4+M40),IF(F40&lt;DATE(2026+4,5,1),IF(I40="Vacate",H40*D40*(1+GrowthMarketRent)^4*IF(INT((DATE(2026+4,10,31)-F40)/365.25)=0,(12-DowntimeNew)/12,1),IF(I40="Option",G40*D40*1.025*(1+EscalatorInLease)^4,IF(I40="Market",Retention*G40*D40*(1+EscalatorInLease)^(4+M40)+(1-Retention)*H40*D40*(1+GrowthMarketRent)^4*IF(INT((DATE(2026+4,10,31)-F40)/365.25)=0,(12-DowntimeNew)/12,1),IF(I40="LeaseUp",H40*D40*(1+GrowthMarketRent)^4*IF(4=0,(12-DowntimeNew)/12,1),0)))),((F40-DATE(2026+4,5,1))/365.25)*G40*D40*(1+EscalatorInLease)^(4+M40)+((DATE(2027+4,4,30)-F40)/365.25)*IF(I40="Vacate",H40*D40*(1+GrowthMarketRent)^4*IF(INT((DATE(2026+4,10,31)-F40)/365.25)=0,(12-DowntimeNew)/12,1),IF(I40="Option",G40*D40*1.025*(1+EscalatorInLease)^4,IF(I40="Market",Retention*G40*D40*(1+EscalatorInLease)^(4+M40)+(1-Retention)*H40*D40*(1+GrowthMarketRent)^4*IF(INT((DATE(2026+4,10,31)-F40)/365.25)=0,(12-DowntimeNew)/12,1),IF(I40="LeaseUp",H40*D40*(1+GrowthMarketRent)^4*IF(4=0,(12-DowntimeNew)/12,1),0)))))))),0)</f>
        <v/>
      </c>
      <c r="S40" s="14">
        <f>IFERROR(IF(I40="LeaseUp",H40*D40*(1+GrowthMarketRent)^5*IF(5=0,(12-DowntimeNew)/12,1),IF(F40="",0,IF(F40&gt;=DATE(2027+5,4,30),G40*D40*(1+EscalatorInLease)^(5+M40),IF(F40&lt;DATE(2026+5,5,1),IF(I40="Vacate",H40*D40*(1+GrowthMarketRent)^5*IF(INT((DATE(2026+5,10,31)-F40)/365.25)=0,(12-DowntimeNew)/12,1),IF(I40="Option",G40*D40*1.025*(1+EscalatorInLease)^5,IF(I40="Market",Retention*G40*D40*(1+EscalatorInLease)^(5+M40)+(1-Retention)*H40*D40*(1+GrowthMarketRent)^5*IF(INT((DATE(2026+5,10,31)-F40)/365.25)=0,(12-DowntimeNew)/12,1),IF(I40="LeaseUp",H40*D40*(1+GrowthMarketRent)^5*IF(5=0,(12-DowntimeNew)/12,1),0)))),((F40-DATE(2026+5,5,1))/365.25)*G40*D40*(1+EscalatorInLease)^(5+M40)+((DATE(2027+5,4,30)-F40)/365.25)*IF(I40="Vacate",H40*D40*(1+GrowthMarketRent)^5*IF(INT((DATE(2026+5,10,31)-F40)/365.25)=0,(12-DowntimeNew)/12,1),IF(I40="Option",G40*D40*1.025*(1+EscalatorInLease)^5,IF(I40="Market",Retention*G40*D40*(1+EscalatorInLease)^(5+M40)+(1-Retention)*H40*D40*(1+GrowthMarketRent)^5*IF(INT((DATE(2026+5,10,31)-F40)/365.25)=0,(12-DowntimeNew)/12,1),IF(I40="LeaseUp",H40*D40*(1+GrowthMarketRent)^5*IF(5=0,(12-DowntimeNew)/12,1),0)))))))),0)</f>
        <v/>
      </c>
      <c r="T40" s="14">
        <f>IFERROR(IF(I40="LeaseUp",H40*D40*(1+GrowthMarketRent)^6*IF(6=0,(12-DowntimeNew)/12,1),IF(F40="",0,IF(F40&gt;=DATE(2027+6,4,30),G40*D40*(1+EscalatorInLease)^(6+M40),IF(F40&lt;DATE(2026+6,5,1),IF(I40="Vacate",H40*D40*(1+GrowthMarketRent)^6*IF(INT((DATE(2026+6,10,31)-F40)/365.25)=0,(12-DowntimeNew)/12,1),IF(I40="Option",G40*D40*1.025*(1+EscalatorInLease)^6,IF(I40="Market",Retention*G40*D40*(1+EscalatorInLease)^(6+M40)+(1-Retention)*H40*D40*(1+GrowthMarketRent)^6*IF(INT((DATE(2026+6,10,31)-F40)/365.25)=0,(12-DowntimeNew)/12,1),IF(I40="LeaseUp",H40*D40*(1+GrowthMarketRent)^6*IF(6=0,(12-DowntimeNew)/12,1),0)))),((F40-DATE(2026+6,5,1))/365.25)*G40*D40*(1+EscalatorInLease)^(6+M40)+((DATE(2027+6,4,30)-F40)/365.25)*IF(I40="Vacate",H40*D40*(1+GrowthMarketRent)^6*IF(INT((DATE(2026+6,10,31)-F40)/365.25)=0,(12-DowntimeNew)/12,1),IF(I40="Option",G40*D40*1.025*(1+EscalatorInLease)^6,IF(I40="Market",Retention*G40*D40*(1+EscalatorInLease)^(6+M40)+(1-Retention)*H40*D40*(1+GrowthMarketRent)^6*IF(INT((DATE(2026+6,10,31)-F40)/365.25)=0,(12-DowntimeNew)/12,1),IF(I40="LeaseUp",H40*D40*(1+GrowthMarketRent)^6*IF(6=0,(12-DowntimeNew)/12,1),0)))))))),0)</f>
        <v/>
      </c>
      <c r="U40" s="14">
        <f>IFERROR(IF(I40="LeaseUp",H40*D40*(1+GrowthMarketRent)^7*IF(7=0,(12-DowntimeNew)/12,1),IF(F40="",0,IF(F40&gt;=DATE(2027+7,4,30),G40*D40*(1+EscalatorInLease)^(7+M40),IF(F40&lt;DATE(2026+7,5,1),IF(I40="Vacate",H40*D40*(1+GrowthMarketRent)^7*IF(INT((DATE(2026+7,10,31)-F40)/365.25)=0,(12-DowntimeNew)/12,1),IF(I40="Option",G40*D40*1.025*(1+EscalatorInLease)^7,IF(I40="Market",Retention*G40*D40*(1+EscalatorInLease)^(7+M40)+(1-Retention)*H40*D40*(1+GrowthMarketRent)^7*IF(INT((DATE(2026+7,10,31)-F40)/365.25)=0,(12-DowntimeNew)/12,1),IF(I40="LeaseUp",H40*D40*(1+GrowthMarketRent)^7*IF(7=0,(12-DowntimeNew)/12,1),0)))),((F40-DATE(2026+7,5,1))/365.25)*G40*D40*(1+EscalatorInLease)^(7+M40)+((DATE(2027+7,4,30)-F40)/365.25)*IF(I40="Vacate",H40*D40*(1+GrowthMarketRent)^7*IF(INT((DATE(2026+7,10,31)-F40)/365.25)=0,(12-DowntimeNew)/12,1),IF(I40="Option",G40*D40*1.025*(1+EscalatorInLease)^7,IF(I40="Market",Retention*G40*D40*(1+EscalatorInLease)^(7+M40)+(1-Retention)*H40*D40*(1+GrowthMarketRent)^7*IF(INT((DATE(2026+7,10,31)-F40)/365.25)=0,(12-DowntimeNew)/12,1),IF(I40="LeaseUp",H40*D40*(1+GrowthMarketRent)^7*IF(7=0,(12-DowntimeNew)/12,1),0)))))))),0)</f>
        <v/>
      </c>
      <c r="V40" s="14">
        <f>IFERROR(IF(I40="LeaseUp",H40*D40*(1+GrowthMarketRent)^8*IF(8=0,(12-DowntimeNew)/12,1),IF(F40="",0,IF(F40&gt;=DATE(2027+8,4,30),G40*D40*(1+EscalatorInLease)^(8+M40),IF(F40&lt;DATE(2026+8,5,1),IF(I40="Vacate",H40*D40*(1+GrowthMarketRent)^8*IF(INT((DATE(2026+8,10,31)-F40)/365.25)=0,(12-DowntimeNew)/12,1),IF(I40="Option",G40*D40*1.025*(1+EscalatorInLease)^8,IF(I40="Market",Retention*G40*D40*(1+EscalatorInLease)^(8+M40)+(1-Retention)*H40*D40*(1+GrowthMarketRent)^8*IF(INT((DATE(2026+8,10,31)-F40)/365.25)=0,(12-DowntimeNew)/12,1),IF(I40="LeaseUp",H40*D40*(1+GrowthMarketRent)^8*IF(8=0,(12-DowntimeNew)/12,1),0)))),((F40-DATE(2026+8,5,1))/365.25)*G40*D40*(1+EscalatorInLease)^(8+M40)+((DATE(2027+8,4,30)-F40)/365.25)*IF(I40="Vacate",H40*D40*(1+GrowthMarketRent)^8*IF(INT((DATE(2026+8,10,31)-F40)/365.25)=0,(12-DowntimeNew)/12,1),IF(I40="Option",G40*D40*1.025*(1+EscalatorInLease)^8,IF(I40="Market",Retention*G40*D40*(1+EscalatorInLease)^(8+M40)+(1-Retention)*H40*D40*(1+GrowthMarketRent)^8*IF(INT((DATE(2026+8,10,31)-F40)/365.25)=0,(12-DowntimeNew)/12,1),IF(I40="LeaseUp",H40*D40*(1+GrowthMarketRent)^8*IF(8=0,(12-DowntimeNew)/12,1),0)))))))),0)</f>
        <v/>
      </c>
      <c r="W40" s="14">
        <f>IFERROR(IF(I40="LeaseUp",H40*D40*(1+GrowthMarketRent)^9*IF(9=0,(12-DowntimeNew)/12,1),IF(F40="",0,IF(F40&gt;=DATE(2027+9,4,30),G40*D40*(1+EscalatorInLease)^(9+M40),IF(F40&lt;DATE(2026+9,5,1),IF(I40="Vacate",H40*D40*(1+GrowthMarketRent)^9*IF(INT((DATE(2026+9,10,31)-F40)/365.25)=0,(12-DowntimeNew)/12,1),IF(I40="Option",G40*D40*1.025*(1+EscalatorInLease)^9,IF(I40="Market",Retention*G40*D40*(1+EscalatorInLease)^(9+M40)+(1-Retention)*H40*D40*(1+GrowthMarketRent)^9*IF(INT((DATE(2026+9,10,31)-F40)/365.25)=0,(12-DowntimeNew)/12,1),IF(I40="LeaseUp",H40*D40*(1+GrowthMarketRent)^9*IF(9=0,(12-DowntimeNew)/12,1),0)))),((F40-DATE(2026+9,5,1))/365.25)*G40*D40*(1+EscalatorInLease)^(9+M40)+((DATE(2027+9,4,30)-F40)/365.25)*IF(I40="Vacate",H40*D40*(1+GrowthMarketRent)^9*IF(INT((DATE(2026+9,10,31)-F40)/365.25)=0,(12-DowntimeNew)/12,1),IF(I40="Option",G40*D40*1.025*(1+EscalatorInLease)^9,IF(I40="Market",Retention*G40*D40*(1+EscalatorInLease)^(9+M40)+(1-Retention)*H40*D40*(1+GrowthMarketRent)^9*IF(INT((DATE(2026+9,10,31)-F40)/365.25)=0,(12-DowntimeNew)/12,1),IF(I40="LeaseUp",H40*D40*(1+GrowthMarketRent)^9*IF(9=0,(12-DowntimeNew)/12,1),0)))))))),0)</f>
        <v/>
      </c>
      <c r="X40" s="14">
        <f>IFERROR(IF(I40="LeaseUp",H40*D40*(1+GrowthMarketRent)^10*IF(10=0,(12-DowntimeNew)/12,1),IF(F40="",0,IF(F40&gt;=DATE(2027+10,4,30),G40*D40*(1+EscalatorInLease)^(10+M40),IF(F40&lt;DATE(2026+10,5,1),IF(I40="Vacate",H40*D40*(1+GrowthMarketRent)^10*IF(INT((DATE(2026+10,10,31)-F40)/365.25)=0,(12-DowntimeNew)/12,1),IF(I40="Option",G40*D40*1.025*(1+EscalatorInLease)^10,IF(I40="Market",Retention*G40*D40*(1+EscalatorInLease)^(10+M40)+(1-Retention)*H40*D40*(1+GrowthMarketRent)^10*IF(INT((DATE(2026+10,10,31)-F40)/365.25)=0,(12-DowntimeNew)/12,1),IF(I40="LeaseUp",H40*D40*(1+GrowthMarketRent)^10*IF(10=0,(12-DowntimeNew)/12,1),0)))),((F40-DATE(2026+10,5,1))/365.25)*G40*D40*(1+EscalatorInLease)^(10+M40)+((DATE(2027+10,4,30)-F40)/365.25)*IF(I40="Vacate",H40*D40*(1+GrowthMarketRent)^10*IF(INT((DATE(2026+10,10,31)-F40)/365.25)=0,(12-DowntimeNew)/12,1),IF(I40="Option",G40*D40*1.025*(1+EscalatorInLease)^10,IF(I40="Market",Retention*G40*D40*(1+EscalatorInLease)^(10+M40)+(1-Retention)*H40*D40*(1+GrowthMarketRent)^10*IF(INT((DATE(2026+10,10,31)-F40)/365.25)=0,(12-DowntimeNew)/12,1),IF(I40="LeaseUp",H40*D40*(1+GrowthMarketRent)^10*IF(10=0,(12-DowntimeNew)/12,1),0)))))))),0)</f>
        <v/>
      </c>
      <c r="Y40" s="14">
        <f>IFERROR(IF(AND(I40="LeaseUp",0=0),(IF(I40="Vacate",TINew*D40,IF(I40="Market",Retention*TIRenewal*D40+(1-Retention)*TINew*D40,IF(I40="LeaseUp",TINew*D40,IF(I40="Option",TIRenewal*D40,0)))))+(IF(I40="Vacate",LCNew*H40*D40*(1+GrowthMarketRent)^0,IF(I40="Market",Retention*LCRenewal*H40*D40*(1+GrowthMarketRent)^0+(1-Retention)*LCNew*H40*D40*(1+GrowthMarketRent)^0,IF(I40="LeaseUp",LCNew*H40*D40*(1+GrowthMarketRent)^0,IF(I40="Option",LCRenewal*H40*D40*(1+GrowthMarketRent)^0,0))))),IF(F40="",0,IF(AND(F40&gt;=DATE(2026+0,5,1),F40&lt;=DATE(2027+0,4,30)),(IF(I40="Vacate",TINew*D40,IF(I40="Market",Retention*TIRenewal*D40+(1-Retention)*TINew*D40,IF(I40="LeaseUp",TINew*D40,IF(I40="Option",TIRenewal*D40,0)))))+(IF(I40="Vacate",LCNew*H40*D40*(1+GrowthMarketRent)^0,IF(I40="Market",Retention*LCRenewal*H40*D40*(1+GrowthMarketRent)^0+(1-Retention)*LCNew*H40*D40*(1+GrowthMarketRent)^0,IF(I40="LeaseUp",LCNew*H40*D40*(1+GrowthMarketRent)^0,IF(I40="Option",LCRenewal*H40*D40*(1+GrowthMarketRent)^0,0))))),0))),0)</f>
        <v/>
      </c>
      <c r="Z40" s="14">
        <f>IFERROR(IF(AND(I40="LeaseUp",1=0),(IF(I40="Vacate",TINew*D40,IF(I40="Market",Retention*TIRenewal*D40+(1-Retention)*TINew*D40,IF(I40="LeaseUp",TINew*D40,IF(I40="Option",TIRenewal*D40,0)))))+(IF(I40="Vacate",LCNew*H40*D40*(1+GrowthMarketRent)^1,IF(I40="Market",Retention*LCRenewal*H40*D40*(1+GrowthMarketRent)^1+(1-Retention)*LCNew*H40*D40*(1+GrowthMarketRent)^1,IF(I40="LeaseUp",LCNew*H40*D40*(1+GrowthMarketRent)^1,IF(I40="Option",LCRenewal*H40*D40*(1+GrowthMarketRent)^1,0))))),IF(F40="",0,IF(AND(F40&gt;=DATE(2026+1,5,1),F40&lt;=DATE(2027+1,4,30)),(IF(I40="Vacate",TINew*D40,IF(I40="Market",Retention*TIRenewal*D40+(1-Retention)*TINew*D40,IF(I40="LeaseUp",TINew*D40,IF(I40="Option",TIRenewal*D40,0)))))+(IF(I40="Vacate",LCNew*H40*D40*(1+GrowthMarketRent)^1,IF(I40="Market",Retention*LCRenewal*H40*D40*(1+GrowthMarketRent)^1+(1-Retention)*LCNew*H40*D40*(1+GrowthMarketRent)^1,IF(I40="LeaseUp",LCNew*H40*D40*(1+GrowthMarketRent)^1,IF(I40="Option",LCRenewal*H40*D40*(1+GrowthMarketRent)^1,0))))),0))),0)</f>
        <v/>
      </c>
      <c r="AA40" s="14">
        <f>IFERROR(IF(AND(I40="LeaseUp",2=0),(IF(I40="Vacate",TINew*D40,IF(I40="Market",Retention*TIRenewal*D40+(1-Retention)*TINew*D40,IF(I40="LeaseUp",TINew*D40,IF(I40="Option",TIRenewal*D40,0)))))+(IF(I40="Vacate",LCNew*H40*D40*(1+GrowthMarketRent)^2,IF(I40="Market",Retention*LCRenewal*H40*D40*(1+GrowthMarketRent)^2+(1-Retention)*LCNew*H40*D40*(1+GrowthMarketRent)^2,IF(I40="LeaseUp",LCNew*H40*D40*(1+GrowthMarketRent)^2,IF(I40="Option",LCRenewal*H40*D40*(1+GrowthMarketRent)^2,0))))),IF(F40="",0,IF(AND(F40&gt;=DATE(2026+2,5,1),F40&lt;=DATE(2027+2,4,30)),(IF(I40="Vacate",TINew*D40,IF(I40="Market",Retention*TIRenewal*D40+(1-Retention)*TINew*D40,IF(I40="LeaseUp",TINew*D40,IF(I40="Option",TIRenewal*D40,0)))))+(IF(I40="Vacate",LCNew*H40*D40*(1+GrowthMarketRent)^2,IF(I40="Market",Retention*LCRenewal*H40*D40*(1+GrowthMarketRent)^2+(1-Retention)*LCNew*H40*D40*(1+GrowthMarketRent)^2,IF(I40="LeaseUp",LCNew*H40*D40*(1+GrowthMarketRent)^2,IF(I40="Option",LCRenewal*H40*D40*(1+GrowthMarketRent)^2,0))))),0))),0)</f>
        <v/>
      </c>
      <c r="AB40" s="14">
        <f>IFERROR(IF(AND(I40="LeaseUp",3=0),(IF(I40="Vacate",TINew*D40,IF(I40="Market",Retention*TIRenewal*D40+(1-Retention)*TINew*D40,IF(I40="LeaseUp",TINew*D40,IF(I40="Option",TIRenewal*D40,0)))))+(IF(I40="Vacate",LCNew*H40*D40*(1+GrowthMarketRent)^3,IF(I40="Market",Retention*LCRenewal*H40*D40*(1+GrowthMarketRent)^3+(1-Retention)*LCNew*H40*D40*(1+GrowthMarketRent)^3,IF(I40="LeaseUp",LCNew*H40*D40*(1+GrowthMarketRent)^3,IF(I40="Option",LCRenewal*H40*D40*(1+GrowthMarketRent)^3,0))))),IF(F40="",0,IF(AND(F40&gt;=DATE(2026+3,5,1),F40&lt;=DATE(2027+3,4,30)),(IF(I40="Vacate",TINew*D40,IF(I40="Market",Retention*TIRenewal*D40+(1-Retention)*TINew*D40,IF(I40="LeaseUp",TINew*D40,IF(I40="Option",TIRenewal*D40,0)))))+(IF(I40="Vacate",LCNew*H40*D40*(1+GrowthMarketRent)^3,IF(I40="Market",Retention*LCRenewal*H40*D40*(1+GrowthMarketRent)^3+(1-Retention)*LCNew*H40*D40*(1+GrowthMarketRent)^3,IF(I40="LeaseUp",LCNew*H40*D40*(1+GrowthMarketRent)^3,IF(I40="Option",LCRenewal*H40*D40*(1+GrowthMarketRent)^3,0))))),0))),0)</f>
        <v/>
      </c>
      <c r="AC40" s="14">
        <f>IFERROR(IF(AND(I40="LeaseUp",4=0),(IF(I40="Vacate",TINew*D40,IF(I40="Market",Retention*TIRenewal*D40+(1-Retention)*TINew*D40,IF(I40="LeaseUp",TINew*D40,IF(I40="Option",TIRenewal*D40,0)))))+(IF(I40="Vacate",LCNew*H40*D40*(1+GrowthMarketRent)^4,IF(I40="Market",Retention*LCRenewal*H40*D40*(1+GrowthMarketRent)^4+(1-Retention)*LCNew*H40*D40*(1+GrowthMarketRent)^4,IF(I40="LeaseUp",LCNew*H40*D40*(1+GrowthMarketRent)^4,IF(I40="Option",LCRenewal*H40*D40*(1+GrowthMarketRent)^4,0))))),IF(F40="",0,IF(AND(F40&gt;=DATE(2026+4,5,1),F40&lt;=DATE(2027+4,4,30)),(IF(I40="Vacate",TINew*D40,IF(I40="Market",Retention*TIRenewal*D40+(1-Retention)*TINew*D40,IF(I40="LeaseUp",TINew*D40,IF(I40="Option",TIRenewal*D40,0)))))+(IF(I40="Vacate",LCNew*H40*D40*(1+GrowthMarketRent)^4,IF(I40="Market",Retention*LCRenewal*H40*D40*(1+GrowthMarketRent)^4+(1-Retention)*LCNew*H40*D40*(1+GrowthMarketRent)^4,IF(I40="LeaseUp",LCNew*H40*D40*(1+GrowthMarketRent)^4,IF(I40="Option",LCRenewal*H40*D40*(1+GrowthMarketRent)^4,0))))),0))),0)</f>
        <v/>
      </c>
      <c r="AD40" s="14">
        <f>IFERROR(IF(AND(I40="LeaseUp",5=0),(IF(I40="Vacate",TINew*D40,IF(I40="Market",Retention*TIRenewal*D40+(1-Retention)*TINew*D40,IF(I40="LeaseUp",TINew*D40,IF(I40="Option",TIRenewal*D40,0)))))+(IF(I40="Vacate",LCNew*H40*D40*(1+GrowthMarketRent)^5,IF(I40="Market",Retention*LCRenewal*H40*D40*(1+GrowthMarketRent)^5+(1-Retention)*LCNew*H40*D40*(1+GrowthMarketRent)^5,IF(I40="LeaseUp",LCNew*H40*D40*(1+GrowthMarketRent)^5,IF(I40="Option",LCRenewal*H40*D40*(1+GrowthMarketRent)^5,0))))),IF(F40="",0,IF(AND(F40&gt;=DATE(2026+5,5,1),F40&lt;=DATE(2027+5,4,30)),(IF(I40="Vacate",TINew*D40,IF(I40="Market",Retention*TIRenewal*D40+(1-Retention)*TINew*D40,IF(I40="LeaseUp",TINew*D40,IF(I40="Option",TIRenewal*D40,0)))))+(IF(I40="Vacate",LCNew*H40*D40*(1+GrowthMarketRent)^5,IF(I40="Market",Retention*LCRenewal*H40*D40*(1+GrowthMarketRent)^5+(1-Retention)*LCNew*H40*D40*(1+GrowthMarketRent)^5,IF(I40="LeaseUp",LCNew*H40*D40*(1+GrowthMarketRent)^5,IF(I40="Option",LCRenewal*H40*D40*(1+GrowthMarketRent)^5,0))))),0))),0)</f>
        <v/>
      </c>
      <c r="AE40" s="14">
        <f>IFERROR(IF(AND(I40="LeaseUp",6=0),(IF(I40="Vacate",TINew*D40,IF(I40="Market",Retention*TIRenewal*D40+(1-Retention)*TINew*D40,IF(I40="LeaseUp",TINew*D40,IF(I40="Option",TIRenewal*D40,0)))))+(IF(I40="Vacate",LCNew*H40*D40*(1+GrowthMarketRent)^6,IF(I40="Market",Retention*LCRenewal*H40*D40*(1+GrowthMarketRent)^6+(1-Retention)*LCNew*H40*D40*(1+GrowthMarketRent)^6,IF(I40="LeaseUp",LCNew*H40*D40*(1+GrowthMarketRent)^6,IF(I40="Option",LCRenewal*H40*D40*(1+GrowthMarketRent)^6,0))))),IF(F40="",0,IF(AND(F40&gt;=DATE(2026+6,5,1),F40&lt;=DATE(2027+6,4,30)),(IF(I40="Vacate",TINew*D40,IF(I40="Market",Retention*TIRenewal*D40+(1-Retention)*TINew*D40,IF(I40="LeaseUp",TINew*D40,IF(I40="Option",TIRenewal*D40,0)))))+(IF(I40="Vacate",LCNew*H40*D40*(1+GrowthMarketRent)^6,IF(I40="Market",Retention*LCRenewal*H40*D40*(1+GrowthMarketRent)^6+(1-Retention)*LCNew*H40*D40*(1+GrowthMarketRent)^6,IF(I40="LeaseUp",LCNew*H40*D40*(1+GrowthMarketRent)^6,IF(I40="Option",LCRenewal*H40*D40*(1+GrowthMarketRent)^6,0))))),0))),0)</f>
        <v/>
      </c>
      <c r="AF40" s="14">
        <f>IFERROR(IF(AND(I40="LeaseUp",7=0),(IF(I40="Vacate",TINew*D40,IF(I40="Market",Retention*TIRenewal*D40+(1-Retention)*TINew*D40,IF(I40="LeaseUp",TINew*D40,IF(I40="Option",TIRenewal*D40,0)))))+(IF(I40="Vacate",LCNew*H40*D40*(1+GrowthMarketRent)^7,IF(I40="Market",Retention*LCRenewal*H40*D40*(1+GrowthMarketRent)^7+(1-Retention)*LCNew*H40*D40*(1+GrowthMarketRent)^7,IF(I40="LeaseUp",LCNew*H40*D40*(1+GrowthMarketRent)^7,IF(I40="Option",LCRenewal*H40*D40*(1+GrowthMarketRent)^7,0))))),IF(F40="",0,IF(AND(F40&gt;=DATE(2026+7,5,1),F40&lt;=DATE(2027+7,4,30)),(IF(I40="Vacate",TINew*D40,IF(I40="Market",Retention*TIRenewal*D40+(1-Retention)*TINew*D40,IF(I40="LeaseUp",TINew*D40,IF(I40="Option",TIRenewal*D40,0)))))+(IF(I40="Vacate",LCNew*H40*D40*(1+GrowthMarketRent)^7,IF(I40="Market",Retention*LCRenewal*H40*D40*(1+GrowthMarketRent)^7+(1-Retention)*LCNew*H40*D40*(1+GrowthMarketRent)^7,IF(I40="LeaseUp",LCNew*H40*D40*(1+GrowthMarketRent)^7,IF(I40="Option",LCRenewal*H40*D40*(1+GrowthMarketRent)^7,0))))),0))),0)</f>
        <v/>
      </c>
      <c r="AG40" s="14">
        <f>IFERROR(IF(AND(I40="LeaseUp",8=0),(IF(I40="Vacate",TINew*D40,IF(I40="Market",Retention*TIRenewal*D40+(1-Retention)*TINew*D40,IF(I40="LeaseUp",TINew*D40,IF(I40="Option",TIRenewal*D40,0)))))+(IF(I40="Vacate",LCNew*H40*D40*(1+GrowthMarketRent)^8,IF(I40="Market",Retention*LCRenewal*H40*D40*(1+GrowthMarketRent)^8+(1-Retention)*LCNew*H40*D40*(1+GrowthMarketRent)^8,IF(I40="LeaseUp",LCNew*H40*D40*(1+GrowthMarketRent)^8,IF(I40="Option",LCRenewal*H40*D40*(1+GrowthMarketRent)^8,0))))),IF(F40="",0,IF(AND(F40&gt;=DATE(2026+8,5,1),F40&lt;=DATE(2027+8,4,30)),(IF(I40="Vacate",TINew*D40,IF(I40="Market",Retention*TIRenewal*D40+(1-Retention)*TINew*D40,IF(I40="LeaseUp",TINew*D40,IF(I40="Option",TIRenewal*D40,0)))))+(IF(I40="Vacate",LCNew*H40*D40*(1+GrowthMarketRent)^8,IF(I40="Market",Retention*LCRenewal*H40*D40*(1+GrowthMarketRent)^8+(1-Retention)*LCNew*H40*D40*(1+GrowthMarketRent)^8,IF(I40="LeaseUp",LCNew*H40*D40*(1+GrowthMarketRent)^8,IF(I40="Option",LCRenewal*H40*D40*(1+GrowthMarketRent)^8,0))))),0))),0)</f>
        <v/>
      </c>
      <c r="AH40" s="14">
        <f>IFERROR(IF(AND(I40="LeaseUp",9=0),(IF(I40="Vacate",TINew*D40,IF(I40="Market",Retention*TIRenewal*D40+(1-Retention)*TINew*D40,IF(I40="LeaseUp",TINew*D40,IF(I40="Option",TIRenewal*D40,0)))))+(IF(I40="Vacate",LCNew*H40*D40*(1+GrowthMarketRent)^9,IF(I40="Market",Retention*LCRenewal*H40*D40*(1+GrowthMarketRent)^9+(1-Retention)*LCNew*H40*D40*(1+GrowthMarketRent)^9,IF(I40="LeaseUp",LCNew*H40*D40*(1+GrowthMarketRent)^9,IF(I40="Option",LCRenewal*H40*D40*(1+GrowthMarketRent)^9,0))))),IF(F40="",0,IF(AND(F40&gt;=DATE(2026+9,5,1),F40&lt;=DATE(2027+9,4,30)),(IF(I40="Vacate",TINew*D40,IF(I40="Market",Retention*TIRenewal*D40+(1-Retention)*TINew*D40,IF(I40="LeaseUp",TINew*D40,IF(I40="Option",TIRenewal*D40,0)))))+(IF(I40="Vacate",LCNew*H40*D40*(1+GrowthMarketRent)^9,IF(I40="Market",Retention*LCRenewal*H40*D40*(1+GrowthMarketRent)^9+(1-Retention)*LCNew*H40*D40*(1+GrowthMarketRent)^9,IF(I40="LeaseUp",LCNew*H40*D40*(1+GrowthMarketRent)^9,IF(I40="Option",LCRenewal*H40*D40*(1+GrowthMarketRent)^9,0))))),0))),0)</f>
        <v/>
      </c>
      <c r="AI40" s="14">
        <f>IFERROR(IF(AND(I40="LeaseUp",10=0),(IF(I40="Vacate",TINew*D40,IF(I40="Market",Retention*TIRenewal*D40+(1-Retention)*TINew*D40,IF(I40="LeaseUp",TINew*D40,IF(I40="Option",TIRenewal*D40,0)))))+(IF(I40="Vacate",LCNew*H40*D40*(1+GrowthMarketRent)^10,IF(I40="Market",Retention*LCRenewal*H40*D40*(1+GrowthMarketRent)^10+(1-Retention)*LCNew*H40*D40*(1+GrowthMarketRent)^10,IF(I40="LeaseUp",LCNew*H40*D40*(1+GrowthMarketRent)^10,IF(I40="Option",LCRenewal*H40*D40*(1+GrowthMarketRent)^10,0))))),IF(F40="",0,IF(AND(F40&gt;=DATE(2026+10,5,1),F40&lt;=DATE(2027+10,4,30)),(IF(I40="Vacate",TINew*D40,IF(I40="Market",Retention*TIRenewal*D40+(1-Retention)*TINew*D40,IF(I40="LeaseUp",TINew*D40,IF(I40="Option",TIRenewal*D40,0)))))+(IF(I40="Vacate",LCNew*H40*D40*(1+GrowthMarketRent)^10,IF(I40="Market",Retention*LCRenewal*H40*D40*(1+GrowthMarketRent)^10+(1-Retention)*LCNew*H40*D40*(1+GrowthMarketRent)^10,IF(I40="LeaseUp",LCNew*H40*D40*(1+GrowthMarketRent)^10,IF(I40="Option",LCRenewal*H40*D40*(1+GrowthMarketRent)^10,0))))),0))),0)</f>
        <v/>
      </c>
    </row>
    <row r="41">
      <c r="A41" t="inlineStr">
        <is>
          <t>Frisco</t>
        </is>
      </c>
      <c r="B41" t="inlineStr">
        <is>
          <t>101</t>
        </is>
      </c>
      <c r="C41" t="inlineStr">
        <is>
          <t>Legacy Respiratory Care &amp; Medical Equipment Inc</t>
        </is>
      </c>
      <c r="D41" s="32" t="n">
        <v>2600</v>
      </c>
      <c r="E41" s="33" t="n">
        <v>45748</v>
      </c>
      <c r="F41" s="33" t="n">
        <v>46997</v>
      </c>
      <c r="G41" s="34" t="n">
        <v>19.475</v>
      </c>
      <c r="H41" s="16">
        <f>VLOOKUP(A41,MLA!$A$5:$L$11,3,FALSE)</f>
        <v/>
      </c>
      <c r="I41" s="11" t="inlineStr">
        <is>
          <t>Market</t>
        </is>
      </c>
      <c r="J41" t="inlineStr">
        <is>
          <t>Shop</t>
        </is>
      </c>
      <c r="K41" t="inlineStr">
        <is>
          <t>Occupied</t>
        </is>
      </c>
      <c r="L41" t="inlineStr">
        <is>
          <t>Guarantor: Anthony Aguilar / Primrose Homehealth</t>
        </is>
      </c>
      <c r="M41" s="20">
        <f>IF(E41="",0,(AnalysisStart-E41)/365.25)</f>
        <v/>
      </c>
      <c r="N41" s="14">
        <f>IFERROR(IF(I41="LeaseUp",H41*D41*(1+GrowthMarketRent)^0*IF(0=0,(12-DowntimeNew)/12,1),IF(F41="",0,IF(F41&gt;=DATE(2027+0,4,30),G41*D41*(1+EscalatorInLease)^(0+M41),IF(F41&lt;DATE(2026+0,5,1),IF(I41="Vacate",H41*D41*(1+GrowthMarketRent)^0*IF(INT((DATE(2026+0,10,31)-F41)/365.25)=0,(12-DowntimeNew)/12,1),IF(I41="Option",G41*D41*1.025*(1+EscalatorInLease)^0,IF(I41="Market",Retention*G41*D41*(1+EscalatorInLease)^(0+M41)+(1-Retention)*H41*D41*(1+GrowthMarketRent)^0*IF(INT((DATE(2026+0,10,31)-F41)/365.25)=0,(12-DowntimeNew)/12,1),IF(I41="LeaseUp",H41*D41*(1+GrowthMarketRent)^0*IF(0=0,(12-DowntimeNew)/12,1),0)))),((F41-DATE(2026+0,5,1))/365.25)*G41*D41*(1+EscalatorInLease)^(0+M41)+((DATE(2027+0,4,30)-F41)/365.25)*IF(I41="Vacate",H41*D41*(1+GrowthMarketRent)^0*IF(INT((DATE(2026+0,10,31)-F41)/365.25)=0,(12-DowntimeNew)/12,1),IF(I41="Option",G41*D41*1.025*(1+EscalatorInLease)^0,IF(I41="Market",Retention*G41*D41*(1+EscalatorInLease)^(0+M41)+(1-Retention)*H41*D41*(1+GrowthMarketRent)^0*IF(INT((DATE(2026+0,10,31)-F41)/365.25)=0,(12-DowntimeNew)/12,1),IF(I41="LeaseUp",H41*D41*(1+GrowthMarketRent)^0*IF(0=0,(12-DowntimeNew)/12,1),0)))))))),0)</f>
        <v/>
      </c>
      <c r="O41" s="14">
        <f>IFERROR(IF(I41="LeaseUp",H41*D41*(1+GrowthMarketRent)^1*IF(1=0,(12-DowntimeNew)/12,1),IF(F41="",0,IF(F41&gt;=DATE(2027+1,4,30),G41*D41*(1+EscalatorInLease)^(1+M41),IF(F41&lt;DATE(2026+1,5,1),IF(I41="Vacate",H41*D41*(1+GrowthMarketRent)^1*IF(INT((DATE(2026+1,10,31)-F41)/365.25)=0,(12-DowntimeNew)/12,1),IF(I41="Option",G41*D41*1.025*(1+EscalatorInLease)^1,IF(I41="Market",Retention*G41*D41*(1+EscalatorInLease)^(1+M41)+(1-Retention)*H41*D41*(1+GrowthMarketRent)^1*IF(INT((DATE(2026+1,10,31)-F41)/365.25)=0,(12-DowntimeNew)/12,1),IF(I41="LeaseUp",H41*D41*(1+GrowthMarketRent)^1*IF(1=0,(12-DowntimeNew)/12,1),0)))),((F41-DATE(2026+1,5,1))/365.25)*G41*D41*(1+EscalatorInLease)^(1+M41)+((DATE(2027+1,4,30)-F41)/365.25)*IF(I41="Vacate",H41*D41*(1+GrowthMarketRent)^1*IF(INT((DATE(2026+1,10,31)-F41)/365.25)=0,(12-DowntimeNew)/12,1),IF(I41="Option",G41*D41*1.025*(1+EscalatorInLease)^1,IF(I41="Market",Retention*G41*D41*(1+EscalatorInLease)^(1+M41)+(1-Retention)*H41*D41*(1+GrowthMarketRent)^1*IF(INT((DATE(2026+1,10,31)-F41)/365.25)=0,(12-DowntimeNew)/12,1),IF(I41="LeaseUp",H41*D41*(1+GrowthMarketRent)^1*IF(1=0,(12-DowntimeNew)/12,1),0)))))))),0)</f>
        <v/>
      </c>
      <c r="P41" s="14">
        <f>IFERROR(IF(I41="LeaseUp",H41*D41*(1+GrowthMarketRent)^2*IF(2=0,(12-DowntimeNew)/12,1),IF(F41="",0,IF(F41&gt;=DATE(2027+2,4,30),G41*D41*(1+EscalatorInLease)^(2+M41),IF(F41&lt;DATE(2026+2,5,1),IF(I41="Vacate",H41*D41*(1+GrowthMarketRent)^2*IF(INT((DATE(2026+2,10,31)-F41)/365.25)=0,(12-DowntimeNew)/12,1),IF(I41="Option",G41*D41*1.025*(1+EscalatorInLease)^2,IF(I41="Market",Retention*G41*D41*(1+EscalatorInLease)^(2+M41)+(1-Retention)*H41*D41*(1+GrowthMarketRent)^2*IF(INT((DATE(2026+2,10,31)-F41)/365.25)=0,(12-DowntimeNew)/12,1),IF(I41="LeaseUp",H41*D41*(1+GrowthMarketRent)^2*IF(2=0,(12-DowntimeNew)/12,1),0)))),((F41-DATE(2026+2,5,1))/365.25)*G41*D41*(1+EscalatorInLease)^(2+M41)+((DATE(2027+2,4,30)-F41)/365.25)*IF(I41="Vacate",H41*D41*(1+GrowthMarketRent)^2*IF(INT((DATE(2026+2,10,31)-F41)/365.25)=0,(12-DowntimeNew)/12,1),IF(I41="Option",G41*D41*1.025*(1+EscalatorInLease)^2,IF(I41="Market",Retention*G41*D41*(1+EscalatorInLease)^(2+M41)+(1-Retention)*H41*D41*(1+GrowthMarketRent)^2*IF(INT((DATE(2026+2,10,31)-F41)/365.25)=0,(12-DowntimeNew)/12,1),IF(I41="LeaseUp",H41*D41*(1+GrowthMarketRent)^2*IF(2=0,(12-DowntimeNew)/12,1),0)))))))),0)</f>
        <v/>
      </c>
      <c r="Q41" s="14">
        <f>IFERROR(IF(I41="LeaseUp",H41*D41*(1+GrowthMarketRent)^3*IF(3=0,(12-DowntimeNew)/12,1),IF(F41="",0,IF(F41&gt;=DATE(2027+3,4,30),G41*D41*(1+EscalatorInLease)^(3+M41),IF(F41&lt;DATE(2026+3,5,1),IF(I41="Vacate",H41*D41*(1+GrowthMarketRent)^3*IF(INT((DATE(2026+3,10,31)-F41)/365.25)=0,(12-DowntimeNew)/12,1),IF(I41="Option",G41*D41*1.025*(1+EscalatorInLease)^3,IF(I41="Market",Retention*G41*D41*(1+EscalatorInLease)^(3+M41)+(1-Retention)*H41*D41*(1+GrowthMarketRent)^3*IF(INT((DATE(2026+3,10,31)-F41)/365.25)=0,(12-DowntimeNew)/12,1),IF(I41="LeaseUp",H41*D41*(1+GrowthMarketRent)^3*IF(3=0,(12-DowntimeNew)/12,1),0)))),((F41-DATE(2026+3,5,1))/365.25)*G41*D41*(1+EscalatorInLease)^(3+M41)+((DATE(2027+3,4,30)-F41)/365.25)*IF(I41="Vacate",H41*D41*(1+GrowthMarketRent)^3*IF(INT((DATE(2026+3,10,31)-F41)/365.25)=0,(12-DowntimeNew)/12,1),IF(I41="Option",G41*D41*1.025*(1+EscalatorInLease)^3,IF(I41="Market",Retention*G41*D41*(1+EscalatorInLease)^(3+M41)+(1-Retention)*H41*D41*(1+GrowthMarketRent)^3*IF(INT((DATE(2026+3,10,31)-F41)/365.25)=0,(12-DowntimeNew)/12,1),IF(I41="LeaseUp",H41*D41*(1+GrowthMarketRent)^3*IF(3=0,(12-DowntimeNew)/12,1),0)))))))),0)</f>
        <v/>
      </c>
      <c r="R41" s="14">
        <f>IFERROR(IF(I41="LeaseUp",H41*D41*(1+GrowthMarketRent)^4*IF(4=0,(12-DowntimeNew)/12,1),IF(F41="",0,IF(F41&gt;=DATE(2027+4,4,30),G41*D41*(1+EscalatorInLease)^(4+M41),IF(F41&lt;DATE(2026+4,5,1),IF(I41="Vacate",H41*D41*(1+GrowthMarketRent)^4*IF(INT((DATE(2026+4,10,31)-F41)/365.25)=0,(12-DowntimeNew)/12,1),IF(I41="Option",G41*D41*1.025*(1+EscalatorInLease)^4,IF(I41="Market",Retention*G41*D41*(1+EscalatorInLease)^(4+M41)+(1-Retention)*H41*D41*(1+GrowthMarketRent)^4*IF(INT((DATE(2026+4,10,31)-F41)/365.25)=0,(12-DowntimeNew)/12,1),IF(I41="LeaseUp",H41*D41*(1+GrowthMarketRent)^4*IF(4=0,(12-DowntimeNew)/12,1),0)))),((F41-DATE(2026+4,5,1))/365.25)*G41*D41*(1+EscalatorInLease)^(4+M41)+((DATE(2027+4,4,30)-F41)/365.25)*IF(I41="Vacate",H41*D41*(1+GrowthMarketRent)^4*IF(INT((DATE(2026+4,10,31)-F41)/365.25)=0,(12-DowntimeNew)/12,1),IF(I41="Option",G41*D41*1.025*(1+EscalatorInLease)^4,IF(I41="Market",Retention*G41*D41*(1+EscalatorInLease)^(4+M41)+(1-Retention)*H41*D41*(1+GrowthMarketRent)^4*IF(INT((DATE(2026+4,10,31)-F41)/365.25)=0,(12-DowntimeNew)/12,1),IF(I41="LeaseUp",H41*D41*(1+GrowthMarketRent)^4*IF(4=0,(12-DowntimeNew)/12,1),0)))))))),0)</f>
        <v/>
      </c>
      <c r="S41" s="14">
        <f>IFERROR(IF(I41="LeaseUp",H41*D41*(1+GrowthMarketRent)^5*IF(5=0,(12-DowntimeNew)/12,1),IF(F41="",0,IF(F41&gt;=DATE(2027+5,4,30),G41*D41*(1+EscalatorInLease)^(5+M41),IF(F41&lt;DATE(2026+5,5,1),IF(I41="Vacate",H41*D41*(1+GrowthMarketRent)^5*IF(INT((DATE(2026+5,10,31)-F41)/365.25)=0,(12-DowntimeNew)/12,1),IF(I41="Option",G41*D41*1.025*(1+EscalatorInLease)^5,IF(I41="Market",Retention*G41*D41*(1+EscalatorInLease)^(5+M41)+(1-Retention)*H41*D41*(1+GrowthMarketRent)^5*IF(INT((DATE(2026+5,10,31)-F41)/365.25)=0,(12-DowntimeNew)/12,1),IF(I41="LeaseUp",H41*D41*(1+GrowthMarketRent)^5*IF(5=0,(12-DowntimeNew)/12,1),0)))),((F41-DATE(2026+5,5,1))/365.25)*G41*D41*(1+EscalatorInLease)^(5+M41)+((DATE(2027+5,4,30)-F41)/365.25)*IF(I41="Vacate",H41*D41*(1+GrowthMarketRent)^5*IF(INT((DATE(2026+5,10,31)-F41)/365.25)=0,(12-DowntimeNew)/12,1),IF(I41="Option",G41*D41*1.025*(1+EscalatorInLease)^5,IF(I41="Market",Retention*G41*D41*(1+EscalatorInLease)^(5+M41)+(1-Retention)*H41*D41*(1+GrowthMarketRent)^5*IF(INT((DATE(2026+5,10,31)-F41)/365.25)=0,(12-DowntimeNew)/12,1),IF(I41="LeaseUp",H41*D41*(1+GrowthMarketRent)^5*IF(5=0,(12-DowntimeNew)/12,1),0)))))))),0)</f>
        <v/>
      </c>
      <c r="T41" s="14">
        <f>IFERROR(IF(I41="LeaseUp",H41*D41*(1+GrowthMarketRent)^6*IF(6=0,(12-DowntimeNew)/12,1),IF(F41="",0,IF(F41&gt;=DATE(2027+6,4,30),G41*D41*(1+EscalatorInLease)^(6+M41),IF(F41&lt;DATE(2026+6,5,1),IF(I41="Vacate",H41*D41*(1+GrowthMarketRent)^6*IF(INT((DATE(2026+6,10,31)-F41)/365.25)=0,(12-DowntimeNew)/12,1),IF(I41="Option",G41*D41*1.025*(1+EscalatorInLease)^6,IF(I41="Market",Retention*G41*D41*(1+EscalatorInLease)^(6+M41)+(1-Retention)*H41*D41*(1+GrowthMarketRent)^6*IF(INT((DATE(2026+6,10,31)-F41)/365.25)=0,(12-DowntimeNew)/12,1),IF(I41="LeaseUp",H41*D41*(1+GrowthMarketRent)^6*IF(6=0,(12-DowntimeNew)/12,1),0)))),((F41-DATE(2026+6,5,1))/365.25)*G41*D41*(1+EscalatorInLease)^(6+M41)+((DATE(2027+6,4,30)-F41)/365.25)*IF(I41="Vacate",H41*D41*(1+GrowthMarketRent)^6*IF(INT((DATE(2026+6,10,31)-F41)/365.25)=0,(12-DowntimeNew)/12,1),IF(I41="Option",G41*D41*1.025*(1+EscalatorInLease)^6,IF(I41="Market",Retention*G41*D41*(1+EscalatorInLease)^(6+M41)+(1-Retention)*H41*D41*(1+GrowthMarketRent)^6*IF(INT((DATE(2026+6,10,31)-F41)/365.25)=0,(12-DowntimeNew)/12,1),IF(I41="LeaseUp",H41*D41*(1+GrowthMarketRent)^6*IF(6=0,(12-DowntimeNew)/12,1),0)))))))),0)</f>
        <v/>
      </c>
      <c r="U41" s="14">
        <f>IFERROR(IF(I41="LeaseUp",H41*D41*(1+GrowthMarketRent)^7*IF(7=0,(12-DowntimeNew)/12,1),IF(F41="",0,IF(F41&gt;=DATE(2027+7,4,30),G41*D41*(1+EscalatorInLease)^(7+M41),IF(F41&lt;DATE(2026+7,5,1),IF(I41="Vacate",H41*D41*(1+GrowthMarketRent)^7*IF(INT((DATE(2026+7,10,31)-F41)/365.25)=0,(12-DowntimeNew)/12,1),IF(I41="Option",G41*D41*1.025*(1+EscalatorInLease)^7,IF(I41="Market",Retention*G41*D41*(1+EscalatorInLease)^(7+M41)+(1-Retention)*H41*D41*(1+GrowthMarketRent)^7*IF(INT((DATE(2026+7,10,31)-F41)/365.25)=0,(12-DowntimeNew)/12,1),IF(I41="LeaseUp",H41*D41*(1+GrowthMarketRent)^7*IF(7=0,(12-DowntimeNew)/12,1),0)))),((F41-DATE(2026+7,5,1))/365.25)*G41*D41*(1+EscalatorInLease)^(7+M41)+((DATE(2027+7,4,30)-F41)/365.25)*IF(I41="Vacate",H41*D41*(1+GrowthMarketRent)^7*IF(INT((DATE(2026+7,10,31)-F41)/365.25)=0,(12-DowntimeNew)/12,1),IF(I41="Option",G41*D41*1.025*(1+EscalatorInLease)^7,IF(I41="Market",Retention*G41*D41*(1+EscalatorInLease)^(7+M41)+(1-Retention)*H41*D41*(1+GrowthMarketRent)^7*IF(INT((DATE(2026+7,10,31)-F41)/365.25)=0,(12-DowntimeNew)/12,1),IF(I41="LeaseUp",H41*D41*(1+GrowthMarketRent)^7*IF(7=0,(12-DowntimeNew)/12,1),0)))))))),0)</f>
        <v/>
      </c>
      <c r="V41" s="14">
        <f>IFERROR(IF(I41="LeaseUp",H41*D41*(1+GrowthMarketRent)^8*IF(8=0,(12-DowntimeNew)/12,1),IF(F41="",0,IF(F41&gt;=DATE(2027+8,4,30),G41*D41*(1+EscalatorInLease)^(8+M41),IF(F41&lt;DATE(2026+8,5,1),IF(I41="Vacate",H41*D41*(1+GrowthMarketRent)^8*IF(INT((DATE(2026+8,10,31)-F41)/365.25)=0,(12-DowntimeNew)/12,1),IF(I41="Option",G41*D41*1.025*(1+EscalatorInLease)^8,IF(I41="Market",Retention*G41*D41*(1+EscalatorInLease)^(8+M41)+(1-Retention)*H41*D41*(1+GrowthMarketRent)^8*IF(INT((DATE(2026+8,10,31)-F41)/365.25)=0,(12-DowntimeNew)/12,1),IF(I41="LeaseUp",H41*D41*(1+GrowthMarketRent)^8*IF(8=0,(12-DowntimeNew)/12,1),0)))),((F41-DATE(2026+8,5,1))/365.25)*G41*D41*(1+EscalatorInLease)^(8+M41)+((DATE(2027+8,4,30)-F41)/365.25)*IF(I41="Vacate",H41*D41*(1+GrowthMarketRent)^8*IF(INT((DATE(2026+8,10,31)-F41)/365.25)=0,(12-DowntimeNew)/12,1),IF(I41="Option",G41*D41*1.025*(1+EscalatorInLease)^8,IF(I41="Market",Retention*G41*D41*(1+EscalatorInLease)^(8+M41)+(1-Retention)*H41*D41*(1+GrowthMarketRent)^8*IF(INT((DATE(2026+8,10,31)-F41)/365.25)=0,(12-DowntimeNew)/12,1),IF(I41="LeaseUp",H41*D41*(1+GrowthMarketRent)^8*IF(8=0,(12-DowntimeNew)/12,1),0)))))))),0)</f>
        <v/>
      </c>
      <c r="W41" s="14">
        <f>IFERROR(IF(I41="LeaseUp",H41*D41*(1+GrowthMarketRent)^9*IF(9=0,(12-DowntimeNew)/12,1),IF(F41="",0,IF(F41&gt;=DATE(2027+9,4,30),G41*D41*(1+EscalatorInLease)^(9+M41),IF(F41&lt;DATE(2026+9,5,1),IF(I41="Vacate",H41*D41*(1+GrowthMarketRent)^9*IF(INT((DATE(2026+9,10,31)-F41)/365.25)=0,(12-DowntimeNew)/12,1),IF(I41="Option",G41*D41*1.025*(1+EscalatorInLease)^9,IF(I41="Market",Retention*G41*D41*(1+EscalatorInLease)^(9+M41)+(1-Retention)*H41*D41*(1+GrowthMarketRent)^9*IF(INT((DATE(2026+9,10,31)-F41)/365.25)=0,(12-DowntimeNew)/12,1),IF(I41="LeaseUp",H41*D41*(1+GrowthMarketRent)^9*IF(9=0,(12-DowntimeNew)/12,1),0)))),((F41-DATE(2026+9,5,1))/365.25)*G41*D41*(1+EscalatorInLease)^(9+M41)+((DATE(2027+9,4,30)-F41)/365.25)*IF(I41="Vacate",H41*D41*(1+GrowthMarketRent)^9*IF(INT((DATE(2026+9,10,31)-F41)/365.25)=0,(12-DowntimeNew)/12,1),IF(I41="Option",G41*D41*1.025*(1+EscalatorInLease)^9,IF(I41="Market",Retention*G41*D41*(1+EscalatorInLease)^(9+M41)+(1-Retention)*H41*D41*(1+GrowthMarketRent)^9*IF(INT((DATE(2026+9,10,31)-F41)/365.25)=0,(12-DowntimeNew)/12,1),IF(I41="LeaseUp",H41*D41*(1+GrowthMarketRent)^9*IF(9=0,(12-DowntimeNew)/12,1),0)))))))),0)</f>
        <v/>
      </c>
      <c r="X41" s="14">
        <f>IFERROR(IF(I41="LeaseUp",H41*D41*(1+GrowthMarketRent)^10*IF(10=0,(12-DowntimeNew)/12,1),IF(F41="",0,IF(F41&gt;=DATE(2027+10,4,30),G41*D41*(1+EscalatorInLease)^(10+M41),IF(F41&lt;DATE(2026+10,5,1),IF(I41="Vacate",H41*D41*(1+GrowthMarketRent)^10*IF(INT((DATE(2026+10,10,31)-F41)/365.25)=0,(12-DowntimeNew)/12,1),IF(I41="Option",G41*D41*1.025*(1+EscalatorInLease)^10,IF(I41="Market",Retention*G41*D41*(1+EscalatorInLease)^(10+M41)+(1-Retention)*H41*D41*(1+GrowthMarketRent)^10*IF(INT((DATE(2026+10,10,31)-F41)/365.25)=0,(12-DowntimeNew)/12,1),IF(I41="LeaseUp",H41*D41*(1+GrowthMarketRent)^10*IF(10=0,(12-DowntimeNew)/12,1),0)))),((F41-DATE(2026+10,5,1))/365.25)*G41*D41*(1+EscalatorInLease)^(10+M41)+((DATE(2027+10,4,30)-F41)/365.25)*IF(I41="Vacate",H41*D41*(1+GrowthMarketRent)^10*IF(INT((DATE(2026+10,10,31)-F41)/365.25)=0,(12-DowntimeNew)/12,1),IF(I41="Option",G41*D41*1.025*(1+EscalatorInLease)^10,IF(I41="Market",Retention*G41*D41*(1+EscalatorInLease)^(10+M41)+(1-Retention)*H41*D41*(1+GrowthMarketRent)^10*IF(INT((DATE(2026+10,10,31)-F41)/365.25)=0,(12-DowntimeNew)/12,1),IF(I41="LeaseUp",H41*D41*(1+GrowthMarketRent)^10*IF(10=0,(12-DowntimeNew)/12,1),0)))))))),0)</f>
        <v/>
      </c>
      <c r="Y41" s="14">
        <f>IFERROR(IF(AND(I41="LeaseUp",0=0),(IF(I41="Vacate",TINew*D41,IF(I41="Market",Retention*TIRenewal*D41+(1-Retention)*TINew*D41,IF(I41="LeaseUp",TINew*D41,IF(I41="Option",TIRenewal*D41,0)))))+(IF(I41="Vacate",LCNew*H41*D41*(1+GrowthMarketRent)^0,IF(I41="Market",Retention*LCRenewal*H41*D41*(1+GrowthMarketRent)^0+(1-Retention)*LCNew*H41*D41*(1+GrowthMarketRent)^0,IF(I41="LeaseUp",LCNew*H41*D41*(1+GrowthMarketRent)^0,IF(I41="Option",LCRenewal*H41*D41*(1+GrowthMarketRent)^0,0))))),IF(F41="",0,IF(AND(F41&gt;=DATE(2026+0,5,1),F41&lt;=DATE(2027+0,4,30)),(IF(I41="Vacate",TINew*D41,IF(I41="Market",Retention*TIRenewal*D41+(1-Retention)*TINew*D41,IF(I41="LeaseUp",TINew*D41,IF(I41="Option",TIRenewal*D41,0)))))+(IF(I41="Vacate",LCNew*H41*D41*(1+GrowthMarketRent)^0,IF(I41="Market",Retention*LCRenewal*H41*D41*(1+GrowthMarketRent)^0+(1-Retention)*LCNew*H41*D41*(1+GrowthMarketRent)^0,IF(I41="LeaseUp",LCNew*H41*D41*(1+GrowthMarketRent)^0,IF(I41="Option",LCRenewal*H41*D41*(1+GrowthMarketRent)^0,0))))),0))),0)</f>
        <v/>
      </c>
      <c r="Z41" s="14">
        <f>IFERROR(IF(AND(I41="LeaseUp",1=0),(IF(I41="Vacate",TINew*D41,IF(I41="Market",Retention*TIRenewal*D41+(1-Retention)*TINew*D41,IF(I41="LeaseUp",TINew*D41,IF(I41="Option",TIRenewal*D41,0)))))+(IF(I41="Vacate",LCNew*H41*D41*(1+GrowthMarketRent)^1,IF(I41="Market",Retention*LCRenewal*H41*D41*(1+GrowthMarketRent)^1+(1-Retention)*LCNew*H41*D41*(1+GrowthMarketRent)^1,IF(I41="LeaseUp",LCNew*H41*D41*(1+GrowthMarketRent)^1,IF(I41="Option",LCRenewal*H41*D41*(1+GrowthMarketRent)^1,0))))),IF(F41="",0,IF(AND(F41&gt;=DATE(2026+1,5,1),F41&lt;=DATE(2027+1,4,30)),(IF(I41="Vacate",TINew*D41,IF(I41="Market",Retention*TIRenewal*D41+(1-Retention)*TINew*D41,IF(I41="LeaseUp",TINew*D41,IF(I41="Option",TIRenewal*D41,0)))))+(IF(I41="Vacate",LCNew*H41*D41*(1+GrowthMarketRent)^1,IF(I41="Market",Retention*LCRenewal*H41*D41*(1+GrowthMarketRent)^1+(1-Retention)*LCNew*H41*D41*(1+GrowthMarketRent)^1,IF(I41="LeaseUp",LCNew*H41*D41*(1+GrowthMarketRent)^1,IF(I41="Option",LCRenewal*H41*D41*(1+GrowthMarketRent)^1,0))))),0))),0)</f>
        <v/>
      </c>
      <c r="AA41" s="14">
        <f>IFERROR(IF(AND(I41="LeaseUp",2=0),(IF(I41="Vacate",TINew*D41,IF(I41="Market",Retention*TIRenewal*D41+(1-Retention)*TINew*D41,IF(I41="LeaseUp",TINew*D41,IF(I41="Option",TIRenewal*D41,0)))))+(IF(I41="Vacate",LCNew*H41*D41*(1+GrowthMarketRent)^2,IF(I41="Market",Retention*LCRenewal*H41*D41*(1+GrowthMarketRent)^2+(1-Retention)*LCNew*H41*D41*(1+GrowthMarketRent)^2,IF(I41="LeaseUp",LCNew*H41*D41*(1+GrowthMarketRent)^2,IF(I41="Option",LCRenewal*H41*D41*(1+GrowthMarketRent)^2,0))))),IF(F41="",0,IF(AND(F41&gt;=DATE(2026+2,5,1),F41&lt;=DATE(2027+2,4,30)),(IF(I41="Vacate",TINew*D41,IF(I41="Market",Retention*TIRenewal*D41+(1-Retention)*TINew*D41,IF(I41="LeaseUp",TINew*D41,IF(I41="Option",TIRenewal*D41,0)))))+(IF(I41="Vacate",LCNew*H41*D41*(1+GrowthMarketRent)^2,IF(I41="Market",Retention*LCRenewal*H41*D41*(1+GrowthMarketRent)^2+(1-Retention)*LCNew*H41*D41*(1+GrowthMarketRent)^2,IF(I41="LeaseUp",LCNew*H41*D41*(1+GrowthMarketRent)^2,IF(I41="Option",LCRenewal*H41*D41*(1+GrowthMarketRent)^2,0))))),0))),0)</f>
        <v/>
      </c>
      <c r="AB41" s="14">
        <f>IFERROR(IF(AND(I41="LeaseUp",3=0),(IF(I41="Vacate",TINew*D41,IF(I41="Market",Retention*TIRenewal*D41+(1-Retention)*TINew*D41,IF(I41="LeaseUp",TINew*D41,IF(I41="Option",TIRenewal*D41,0)))))+(IF(I41="Vacate",LCNew*H41*D41*(1+GrowthMarketRent)^3,IF(I41="Market",Retention*LCRenewal*H41*D41*(1+GrowthMarketRent)^3+(1-Retention)*LCNew*H41*D41*(1+GrowthMarketRent)^3,IF(I41="LeaseUp",LCNew*H41*D41*(1+GrowthMarketRent)^3,IF(I41="Option",LCRenewal*H41*D41*(1+GrowthMarketRent)^3,0))))),IF(F41="",0,IF(AND(F41&gt;=DATE(2026+3,5,1),F41&lt;=DATE(2027+3,4,30)),(IF(I41="Vacate",TINew*D41,IF(I41="Market",Retention*TIRenewal*D41+(1-Retention)*TINew*D41,IF(I41="LeaseUp",TINew*D41,IF(I41="Option",TIRenewal*D41,0)))))+(IF(I41="Vacate",LCNew*H41*D41*(1+GrowthMarketRent)^3,IF(I41="Market",Retention*LCRenewal*H41*D41*(1+GrowthMarketRent)^3+(1-Retention)*LCNew*H41*D41*(1+GrowthMarketRent)^3,IF(I41="LeaseUp",LCNew*H41*D41*(1+GrowthMarketRent)^3,IF(I41="Option",LCRenewal*H41*D41*(1+GrowthMarketRent)^3,0))))),0))),0)</f>
        <v/>
      </c>
      <c r="AC41" s="14">
        <f>IFERROR(IF(AND(I41="LeaseUp",4=0),(IF(I41="Vacate",TINew*D41,IF(I41="Market",Retention*TIRenewal*D41+(1-Retention)*TINew*D41,IF(I41="LeaseUp",TINew*D41,IF(I41="Option",TIRenewal*D41,0)))))+(IF(I41="Vacate",LCNew*H41*D41*(1+GrowthMarketRent)^4,IF(I41="Market",Retention*LCRenewal*H41*D41*(1+GrowthMarketRent)^4+(1-Retention)*LCNew*H41*D41*(1+GrowthMarketRent)^4,IF(I41="LeaseUp",LCNew*H41*D41*(1+GrowthMarketRent)^4,IF(I41="Option",LCRenewal*H41*D41*(1+GrowthMarketRent)^4,0))))),IF(F41="",0,IF(AND(F41&gt;=DATE(2026+4,5,1),F41&lt;=DATE(2027+4,4,30)),(IF(I41="Vacate",TINew*D41,IF(I41="Market",Retention*TIRenewal*D41+(1-Retention)*TINew*D41,IF(I41="LeaseUp",TINew*D41,IF(I41="Option",TIRenewal*D41,0)))))+(IF(I41="Vacate",LCNew*H41*D41*(1+GrowthMarketRent)^4,IF(I41="Market",Retention*LCRenewal*H41*D41*(1+GrowthMarketRent)^4+(1-Retention)*LCNew*H41*D41*(1+GrowthMarketRent)^4,IF(I41="LeaseUp",LCNew*H41*D41*(1+GrowthMarketRent)^4,IF(I41="Option",LCRenewal*H41*D41*(1+GrowthMarketRent)^4,0))))),0))),0)</f>
        <v/>
      </c>
      <c r="AD41" s="14">
        <f>IFERROR(IF(AND(I41="LeaseUp",5=0),(IF(I41="Vacate",TINew*D41,IF(I41="Market",Retention*TIRenewal*D41+(1-Retention)*TINew*D41,IF(I41="LeaseUp",TINew*D41,IF(I41="Option",TIRenewal*D41,0)))))+(IF(I41="Vacate",LCNew*H41*D41*(1+GrowthMarketRent)^5,IF(I41="Market",Retention*LCRenewal*H41*D41*(1+GrowthMarketRent)^5+(1-Retention)*LCNew*H41*D41*(1+GrowthMarketRent)^5,IF(I41="LeaseUp",LCNew*H41*D41*(1+GrowthMarketRent)^5,IF(I41="Option",LCRenewal*H41*D41*(1+GrowthMarketRent)^5,0))))),IF(F41="",0,IF(AND(F41&gt;=DATE(2026+5,5,1),F41&lt;=DATE(2027+5,4,30)),(IF(I41="Vacate",TINew*D41,IF(I41="Market",Retention*TIRenewal*D41+(1-Retention)*TINew*D41,IF(I41="LeaseUp",TINew*D41,IF(I41="Option",TIRenewal*D41,0)))))+(IF(I41="Vacate",LCNew*H41*D41*(1+GrowthMarketRent)^5,IF(I41="Market",Retention*LCRenewal*H41*D41*(1+GrowthMarketRent)^5+(1-Retention)*LCNew*H41*D41*(1+GrowthMarketRent)^5,IF(I41="LeaseUp",LCNew*H41*D41*(1+GrowthMarketRent)^5,IF(I41="Option",LCRenewal*H41*D41*(1+GrowthMarketRent)^5,0))))),0))),0)</f>
        <v/>
      </c>
      <c r="AE41" s="14">
        <f>IFERROR(IF(AND(I41="LeaseUp",6=0),(IF(I41="Vacate",TINew*D41,IF(I41="Market",Retention*TIRenewal*D41+(1-Retention)*TINew*D41,IF(I41="LeaseUp",TINew*D41,IF(I41="Option",TIRenewal*D41,0)))))+(IF(I41="Vacate",LCNew*H41*D41*(1+GrowthMarketRent)^6,IF(I41="Market",Retention*LCRenewal*H41*D41*(1+GrowthMarketRent)^6+(1-Retention)*LCNew*H41*D41*(1+GrowthMarketRent)^6,IF(I41="LeaseUp",LCNew*H41*D41*(1+GrowthMarketRent)^6,IF(I41="Option",LCRenewal*H41*D41*(1+GrowthMarketRent)^6,0))))),IF(F41="",0,IF(AND(F41&gt;=DATE(2026+6,5,1),F41&lt;=DATE(2027+6,4,30)),(IF(I41="Vacate",TINew*D41,IF(I41="Market",Retention*TIRenewal*D41+(1-Retention)*TINew*D41,IF(I41="LeaseUp",TINew*D41,IF(I41="Option",TIRenewal*D41,0)))))+(IF(I41="Vacate",LCNew*H41*D41*(1+GrowthMarketRent)^6,IF(I41="Market",Retention*LCRenewal*H41*D41*(1+GrowthMarketRent)^6+(1-Retention)*LCNew*H41*D41*(1+GrowthMarketRent)^6,IF(I41="LeaseUp",LCNew*H41*D41*(1+GrowthMarketRent)^6,IF(I41="Option",LCRenewal*H41*D41*(1+GrowthMarketRent)^6,0))))),0))),0)</f>
        <v/>
      </c>
      <c r="AF41" s="14">
        <f>IFERROR(IF(AND(I41="LeaseUp",7=0),(IF(I41="Vacate",TINew*D41,IF(I41="Market",Retention*TIRenewal*D41+(1-Retention)*TINew*D41,IF(I41="LeaseUp",TINew*D41,IF(I41="Option",TIRenewal*D41,0)))))+(IF(I41="Vacate",LCNew*H41*D41*(1+GrowthMarketRent)^7,IF(I41="Market",Retention*LCRenewal*H41*D41*(1+GrowthMarketRent)^7+(1-Retention)*LCNew*H41*D41*(1+GrowthMarketRent)^7,IF(I41="LeaseUp",LCNew*H41*D41*(1+GrowthMarketRent)^7,IF(I41="Option",LCRenewal*H41*D41*(1+GrowthMarketRent)^7,0))))),IF(F41="",0,IF(AND(F41&gt;=DATE(2026+7,5,1),F41&lt;=DATE(2027+7,4,30)),(IF(I41="Vacate",TINew*D41,IF(I41="Market",Retention*TIRenewal*D41+(1-Retention)*TINew*D41,IF(I41="LeaseUp",TINew*D41,IF(I41="Option",TIRenewal*D41,0)))))+(IF(I41="Vacate",LCNew*H41*D41*(1+GrowthMarketRent)^7,IF(I41="Market",Retention*LCRenewal*H41*D41*(1+GrowthMarketRent)^7+(1-Retention)*LCNew*H41*D41*(1+GrowthMarketRent)^7,IF(I41="LeaseUp",LCNew*H41*D41*(1+GrowthMarketRent)^7,IF(I41="Option",LCRenewal*H41*D41*(1+GrowthMarketRent)^7,0))))),0))),0)</f>
        <v/>
      </c>
      <c r="AG41" s="14">
        <f>IFERROR(IF(AND(I41="LeaseUp",8=0),(IF(I41="Vacate",TINew*D41,IF(I41="Market",Retention*TIRenewal*D41+(1-Retention)*TINew*D41,IF(I41="LeaseUp",TINew*D41,IF(I41="Option",TIRenewal*D41,0)))))+(IF(I41="Vacate",LCNew*H41*D41*(1+GrowthMarketRent)^8,IF(I41="Market",Retention*LCRenewal*H41*D41*(1+GrowthMarketRent)^8+(1-Retention)*LCNew*H41*D41*(1+GrowthMarketRent)^8,IF(I41="LeaseUp",LCNew*H41*D41*(1+GrowthMarketRent)^8,IF(I41="Option",LCRenewal*H41*D41*(1+GrowthMarketRent)^8,0))))),IF(F41="",0,IF(AND(F41&gt;=DATE(2026+8,5,1),F41&lt;=DATE(2027+8,4,30)),(IF(I41="Vacate",TINew*D41,IF(I41="Market",Retention*TIRenewal*D41+(1-Retention)*TINew*D41,IF(I41="LeaseUp",TINew*D41,IF(I41="Option",TIRenewal*D41,0)))))+(IF(I41="Vacate",LCNew*H41*D41*(1+GrowthMarketRent)^8,IF(I41="Market",Retention*LCRenewal*H41*D41*(1+GrowthMarketRent)^8+(1-Retention)*LCNew*H41*D41*(1+GrowthMarketRent)^8,IF(I41="LeaseUp",LCNew*H41*D41*(1+GrowthMarketRent)^8,IF(I41="Option",LCRenewal*H41*D41*(1+GrowthMarketRent)^8,0))))),0))),0)</f>
        <v/>
      </c>
      <c r="AH41" s="14">
        <f>IFERROR(IF(AND(I41="LeaseUp",9=0),(IF(I41="Vacate",TINew*D41,IF(I41="Market",Retention*TIRenewal*D41+(1-Retention)*TINew*D41,IF(I41="LeaseUp",TINew*D41,IF(I41="Option",TIRenewal*D41,0)))))+(IF(I41="Vacate",LCNew*H41*D41*(1+GrowthMarketRent)^9,IF(I41="Market",Retention*LCRenewal*H41*D41*(1+GrowthMarketRent)^9+(1-Retention)*LCNew*H41*D41*(1+GrowthMarketRent)^9,IF(I41="LeaseUp",LCNew*H41*D41*(1+GrowthMarketRent)^9,IF(I41="Option",LCRenewal*H41*D41*(1+GrowthMarketRent)^9,0))))),IF(F41="",0,IF(AND(F41&gt;=DATE(2026+9,5,1),F41&lt;=DATE(2027+9,4,30)),(IF(I41="Vacate",TINew*D41,IF(I41="Market",Retention*TIRenewal*D41+(1-Retention)*TINew*D41,IF(I41="LeaseUp",TINew*D41,IF(I41="Option",TIRenewal*D41,0)))))+(IF(I41="Vacate",LCNew*H41*D41*(1+GrowthMarketRent)^9,IF(I41="Market",Retention*LCRenewal*H41*D41*(1+GrowthMarketRent)^9+(1-Retention)*LCNew*H41*D41*(1+GrowthMarketRent)^9,IF(I41="LeaseUp",LCNew*H41*D41*(1+GrowthMarketRent)^9,IF(I41="Option",LCRenewal*H41*D41*(1+GrowthMarketRent)^9,0))))),0))),0)</f>
        <v/>
      </c>
      <c r="AI41" s="14">
        <f>IFERROR(IF(AND(I41="LeaseUp",10=0),(IF(I41="Vacate",TINew*D41,IF(I41="Market",Retention*TIRenewal*D41+(1-Retention)*TINew*D41,IF(I41="LeaseUp",TINew*D41,IF(I41="Option",TIRenewal*D41,0)))))+(IF(I41="Vacate",LCNew*H41*D41*(1+GrowthMarketRent)^10,IF(I41="Market",Retention*LCRenewal*H41*D41*(1+GrowthMarketRent)^10+(1-Retention)*LCNew*H41*D41*(1+GrowthMarketRent)^10,IF(I41="LeaseUp",LCNew*H41*D41*(1+GrowthMarketRent)^10,IF(I41="Option",LCRenewal*H41*D41*(1+GrowthMarketRent)^10,0))))),IF(F41="",0,IF(AND(F41&gt;=DATE(2026+10,5,1),F41&lt;=DATE(2027+10,4,30)),(IF(I41="Vacate",TINew*D41,IF(I41="Market",Retention*TIRenewal*D41+(1-Retention)*TINew*D41,IF(I41="LeaseUp",TINew*D41,IF(I41="Option",TIRenewal*D41,0)))))+(IF(I41="Vacate",LCNew*H41*D41*(1+GrowthMarketRent)^10,IF(I41="Market",Retention*LCRenewal*H41*D41*(1+GrowthMarketRent)^10+(1-Retention)*LCNew*H41*D41*(1+GrowthMarketRent)^10,IF(I41="LeaseUp",LCNew*H41*D41*(1+GrowthMarketRent)^10,IF(I41="Option",LCRenewal*H41*D41*(1+GrowthMarketRent)^10,0))))),0))),0)</f>
        <v/>
      </c>
    </row>
    <row r="42">
      <c r="A42" t="inlineStr">
        <is>
          <t>Frisco</t>
        </is>
      </c>
      <c r="B42" t="inlineStr">
        <is>
          <t>102</t>
        </is>
      </c>
      <c r="C42" t="inlineStr">
        <is>
          <t>Redden Companies LLC</t>
        </is>
      </c>
      <c r="D42" s="32" t="n">
        <v>2600</v>
      </c>
      <c r="E42" s="33" t="n">
        <v>45748</v>
      </c>
      <c r="F42" s="33" t="n">
        <v>46997</v>
      </c>
      <c r="G42" s="34" t="n">
        <v>18.45</v>
      </c>
      <c r="H42" s="16">
        <f>VLOOKUP(A42,MLA!$A$5:$L$11,3,FALSE)</f>
        <v/>
      </c>
      <c r="I42" s="11" t="inlineStr">
        <is>
          <t>Market</t>
        </is>
      </c>
      <c r="J42" t="inlineStr">
        <is>
          <t>Shop</t>
        </is>
      </c>
      <c r="K42" t="inlineStr">
        <is>
          <t>Occupied</t>
        </is>
      </c>
      <c r="L42" t="inlineStr">
        <is>
          <t>Guarantor: Brooke Redden</t>
        </is>
      </c>
      <c r="M42" s="20">
        <f>IF(E42="",0,(AnalysisStart-E42)/365.25)</f>
        <v/>
      </c>
      <c r="N42" s="14">
        <f>IFERROR(IF(I42="LeaseUp",H42*D42*(1+GrowthMarketRent)^0*IF(0=0,(12-DowntimeNew)/12,1),IF(F42="",0,IF(F42&gt;=DATE(2027+0,4,30),G42*D42*(1+EscalatorInLease)^(0+M42),IF(F42&lt;DATE(2026+0,5,1),IF(I42="Vacate",H42*D42*(1+GrowthMarketRent)^0*IF(INT((DATE(2026+0,10,31)-F42)/365.25)=0,(12-DowntimeNew)/12,1),IF(I42="Option",G42*D42*1.025*(1+EscalatorInLease)^0,IF(I42="Market",Retention*G42*D42*(1+EscalatorInLease)^(0+M42)+(1-Retention)*H42*D42*(1+GrowthMarketRent)^0*IF(INT((DATE(2026+0,10,31)-F42)/365.25)=0,(12-DowntimeNew)/12,1),IF(I42="LeaseUp",H42*D42*(1+GrowthMarketRent)^0*IF(0=0,(12-DowntimeNew)/12,1),0)))),((F42-DATE(2026+0,5,1))/365.25)*G42*D42*(1+EscalatorInLease)^(0+M42)+((DATE(2027+0,4,30)-F42)/365.25)*IF(I42="Vacate",H42*D42*(1+GrowthMarketRent)^0*IF(INT((DATE(2026+0,10,31)-F42)/365.25)=0,(12-DowntimeNew)/12,1),IF(I42="Option",G42*D42*1.025*(1+EscalatorInLease)^0,IF(I42="Market",Retention*G42*D42*(1+EscalatorInLease)^(0+M42)+(1-Retention)*H42*D42*(1+GrowthMarketRent)^0*IF(INT((DATE(2026+0,10,31)-F42)/365.25)=0,(12-DowntimeNew)/12,1),IF(I42="LeaseUp",H42*D42*(1+GrowthMarketRent)^0*IF(0=0,(12-DowntimeNew)/12,1),0)))))))),0)</f>
        <v/>
      </c>
      <c r="O42" s="14">
        <f>IFERROR(IF(I42="LeaseUp",H42*D42*(1+GrowthMarketRent)^1*IF(1=0,(12-DowntimeNew)/12,1),IF(F42="",0,IF(F42&gt;=DATE(2027+1,4,30),G42*D42*(1+EscalatorInLease)^(1+M42),IF(F42&lt;DATE(2026+1,5,1),IF(I42="Vacate",H42*D42*(1+GrowthMarketRent)^1*IF(INT((DATE(2026+1,10,31)-F42)/365.25)=0,(12-DowntimeNew)/12,1),IF(I42="Option",G42*D42*1.025*(1+EscalatorInLease)^1,IF(I42="Market",Retention*G42*D42*(1+EscalatorInLease)^(1+M42)+(1-Retention)*H42*D42*(1+GrowthMarketRent)^1*IF(INT((DATE(2026+1,10,31)-F42)/365.25)=0,(12-DowntimeNew)/12,1),IF(I42="LeaseUp",H42*D42*(1+GrowthMarketRent)^1*IF(1=0,(12-DowntimeNew)/12,1),0)))),((F42-DATE(2026+1,5,1))/365.25)*G42*D42*(1+EscalatorInLease)^(1+M42)+((DATE(2027+1,4,30)-F42)/365.25)*IF(I42="Vacate",H42*D42*(1+GrowthMarketRent)^1*IF(INT((DATE(2026+1,10,31)-F42)/365.25)=0,(12-DowntimeNew)/12,1),IF(I42="Option",G42*D42*1.025*(1+EscalatorInLease)^1,IF(I42="Market",Retention*G42*D42*(1+EscalatorInLease)^(1+M42)+(1-Retention)*H42*D42*(1+GrowthMarketRent)^1*IF(INT((DATE(2026+1,10,31)-F42)/365.25)=0,(12-DowntimeNew)/12,1),IF(I42="LeaseUp",H42*D42*(1+GrowthMarketRent)^1*IF(1=0,(12-DowntimeNew)/12,1),0)))))))),0)</f>
        <v/>
      </c>
      <c r="P42" s="14">
        <f>IFERROR(IF(I42="LeaseUp",H42*D42*(1+GrowthMarketRent)^2*IF(2=0,(12-DowntimeNew)/12,1),IF(F42="",0,IF(F42&gt;=DATE(2027+2,4,30),G42*D42*(1+EscalatorInLease)^(2+M42),IF(F42&lt;DATE(2026+2,5,1),IF(I42="Vacate",H42*D42*(1+GrowthMarketRent)^2*IF(INT((DATE(2026+2,10,31)-F42)/365.25)=0,(12-DowntimeNew)/12,1),IF(I42="Option",G42*D42*1.025*(1+EscalatorInLease)^2,IF(I42="Market",Retention*G42*D42*(1+EscalatorInLease)^(2+M42)+(1-Retention)*H42*D42*(1+GrowthMarketRent)^2*IF(INT((DATE(2026+2,10,31)-F42)/365.25)=0,(12-DowntimeNew)/12,1),IF(I42="LeaseUp",H42*D42*(1+GrowthMarketRent)^2*IF(2=0,(12-DowntimeNew)/12,1),0)))),((F42-DATE(2026+2,5,1))/365.25)*G42*D42*(1+EscalatorInLease)^(2+M42)+((DATE(2027+2,4,30)-F42)/365.25)*IF(I42="Vacate",H42*D42*(1+GrowthMarketRent)^2*IF(INT((DATE(2026+2,10,31)-F42)/365.25)=0,(12-DowntimeNew)/12,1),IF(I42="Option",G42*D42*1.025*(1+EscalatorInLease)^2,IF(I42="Market",Retention*G42*D42*(1+EscalatorInLease)^(2+M42)+(1-Retention)*H42*D42*(1+GrowthMarketRent)^2*IF(INT((DATE(2026+2,10,31)-F42)/365.25)=0,(12-DowntimeNew)/12,1),IF(I42="LeaseUp",H42*D42*(1+GrowthMarketRent)^2*IF(2=0,(12-DowntimeNew)/12,1),0)))))))),0)</f>
        <v/>
      </c>
      <c r="Q42" s="14">
        <f>IFERROR(IF(I42="LeaseUp",H42*D42*(1+GrowthMarketRent)^3*IF(3=0,(12-DowntimeNew)/12,1),IF(F42="",0,IF(F42&gt;=DATE(2027+3,4,30),G42*D42*(1+EscalatorInLease)^(3+M42),IF(F42&lt;DATE(2026+3,5,1),IF(I42="Vacate",H42*D42*(1+GrowthMarketRent)^3*IF(INT((DATE(2026+3,10,31)-F42)/365.25)=0,(12-DowntimeNew)/12,1),IF(I42="Option",G42*D42*1.025*(1+EscalatorInLease)^3,IF(I42="Market",Retention*G42*D42*(1+EscalatorInLease)^(3+M42)+(1-Retention)*H42*D42*(1+GrowthMarketRent)^3*IF(INT((DATE(2026+3,10,31)-F42)/365.25)=0,(12-DowntimeNew)/12,1),IF(I42="LeaseUp",H42*D42*(1+GrowthMarketRent)^3*IF(3=0,(12-DowntimeNew)/12,1),0)))),((F42-DATE(2026+3,5,1))/365.25)*G42*D42*(1+EscalatorInLease)^(3+M42)+((DATE(2027+3,4,30)-F42)/365.25)*IF(I42="Vacate",H42*D42*(1+GrowthMarketRent)^3*IF(INT((DATE(2026+3,10,31)-F42)/365.25)=0,(12-DowntimeNew)/12,1),IF(I42="Option",G42*D42*1.025*(1+EscalatorInLease)^3,IF(I42="Market",Retention*G42*D42*(1+EscalatorInLease)^(3+M42)+(1-Retention)*H42*D42*(1+GrowthMarketRent)^3*IF(INT((DATE(2026+3,10,31)-F42)/365.25)=0,(12-DowntimeNew)/12,1),IF(I42="LeaseUp",H42*D42*(1+GrowthMarketRent)^3*IF(3=0,(12-DowntimeNew)/12,1),0)))))))),0)</f>
        <v/>
      </c>
      <c r="R42" s="14">
        <f>IFERROR(IF(I42="LeaseUp",H42*D42*(1+GrowthMarketRent)^4*IF(4=0,(12-DowntimeNew)/12,1),IF(F42="",0,IF(F42&gt;=DATE(2027+4,4,30),G42*D42*(1+EscalatorInLease)^(4+M42),IF(F42&lt;DATE(2026+4,5,1),IF(I42="Vacate",H42*D42*(1+GrowthMarketRent)^4*IF(INT((DATE(2026+4,10,31)-F42)/365.25)=0,(12-DowntimeNew)/12,1),IF(I42="Option",G42*D42*1.025*(1+EscalatorInLease)^4,IF(I42="Market",Retention*G42*D42*(1+EscalatorInLease)^(4+M42)+(1-Retention)*H42*D42*(1+GrowthMarketRent)^4*IF(INT((DATE(2026+4,10,31)-F42)/365.25)=0,(12-DowntimeNew)/12,1),IF(I42="LeaseUp",H42*D42*(1+GrowthMarketRent)^4*IF(4=0,(12-DowntimeNew)/12,1),0)))),((F42-DATE(2026+4,5,1))/365.25)*G42*D42*(1+EscalatorInLease)^(4+M42)+((DATE(2027+4,4,30)-F42)/365.25)*IF(I42="Vacate",H42*D42*(1+GrowthMarketRent)^4*IF(INT((DATE(2026+4,10,31)-F42)/365.25)=0,(12-DowntimeNew)/12,1),IF(I42="Option",G42*D42*1.025*(1+EscalatorInLease)^4,IF(I42="Market",Retention*G42*D42*(1+EscalatorInLease)^(4+M42)+(1-Retention)*H42*D42*(1+GrowthMarketRent)^4*IF(INT((DATE(2026+4,10,31)-F42)/365.25)=0,(12-DowntimeNew)/12,1),IF(I42="LeaseUp",H42*D42*(1+GrowthMarketRent)^4*IF(4=0,(12-DowntimeNew)/12,1),0)))))))),0)</f>
        <v/>
      </c>
      <c r="S42" s="14">
        <f>IFERROR(IF(I42="LeaseUp",H42*D42*(1+GrowthMarketRent)^5*IF(5=0,(12-DowntimeNew)/12,1),IF(F42="",0,IF(F42&gt;=DATE(2027+5,4,30),G42*D42*(1+EscalatorInLease)^(5+M42),IF(F42&lt;DATE(2026+5,5,1),IF(I42="Vacate",H42*D42*(1+GrowthMarketRent)^5*IF(INT((DATE(2026+5,10,31)-F42)/365.25)=0,(12-DowntimeNew)/12,1),IF(I42="Option",G42*D42*1.025*(1+EscalatorInLease)^5,IF(I42="Market",Retention*G42*D42*(1+EscalatorInLease)^(5+M42)+(1-Retention)*H42*D42*(1+GrowthMarketRent)^5*IF(INT((DATE(2026+5,10,31)-F42)/365.25)=0,(12-DowntimeNew)/12,1),IF(I42="LeaseUp",H42*D42*(1+GrowthMarketRent)^5*IF(5=0,(12-DowntimeNew)/12,1),0)))),((F42-DATE(2026+5,5,1))/365.25)*G42*D42*(1+EscalatorInLease)^(5+M42)+((DATE(2027+5,4,30)-F42)/365.25)*IF(I42="Vacate",H42*D42*(1+GrowthMarketRent)^5*IF(INT((DATE(2026+5,10,31)-F42)/365.25)=0,(12-DowntimeNew)/12,1),IF(I42="Option",G42*D42*1.025*(1+EscalatorInLease)^5,IF(I42="Market",Retention*G42*D42*(1+EscalatorInLease)^(5+M42)+(1-Retention)*H42*D42*(1+GrowthMarketRent)^5*IF(INT((DATE(2026+5,10,31)-F42)/365.25)=0,(12-DowntimeNew)/12,1),IF(I42="LeaseUp",H42*D42*(1+GrowthMarketRent)^5*IF(5=0,(12-DowntimeNew)/12,1),0)))))))),0)</f>
        <v/>
      </c>
      <c r="T42" s="14">
        <f>IFERROR(IF(I42="LeaseUp",H42*D42*(1+GrowthMarketRent)^6*IF(6=0,(12-DowntimeNew)/12,1),IF(F42="",0,IF(F42&gt;=DATE(2027+6,4,30),G42*D42*(1+EscalatorInLease)^(6+M42),IF(F42&lt;DATE(2026+6,5,1),IF(I42="Vacate",H42*D42*(1+GrowthMarketRent)^6*IF(INT((DATE(2026+6,10,31)-F42)/365.25)=0,(12-DowntimeNew)/12,1),IF(I42="Option",G42*D42*1.025*(1+EscalatorInLease)^6,IF(I42="Market",Retention*G42*D42*(1+EscalatorInLease)^(6+M42)+(1-Retention)*H42*D42*(1+GrowthMarketRent)^6*IF(INT((DATE(2026+6,10,31)-F42)/365.25)=0,(12-DowntimeNew)/12,1),IF(I42="LeaseUp",H42*D42*(1+GrowthMarketRent)^6*IF(6=0,(12-DowntimeNew)/12,1),0)))),((F42-DATE(2026+6,5,1))/365.25)*G42*D42*(1+EscalatorInLease)^(6+M42)+((DATE(2027+6,4,30)-F42)/365.25)*IF(I42="Vacate",H42*D42*(1+GrowthMarketRent)^6*IF(INT((DATE(2026+6,10,31)-F42)/365.25)=0,(12-DowntimeNew)/12,1),IF(I42="Option",G42*D42*1.025*(1+EscalatorInLease)^6,IF(I42="Market",Retention*G42*D42*(1+EscalatorInLease)^(6+M42)+(1-Retention)*H42*D42*(1+GrowthMarketRent)^6*IF(INT((DATE(2026+6,10,31)-F42)/365.25)=0,(12-DowntimeNew)/12,1),IF(I42="LeaseUp",H42*D42*(1+GrowthMarketRent)^6*IF(6=0,(12-DowntimeNew)/12,1),0)))))))),0)</f>
        <v/>
      </c>
      <c r="U42" s="14">
        <f>IFERROR(IF(I42="LeaseUp",H42*D42*(1+GrowthMarketRent)^7*IF(7=0,(12-DowntimeNew)/12,1),IF(F42="",0,IF(F42&gt;=DATE(2027+7,4,30),G42*D42*(1+EscalatorInLease)^(7+M42),IF(F42&lt;DATE(2026+7,5,1),IF(I42="Vacate",H42*D42*(1+GrowthMarketRent)^7*IF(INT((DATE(2026+7,10,31)-F42)/365.25)=0,(12-DowntimeNew)/12,1),IF(I42="Option",G42*D42*1.025*(1+EscalatorInLease)^7,IF(I42="Market",Retention*G42*D42*(1+EscalatorInLease)^(7+M42)+(1-Retention)*H42*D42*(1+GrowthMarketRent)^7*IF(INT((DATE(2026+7,10,31)-F42)/365.25)=0,(12-DowntimeNew)/12,1),IF(I42="LeaseUp",H42*D42*(1+GrowthMarketRent)^7*IF(7=0,(12-DowntimeNew)/12,1),0)))),((F42-DATE(2026+7,5,1))/365.25)*G42*D42*(1+EscalatorInLease)^(7+M42)+((DATE(2027+7,4,30)-F42)/365.25)*IF(I42="Vacate",H42*D42*(1+GrowthMarketRent)^7*IF(INT((DATE(2026+7,10,31)-F42)/365.25)=0,(12-DowntimeNew)/12,1),IF(I42="Option",G42*D42*1.025*(1+EscalatorInLease)^7,IF(I42="Market",Retention*G42*D42*(1+EscalatorInLease)^(7+M42)+(1-Retention)*H42*D42*(1+GrowthMarketRent)^7*IF(INT((DATE(2026+7,10,31)-F42)/365.25)=0,(12-DowntimeNew)/12,1),IF(I42="LeaseUp",H42*D42*(1+GrowthMarketRent)^7*IF(7=0,(12-DowntimeNew)/12,1),0)))))))),0)</f>
        <v/>
      </c>
      <c r="V42" s="14">
        <f>IFERROR(IF(I42="LeaseUp",H42*D42*(1+GrowthMarketRent)^8*IF(8=0,(12-DowntimeNew)/12,1),IF(F42="",0,IF(F42&gt;=DATE(2027+8,4,30),G42*D42*(1+EscalatorInLease)^(8+M42),IF(F42&lt;DATE(2026+8,5,1),IF(I42="Vacate",H42*D42*(1+GrowthMarketRent)^8*IF(INT((DATE(2026+8,10,31)-F42)/365.25)=0,(12-DowntimeNew)/12,1),IF(I42="Option",G42*D42*1.025*(1+EscalatorInLease)^8,IF(I42="Market",Retention*G42*D42*(1+EscalatorInLease)^(8+M42)+(1-Retention)*H42*D42*(1+GrowthMarketRent)^8*IF(INT((DATE(2026+8,10,31)-F42)/365.25)=0,(12-DowntimeNew)/12,1),IF(I42="LeaseUp",H42*D42*(1+GrowthMarketRent)^8*IF(8=0,(12-DowntimeNew)/12,1),0)))),((F42-DATE(2026+8,5,1))/365.25)*G42*D42*(1+EscalatorInLease)^(8+M42)+((DATE(2027+8,4,30)-F42)/365.25)*IF(I42="Vacate",H42*D42*(1+GrowthMarketRent)^8*IF(INT((DATE(2026+8,10,31)-F42)/365.25)=0,(12-DowntimeNew)/12,1),IF(I42="Option",G42*D42*1.025*(1+EscalatorInLease)^8,IF(I42="Market",Retention*G42*D42*(1+EscalatorInLease)^(8+M42)+(1-Retention)*H42*D42*(1+GrowthMarketRent)^8*IF(INT((DATE(2026+8,10,31)-F42)/365.25)=0,(12-DowntimeNew)/12,1),IF(I42="LeaseUp",H42*D42*(1+GrowthMarketRent)^8*IF(8=0,(12-DowntimeNew)/12,1),0)))))))),0)</f>
        <v/>
      </c>
      <c r="W42" s="14">
        <f>IFERROR(IF(I42="LeaseUp",H42*D42*(1+GrowthMarketRent)^9*IF(9=0,(12-DowntimeNew)/12,1),IF(F42="",0,IF(F42&gt;=DATE(2027+9,4,30),G42*D42*(1+EscalatorInLease)^(9+M42),IF(F42&lt;DATE(2026+9,5,1),IF(I42="Vacate",H42*D42*(1+GrowthMarketRent)^9*IF(INT((DATE(2026+9,10,31)-F42)/365.25)=0,(12-DowntimeNew)/12,1),IF(I42="Option",G42*D42*1.025*(1+EscalatorInLease)^9,IF(I42="Market",Retention*G42*D42*(1+EscalatorInLease)^(9+M42)+(1-Retention)*H42*D42*(1+GrowthMarketRent)^9*IF(INT((DATE(2026+9,10,31)-F42)/365.25)=0,(12-DowntimeNew)/12,1),IF(I42="LeaseUp",H42*D42*(1+GrowthMarketRent)^9*IF(9=0,(12-DowntimeNew)/12,1),0)))),((F42-DATE(2026+9,5,1))/365.25)*G42*D42*(1+EscalatorInLease)^(9+M42)+((DATE(2027+9,4,30)-F42)/365.25)*IF(I42="Vacate",H42*D42*(1+GrowthMarketRent)^9*IF(INT((DATE(2026+9,10,31)-F42)/365.25)=0,(12-DowntimeNew)/12,1),IF(I42="Option",G42*D42*1.025*(1+EscalatorInLease)^9,IF(I42="Market",Retention*G42*D42*(1+EscalatorInLease)^(9+M42)+(1-Retention)*H42*D42*(1+GrowthMarketRent)^9*IF(INT((DATE(2026+9,10,31)-F42)/365.25)=0,(12-DowntimeNew)/12,1),IF(I42="LeaseUp",H42*D42*(1+GrowthMarketRent)^9*IF(9=0,(12-DowntimeNew)/12,1),0)))))))),0)</f>
        <v/>
      </c>
      <c r="X42" s="14">
        <f>IFERROR(IF(I42="LeaseUp",H42*D42*(1+GrowthMarketRent)^10*IF(10=0,(12-DowntimeNew)/12,1),IF(F42="",0,IF(F42&gt;=DATE(2027+10,4,30),G42*D42*(1+EscalatorInLease)^(10+M42),IF(F42&lt;DATE(2026+10,5,1),IF(I42="Vacate",H42*D42*(1+GrowthMarketRent)^10*IF(INT((DATE(2026+10,10,31)-F42)/365.25)=0,(12-DowntimeNew)/12,1),IF(I42="Option",G42*D42*1.025*(1+EscalatorInLease)^10,IF(I42="Market",Retention*G42*D42*(1+EscalatorInLease)^(10+M42)+(1-Retention)*H42*D42*(1+GrowthMarketRent)^10*IF(INT((DATE(2026+10,10,31)-F42)/365.25)=0,(12-DowntimeNew)/12,1),IF(I42="LeaseUp",H42*D42*(1+GrowthMarketRent)^10*IF(10=0,(12-DowntimeNew)/12,1),0)))),((F42-DATE(2026+10,5,1))/365.25)*G42*D42*(1+EscalatorInLease)^(10+M42)+((DATE(2027+10,4,30)-F42)/365.25)*IF(I42="Vacate",H42*D42*(1+GrowthMarketRent)^10*IF(INT((DATE(2026+10,10,31)-F42)/365.25)=0,(12-DowntimeNew)/12,1),IF(I42="Option",G42*D42*1.025*(1+EscalatorInLease)^10,IF(I42="Market",Retention*G42*D42*(1+EscalatorInLease)^(10+M42)+(1-Retention)*H42*D42*(1+GrowthMarketRent)^10*IF(INT((DATE(2026+10,10,31)-F42)/365.25)=0,(12-DowntimeNew)/12,1),IF(I42="LeaseUp",H42*D42*(1+GrowthMarketRent)^10*IF(10=0,(12-DowntimeNew)/12,1),0)))))))),0)</f>
        <v/>
      </c>
      <c r="Y42" s="14">
        <f>IFERROR(IF(AND(I42="LeaseUp",0=0),(IF(I42="Vacate",TINew*D42,IF(I42="Market",Retention*TIRenewal*D42+(1-Retention)*TINew*D42,IF(I42="LeaseUp",TINew*D42,IF(I42="Option",TIRenewal*D42,0)))))+(IF(I42="Vacate",LCNew*H42*D42*(1+GrowthMarketRent)^0,IF(I42="Market",Retention*LCRenewal*H42*D42*(1+GrowthMarketRent)^0+(1-Retention)*LCNew*H42*D42*(1+GrowthMarketRent)^0,IF(I42="LeaseUp",LCNew*H42*D42*(1+GrowthMarketRent)^0,IF(I42="Option",LCRenewal*H42*D42*(1+GrowthMarketRent)^0,0))))),IF(F42="",0,IF(AND(F42&gt;=DATE(2026+0,5,1),F42&lt;=DATE(2027+0,4,30)),(IF(I42="Vacate",TINew*D42,IF(I42="Market",Retention*TIRenewal*D42+(1-Retention)*TINew*D42,IF(I42="LeaseUp",TINew*D42,IF(I42="Option",TIRenewal*D42,0)))))+(IF(I42="Vacate",LCNew*H42*D42*(1+GrowthMarketRent)^0,IF(I42="Market",Retention*LCRenewal*H42*D42*(1+GrowthMarketRent)^0+(1-Retention)*LCNew*H42*D42*(1+GrowthMarketRent)^0,IF(I42="LeaseUp",LCNew*H42*D42*(1+GrowthMarketRent)^0,IF(I42="Option",LCRenewal*H42*D42*(1+GrowthMarketRent)^0,0))))),0))),0)</f>
        <v/>
      </c>
      <c r="Z42" s="14">
        <f>IFERROR(IF(AND(I42="LeaseUp",1=0),(IF(I42="Vacate",TINew*D42,IF(I42="Market",Retention*TIRenewal*D42+(1-Retention)*TINew*D42,IF(I42="LeaseUp",TINew*D42,IF(I42="Option",TIRenewal*D42,0)))))+(IF(I42="Vacate",LCNew*H42*D42*(1+GrowthMarketRent)^1,IF(I42="Market",Retention*LCRenewal*H42*D42*(1+GrowthMarketRent)^1+(1-Retention)*LCNew*H42*D42*(1+GrowthMarketRent)^1,IF(I42="LeaseUp",LCNew*H42*D42*(1+GrowthMarketRent)^1,IF(I42="Option",LCRenewal*H42*D42*(1+GrowthMarketRent)^1,0))))),IF(F42="",0,IF(AND(F42&gt;=DATE(2026+1,5,1),F42&lt;=DATE(2027+1,4,30)),(IF(I42="Vacate",TINew*D42,IF(I42="Market",Retention*TIRenewal*D42+(1-Retention)*TINew*D42,IF(I42="LeaseUp",TINew*D42,IF(I42="Option",TIRenewal*D42,0)))))+(IF(I42="Vacate",LCNew*H42*D42*(1+GrowthMarketRent)^1,IF(I42="Market",Retention*LCRenewal*H42*D42*(1+GrowthMarketRent)^1+(1-Retention)*LCNew*H42*D42*(1+GrowthMarketRent)^1,IF(I42="LeaseUp",LCNew*H42*D42*(1+GrowthMarketRent)^1,IF(I42="Option",LCRenewal*H42*D42*(1+GrowthMarketRent)^1,0))))),0))),0)</f>
        <v/>
      </c>
      <c r="AA42" s="14">
        <f>IFERROR(IF(AND(I42="LeaseUp",2=0),(IF(I42="Vacate",TINew*D42,IF(I42="Market",Retention*TIRenewal*D42+(1-Retention)*TINew*D42,IF(I42="LeaseUp",TINew*D42,IF(I42="Option",TIRenewal*D42,0)))))+(IF(I42="Vacate",LCNew*H42*D42*(1+GrowthMarketRent)^2,IF(I42="Market",Retention*LCRenewal*H42*D42*(1+GrowthMarketRent)^2+(1-Retention)*LCNew*H42*D42*(1+GrowthMarketRent)^2,IF(I42="LeaseUp",LCNew*H42*D42*(1+GrowthMarketRent)^2,IF(I42="Option",LCRenewal*H42*D42*(1+GrowthMarketRent)^2,0))))),IF(F42="",0,IF(AND(F42&gt;=DATE(2026+2,5,1),F42&lt;=DATE(2027+2,4,30)),(IF(I42="Vacate",TINew*D42,IF(I42="Market",Retention*TIRenewal*D42+(1-Retention)*TINew*D42,IF(I42="LeaseUp",TINew*D42,IF(I42="Option",TIRenewal*D42,0)))))+(IF(I42="Vacate",LCNew*H42*D42*(1+GrowthMarketRent)^2,IF(I42="Market",Retention*LCRenewal*H42*D42*(1+GrowthMarketRent)^2+(1-Retention)*LCNew*H42*D42*(1+GrowthMarketRent)^2,IF(I42="LeaseUp",LCNew*H42*D42*(1+GrowthMarketRent)^2,IF(I42="Option",LCRenewal*H42*D42*(1+GrowthMarketRent)^2,0))))),0))),0)</f>
        <v/>
      </c>
      <c r="AB42" s="14">
        <f>IFERROR(IF(AND(I42="LeaseUp",3=0),(IF(I42="Vacate",TINew*D42,IF(I42="Market",Retention*TIRenewal*D42+(1-Retention)*TINew*D42,IF(I42="LeaseUp",TINew*D42,IF(I42="Option",TIRenewal*D42,0)))))+(IF(I42="Vacate",LCNew*H42*D42*(1+GrowthMarketRent)^3,IF(I42="Market",Retention*LCRenewal*H42*D42*(1+GrowthMarketRent)^3+(1-Retention)*LCNew*H42*D42*(1+GrowthMarketRent)^3,IF(I42="LeaseUp",LCNew*H42*D42*(1+GrowthMarketRent)^3,IF(I42="Option",LCRenewal*H42*D42*(1+GrowthMarketRent)^3,0))))),IF(F42="",0,IF(AND(F42&gt;=DATE(2026+3,5,1),F42&lt;=DATE(2027+3,4,30)),(IF(I42="Vacate",TINew*D42,IF(I42="Market",Retention*TIRenewal*D42+(1-Retention)*TINew*D42,IF(I42="LeaseUp",TINew*D42,IF(I42="Option",TIRenewal*D42,0)))))+(IF(I42="Vacate",LCNew*H42*D42*(1+GrowthMarketRent)^3,IF(I42="Market",Retention*LCRenewal*H42*D42*(1+GrowthMarketRent)^3+(1-Retention)*LCNew*H42*D42*(1+GrowthMarketRent)^3,IF(I42="LeaseUp",LCNew*H42*D42*(1+GrowthMarketRent)^3,IF(I42="Option",LCRenewal*H42*D42*(1+GrowthMarketRent)^3,0))))),0))),0)</f>
        <v/>
      </c>
      <c r="AC42" s="14">
        <f>IFERROR(IF(AND(I42="LeaseUp",4=0),(IF(I42="Vacate",TINew*D42,IF(I42="Market",Retention*TIRenewal*D42+(1-Retention)*TINew*D42,IF(I42="LeaseUp",TINew*D42,IF(I42="Option",TIRenewal*D42,0)))))+(IF(I42="Vacate",LCNew*H42*D42*(1+GrowthMarketRent)^4,IF(I42="Market",Retention*LCRenewal*H42*D42*(1+GrowthMarketRent)^4+(1-Retention)*LCNew*H42*D42*(1+GrowthMarketRent)^4,IF(I42="LeaseUp",LCNew*H42*D42*(1+GrowthMarketRent)^4,IF(I42="Option",LCRenewal*H42*D42*(1+GrowthMarketRent)^4,0))))),IF(F42="",0,IF(AND(F42&gt;=DATE(2026+4,5,1),F42&lt;=DATE(2027+4,4,30)),(IF(I42="Vacate",TINew*D42,IF(I42="Market",Retention*TIRenewal*D42+(1-Retention)*TINew*D42,IF(I42="LeaseUp",TINew*D42,IF(I42="Option",TIRenewal*D42,0)))))+(IF(I42="Vacate",LCNew*H42*D42*(1+GrowthMarketRent)^4,IF(I42="Market",Retention*LCRenewal*H42*D42*(1+GrowthMarketRent)^4+(1-Retention)*LCNew*H42*D42*(1+GrowthMarketRent)^4,IF(I42="LeaseUp",LCNew*H42*D42*(1+GrowthMarketRent)^4,IF(I42="Option",LCRenewal*H42*D42*(1+GrowthMarketRent)^4,0))))),0))),0)</f>
        <v/>
      </c>
      <c r="AD42" s="14">
        <f>IFERROR(IF(AND(I42="LeaseUp",5=0),(IF(I42="Vacate",TINew*D42,IF(I42="Market",Retention*TIRenewal*D42+(1-Retention)*TINew*D42,IF(I42="LeaseUp",TINew*D42,IF(I42="Option",TIRenewal*D42,0)))))+(IF(I42="Vacate",LCNew*H42*D42*(1+GrowthMarketRent)^5,IF(I42="Market",Retention*LCRenewal*H42*D42*(1+GrowthMarketRent)^5+(1-Retention)*LCNew*H42*D42*(1+GrowthMarketRent)^5,IF(I42="LeaseUp",LCNew*H42*D42*(1+GrowthMarketRent)^5,IF(I42="Option",LCRenewal*H42*D42*(1+GrowthMarketRent)^5,0))))),IF(F42="",0,IF(AND(F42&gt;=DATE(2026+5,5,1),F42&lt;=DATE(2027+5,4,30)),(IF(I42="Vacate",TINew*D42,IF(I42="Market",Retention*TIRenewal*D42+(1-Retention)*TINew*D42,IF(I42="LeaseUp",TINew*D42,IF(I42="Option",TIRenewal*D42,0)))))+(IF(I42="Vacate",LCNew*H42*D42*(1+GrowthMarketRent)^5,IF(I42="Market",Retention*LCRenewal*H42*D42*(1+GrowthMarketRent)^5+(1-Retention)*LCNew*H42*D42*(1+GrowthMarketRent)^5,IF(I42="LeaseUp",LCNew*H42*D42*(1+GrowthMarketRent)^5,IF(I42="Option",LCRenewal*H42*D42*(1+GrowthMarketRent)^5,0))))),0))),0)</f>
        <v/>
      </c>
      <c r="AE42" s="14">
        <f>IFERROR(IF(AND(I42="LeaseUp",6=0),(IF(I42="Vacate",TINew*D42,IF(I42="Market",Retention*TIRenewal*D42+(1-Retention)*TINew*D42,IF(I42="LeaseUp",TINew*D42,IF(I42="Option",TIRenewal*D42,0)))))+(IF(I42="Vacate",LCNew*H42*D42*(1+GrowthMarketRent)^6,IF(I42="Market",Retention*LCRenewal*H42*D42*(1+GrowthMarketRent)^6+(1-Retention)*LCNew*H42*D42*(1+GrowthMarketRent)^6,IF(I42="LeaseUp",LCNew*H42*D42*(1+GrowthMarketRent)^6,IF(I42="Option",LCRenewal*H42*D42*(1+GrowthMarketRent)^6,0))))),IF(F42="",0,IF(AND(F42&gt;=DATE(2026+6,5,1),F42&lt;=DATE(2027+6,4,30)),(IF(I42="Vacate",TINew*D42,IF(I42="Market",Retention*TIRenewal*D42+(1-Retention)*TINew*D42,IF(I42="LeaseUp",TINew*D42,IF(I42="Option",TIRenewal*D42,0)))))+(IF(I42="Vacate",LCNew*H42*D42*(1+GrowthMarketRent)^6,IF(I42="Market",Retention*LCRenewal*H42*D42*(1+GrowthMarketRent)^6+(1-Retention)*LCNew*H42*D42*(1+GrowthMarketRent)^6,IF(I42="LeaseUp",LCNew*H42*D42*(1+GrowthMarketRent)^6,IF(I42="Option",LCRenewal*H42*D42*(1+GrowthMarketRent)^6,0))))),0))),0)</f>
        <v/>
      </c>
      <c r="AF42" s="14">
        <f>IFERROR(IF(AND(I42="LeaseUp",7=0),(IF(I42="Vacate",TINew*D42,IF(I42="Market",Retention*TIRenewal*D42+(1-Retention)*TINew*D42,IF(I42="LeaseUp",TINew*D42,IF(I42="Option",TIRenewal*D42,0)))))+(IF(I42="Vacate",LCNew*H42*D42*(1+GrowthMarketRent)^7,IF(I42="Market",Retention*LCRenewal*H42*D42*(1+GrowthMarketRent)^7+(1-Retention)*LCNew*H42*D42*(1+GrowthMarketRent)^7,IF(I42="LeaseUp",LCNew*H42*D42*(1+GrowthMarketRent)^7,IF(I42="Option",LCRenewal*H42*D42*(1+GrowthMarketRent)^7,0))))),IF(F42="",0,IF(AND(F42&gt;=DATE(2026+7,5,1),F42&lt;=DATE(2027+7,4,30)),(IF(I42="Vacate",TINew*D42,IF(I42="Market",Retention*TIRenewal*D42+(1-Retention)*TINew*D42,IF(I42="LeaseUp",TINew*D42,IF(I42="Option",TIRenewal*D42,0)))))+(IF(I42="Vacate",LCNew*H42*D42*(1+GrowthMarketRent)^7,IF(I42="Market",Retention*LCRenewal*H42*D42*(1+GrowthMarketRent)^7+(1-Retention)*LCNew*H42*D42*(1+GrowthMarketRent)^7,IF(I42="LeaseUp",LCNew*H42*D42*(1+GrowthMarketRent)^7,IF(I42="Option",LCRenewal*H42*D42*(1+GrowthMarketRent)^7,0))))),0))),0)</f>
        <v/>
      </c>
      <c r="AG42" s="14">
        <f>IFERROR(IF(AND(I42="LeaseUp",8=0),(IF(I42="Vacate",TINew*D42,IF(I42="Market",Retention*TIRenewal*D42+(1-Retention)*TINew*D42,IF(I42="LeaseUp",TINew*D42,IF(I42="Option",TIRenewal*D42,0)))))+(IF(I42="Vacate",LCNew*H42*D42*(1+GrowthMarketRent)^8,IF(I42="Market",Retention*LCRenewal*H42*D42*(1+GrowthMarketRent)^8+(1-Retention)*LCNew*H42*D42*(1+GrowthMarketRent)^8,IF(I42="LeaseUp",LCNew*H42*D42*(1+GrowthMarketRent)^8,IF(I42="Option",LCRenewal*H42*D42*(1+GrowthMarketRent)^8,0))))),IF(F42="",0,IF(AND(F42&gt;=DATE(2026+8,5,1),F42&lt;=DATE(2027+8,4,30)),(IF(I42="Vacate",TINew*D42,IF(I42="Market",Retention*TIRenewal*D42+(1-Retention)*TINew*D42,IF(I42="LeaseUp",TINew*D42,IF(I42="Option",TIRenewal*D42,0)))))+(IF(I42="Vacate",LCNew*H42*D42*(1+GrowthMarketRent)^8,IF(I42="Market",Retention*LCRenewal*H42*D42*(1+GrowthMarketRent)^8+(1-Retention)*LCNew*H42*D42*(1+GrowthMarketRent)^8,IF(I42="LeaseUp",LCNew*H42*D42*(1+GrowthMarketRent)^8,IF(I42="Option",LCRenewal*H42*D42*(1+GrowthMarketRent)^8,0))))),0))),0)</f>
        <v/>
      </c>
      <c r="AH42" s="14">
        <f>IFERROR(IF(AND(I42="LeaseUp",9=0),(IF(I42="Vacate",TINew*D42,IF(I42="Market",Retention*TIRenewal*D42+(1-Retention)*TINew*D42,IF(I42="LeaseUp",TINew*D42,IF(I42="Option",TIRenewal*D42,0)))))+(IF(I42="Vacate",LCNew*H42*D42*(1+GrowthMarketRent)^9,IF(I42="Market",Retention*LCRenewal*H42*D42*(1+GrowthMarketRent)^9+(1-Retention)*LCNew*H42*D42*(1+GrowthMarketRent)^9,IF(I42="LeaseUp",LCNew*H42*D42*(1+GrowthMarketRent)^9,IF(I42="Option",LCRenewal*H42*D42*(1+GrowthMarketRent)^9,0))))),IF(F42="",0,IF(AND(F42&gt;=DATE(2026+9,5,1),F42&lt;=DATE(2027+9,4,30)),(IF(I42="Vacate",TINew*D42,IF(I42="Market",Retention*TIRenewal*D42+(1-Retention)*TINew*D42,IF(I42="LeaseUp",TINew*D42,IF(I42="Option",TIRenewal*D42,0)))))+(IF(I42="Vacate",LCNew*H42*D42*(1+GrowthMarketRent)^9,IF(I42="Market",Retention*LCRenewal*H42*D42*(1+GrowthMarketRent)^9+(1-Retention)*LCNew*H42*D42*(1+GrowthMarketRent)^9,IF(I42="LeaseUp",LCNew*H42*D42*(1+GrowthMarketRent)^9,IF(I42="Option",LCRenewal*H42*D42*(1+GrowthMarketRent)^9,0))))),0))),0)</f>
        <v/>
      </c>
      <c r="AI42" s="14">
        <f>IFERROR(IF(AND(I42="LeaseUp",10=0),(IF(I42="Vacate",TINew*D42,IF(I42="Market",Retention*TIRenewal*D42+(1-Retention)*TINew*D42,IF(I42="LeaseUp",TINew*D42,IF(I42="Option",TIRenewal*D42,0)))))+(IF(I42="Vacate",LCNew*H42*D42*(1+GrowthMarketRent)^10,IF(I42="Market",Retention*LCRenewal*H42*D42*(1+GrowthMarketRent)^10+(1-Retention)*LCNew*H42*D42*(1+GrowthMarketRent)^10,IF(I42="LeaseUp",LCNew*H42*D42*(1+GrowthMarketRent)^10,IF(I42="Option",LCRenewal*H42*D42*(1+GrowthMarketRent)^10,0))))),IF(F42="",0,IF(AND(F42&gt;=DATE(2026+10,5,1),F42&lt;=DATE(2027+10,4,30)),(IF(I42="Vacate",TINew*D42,IF(I42="Market",Retention*TIRenewal*D42+(1-Retention)*TINew*D42,IF(I42="LeaseUp",TINew*D42,IF(I42="Option",TIRenewal*D42,0)))))+(IF(I42="Vacate",LCNew*H42*D42*(1+GrowthMarketRent)^10,IF(I42="Market",Retention*LCRenewal*H42*D42*(1+GrowthMarketRent)^10+(1-Retention)*LCNew*H42*D42*(1+GrowthMarketRent)^10,IF(I42="LeaseUp",LCNew*H42*D42*(1+GrowthMarketRent)^10,IF(I42="Option",LCRenewal*H42*D42*(1+GrowthMarketRent)^10,0))))),0))),0)</f>
        <v/>
      </c>
    </row>
    <row r="43">
      <c r="A43" t="inlineStr">
        <is>
          <t>Frisco</t>
        </is>
      </c>
      <c r="B43" t="inlineStr">
        <is>
          <t>103</t>
        </is>
      </c>
      <c r="C43" t="inlineStr">
        <is>
          <t>Titan Glass LLC</t>
        </is>
      </c>
      <c r="D43" s="32" t="n">
        <v>2600</v>
      </c>
      <c r="E43" s="33" t="n">
        <v>45748</v>
      </c>
      <c r="F43" s="33" t="n">
        <v>47178</v>
      </c>
      <c r="G43" s="34" t="n">
        <v>17.425</v>
      </c>
      <c r="H43" s="16">
        <f>VLOOKUP(A43,MLA!$A$5:$L$11,3,FALSE)</f>
        <v/>
      </c>
      <c r="I43" s="11" t="inlineStr">
        <is>
          <t>Market</t>
        </is>
      </c>
      <c r="J43" t="inlineStr">
        <is>
          <t>Shop</t>
        </is>
      </c>
      <c r="K43" t="inlineStr">
        <is>
          <t>Occupied</t>
        </is>
      </c>
      <c r="L43" t="inlineStr"/>
      <c r="M43" s="20">
        <f>IF(E43="",0,(AnalysisStart-E43)/365.25)</f>
        <v/>
      </c>
      <c r="N43" s="14">
        <f>IFERROR(IF(I43="LeaseUp",H43*D43*(1+GrowthMarketRent)^0*IF(0=0,(12-DowntimeNew)/12,1),IF(F43="",0,IF(F43&gt;=DATE(2027+0,4,30),G43*D43*(1+EscalatorInLease)^(0+M43),IF(F43&lt;DATE(2026+0,5,1),IF(I43="Vacate",H43*D43*(1+GrowthMarketRent)^0*IF(INT((DATE(2026+0,10,31)-F43)/365.25)=0,(12-DowntimeNew)/12,1),IF(I43="Option",G43*D43*1.025*(1+EscalatorInLease)^0,IF(I43="Market",Retention*G43*D43*(1+EscalatorInLease)^(0+M43)+(1-Retention)*H43*D43*(1+GrowthMarketRent)^0*IF(INT((DATE(2026+0,10,31)-F43)/365.25)=0,(12-DowntimeNew)/12,1),IF(I43="LeaseUp",H43*D43*(1+GrowthMarketRent)^0*IF(0=0,(12-DowntimeNew)/12,1),0)))),((F43-DATE(2026+0,5,1))/365.25)*G43*D43*(1+EscalatorInLease)^(0+M43)+((DATE(2027+0,4,30)-F43)/365.25)*IF(I43="Vacate",H43*D43*(1+GrowthMarketRent)^0*IF(INT((DATE(2026+0,10,31)-F43)/365.25)=0,(12-DowntimeNew)/12,1),IF(I43="Option",G43*D43*1.025*(1+EscalatorInLease)^0,IF(I43="Market",Retention*G43*D43*(1+EscalatorInLease)^(0+M43)+(1-Retention)*H43*D43*(1+GrowthMarketRent)^0*IF(INT((DATE(2026+0,10,31)-F43)/365.25)=0,(12-DowntimeNew)/12,1),IF(I43="LeaseUp",H43*D43*(1+GrowthMarketRent)^0*IF(0=0,(12-DowntimeNew)/12,1),0)))))))),0)</f>
        <v/>
      </c>
      <c r="O43" s="14">
        <f>IFERROR(IF(I43="LeaseUp",H43*D43*(1+GrowthMarketRent)^1*IF(1=0,(12-DowntimeNew)/12,1),IF(F43="",0,IF(F43&gt;=DATE(2027+1,4,30),G43*D43*(1+EscalatorInLease)^(1+M43),IF(F43&lt;DATE(2026+1,5,1),IF(I43="Vacate",H43*D43*(1+GrowthMarketRent)^1*IF(INT((DATE(2026+1,10,31)-F43)/365.25)=0,(12-DowntimeNew)/12,1),IF(I43="Option",G43*D43*1.025*(1+EscalatorInLease)^1,IF(I43="Market",Retention*G43*D43*(1+EscalatorInLease)^(1+M43)+(1-Retention)*H43*D43*(1+GrowthMarketRent)^1*IF(INT((DATE(2026+1,10,31)-F43)/365.25)=0,(12-DowntimeNew)/12,1),IF(I43="LeaseUp",H43*D43*(1+GrowthMarketRent)^1*IF(1=0,(12-DowntimeNew)/12,1),0)))),((F43-DATE(2026+1,5,1))/365.25)*G43*D43*(1+EscalatorInLease)^(1+M43)+((DATE(2027+1,4,30)-F43)/365.25)*IF(I43="Vacate",H43*D43*(1+GrowthMarketRent)^1*IF(INT((DATE(2026+1,10,31)-F43)/365.25)=0,(12-DowntimeNew)/12,1),IF(I43="Option",G43*D43*1.025*(1+EscalatorInLease)^1,IF(I43="Market",Retention*G43*D43*(1+EscalatorInLease)^(1+M43)+(1-Retention)*H43*D43*(1+GrowthMarketRent)^1*IF(INT((DATE(2026+1,10,31)-F43)/365.25)=0,(12-DowntimeNew)/12,1),IF(I43="LeaseUp",H43*D43*(1+GrowthMarketRent)^1*IF(1=0,(12-DowntimeNew)/12,1),0)))))))),0)</f>
        <v/>
      </c>
      <c r="P43" s="14">
        <f>IFERROR(IF(I43="LeaseUp",H43*D43*(1+GrowthMarketRent)^2*IF(2=0,(12-DowntimeNew)/12,1),IF(F43="",0,IF(F43&gt;=DATE(2027+2,4,30),G43*D43*(1+EscalatorInLease)^(2+M43),IF(F43&lt;DATE(2026+2,5,1),IF(I43="Vacate",H43*D43*(1+GrowthMarketRent)^2*IF(INT((DATE(2026+2,10,31)-F43)/365.25)=0,(12-DowntimeNew)/12,1),IF(I43="Option",G43*D43*1.025*(1+EscalatorInLease)^2,IF(I43="Market",Retention*G43*D43*(1+EscalatorInLease)^(2+M43)+(1-Retention)*H43*D43*(1+GrowthMarketRent)^2*IF(INT((DATE(2026+2,10,31)-F43)/365.25)=0,(12-DowntimeNew)/12,1),IF(I43="LeaseUp",H43*D43*(1+GrowthMarketRent)^2*IF(2=0,(12-DowntimeNew)/12,1),0)))),((F43-DATE(2026+2,5,1))/365.25)*G43*D43*(1+EscalatorInLease)^(2+M43)+((DATE(2027+2,4,30)-F43)/365.25)*IF(I43="Vacate",H43*D43*(1+GrowthMarketRent)^2*IF(INT((DATE(2026+2,10,31)-F43)/365.25)=0,(12-DowntimeNew)/12,1),IF(I43="Option",G43*D43*1.025*(1+EscalatorInLease)^2,IF(I43="Market",Retention*G43*D43*(1+EscalatorInLease)^(2+M43)+(1-Retention)*H43*D43*(1+GrowthMarketRent)^2*IF(INT((DATE(2026+2,10,31)-F43)/365.25)=0,(12-DowntimeNew)/12,1),IF(I43="LeaseUp",H43*D43*(1+GrowthMarketRent)^2*IF(2=0,(12-DowntimeNew)/12,1),0)))))))),0)</f>
        <v/>
      </c>
      <c r="Q43" s="14">
        <f>IFERROR(IF(I43="LeaseUp",H43*D43*(1+GrowthMarketRent)^3*IF(3=0,(12-DowntimeNew)/12,1),IF(F43="",0,IF(F43&gt;=DATE(2027+3,4,30),G43*D43*(1+EscalatorInLease)^(3+M43),IF(F43&lt;DATE(2026+3,5,1),IF(I43="Vacate",H43*D43*(1+GrowthMarketRent)^3*IF(INT((DATE(2026+3,10,31)-F43)/365.25)=0,(12-DowntimeNew)/12,1),IF(I43="Option",G43*D43*1.025*(1+EscalatorInLease)^3,IF(I43="Market",Retention*G43*D43*(1+EscalatorInLease)^(3+M43)+(1-Retention)*H43*D43*(1+GrowthMarketRent)^3*IF(INT((DATE(2026+3,10,31)-F43)/365.25)=0,(12-DowntimeNew)/12,1),IF(I43="LeaseUp",H43*D43*(1+GrowthMarketRent)^3*IF(3=0,(12-DowntimeNew)/12,1),0)))),((F43-DATE(2026+3,5,1))/365.25)*G43*D43*(1+EscalatorInLease)^(3+M43)+((DATE(2027+3,4,30)-F43)/365.25)*IF(I43="Vacate",H43*D43*(1+GrowthMarketRent)^3*IF(INT((DATE(2026+3,10,31)-F43)/365.25)=0,(12-DowntimeNew)/12,1),IF(I43="Option",G43*D43*1.025*(1+EscalatorInLease)^3,IF(I43="Market",Retention*G43*D43*(1+EscalatorInLease)^(3+M43)+(1-Retention)*H43*D43*(1+GrowthMarketRent)^3*IF(INT((DATE(2026+3,10,31)-F43)/365.25)=0,(12-DowntimeNew)/12,1),IF(I43="LeaseUp",H43*D43*(1+GrowthMarketRent)^3*IF(3=0,(12-DowntimeNew)/12,1),0)))))))),0)</f>
        <v/>
      </c>
      <c r="R43" s="14">
        <f>IFERROR(IF(I43="LeaseUp",H43*D43*(1+GrowthMarketRent)^4*IF(4=0,(12-DowntimeNew)/12,1),IF(F43="",0,IF(F43&gt;=DATE(2027+4,4,30),G43*D43*(1+EscalatorInLease)^(4+M43),IF(F43&lt;DATE(2026+4,5,1),IF(I43="Vacate",H43*D43*(1+GrowthMarketRent)^4*IF(INT((DATE(2026+4,10,31)-F43)/365.25)=0,(12-DowntimeNew)/12,1),IF(I43="Option",G43*D43*1.025*(1+EscalatorInLease)^4,IF(I43="Market",Retention*G43*D43*(1+EscalatorInLease)^(4+M43)+(1-Retention)*H43*D43*(1+GrowthMarketRent)^4*IF(INT((DATE(2026+4,10,31)-F43)/365.25)=0,(12-DowntimeNew)/12,1),IF(I43="LeaseUp",H43*D43*(1+GrowthMarketRent)^4*IF(4=0,(12-DowntimeNew)/12,1),0)))),((F43-DATE(2026+4,5,1))/365.25)*G43*D43*(1+EscalatorInLease)^(4+M43)+((DATE(2027+4,4,30)-F43)/365.25)*IF(I43="Vacate",H43*D43*(1+GrowthMarketRent)^4*IF(INT((DATE(2026+4,10,31)-F43)/365.25)=0,(12-DowntimeNew)/12,1),IF(I43="Option",G43*D43*1.025*(1+EscalatorInLease)^4,IF(I43="Market",Retention*G43*D43*(1+EscalatorInLease)^(4+M43)+(1-Retention)*H43*D43*(1+GrowthMarketRent)^4*IF(INT((DATE(2026+4,10,31)-F43)/365.25)=0,(12-DowntimeNew)/12,1),IF(I43="LeaseUp",H43*D43*(1+GrowthMarketRent)^4*IF(4=0,(12-DowntimeNew)/12,1),0)))))))),0)</f>
        <v/>
      </c>
      <c r="S43" s="14">
        <f>IFERROR(IF(I43="LeaseUp",H43*D43*(1+GrowthMarketRent)^5*IF(5=0,(12-DowntimeNew)/12,1),IF(F43="",0,IF(F43&gt;=DATE(2027+5,4,30),G43*D43*(1+EscalatorInLease)^(5+M43),IF(F43&lt;DATE(2026+5,5,1),IF(I43="Vacate",H43*D43*(1+GrowthMarketRent)^5*IF(INT((DATE(2026+5,10,31)-F43)/365.25)=0,(12-DowntimeNew)/12,1),IF(I43="Option",G43*D43*1.025*(1+EscalatorInLease)^5,IF(I43="Market",Retention*G43*D43*(1+EscalatorInLease)^(5+M43)+(1-Retention)*H43*D43*(1+GrowthMarketRent)^5*IF(INT((DATE(2026+5,10,31)-F43)/365.25)=0,(12-DowntimeNew)/12,1),IF(I43="LeaseUp",H43*D43*(1+GrowthMarketRent)^5*IF(5=0,(12-DowntimeNew)/12,1),0)))),((F43-DATE(2026+5,5,1))/365.25)*G43*D43*(1+EscalatorInLease)^(5+M43)+((DATE(2027+5,4,30)-F43)/365.25)*IF(I43="Vacate",H43*D43*(1+GrowthMarketRent)^5*IF(INT((DATE(2026+5,10,31)-F43)/365.25)=0,(12-DowntimeNew)/12,1),IF(I43="Option",G43*D43*1.025*(1+EscalatorInLease)^5,IF(I43="Market",Retention*G43*D43*(1+EscalatorInLease)^(5+M43)+(1-Retention)*H43*D43*(1+GrowthMarketRent)^5*IF(INT((DATE(2026+5,10,31)-F43)/365.25)=0,(12-DowntimeNew)/12,1),IF(I43="LeaseUp",H43*D43*(1+GrowthMarketRent)^5*IF(5=0,(12-DowntimeNew)/12,1),0)))))))),0)</f>
        <v/>
      </c>
      <c r="T43" s="14">
        <f>IFERROR(IF(I43="LeaseUp",H43*D43*(1+GrowthMarketRent)^6*IF(6=0,(12-DowntimeNew)/12,1),IF(F43="",0,IF(F43&gt;=DATE(2027+6,4,30),G43*D43*(1+EscalatorInLease)^(6+M43),IF(F43&lt;DATE(2026+6,5,1),IF(I43="Vacate",H43*D43*(1+GrowthMarketRent)^6*IF(INT((DATE(2026+6,10,31)-F43)/365.25)=0,(12-DowntimeNew)/12,1),IF(I43="Option",G43*D43*1.025*(1+EscalatorInLease)^6,IF(I43="Market",Retention*G43*D43*(1+EscalatorInLease)^(6+M43)+(1-Retention)*H43*D43*(1+GrowthMarketRent)^6*IF(INT((DATE(2026+6,10,31)-F43)/365.25)=0,(12-DowntimeNew)/12,1),IF(I43="LeaseUp",H43*D43*(1+GrowthMarketRent)^6*IF(6=0,(12-DowntimeNew)/12,1),0)))),((F43-DATE(2026+6,5,1))/365.25)*G43*D43*(1+EscalatorInLease)^(6+M43)+((DATE(2027+6,4,30)-F43)/365.25)*IF(I43="Vacate",H43*D43*(1+GrowthMarketRent)^6*IF(INT((DATE(2026+6,10,31)-F43)/365.25)=0,(12-DowntimeNew)/12,1),IF(I43="Option",G43*D43*1.025*(1+EscalatorInLease)^6,IF(I43="Market",Retention*G43*D43*(1+EscalatorInLease)^(6+M43)+(1-Retention)*H43*D43*(1+GrowthMarketRent)^6*IF(INT((DATE(2026+6,10,31)-F43)/365.25)=0,(12-DowntimeNew)/12,1),IF(I43="LeaseUp",H43*D43*(1+GrowthMarketRent)^6*IF(6=0,(12-DowntimeNew)/12,1),0)))))))),0)</f>
        <v/>
      </c>
      <c r="U43" s="14">
        <f>IFERROR(IF(I43="LeaseUp",H43*D43*(1+GrowthMarketRent)^7*IF(7=0,(12-DowntimeNew)/12,1),IF(F43="",0,IF(F43&gt;=DATE(2027+7,4,30),G43*D43*(1+EscalatorInLease)^(7+M43),IF(F43&lt;DATE(2026+7,5,1),IF(I43="Vacate",H43*D43*(1+GrowthMarketRent)^7*IF(INT((DATE(2026+7,10,31)-F43)/365.25)=0,(12-DowntimeNew)/12,1),IF(I43="Option",G43*D43*1.025*(1+EscalatorInLease)^7,IF(I43="Market",Retention*G43*D43*(1+EscalatorInLease)^(7+M43)+(1-Retention)*H43*D43*(1+GrowthMarketRent)^7*IF(INT((DATE(2026+7,10,31)-F43)/365.25)=0,(12-DowntimeNew)/12,1),IF(I43="LeaseUp",H43*D43*(1+GrowthMarketRent)^7*IF(7=0,(12-DowntimeNew)/12,1),0)))),((F43-DATE(2026+7,5,1))/365.25)*G43*D43*(1+EscalatorInLease)^(7+M43)+((DATE(2027+7,4,30)-F43)/365.25)*IF(I43="Vacate",H43*D43*(1+GrowthMarketRent)^7*IF(INT((DATE(2026+7,10,31)-F43)/365.25)=0,(12-DowntimeNew)/12,1),IF(I43="Option",G43*D43*1.025*(1+EscalatorInLease)^7,IF(I43="Market",Retention*G43*D43*(1+EscalatorInLease)^(7+M43)+(1-Retention)*H43*D43*(1+GrowthMarketRent)^7*IF(INT((DATE(2026+7,10,31)-F43)/365.25)=0,(12-DowntimeNew)/12,1),IF(I43="LeaseUp",H43*D43*(1+GrowthMarketRent)^7*IF(7=0,(12-DowntimeNew)/12,1),0)))))))),0)</f>
        <v/>
      </c>
      <c r="V43" s="14">
        <f>IFERROR(IF(I43="LeaseUp",H43*D43*(1+GrowthMarketRent)^8*IF(8=0,(12-DowntimeNew)/12,1),IF(F43="",0,IF(F43&gt;=DATE(2027+8,4,30),G43*D43*(1+EscalatorInLease)^(8+M43),IF(F43&lt;DATE(2026+8,5,1),IF(I43="Vacate",H43*D43*(1+GrowthMarketRent)^8*IF(INT((DATE(2026+8,10,31)-F43)/365.25)=0,(12-DowntimeNew)/12,1),IF(I43="Option",G43*D43*1.025*(1+EscalatorInLease)^8,IF(I43="Market",Retention*G43*D43*(1+EscalatorInLease)^(8+M43)+(1-Retention)*H43*D43*(1+GrowthMarketRent)^8*IF(INT((DATE(2026+8,10,31)-F43)/365.25)=0,(12-DowntimeNew)/12,1),IF(I43="LeaseUp",H43*D43*(1+GrowthMarketRent)^8*IF(8=0,(12-DowntimeNew)/12,1),0)))),((F43-DATE(2026+8,5,1))/365.25)*G43*D43*(1+EscalatorInLease)^(8+M43)+((DATE(2027+8,4,30)-F43)/365.25)*IF(I43="Vacate",H43*D43*(1+GrowthMarketRent)^8*IF(INT((DATE(2026+8,10,31)-F43)/365.25)=0,(12-DowntimeNew)/12,1),IF(I43="Option",G43*D43*1.025*(1+EscalatorInLease)^8,IF(I43="Market",Retention*G43*D43*(1+EscalatorInLease)^(8+M43)+(1-Retention)*H43*D43*(1+GrowthMarketRent)^8*IF(INT((DATE(2026+8,10,31)-F43)/365.25)=0,(12-DowntimeNew)/12,1),IF(I43="LeaseUp",H43*D43*(1+GrowthMarketRent)^8*IF(8=0,(12-DowntimeNew)/12,1),0)))))))),0)</f>
        <v/>
      </c>
      <c r="W43" s="14">
        <f>IFERROR(IF(I43="LeaseUp",H43*D43*(1+GrowthMarketRent)^9*IF(9=0,(12-DowntimeNew)/12,1),IF(F43="",0,IF(F43&gt;=DATE(2027+9,4,30),G43*D43*(1+EscalatorInLease)^(9+M43),IF(F43&lt;DATE(2026+9,5,1),IF(I43="Vacate",H43*D43*(1+GrowthMarketRent)^9*IF(INT((DATE(2026+9,10,31)-F43)/365.25)=0,(12-DowntimeNew)/12,1),IF(I43="Option",G43*D43*1.025*(1+EscalatorInLease)^9,IF(I43="Market",Retention*G43*D43*(1+EscalatorInLease)^(9+M43)+(1-Retention)*H43*D43*(1+GrowthMarketRent)^9*IF(INT((DATE(2026+9,10,31)-F43)/365.25)=0,(12-DowntimeNew)/12,1),IF(I43="LeaseUp",H43*D43*(1+GrowthMarketRent)^9*IF(9=0,(12-DowntimeNew)/12,1),0)))),((F43-DATE(2026+9,5,1))/365.25)*G43*D43*(1+EscalatorInLease)^(9+M43)+((DATE(2027+9,4,30)-F43)/365.25)*IF(I43="Vacate",H43*D43*(1+GrowthMarketRent)^9*IF(INT((DATE(2026+9,10,31)-F43)/365.25)=0,(12-DowntimeNew)/12,1),IF(I43="Option",G43*D43*1.025*(1+EscalatorInLease)^9,IF(I43="Market",Retention*G43*D43*(1+EscalatorInLease)^(9+M43)+(1-Retention)*H43*D43*(1+GrowthMarketRent)^9*IF(INT((DATE(2026+9,10,31)-F43)/365.25)=0,(12-DowntimeNew)/12,1),IF(I43="LeaseUp",H43*D43*(1+GrowthMarketRent)^9*IF(9=0,(12-DowntimeNew)/12,1),0)))))))),0)</f>
        <v/>
      </c>
      <c r="X43" s="14">
        <f>IFERROR(IF(I43="LeaseUp",H43*D43*(1+GrowthMarketRent)^10*IF(10=0,(12-DowntimeNew)/12,1),IF(F43="",0,IF(F43&gt;=DATE(2027+10,4,30),G43*D43*(1+EscalatorInLease)^(10+M43),IF(F43&lt;DATE(2026+10,5,1),IF(I43="Vacate",H43*D43*(1+GrowthMarketRent)^10*IF(INT((DATE(2026+10,10,31)-F43)/365.25)=0,(12-DowntimeNew)/12,1),IF(I43="Option",G43*D43*1.025*(1+EscalatorInLease)^10,IF(I43="Market",Retention*G43*D43*(1+EscalatorInLease)^(10+M43)+(1-Retention)*H43*D43*(1+GrowthMarketRent)^10*IF(INT((DATE(2026+10,10,31)-F43)/365.25)=0,(12-DowntimeNew)/12,1),IF(I43="LeaseUp",H43*D43*(1+GrowthMarketRent)^10*IF(10=0,(12-DowntimeNew)/12,1),0)))),((F43-DATE(2026+10,5,1))/365.25)*G43*D43*(1+EscalatorInLease)^(10+M43)+((DATE(2027+10,4,30)-F43)/365.25)*IF(I43="Vacate",H43*D43*(1+GrowthMarketRent)^10*IF(INT((DATE(2026+10,10,31)-F43)/365.25)=0,(12-DowntimeNew)/12,1),IF(I43="Option",G43*D43*1.025*(1+EscalatorInLease)^10,IF(I43="Market",Retention*G43*D43*(1+EscalatorInLease)^(10+M43)+(1-Retention)*H43*D43*(1+GrowthMarketRent)^10*IF(INT((DATE(2026+10,10,31)-F43)/365.25)=0,(12-DowntimeNew)/12,1),IF(I43="LeaseUp",H43*D43*(1+GrowthMarketRent)^10*IF(10=0,(12-DowntimeNew)/12,1),0)))))))),0)</f>
        <v/>
      </c>
      <c r="Y43" s="14">
        <f>IFERROR(IF(AND(I43="LeaseUp",0=0),(IF(I43="Vacate",TINew*D43,IF(I43="Market",Retention*TIRenewal*D43+(1-Retention)*TINew*D43,IF(I43="LeaseUp",TINew*D43,IF(I43="Option",TIRenewal*D43,0)))))+(IF(I43="Vacate",LCNew*H43*D43*(1+GrowthMarketRent)^0,IF(I43="Market",Retention*LCRenewal*H43*D43*(1+GrowthMarketRent)^0+(1-Retention)*LCNew*H43*D43*(1+GrowthMarketRent)^0,IF(I43="LeaseUp",LCNew*H43*D43*(1+GrowthMarketRent)^0,IF(I43="Option",LCRenewal*H43*D43*(1+GrowthMarketRent)^0,0))))),IF(F43="",0,IF(AND(F43&gt;=DATE(2026+0,5,1),F43&lt;=DATE(2027+0,4,30)),(IF(I43="Vacate",TINew*D43,IF(I43="Market",Retention*TIRenewal*D43+(1-Retention)*TINew*D43,IF(I43="LeaseUp",TINew*D43,IF(I43="Option",TIRenewal*D43,0)))))+(IF(I43="Vacate",LCNew*H43*D43*(1+GrowthMarketRent)^0,IF(I43="Market",Retention*LCRenewal*H43*D43*(1+GrowthMarketRent)^0+(1-Retention)*LCNew*H43*D43*(1+GrowthMarketRent)^0,IF(I43="LeaseUp",LCNew*H43*D43*(1+GrowthMarketRent)^0,IF(I43="Option",LCRenewal*H43*D43*(1+GrowthMarketRent)^0,0))))),0))),0)</f>
        <v/>
      </c>
      <c r="Z43" s="14">
        <f>IFERROR(IF(AND(I43="LeaseUp",1=0),(IF(I43="Vacate",TINew*D43,IF(I43="Market",Retention*TIRenewal*D43+(1-Retention)*TINew*D43,IF(I43="LeaseUp",TINew*D43,IF(I43="Option",TIRenewal*D43,0)))))+(IF(I43="Vacate",LCNew*H43*D43*(1+GrowthMarketRent)^1,IF(I43="Market",Retention*LCRenewal*H43*D43*(1+GrowthMarketRent)^1+(1-Retention)*LCNew*H43*D43*(1+GrowthMarketRent)^1,IF(I43="LeaseUp",LCNew*H43*D43*(1+GrowthMarketRent)^1,IF(I43="Option",LCRenewal*H43*D43*(1+GrowthMarketRent)^1,0))))),IF(F43="",0,IF(AND(F43&gt;=DATE(2026+1,5,1),F43&lt;=DATE(2027+1,4,30)),(IF(I43="Vacate",TINew*D43,IF(I43="Market",Retention*TIRenewal*D43+(1-Retention)*TINew*D43,IF(I43="LeaseUp",TINew*D43,IF(I43="Option",TIRenewal*D43,0)))))+(IF(I43="Vacate",LCNew*H43*D43*(1+GrowthMarketRent)^1,IF(I43="Market",Retention*LCRenewal*H43*D43*(1+GrowthMarketRent)^1+(1-Retention)*LCNew*H43*D43*(1+GrowthMarketRent)^1,IF(I43="LeaseUp",LCNew*H43*D43*(1+GrowthMarketRent)^1,IF(I43="Option",LCRenewal*H43*D43*(1+GrowthMarketRent)^1,0))))),0))),0)</f>
        <v/>
      </c>
      <c r="AA43" s="14">
        <f>IFERROR(IF(AND(I43="LeaseUp",2=0),(IF(I43="Vacate",TINew*D43,IF(I43="Market",Retention*TIRenewal*D43+(1-Retention)*TINew*D43,IF(I43="LeaseUp",TINew*D43,IF(I43="Option",TIRenewal*D43,0)))))+(IF(I43="Vacate",LCNew*H43*D43*(1+GrowthMarketRent)^2,IF(I43="Market",Retention*LCRenewal*H43*D43*(1+GrowthMarketRent)^2+(1-Retention)*LCNew*H43*D43*(1+GrowthMarketRent)^2,IF(I43="LeaseUp",LCNew*H43*D43*(1+GrowthMarketRent)^2,IF(I43="Option",LCRenewal*H43*D43*(1+GrowthMarketRent)^2,0))))),IF(F43="",0,IF(AND(F43&gt;=DATE(2026+2,5,1),F43&lt;=DATE(2027+2,4,30)),(IF(I43="Vacate",TINew*D43,IF(I43="Market",Retention*TIRenewal*D43+(1-Retention)*TINew*D43,IF(I43="LeaseUp",TINew*D43,IF(I43="Option",TIRenewal*D43,0)))))+(IF(I43="Vacate",LCNew*H43*D43*(1+GrowthMarketRent)^2,IF(I43="Market",Retention*LCRenewal*H43*D43*(1+GrowthMarketRent)^2+(1-Retention)*LCNew*H43*D43*(1+GrowthMarketRent)^2,IF(I43="LeaseUp",LCNew*H43*D43*(1+GrowthMarketRent)^2,IF(I43="Option",LCRenewal*H43*D43*(1+GrowthMarketRent)^2,0))))),0))),0)</f>
        <v/>
      </c>
      <c r="AB43" s="14">
        <f>IFERROR(IF(AND(I43="LeaseUp",3=0),(IF(I43="Vacate",TINew*D43,IF(I43="Market",Retention*TIRenewal*D43+(1-Retention)*TINew*D43,IF(I43="LeaseUp",TINew*D43,IF(I43="Option",TIRenewal*D43,0)))))+(IF(I43="Vacate",LCNew*H43*D43*(1+GrowthMarketRent)^3,IF(I43="Market",Retention*LCRenewal*H43*D43*(1+GrowthMarketRent)^3+(1-Retention)*LCNew*H43*D43*(1+GrowthMarketRent)^3,IF(I43="LeaseUp",LCNew*H43*D43*(1+GrowthMarketRent)^3,IF(I43="Option",LCRenewal*H43*D43*(1+GrowthMarketRent)^3,0))))),IF(F43="",0,IF(AND(F43&gt;=DATE(2026+3,5,1),F43&lt;=DATE(2027+3,4,30)),(IF(I43="Vacate",TINew*D43,IF(I43="Market",Retention*TIRenewal*D43+(1-Retention)*TINew*D43,IF(I43="LeaseUp",TINew*D43,IF(I43="Option",TIRenewal*D43,0)))))+(IF(I43="Vacate",LCNew*H43*D43*(1+GrowthMarketRent)^3,IF(I43="Market",Retention*LCRenewal*H43*D43*(1+GrowthMarketRent)^3+(1-Retention)*LCNew*H43*D43*(1+GrowthMarketRent)^3,IF(I43="LeaseUp",LCNew*H43*D43*(1+GrowthMarketRent)^3,IF(I43="Option",LCRenewal*H43*D43*(1+GrowthMarketRent)^3,0))))),0))),0)</f>
        <v/>
      </c>
      <c r="AC43" s="14">
        <f>IFERROR(IF(AND(I43="LeaseUp",4=0),(IF(I43="Vacate",TINew*D43,IF(I43="Market",Retention*TIRenewal*D43+(1-Retention)*TINew*D43,IF(I43="LeaseUp",TINew*D43,IF(I43="Option",TIRenewal*D43,0)))))+(IF(I43="Vacate",LCNew*H43*D43*(1+GrowthMarketRent)^4,IF(I43="Market",Retention*LCRenewal*H43*D43*(1+GrowthMarketRent)^4+(1-Retention)*LCNew*H43*D43*(1+GrowthMarketRent)^4,IF(I43="LeaseUp",LCNew*H43*D43*(1+GrowthMarketRent)^4,IF(I43="Option",LCRenewal*H43*D43*(1+GrowthMarketRent)^4,0))))),IF(F43="",0,IF(AND(F43&gt;=DATE(2026+4,5,1),F43&lt;=DATE(2027+4,4,30)),(IF(I43="Vacate",TINew*D43,IF(I43="Market",Retention*TIRenewal*D43+(1-Retention)*TINew*D43,IF(I43="LeaseUp",TINew*D43,IF(I43="Option",TIRenewal*D43,0)))))+(IF(I43="Vacate",LCNew*H43*D43*(1+GrowthMarketRent)^4,IF(I43="Market",Retention*LCRenewal*H43*D43*(1+GrowthMarketRent)^4+(1-Retention)*LCNew*H43*D43*(1+GrowthMarketRent)^4,IF(I43="LeaseUp",LCNew*H43*D43*(1+GrowthMarketRent)^4,IF(I43="Option",LCRenewal*H43*D43*(1+GrowthMarketRent)^4,0))))),0))),0)</f>
        <v/>
      </c>
      <c r="AD43" s="14">
        <f>IFERROR(IF(AND(I43="LeaseUp",5=0),(IF(I43="Vacate",TINew*D43,IF(I43="Market",Retention*TIRenewal*D43+(1-Retention)*TINew*D43,IF(I43="LeaseUp",TINew*D43,IF(I43="Option",TIRenewal*D43,0)))))+(IF(I43="Vacate",LCNew*H43*D43*(1+GrowthMarketRent)^5,IF(I43="Market",Retention*LCRenewal*H43*D43*(1+GrowthMarketRent)^5+(1-Retention)*LCNew*H43*D43*(1+GrowthMarketRent)^5,IF(I43="LeaseUp",LCNew*H43*D43*(1+GrowthMarketRent)^5,IF(I43="Option",LCRenewal*H43*D43*(1+GrowthMarketRent)^5,0))))),IF(F43="",0,IF(AND(F43&gt;=DATE(2026+5,5,1),F43&lt;=DATE(2027+5,4,30)),(IF(I43="Vacate",TINew*D43,IF(I43="Market",Retention*TIRenewal*D43+(1-Retention)*TINew*D43,IF(I43="LeaseUp",TINew*D43,IF(I43="Option",TIRenewal*D43,0)))))+(IF(I43="Vacate",LCNew*H43*D43*(1+GrowthMarketRent)^5,IF(I43="Market",Retention*LCRenewal*H43*D43*(1+GrowthMarketRent)^5+(1-Retention)*LCNew*H43*D43*(1+GrowthMarketRent)^5,IF(I43="LeaseUp",LCNew*H43*D43*(1+GrowthMarketRent)^5,IF(I43="Option",LCRenewal*H43*D43*(1+GrowthMarketRent)^5,0))))),0))),0)</f>
        <v/>
      </c>
      <c r="AE43" s="14">
        <f>IFERROR(IF(AND(I43="LeaseUp",6=0),(IF(I43="Vacate",TINew*D43,IF(I43="Market",Retention*TIRenewal*D43+(1-Retention)*TINew*D43,IF(I43="LeaseUp",TINew*D43,IF(I43="Option",TIRenewal*D43,0)))))+(IF(I43="Vacate",LCNew*H43*D43*(1+GrowthMarketRent)^6,IF(I43="Market",Retention*LCRenewal*H43*D43*(1+GrowthMarketRent)^6+(1-Retention)*LCNew*H43*D43*(1+GrowthMarketRent)^6,IF(I43="LeaseUp",LCNew*H43*D43*(1+GrowthMarketRent)^6,IF(I43="Option",LCRenewal*H43*D43*(1+GrowthMarketRent)^6,0))))),IF(F43="",0,IF(AND(F43&gt;=DATE(2026+6,5,1),F43&lt;=DATE(2027+6,4,30)),(IF(I43="Vacate",TINew*D43,IF(I43="Market",Retention*TIRenewal*D43+(1-Retention)*TINew*D43,IF(I43="LeaseUp",TINew*D43,IF(I43="Option",TIRenewal*D43,0)))))+(IF(I43="Vacate",LCNew*H43*D43*(1+GrowthMarketRent)^6,IF(I43="Market",Retention*LCRenewal*H43*D43*(1+GrowthMarketRent)^6+(1-Retention)*LCNew*H43*D43*(1+GrowthMarketRent)^6,IF(I43="LeaseUp",LCNew*H43*D43*(1+GrowthMarketRent)^6,IF(I43="Option",LCRenewal*H43*D43*(1+GrowthMarketRent)^6,0))))),0))),0)</f>
        <v/>
      </c>
      <c r="AF43" s="14">
        <f>IFERROR(IF(AND(I43="LeaseUp",7=0),(IF(I43="Vacate",TINew*D43,IF(I43="Market",Retention*TIRenewal*D43+(1-Retention)*TINew*D43,IF(I43="LeaseUp",TINew*D43,IF(I43="Option",TIRenewal*D43,0)))))+(IF(I43="Vacate",LCNew*H43*D43*(1+GrowthMarketRent)^7,IF(I43="Market",Retention*LCRenewal*H43*D43*(1+GrowthMarketRent)^7+(1-Retention)*LCNew*H43*D43*(1+GrowthMarketRent)^7,IF(I43="LeaseUp",LCNew*H43*D43*(1+GrowthMarketRent)^7,IF(I43="Option",LCRenewal*H43*D43*(1+GrowthMarketRent)^7,0))))),IF(F43="",0,IF(AND(F43&gt;=DATE(2026+7,5,1),F43&lt;=DATE(2027+7,4,30)),(IF(I43="Vacate",TINew*D43,IF(I43="Market",Retention*TIRenewal*D43+(1-Retention)*TINew*D43,IF(I43="LeaseUp",TINew*D43,IF(I43="Option",TIRenewal*D43,0)))))+(IF(I43="Vacate",LCNew*H43*D43*(1+GrowthMarketRent)^7,IF(I43="Market",Retention*LCRenewal*H43*D43*(1+GrowthMarketRent)^7+(1-Retention)*LCNew*H43*D43*(1+GrowthMarketRent)^7,IF(I43="LeaseUp",LCNew*H43*D43*(1+GrowthMarketRent)^7,IF(I43="Option",LCRenewal*H43*D43*(1+GrowthMarketRent)^7,0))))),0))),0)</f>
        <v/>
      </c>
      <c r="AG43" s="14">
        <f>IFERROR(IF(AND(I43="LeaseUp",8=0),(IF(I43="Vacate",TINew*D43,IF(I43="Market",Retention*TIRenewal*D43+(1-Retention)*TINew*D43,IF(I43="LeaseUp",TINew*D43,IF(I43="Option",TIRenewal*D43,0)))))+(IF(I43="Vacate",LCNew*H43*D43*(1+GrowthMarketRent)^8,IF(I43="Market",Retention*LCRenewal*H43*D43*(1+GrowthMarketRent)^8+(1-Retention)*LCNew*H43*D43*(1+GrowthMarketRent)^8,IF(I43="LeaseUp",LCNew*H43*D43*(1+GrowthMarketRent)^8,IF(I43="Option",LCRenewal*H43*D43*(1+GrowthMarketRent)^8,0))))),IF(F43="",0,IF(AND(F43&gt;=DATE(2026+8,5,1),F43&lt;=DATE(2027+8,4,30)),(IF(I43="Vacate",TINew*D43,IF(I43="Market",Retention*TIRenewal*D43+(1-Retention)*TINew*D43,IF(I43="LeaseUp",TINew*D43,IF(I43="Option",TIRenewal*D43,0)))))+(IF(I43="Vacate",LCNew*H43*D43*(1+GrowthMarketRent)^8,IF(I43="Market",Retention*LCRenewal*H43*D43*(1+GrowthMarketRent)^8+(1-Retention)*LCNew*H43*D43*(1+GrowthMarketRent)^8,IF(I43="LeaseUp",LCNew*H43*D43*(1+GrowthMarketRent)^8,IF(I43="Option",LCRenewal*H43*D43*(1+GrowthMarketRent)^8,0))))),0))),0)</f>
        <v/>
      </c>
      <c r="AH43" s="14">
        <f>IFERROR(IF(AND(I43="LeaseUp",9=0),(IF(I43="Vacate",TINew*D43,IF(I43="Market",Retention*TIRenewal*D43+(1-Retention)*TINew*D43,IF(I43="LeaseUp",TINew*D43,IF(I43="Option",TIRenewal*D43,0)))))+(IF(I43="Vacate",LCNew*H43*D43*(1+GrowthMarketRent)^9,IF(I43="Market",Retention*LCRenewal*H43*D43*(1+GrowthMarketRent)^9+(1-Retention)*LCNew*H43*D43*(1+GrowthMarketRent)^9,IF(I43="LeaseUp",LCNew*H43*D43*(1+GrowthMarketRent)^9,IF(I43="Option",LCRenewal*H43*D43*(1+GrowthMarketRent)^9,0))))),IF(F43="",0,IF(AND(F43&gt;=DATE(2026+9,5,1),F43&lt;=DATE(2027+9,4,30)),(IF(I43="Vacate",TINew*D43,IF(I43="Market",Retention*TIRenewal*D43+(1-Retention)*TINew*D43,IF(I43="LeaseUp",TINew*D43,IF(I43="Option",TIRenewal*D43,0)))))+(IF(I43="Vacate",LCNew*H43*D43*(1+GrowthMarketRent)^9,IF(I43="Market",Retention*LCRenewal*H43*D43*(1+GrowthMarketRent)^9+(1-Retention)*LCNew*H43*D43*(1+GrowthMarketRent)^9,IF(I43="LeaseUp",LCNew*H43*D43*(1+GrowthMarketRent)^9,IF(I43="Option",LCRenewal*H43*D43*(1+GrowthMarketRent)^9,0))))),0))),0)</f>
        <v/>
      </c>
      <c r="AI43" s="14">
        <f>IFERROR(IF(AND(I43="LeaseUp",10=0),(IF(I43="Vacate",TINew*D43,IF(I43="Market",Retention*TIRenewal*D43+(1-Retention)*TINew*D43,IF(I43="LeaseUp",TINew*D43,IF(I43="Option",TIRenewal*D43,0)))))+(IF(I43="Vacate",LCNew*H43*D43*(1+GrowthMarketRent)^10,IF(I43="Market",Retention*LCRenewal*H43*D43*(1+GrowthMarketRent)^10+(1-Retention)*LCNew*H43*D43*(1+GrowthMarketRent)^10,IF(I43="LeaseUp",LCNew*H43*D43*(1+GrowthMarketRent)^10,IF(I43="Option",LCRenewal*H43*D43*(1+GrowthMarketRent)^10,0))))),IF(F43="",0,IF(AND(F43&gt;=DATE(2026+10,5,1),F43&lt;=DATE(2027+10,4,30)),(IF(I43="Vacate",TINew*D43,IF(I43="Market",Retention*TIRenewal*D43+(1-Retention)*TINew*D43,IF(I43="LeaseUp",TINew*D43,IF(I43="Option",TIRenewal*D43,0)))))+(IF(I43="Vacate",LCNew*H43*D43*(1+GrowthMarketRent)^10,IF(I43="Market",Retention*LCRenewal*H43*D43*(1+GrowthMarketRent)^10+(1-Retention)*LCNew*H43*D43*(1+GrowthMarketRent)^10,IF(I43="LeaseUp",LCNew*H43*D43*(1+GrowthMarketRent)^10,IF(I43="Option",LCRenewal*H43*D43*(1+GrowthMarketRent)^10,0))))),0))),0)</f>
        <v/>
      </c>
    </row>
    <row r="44">
      <c r="A44" t="inlineStr">
        <is>
          <t>Frisco</t>
        </is>
      </c>
      <c r="B44" t="inlineStr">
        <is>
          <t>104</t>
        </is>
      </c>
      <c r="C44" t="inlineStr">
        <is>
          <t>Axis Water Technologies</t>
        </is>
      </c>
      <c r="D44" s="32" t="n">
        <v>2600</v>
      </c>
      <c r="E44" s="33" t="n">
        <v>45748</v>
      </c>
      <c r="F44" s="33" t="n">
        <v>46997</v>
      </c>
      <c r="G44" s="34" t="n">
        <v>16.1438461538462</v>
      </c>
      <c r="H44" s="16">
        <f>VLOOKUP(A44,MLA!$A$5:$L$11,3,FALSE)</f>
        <v/>
      </c>
      <c r="I44" s="11" t="inlineStr">
        <is>
          <t>Market</t>
        </is>
      </c>
      <c r="J44" t="inlineStr">
        <is>
          <t>Shop</t>
        </is>
      </c>
      <c r="K44" t="inlineStr">
        <is>
          <t>Occupied</t>
        </is>
      </c>
      <c r="L44" t="inlineStr">
        <is>
          <t>Guarantor: Adren Savitch</t>
        </is>
      </c>
      <c r="M44" s="20">
        <f>IF(E44="",0,(AnalysisStart-E44)/365.25)</f>
        <v/>
      </c>
      <c r="N44" s="14">
        <f>IFERROR(IF(I44="LeaseUp",H44*D44*(1+GrowthMarketRent)^0*IF(0=0,(12-DowntimeNew)/12,1),IF(F44="",0,IF(F44&gt;=DATE(2027+0,4,30),G44*D44*(1+EscalatorInLease)^(0+M44),IF(F44&lt;DATE(2026+0,5,1),IF(I44="Vacate",H44*D44*(1+GrowthMarketRent)^0*IF(INT((DATE(2026+0,10,31)-F44)/365.25)=0,(12-DowntimeNew)/12,1),IF(I44="Option",G44*D44*1.025*(1+EscalatorInLease)^0,IF(I44="Market",Retention*G44*D44*(1+EscalatorInLease)^(0+M44)+(1-Retention)*H44*D44*(1+GrowthMarketRent)^0*IF(INT((DATE(2026+0,10,31)-F44)/365.25)=0,(12-DowntimeNew)/12,1),IF(I44="LeaseUp",H44*D44*(1+GrowthMarketRent)^0*IF(0=0,(12-DowntimeNew)/12,1),0)))),((F44-DATE(2026+0,5,1))/365.25)*G44*D44*(1+EscalatorInLease)^(0+M44)+((DATE(2027+0,4,30)-F44)/365.25)*IF(I44="Vacate",H44*D44*(1+GrowthMarketRent)^0*IF(INT((DATE(2026+0,10,31)-F44)/365.25)=0,(12-DowntimeNew)/12,1),IF(I44="Option",G44*D44*1.025*(1+EscalatorInLease)^0,IF(I44="Market",Retention*G44*D44*(1+EscalatorInLease)^(0+M44)+(1-Retention)*H44*D44*(1+GrowthMarketRent)^0*IF(INT((DATE(2026+0,10,31)-F44)/365.25)=0,(12-DowntimeNew)/12,1),IF(I44="LeaseUp",H44*D44*(1+GrowthMarketRent)^0*IF(0=0,(12-DowntimeNew)/12,1),0)))))))),0)</f>
        <v/>
      </c>
      <c r="O44" s="14">
        <f>IFERROR(IF(I44="LeaseUp",H44*D44*(1+GrowthMarketRent)^1*IF(1=0,(12-DowntimeNew)/12,1),IF(F44="",0,IF(F44&gt;=DATE(2027+1,4,30),G44*D44*(1+EscalatorInLease)^(1+M44),IF(F44&lt;DATE(2026+1,5,1),IF(I44="Vacate",H44*D44*(1+GrowthMarketRent)^1*IF(INT((DATE(2026+1,10,31)-F44)/365.25)=0,(12-DowntimeNew)/12,1),IF(I44="Option",G44*D44*1.025*(1+EscalatorInLease)^1,IF(I44="Market",Retention*G44*D44*(1+EscalatorInLease)^(1+M44)+(1-Retention)*H44*D44*(1+GrowthMarketRent)^1*IF(INT((DATE(2026+1,10,31)-F44)/365.25)=0,(12-DowntimeNew)/12,1),IF(I44="LeaseUp",H44*D44*(1+GrowthMarketRent)^1*IF(1=0,(12-DowntimeNew)/12,1),0)))),((F44-DATE(2026+1,5,1))/365.25)*G44*D44*(1+EscalatorInLease)^(1+M44)+((DATE(2027+1,4,30)-F44)/365.25)*IF(I44="Vacate",H44*D44*(1+GrowthMarketRent)^1*IF(INT((DATE(2026+1,10,31)-F44)/365.25)=0,(12-DowntimeNew)/12,1),IF(I44="Option",G44*D44*1.025*(1+EscalatorInLease)^1,IF(I44="Market",Retention*G44*D44*(1+EscalatorInLease)^(1+M44)+(1-Retention)*H44*D44*(1+GrowthMarketRent)^1*IF(INT((DATE(2026+1,10,31)-F44)/365.25)=0,(12-DowntimeNew)/12,1),IF(I44="LeaseUp",H44*D44*(1+GrowthMarketRent)^1*IF(1=0,(12-DowntimeNew)/12,1),0)))))))),0)</f>
        <v/>
      </c>
      <c r="P44" s="14">
        <f>IFERROR(IF(I44="LeaseUp",H44*D44*(1+GrowthMarketRent)^2*IF(2=0,(12-DowntimeNew)/12,1),IF(F44="",0,IF(F44&gt;=DATE(2027+2,4,30),G44*D44*(1+EscalatorInLease)^(2+M44),IF(F44&lt;DATE(2026+2,5,1),IF(I44="Vacate",H44*D44*(1+GrowthMarketRent)^2*IF(INT((DATE(2026+2,10,31)-F44)/365.25)=0,(12-DowntimeNew)/12,1),IF(I44="Option",G44*D44*1.025*(1+EscalatorInLease)^2,IF(I44="Market",Retention*G44*D44*(1+EscalatorInLease)^(2+M44)+(1-Retention)*H44*D44*(1+GrowthMarketRent)^2*IF(INT((DATE(2026+2,10,31)-F44)/365.25)=0,(12-DowntimeNew)/12,1),IF(I44="LeaseUp",H44*D44*(1+GrowthMarketRent)^2*IF(2=0,(12-DowntimeNew)/12,1),0)))),((F44-DATE(2026+2,5,1))/365.25)*G44*D44*(1+EscalatorInLease)^(2+M44)+((DATE(2027+2,4,30)-F44)/365.25)*IF(I44="Vacate",H44*D44*(1+GrowthMarketRent)^2*IF(INT((DATE(2026+2,10,31)-F44)/365.25)=0,(12-DowntimeNew)/12,1),IF(I44="Option",G44*D44*1.025*(1+EscalatorInLease)^2,IF(I44="Market",Retention*G44*D44*(1+EscalatorInLease)^(2+M44)+(1-Retention)*H44*D44*(1+GrowthMarketRent)^2*IF(INT((DATE(2026+2,10,31)-F44)/365.25)=0,(12-DowntimeNew)/12,1),IF(I44="LeaseUp",H44*D44*(1+GrowthMarketRent)^2*IF(2=0,(12-DowntimeNew)/12,1),0)))))))),0)</f>
        <v/>
      </c>
      <c r="Q44" s="14">
        <f>IFERROR(IF(I44="LeaseUp",H44*D44*(1+GrowthMarketRent)^3*IF(3=0,(12-DowntimeNew)/12,1),IF(F44="",0,IF(F44&gt;=DATE(2027+3,4,30),G44*D44*(1+EscalatorInLease)^(3+M44),IF(F44&lt;DATE(2026+3,5,1),IF(I44="Vacate",H44*D44*(1+GrowthMarketRent)^3*IF(INT((DATE(2026+3,10,31)-F44)/365.25)=0,(12-DowntimeNew)/12,1),IF(I44="Option",G44*D44*1.025*(1+EscalatorInLease)^3,IF(I44="Market",Retention*G44*D44*(1+EscalatorInLease)^(3+M44)+(1-Retention)*H44*D44*(1+GrowthMarketRent)^3*IF(INT((DATE(2026+3,10,31)-F44)/365.25)=0,(12-DowntimeNew)/12,1),IF(I44="LeaseUp",H44*D44*(1+GrowthMarketRent)^3*IF(3=0,(12-DowntimeNew)/12,1),0)))),((F44-DATE(2026+3,5,1))/365.25)*G44*D44*(1+EscalatorInLease)^(3+M44)+((DATE(2027+3,4,30)-F44)/365.25)*IF(I44="Vacate",H44*D44*(1+GrowthMarketRent)^3*IF(INT((DATE(2026+3,10,31)-F44)/365.25)=0,(12-DowntimeNew)/12,1),IF(I44="Option",G44*D44*1.025*(1+EscalatorInLease)^3,IF(I44="Market",Retention*G44*D44*(1+EscalatorInLease)^(3+M44)+(1-Retention)*H44*D44*(1+GrowthMarketRent)^3*IF(INT((DATE(2026+3,10,31)-F44)/365.25)=0,(12-DowntimeNew)/12,1),IF(I44="LeaseUp",H44*D44*(1+GrowthMarketRent)^3*IF(3=0,(12-DowntimeNew)/12,1),0)))))))),0)</f>
        <v/>
      </c>
      <c r="R44" s="14">
        <f>IFERROR(IF(I44="LeaseUp",H44*D44*(1+GrowthMarketRent)^4*IF(4=0,(12-DowntimeNew)/12,1),IF(F44="",0,IF(F44&gt;=DATE(2027+4,4,30),G44*D44*(1+EscalatorInLease)^(4+M44),IF(F44&lt;DATE(2026+4,5,1),IF(I44="Vacate",H44*D44*(1+GrowthMarketRent)^4*IF(INT((DATE(2026+4,10,31)-F44)/365.25)=0,(12-DowntimeNew)/12,1),IF(I44="Option",G44*D44*1.025*(1+EscalatorInLease)^4,IF(I44="Market",Retention*G44*D44*(1+EscalatorInLease)^(4+M44)+(1-Retention)*H44*D44*(1+GrowthMarketRent)^4*IF(INT((DATE(2026+4,10,31)-F44)/365.25)=0,(12-DowntimeNew)/12,1),IF(I44="LeaseUp",H44*D44*(1+GrowthMarketRent)^4*IF(4=0,(12-DowntimeNew)/12,1),0)))),((F44-DATE(2026+4,5,1))/365.25)*G44*D44*(1+EscalatorInLease)^(4+M44)+((DATE(2027+4,4,30)-F44)/365.25)*IF(I44="Vacate",H44*D44*(1+GrowthMarketRent)^4*IF(INT((DATE(2026+4,10,31)-F44)/365.25)=0,(12-DowntimeNew)/12,1),IF(I44="Option",G44*D44*1.025*(1+EscalatorInLease)^4,IF(I44="Market",Retention*G44*D44*(1+EscalatorInLease)^(4+M44)+(1-Retention)*H44*D44*(1+GrowthMarketRent)^4*IF(INT((DATE(2026+4,10,31)-F44)/365.25)=0,(12-DowntimeNew)/12,1),IF(I44="LeaseUp",H44*D44*(1+GrowthMarketRent)^4*IF(4=0,(12-DowntimeNew)/12,1),0)))))))),0)</f>
        <v/>
      </c>
      <c r="S44" s="14">
        <f>IFERROR(IF(I44="LeaseUp",H44*D44*(1+GrowthMarketRent)^5*IF(5=0,(12-DowntimeNew)/12,1),IF(F44="",0,IF(F44&gt;=DATE(2027+5,4,30),G44*D44*(1+EscalatorInLease)^(5+M44),IF(F44&lt;DATE(2026+5,5,1),IF(I44="Vacate",H44*D44*(1+GrowthMarketRent)^5*IF(INT((DATE(2026+5,10,31)-F44)/365.25)=0,(12-DowntimeNew)/12,1),IF(I44="Option",G44*D44*1.025*(1+EscalatorInLease)^5,IF(I44="Market",Retention*G44*D44*(1+EscalatorInLease)^(5+M44)+(1-Retention)*H44*D44*(1+GrowthMarketRent)^5*IF(INT((DATE(2026+5,10,31)-F44)/365.25)=0,(12-DowntimeNew)/12,1),IF(I44="LeaseUp",H44*D44*(1+GrowthMarketRent)^5*IF(5=0,(12-DowntimeNew)/12,1),0)))),((F44-DATE(2026+5,5,1))/365.25)*G44*D44*(1+EscalatorInLease)^(5+M44)+((DATE(2027+5,4,30)-F44)/365.25)*IF(I44="Vacate",H44*D44*(1+GrowthMarketRent)^5*IF(INT((DATE(2026+5,10,31)-F44)/365.25)=0,(12-DowntimeNew)/12,1),IF(I44="Option",G44*D44*1.025*(1+EscalatorInLease)^5,IF(I44="Market",Retention*G44*D44*(1+EscalatorInLease)^(5+M44)+(1-Retention)*H44*D44*(1+GrowthMarketRent)^5*IF(INT((DATE(2026+5,10,31)-F44)/365.25)=0,(12-DowntimeNew)/12,1),IF(I44="LeaseUp",H44*D44*(1+GrowthMarketRent)^5*IF(5=0,(12-DowntimeNew)/12,1),0)))))))),0)</f>
        <v/>
      </c>
      <c r="T44" s="14">
        <f>IFERROR(IF(I44="LeaseUp",H44*D44*(1+GrowthMarketRent)^6*IF(6=0,(12-DowntimeNew)/12,1),IF(F44="",0,IF(F44&gt;=DATE(2027+6,4,30),G44*D44*(1+EscalatorInLease)^(6+M44),IF(F44&lt;DATE(2026+6,5,1),IF(I44="Vacate",H44*D44*(1+GrowthMarketRent)^6*IF(INT((DATE(2026+6,10,31)-F44)/365.25)=0,(12-DowntimeNew)/12,1),IF(I44="Option",G44*D44*1.025*(1+EscalatorInLease)^6,IF(I44="Market",Retention*G44*D44*(1+EscalatorInLease)^(6+M44)+(1-Retention)*H44*D44*(1+GrowthMarketRent)^6*IF(INT((DATE(2026+6,10,31)-F44)/365.25)=0,(12-DowntimeNew)/12,1),IF(I44="LeaseUp",H44*D44*(1+GrowthMarketRent)^6*IF(6=0,(12-DowntimeNew)/12,1),0)))),((F44-DATE(2026+6,5,1))/365.25)*G44*D44*(1+EscalatorInLease)^(6+M44)+((DATE(2027+6,4,30)-F44)/365.25)*IF(I44="Vacate",H44*D44*(1+GrowthMarketRent)^6*IF(INT((DATE(2026+6,10,31)-F44)/365.25)=0,(12-DowntimeNew)/12,1),IF(I44="Option",G44*D44*1.025*(1+EscalatorInLease)^6,IF(I44="Market",Retention*G44*D44*(1+EscalatorInLease)^(6+M44)+(1-Retention)*H44*D44*(1+GrowthMarketRent)^6*IF(INT((DATE(2026+6,10,31)-F44)/365.25)=0,(12-DowntimeNew)/12,1),IF(I44="LeaseUp",H44*D44*(1+GrowthMarketRent)^6*IF(6=0,(12-DowntimeNew)/12,1),0)))))))),0)</f>
        <v/>
      </c>
      <c r="U44" s="14">
        <f>IFERROR(IF(I44="LeaseUp",H44*D44*(1+GrowthMarketRent)^7*IF(7=0,(12-DowntimeNew)/12,1),IF(F44="",0,IF(F44&gt;=DATE(2027+7,4,30),G44*D44*(1+EscalatorInLease)^(7+M44),IF(F44&lt;DATE(2026+7,5,1),IF(I44="Vacate",H44*D44*(1+GrowthMarketRent)^7*IF(INT((DATE(2026+7,10,31)-F44)/365.25)=0,(12-DowntimeNew)/12,1),IF(I44="Option",G44*D44*1.025*(1+EscalatorInLease)^7,IF(I44="Market",Retention*G44*D44*(1+EscalatorInLease)^(7+M44)+(1-Retention)*H44*D44*(1+GrowthMarketRent)^7*IF(INT((DATE(2026+7,10,31)-F44)/365.25)=0,(12-DowntimeNew)/12,1),IF(I44="LeaseUp",H44*D44*(1+GrowthMarketRent)^7*IF(7=0,(12-DowntimeNew)/12,1),0)))),((F44-DATE(2026+7,5,1))/365.25)*G44*D44*(1+EscalatorInLease)^(7+M44)+((DATE(2027+7,4,30)-F44)/365.25)*IF(I44="Vacate",H44*D44*(1+GrowthMarketRent)^7*IF(INT((DATE(2026+7,10,31)-F44)/365.25)=0,(12-DowntimeNew)/12,1),IF(I44="Option",G44*D44*1.025*(1+EscalatorInLease)^7,IF(I44="Market",Retention*G44*D44*(1+EscalatorInLease)^(7+M44)+(1-Retention)*H44*D44*(1+GrowthMarketRent)^7*IF(INT((DATE(2026+7,10,31)-F44)/365.25)=0,(12-DowntimeNew)/12,1),IF(I44="LeaseUp",H44*D44*(1+GrowthMarketRent)^7*IF(7=0,(12-DowntimeNew)/12,1),0)))))))),0)</f>
        <v/>
      </c>
      <c r="V44" s="14">
        <f>IFERROR(IF(I44="LeaseUp",H44*D44*(1+GrowthMarketRent)^8*IF(8=0,(12-DowntimeNew)/12,1),IF(F44="",0,IF(F44&gt;=DATE(2027+8,4,30),G44*D44*(1+EscalatorInLease)^(8+M44),IF(F44&lt;DATE(2026+8,5,1),IF(I44="Vacate",H44*D44*(1+GrowthMarketRent)^8*IF(INT((DATE(2026+8,10,31)-F44)/365.25)=0,(12-DowntimeNew)/12,1),IF(I44="Option",G44*D44*1.025*(1+EscalatorInLease)^8,IF(I44="Market",Retention*G44*D44*(1+EscalatorInLease)^(8+M44)+(1-Retention)*H44*D44*(1+GrowthMarketRent)^8*IF(INT((DATE(2026+8,10,31)-F44)/365.25)=0,(12-DowntimeNew)/12,1),IF(I44="LeaseUp",H44*D44*(1+GrowthMarketRent)^8*IF(8=0,(12-DowntimeNew)/12,1),0)))),((F44-DATE(2026+8,5,1))/365.25)*G44*D44*(1+EscalatorInLease)^(8+M44)+((DATE(2027+8,4,30)-F44)/365.25)*IF(I44="Vacate",H44*D44*(1+GrowthMarketRent)^8*IF(INT((DATE(2026+8,10,31)-F44)/365.25)=0,(12-DowntimeNew)/12,1),IF(I44="Option",G44*D44*1.025*(1+EscalatorInLease)^8,IF(I44="Market",Retention*G44*D44*(1+EscalatorInLease)^(8+M44)+(1-Retention)*H44*D44*(1+GrowthMarketRent)^8*IF(INT((DATE(2026+8,10,31)-F44)/365.25)=0,(12-DowntimeNew)/12,1),IF(I44="LeaseUp",H44*D44*(1+GrowthMarketRent)^8*IF(8=0,(12-DowntimeNew)/12,1),0)))))))),0)</f>
        <v/>
      </c>
      <c r="W44" s="14">
        <f>IFERROR(IF(I44="LeaseUp",H44*D44*(1+GrowthMarketRent)^9*IF(9=0,(12-DowntimeNew)/12,1),IF(F44="",0,IF(F44&gt;=DATE(2027+9,4,30),G44*D44*(1+EscalatorInLease)^(9+M44),IF(F44&lt;DATE(2026+9,5,1),IF(I44="Vacate",H44*D44*(1+GrowthMarketRent)^9*IF(INT((DATE(2026+9,10,31)-F44)/365.25)=0,(12-DowntimeNew)/12,1),IF(I44="Option",G44*D44*1.025*(1+EscalatorInLease)^9,IF(I44="Market",Retention*G44*D44*(1+EscalatorInLease)^(9+M44)+(1-Retention)*H44*D44*(1+GrowthMarketRent)^9*IF(INT((DATE(2026+9,10,31)-F44)/365.25)=0,(12-DowntimeNew)/12,1),IF(I44="LeaseUp",H44*D44*(1+GrowthMarketRent)^9*IF(9=0,(12-DowntimeNew)/12,1),0)))),((F44-DATE(2026+9,5,1))/365.25)*G44*D44*(1+EscalatorInLease)^(9+M44)+((DATE(2027+9,4,30)-F44)/365.25)*IF(I44="Vacate",H44*D44*(1+GrowthMarketRent)^9*IF(INT((DATE(2026+9,10,31)-F44)/365.25)=0,(12-DowntimeNew)/12,1),IF(I44="Option",G44*D44*1.025*(1+EscalatorInLease)^9,IF(I44="Market",Retention*G44*D44*(1+EscalatorInLease)^(9+M44)+(1-Retention)*H44*D44*(1+GrowthMarketRent)^9*IF(INT((DATE(2026+9,10,31)-F44)/365.25)=0,(12-DowntimeNew)/12,1),IF(I44="LeaseUp",H44*D44*(1+GrowthMarketRent)^9*IF(9=0,(12-DowntimeNew)/12,1),0)))))))),0)</f>
        <v/>
      </c>
      <c r="X44" s="14">
        <f>IFERROR(IF(I44="LeaseUp",H44*D44*(1+GrowthMarketRent)^10*IF(10=0,(12-DowntimeNew)/12,1),IF(F44="",0,IF(F44&gt;=DATE(2027+10,4,30),G44*D44*(1+EscalatorInLease)^(10+M44),IF(F44&lt;DATE(2026+10,5,1),IF(I44="Vacate",H44*D44*(1+GrowthMarketRent)^10*IF(INT((DATE(2026+10,10,31)-F44)/365.25)=0,(12-DowntimeNew)/12,1),IF(I44="Option",G44*D44*1.025*(1+EscalatorInLease)^10,IF(I44="Market",Retention*G44*D44*(1+EscalatorInLease)^(10+M44)+(1-Retention)*H44*D44*(1+GrowthMarketRent)^10*IF(INT((DATE(2026+10,10,31)-F44)/365.25)=0,(12-DowntimeNew)/12,1),IF(I44="LeaseUp",H44*D44*(1+GrowthMarketRent)^10*IF(10=0,(12-DowntimeNew)/12,1),0)))),((F44-DATE(2026+10,5,1))/365.25)*G44*D44*(1+EscalatorInLease)^(10+M44)+((DATE(2027+10,4,30)-F44)/365.25)*IF(I44="Vacate",H44*D44*(1+GrowthMarketRent)^10*IF(INT((DATE(2026+10,10,31)-F44)/365.25)=0,(12-DowntimeNew)/12,1),IF(I44="Option",G44*D44*1.025*(1+EscalatorInLease)^10,IF(I44="Market",Retention*G44*D44*(1+EscalatorInLease)^(10+M44)+(1-Retention)*H44*D44*(1+GrowthMarketRent)^10*IF(INT((DATE(2026+10,10,31)-F44)/365.25)=0,(12-DowntimeNew)/12,1),IF(I44="LeaseUp",H44*D44*(1+GrowthMarketRent)^10*IF(10=0,(12-DowntimeNew)/12,1),0)))))))),0)</f>
        <v/>
      </c>
      <c r="Y44" s="14">
        <f>IFERROR(IF(AND(I44="LeaseUp",0=0),(IF(I44="Vacate",TINew*D44,IF(I44="Market",Retention*TIRenewal*D44+(1-Retention)*TINew*D44,IF(I44="LeaseUp",TINew*D44,IF(I44="Option",TIRenewal*D44,0)))))+(IF(I44="Vacate",LCNew*H44*D44*(1+GrowthMarketRent)^0,IF(I44="Market",Retention*LCRenewal*H44*D44*(1+GrowthMarketRent)^0+(1-Retention)*LCNew*H44*D44*(1+GrowthMarketRent)^0,IF(I44="LeaseUp",LCNew*H44*D44*(1+GrowthMarketRent)^0,IF(I44="Option",LCRenewal*H44*D44*(1+GrowthMarketRent)^0,0))))),IF(F44="",0,IF(AND(F44&gt;=DATE(2026+0,5,1),F44&lt;=DATE(2027+0,4,30)),(IF(I44="Vacate",TINew*D44,IF(I44="Market",Retention*TIRenewal*D44+(1-Retention)*TINew*D44,IF(I44="LeaseUp",TINew*D44,IF(I44="Option",TIRenewal*D44,0)))))+(IF(I44="Vacate",LCNew*H44*D44*(1+GrowthMarketRent)^0,IF(I44="Market",Retention*LCRenewal*H44*D44*(1+GrowthMarketRent)^0+(1-Retention)*LCNew*H44*D44*(1+GrowthMarketRent)^0,IF(I44="LeaseUp",LCNew*H44*D44*(1+GrowthMarketRent)^0,IF(I44="Option",LCRenewal*H44*D44*(1+GrowthMarketRent)^0,0))))),0))),0)</f>
        <v/>
      </c>
      <c r="Z44" s="14">
        <f>IFERROR(IF(AND(I44="LeaseUp",1=0),(IF(I44="Vacate",TINew*D44,IF(I44="Market",Retention*TIRenewal*D44+(1-Retention)*TINew*D44,IF(I44="LeaseUp",TINew*D44,IF(I44="Option",TIRenewal*D44,0)))))+(IF(I44="Vacate",LCNew*H44*D44*(1+GrowthMarketRent)^1,IF(I44="Market",Retention*LCRenewal*H44*D44*(1+GrowthMarketRent)^1+(1-Retention)*LCNew*H44*D44*(1+GrowthMarketRent)^1,IF(I44="LeaseUp",LCNew*H44*D44*(1+GrowthMarketRent)^1,IF(I44="Option",LCRenewal*H44*D44*(1+GrowthMarketRent)^1,0))))),IF(F44="",0,IF(AND(F44&gt;=DATE(2026+1,5,1),F44&lt;=DATE(2027+1,4,30)),(IF(I44="Vacate",TINew*D44,IF(I44="Market",Retention*TIRenewal*D44+(1-Retention)*TINew*D44,IF(I44="LeaseUp",TINew*D44,IF(I44="Option",TIRenewal*D44,0)))))+(IF(I44="Vacate",LCNew*H44*D44*(1+GrowthMarketRent)^1,IF(I44="Market",Retention*LCRenewal*H44*D44*(1+GrowthMarketRent)^1+(1-Retention)*LCNew*H44*D44*(1+GrowthMarketRent)^1,IF(I44="LeaseUp",LCNew*H44*D44*(1+GrowthMarketRent)^1,IF(I44="Option",LCRenewal*H44*D44*(1+GrowthMarketRent)^1,0))))),0))),0)</f>
        <v/>
      </c>
      <c r="AA44" s="14">
        <f>IFERROR(IF(AND(I44="LeaseUp",2=0),(IF(I44="Vacate",TINew*D44,IF(I44="Market",Retention*TIRenewal*D44+(1-Retention)*TINew*D44,IF(I44="LeaseUp",TINew*D44,IF(I44="Option",TIRenewal*D44,0)))))+(IF(I44="Vacate",LCNew*H44*D44*(1+GrowthMarketRent)^2,IF(I44="Market",Retention*LCRenewal*H44*D44*(1+GrowthMarketRent)^2+(1-Retention)*LCNew*H44*D44*(1+GrowthMarketRent)^2,IF(I44="LeaseUp",LCNew*H44*D44*(1+GrowthMarketRent)^2,IF(I44="Option",LCRenewal*H44*D44*(1+GrowthMarketRent)^2,0))))),IF(F44="",0,IF(AND(F44&gt;=DATE(2026+2,5,1),F44&lt;=DATE(2027+2,4,30)),(IF(I44="Vacate",TINew*D44,IF(I44="Market",Retention*TIRenewal*D44+(1-Retention)*TINew*D44,IF(I44="LeaseUp",TINew*D44,IF(I44="Option",TIRenewal*D44,0)))))+(IF(I44="Vacate",LCNew*H44*D44*(1+GrowthMarketRent)^2,IF(I44="Market",Retention*LCRenewal*H44*D44*(1+GrowthMarketRent)^2+(1-Retention)*LCNew*H44*D44*(1+GrowthMarketRent)^2,IF(I44="LeaseUp",LCNew*H44*D44*(1+GrowthMarketRent)^2,IF(I44="Option",LCRenewal*H44*D44*(1+GrowthMarketRent)^2,0))))),0))),0)</f>
        <v/>
      </c>
      <c r="AB44" s="14">
        <f>IFERROR(IF(AND(I44="LeaseUp",3=0),(IF(I44="Vacate",TINew*D44,IF(I44="Market",Retention*TIRenewal*D44+(1-Retention)*TINew*D44,IF(I44="LeaseUp",TINew*D44,IF(I44="Option",TIRenewal*D44,0)))))+(IF(I44="Vacate",LCNew*H44*D44*(1+GrowthMarketRent)^3,IF(I44="Market",Retention*LCRenewal*H44*D44*(1+GrowthMarketRent)^3+(1-Retention)*LCNew*H44*D44*(1+GrowthMarketRent)^3,IF(I44="LeaseUp",LCNew*H44*D44*(1+GrowthMarketRent)^3,IF(I44="Option",LCRenewal*H44*D44*(1+GrowthMarketRent)^3,0))))),IF(F44="",0,IF(AND(F44&gt;=DATE(2026+3,5,1),F44&lt;=DATE(2027+3,4,30)),(IF(I44="Vacate",TINew*D44,IF(I44="Market",Retention*TIRenewal*D44+(1-Retention)*TINew*D44,IF(I44="LeaseUp",TINew*D44,IF(I44="Option",TIRenewal*D44,0)))))+(IF(I44="Vacate",LCNew*H44*D44*(1+GrowthMarketRent)^3,IF(I44="Market",Retention*LCRenewal*H44*D44*(1+GrowthMarketRent)^3+(1-Retention)*LCNew*H44*D44*(1+GrowthMarketRent)^3,IF(I44="LeaseUp",LCNew*H44*D44*(1+GrowthMarketRent)^3,IF(I44="Option",LCRenewal*H44*D44*(1+GrowthMarketRent)^3,0))))),0))),0)</f>
        <v/>
      </c>
      <c r="AC44" s="14">
        <f>IFERROR(IF(AND(I44="LeaseUp",4=0),(IF(I44="Vacate",TINew*D44,IF(I44="Market",Retention*TIRenewal*D44+(1-Retention)*TINew*D44,IF(I44="LeaseUp",TINew*D44,IF(I44="Option",TIRenewal*D44,0)))))+(IF(I44="Vacate",LCNew*H44*D44*(1+GrowthMarketRent)^4,IF(I44="Market",Retention*LCRenewal*H44*D44*(1+GrowthMarketRent)^4+(1-Retention)*LCNew*H44*D44*(1+GrowthMarketRent)^4,IF(I44="LeaseUp",LCNew*H44*D44*(1+GrowthMarketRent)^4,IF(I44="Option",LCRenewal*H44*D44*(1+GrowthMarketRent)^4,0))))),IF(F44="",0,IF(AND(F44&gt;=DATE(2026+4,5,1),F44&lt;=DATE(2027+4,4,30)),(IF(I44="Vacate",TINew*D44,IF(I44="Market",Retention*TIRenewal*D44+(1-Retention)*TINew*D44,IF(I44="LeaseUp",TINew*D44,IF(I44="Option",TIRenewal*D44,0)))))+(IF(I44="Vacate",LCNew*H44*D44*(1+GrowthMarketRent)^4,IF(I44="Market",Retention*LCRenewal*H44*D44*(1+GrowthMarketRent)^4+(1-Retention)*LCNew*H44*D44*(1+GrowthMarketRent)^4,IF(I44="LeaseUp",LCNew*H44*D44*(1+GrowthMarketRent)^4,IF(I44="Option",LCRenewal*H44*D44*(1+GrowthMarketRent)^4,0))))),0))),0)</f>
        <v/>
      </c>
      <c r="AD44" s="14">
        <f>IFERROR(IF(AND(I44="LeaseUp",5=0),(IF(I44="Vacate",TINew*D44,IF(I44="Market",Retention*TIRenewal*D44+(1-Retention)*TINew*D44,IF(I44="LeaseUp",TINew*D44,IF(I44="Option",TIRenewal*D44,0)))))+(IF(I44="Vacate",LCNew*H44*D44*(1+GrowthMarketRent)^5,IF(I44="Market",Retention*LCRenewal*H44*D44*(1+GrowthMarketRent)^5+(1-Retention)*LCNew*H44*D44*(1+GrowthMarketRent)^5,IF(I44="LeaseUp",LCNew*H44*D44*(1+GrowthMarketRent)^5,IF(I44="Option",LCRenewal*H44*D44*(1+GrowthMarketRent)^5,0))))),IF(F44="",0,IF(AND(F44&gt;=DATE(2026+5,5,1),F44&lt;=DATE(2027+5,4,30)),(IF(I44="Vacate",TINew*D44,IF(I44="Market",Retention*TIRenewal*D44+(1-Retention)*TINew*D44,IF(I44="LeaseUp",TINew*D44,IF(I44="Option",TIRenewal*D44,0)))))+(IF(I44="Vacate",LCNew*H44*D44*(1+GrowthMarketRent)^5,IF(I44="Market",Retention*LCRenewal*H44*D44*(1+GrowthMarketRent)^5+(1-Retention)*LCNew*H44*D44*(1+GrowthMarketRent)^5,IF(I44="LeaseUp",LCNew*H44*D44*(1+GrowthMarketRent)^5,IF(I44="Option",LCRenewal*H44*D44*(1+GrowthMarketRent)^5,0))))),0))),0)</f>
        <v/>
      </c>
      <c r="AE44" s="14">
        <f>IFERROR(IF(AND(I44="LeaseUp",6=0),(IF(I44="Vacate",TINew*D44,IF(I44="Market",Retention*TIRenewal*D44+(1-Retention)*TINew*D44,IF(I44="LeaseUp",TINew*D44,IF(I44="Option",TIRenewal*D44,0)))))+(IF(I44="Vacate",LCNew*H44*D44*(1+GrowthMarketRent)^6,IF(I44="Market",Retention*LCRenewal*H44*D44*(1+GrowthMarketRent)^6+(1-Retention)*LCNew*H44*D44*(1+GrowthMarketRent)^6,IF(I44="LeaseUp",LCNew*H44*D44*(1+GrowthMarketRent)^6,IF(I44="Option",LCRenewal*H44*D44*(1+GrowthMarketRent)^6,0))))),IF(F44="",0,IF(AND(F44&gt;=DATE(2026+6,5,1),F44&lt;=DATE(2027+6,4,30)),(IF(I44="Vacate",TINew*D44,IF(I44="Market",Retention*TIRenewal*D44+(1-Retention)*TINew*D44,IF(I44="LeaseUp",TINew*D44,IF(I44="Option",TIRenewal*D44,0)))))+(IF(I44="Vacate",LCNew*H44*D44*(1+GrowthMarketRent)^6,IF(I44="Market",Retention*LCRenewal*H44*D44*(1+GrowthMarketRent)^6+(1-Retention)*LCNew*H44*D44*(1+GrowthMarketRent)^6,IF(I44="LeaseUp",LCNew*H44*D44*(1+GrowthMarketRent)^6,IF(I44="Option",LCRenewal*H44*D44*(1+GrowthMarketRent)^6,0))))),0))),0)</f>
        <v/>
      </c>
      <c r="AF44" s="14">
        <f>IFERROR(IF(AND(I44="LeaseUp",7=0),(IF(I44="Vacate",TINew*D44,IF(I44="Market",Retention*TIRenewal*D44+(1-Retention)*TINew*D44,IF(I44="LeaseUp",TINew*D44,IF(I44="Option",TIRenewal*D44,0)))))+(IF(I44="Vacate",LCNew*H44*D44*(1+GrowthMarketRent)^7,IF(I44="Market",Retention*LCRenewal*H44*D44*(1+GrowthMarketRent)^7+(1-Retention)*LCNew*H44*D44*(1+GrowthMarketRent)^7,IF(I44="LeaseUp",LCNew*H44*D44*(1+GrowthMarketRent)^7,IF(I44="Option",LCRenewal*H44*D44*(1+GrowthMarketRent)^7,0))))),IF(F44="",0,IF(AND(F44&gt;=DATE(2026+7,5,1),F44&lt;=DATE(2027+7,4,30)),(IF(I44="Vacate",TINew*D44,IF(I44="Market",Retention*TIRenewal*D44+(1-Retention)*TINew*D44,IF(I44="LeaseUp",TINew*D44,IF(I44="Option",TIRenewal*D44,0)))))+(IF(I44="Vacate",LCNew*H44*D44*(1+GrowthMarketRent)^7,IF(I44="Market",Retention*LCRenewal*H44*D44*(1+GrowthMarketRent)^7+(1-Retention)*LCNew*H44*D44*(1+GrowthMarketRent)^7,IF(I44="LeaseUp",LCNew*H44*D44*(1+GrowthMarketRent)^7,IF(I44="Option",LCRenewal*H44*D44*(1+GrowthMarketRent)^7,0))))),0))),0)</f>
        <v/>
      </c>
      <c r="AG44" s="14">
        <f>IFERROR(IF(AND(I44="LeaseUp",8=0),(IF(I44="Vacate",TINew*D44,IF(I44="Market",Retention*TIRenewal*D44+(1-Retention)*TINew*D44,IF(I44="LeaseUp",TINew*D44,IF(I44="Option",TIRenewal*D44,0)))))+(IF(I44="Vacate",LCNew*H44*D44*(1+GrowthMarketRent)^8,IF(I44="Market",Retention*LCRenewal*H44*D44*(1+GrowthMarketRent)^8+(1-Retention)*LCNew*H44*D44*(1+GrowthMarketRent)^8,IF(I44="LeaseUp",LCNew*H44*D44*(1+GrowthMarketRent)^8,IF(I44="Option",LCRenewal*H44*D44*(1+GrowthMarketRent)^8,0))))),IF(F44="",0,IF(AND(F44&gt;=DATE(2026+8,5,1),F44&lt;=DATE(2027+8,4,30)),(IF(I44="Vacate",TINew*D44,IF(I44="Market",Retention*TIRenewal*D44+(1-Retention)*TINew*D44,IF(I44="LeaseUp",TINew*D44,IF(I44="Option",TIRenewal*D44,0)))))+(IF(I44="Vacate",LCNew*H44*D44*(1+GrowthMarketRent)^8,IF(I44="Market",Retention*LCRenewal*H44*D44*(1+GrowthMarketRent)^8+(1-Retention)*LCNew*H44*D44*(1+GrowthMarketRent)^8,IF(I44="LeaseUp",LCNew*H44*D44*(1+GrowthMarketRent)^8,IF(I44="Option",LCRenewal*H44*D44*(1+GrowthMarketRent)^8,0))))),0))),0)</f>
        <v/>
      </c>
      <c r="AH44" s="14">
        <f>IFERROR(IF(AND(I44="LeaseUp",9=0),(IF(I44="Vacate",TINew*D44,IF(I44="Market",Retention*TIRenewal*D44+(1-Retention)*TINew*D44,IF(I44="LeaseUp",TINew*D44,IF(I44="Option",TIRenewal*D44,0)))))+(IF(I44="Vacate",LCNew*H44*D44*(1+GrowthMarketRent)^9,IF(I44="Market",Retention*LCRenewal*H44*D44*(1+GrowthMarketRent)^9+(1-Retention)*LCNew*H44*D44*(1+GrowthMarketRent)^9,IF(I44="LeaseUp",LCNew*H44*D44*(1+GrowthMarketRent)^9,IF(I44="Option",LCRenewal*H44*D44*(1+GrowthMarketRent)^9,0))))),IF(F44="",0,IF(AND(F44&gt;=DATE(2026+9,5,1),F44&lt;=DATE(2027+9,4,30)),(IF(I44="Vacate",TINew*D44,IF(I44="Market",Retention*TIRenewal*D44+(1-Retention)*TINew*D44,IF(I44="LeaseUp",TINew*D44,IF(I44="Option",TIRenewal*D44,0)))))+(IF(I44="Vacate",LCNew*H44*D44*(1+GrowthMarketRent)^9,IF(I44="Market",Retention*LCRenewal*H44*D44*(1+GrowthMarketRent)^9+(1-Retention)*LCNew*H44*D44*(1+GrowthMarketRent)^9,IF(I44="LeaseUp",LCNew*H44*D44*(1+GrowthMarketRent)^9,IF(I44="Option",LCRenewal*H44*D44*(1+GrowthMarketRent)^9,0))))),0))),0)</f>
        <v/>
      </c>
      <c r="AI44" s="14">
        <f>IFERROR(IF(AND(I44="LeaseUp",10=0),(IF(I44="Vacate",TINew*D44,IF(I44="Market",Retention*TIRenewal*D44+(1-Retention)*TINew*D44,IF(I44="LeaseUp",TINew*D44,IF(I44="Option",TIRenewal*D44,0)))))+(IF(I44="Vacate",LCNew*H44*D44*(1+GrowthMarketRent)^10,IF(I44="Market",Retention*LCRenewal*H44*D44*(1+GrowthMarketRent)^10+(1-Retention)*LCNew*H44*D44*(1+GrowthMarketRent)^10,IF(I44="LeaseUp",LCNew*H44*D44*(1+GrowthMarketRent)^10,IF(I44="Option",LCRenewal*H44*D44*(1+GrowthMarketRent)^10,0))))),IF(F44="",0,IF(AND(F44&gt;=DATE(2026+10,5,1),F44&lt;=DATE(2027+10,4,30)),(IF(I44="Vacate",TINew*D44,IF(I44="Market",Retention*TIRenewal*D44+(1-Retention)*TINew*D44,IF(I44="LeaseUp",TINew*D44,IF(I44="Option",TIRenewal*D44,0)))))+(IF(I44="Vacate",LCNew*H44*D44*(1+GrowthMarketRent)^10,IF(I44="Market",Retention*LCRenewal*H44*D44*(1+GrowthMarketRent)^10+(1-Retention)*LCNew*H44*D44*(1+GrowthMarketRent)^10,IF(I44="LeaseUp",LCNew*H44*D44*(1+GrowthMarketRent)^10,IF(I44="Option",LCRenewal*H44*D44*(1+GrowthMarketRent)^10,0))))),0))),0)</f>
        <v/>
      </c>
    </row>
    <row r="45">
      <c r="A45" t="inlineStr">
        <is>
          <t>Frisco</t>
        </is>
      </c>
      <c r="B45" t="inlineStr">
        <is>
          <t>105</t>
        </is>
      </c>
      <c r="C45" t="inlineStr">
        <is>
          <t>Louder Group LLC</t>
        </is>
      </c>
      <c r="D45" s="32" t="n">
        <v>2600</v>
      </c>
      <c r="E45" s="33" t="n">
        <v>45870</v>
      </c>
      <c r="F45" s="33" t="n">
        <v>47119</v>
      </c>
      <c r="G45" s="34" t="n">
        <v>18</v>
      </c>
      <c r="H45" s="16">
        <f>VLOOKUP(A45,MLA!$A$5:$L$11,3,FALSE)</f>
        <v/>
      </c>
      <c r="I45" s="11" t="inlineStr">
        <is>
          <t>Market</t>
        </is>
      </c>
      <c r="J45" t="inlineStr">
        <is>
          <t>Shop</t>
        </is>
      </c>
      <c r="K45" t="inlineStr">
        <is>
          <t>Occupied</t>
        </is>
      </c>
      <c r="L45" t="inlineStr">
        <is>
          <t>Guarantor: Maro Radenovic</t>
        </is>
      </c>
      <c r="M45" s="20">
        <f>IF(E45="",0,(AnalysisStart-E45)/365.25)</f>
        <v/>
      </c>
      <c r="N45" s="14">
        <f>IFERROR(IF(I45="LeaseUp",H45*D45*(1+GrowthMarketRent)^0*IF(0=0,(12-DowntimeNew)/12,1),IF(F45="",0,IF(F45&gt;=DATE(2027+0,4,30),G45*D45*(1+EscalatorInLease)^(0+M45),IF(F45&lt;DATE(2026+0,5,1),IF(I45="Vacate",H45*D45*(1+GrowthMarketRent)^0*IF(INT((DATE(2026+0,10,31)-F45)/365.25)=0,(12-DowntimeNew)/12,1),IF(I45="Option",G45*D45*1.025*(1+EscalatorInLease)^0,IF(I45="Market",Retention*G45*D45*(1+EscalatorInLease)^(0+M45)+(1-Retention)*H45*D45*(1+GrowthMarketRent)^0*IF(INT((DATE(2026+0,10,31)-F45)/365.25)=0,(12-DowntimeNew)/12,1),IF(I45="LeaseUp",H45*D45*(1+GrowthMarketRent)^0*IF(0=0,(12-DowntimeNew)/12,1),0)))),((F45-DATE(2026+0,5,1))/365.25)*G45*D45*(1+EscalatorInLease)^(0+M45)+((DATE(2027+0,4,30)-F45)/365.25)*IF(I45="Vacate",H45*D45*(1+GrowthMarketRent)^0*IF(INT((DATE(2026+0,10,31)-F45)/365.25)=0,(12-DowntimeNew)/12,1),IF(I45="Option",G45*D45*1.025*(1+EscalatorInLease)^0,IF(I45="Market",Retention*G45*D45*(1+EscalatorInLease)^(0+M45)+(1-Retention)*H45*D45*(1+GrowthMarketRent)^0*IF(INT((DATE(2026+0,10,31)-F45)/365.25)=0,(12-DowntimeNew)/12,1),IF(I45="LeaseUp",H45*D45*(1+GrowthMarketRent)^0*IF(0=0,(12-DowntimeNew)/12,1),0)))))))),0)</f>
        <v/>
      </c>
      <c r="O45" s="14">
        <f>IFERROR(IF(I45="LeaseUp",H45*D45*(1+GrowthMarketRent)^1*IF(1=0,(12-DowntimeNew)/12,1),IF(F45="",0,IF(F45&gt;=DATE(2027+1,4,30),G45*D45*(1+EscalatorInLease)^(1+M45),IF(F45&lt;DATE(2026+1,5,1),IF(I45="Vacate",H45*D45*(1+GrowthMarketRent)^1*IF(INT((DATE(2026+1,10,31)-F45)/365.25)=0,(12-DowntimeNew)/12,1),IF(I45="Option",G45*D45*1.025*(1+EscalatorInLease)^1,IF(I45="Market",Retention*G45*D45*(1+EscalatorInLease)^(1+M45)+(1-Retention)*H45*D45*(1+GrowthMarketRent)^1*IF(INT((DATE(2026+1,10,31)-F45)/365.25)=0,(12-DowntimeNew)/12,1),IF(I45="LeaseUp",H45*D45*(1+GrowthMarketRent)^1*IF(1=0,(12-DowntimeNew)/12,1),0)))),((F45-DATE(2026+1,5,1))/365.25)*G45*D45*(1+EscalatorInLease)^(1+M45)+((DATE(2027+1,4,30)-F45)/365.25)*IF(I45="Vacate",H45*D45*(1+GrowthMarketRent)^1*IF(INT((DATE(2026+1,10,31)-F45)/365.25)=0,(12-DowntimeNew)/12,1),IF(I45="Option",G45*D45*1.025*(1+EscalatorInLease)^1,IF(I45="Market",Retention*G45*D45*(1+EscalatorInLease)^(1+M45)+(1-Retention)*H45*D45*(1+GrowthMarketRent)^1*IF(INT((DATE(2026+1,10,31)-F45)/365.25)=0,(12-DowntimeNew)/12,1),IF(I45="LeaseUp",H45*D45*(1+GrowthMarketRent)^1*IF(1=0,(12-DowntimeNew)/12,1),0)))))))),0)</f>
        <v/>
      </c>
      <c r="P45" s="14">
        <f>IFERROR(IF(I45="LeaseUp",H45*D45*(1+GrowthMarketRent)^2*IF(2=0,(12-DowntimeNew)/12,1),IF(F45="",0,IF(F45&gt;=DATE(2027+2,4,30),G45*D45*(1+EscalatorInLease)^(2+M45),IF(F45&lt;DATE(2026+2,5,1),IF(I45="Vacate",H45*D45*(1+GrowthMarketRent)^2*IF(INT((DATE(2026+2,10,31)-F45)/365.25)=0,(12-DowntimeNew)/12,1),IF(I45="Option",G45*D45*1.025*(1+EscalatorInLease)^2,IF(I45="Market",Retention*G45*D45*(1+EscalatorInLease)^(2+M45)+(1-Retention)*H45*D45*(1+GrowthMarketRent)^2*IF(INT((DATE(2026+2,10,31)-F45)/365.25)=0,(12-DowntimeNew)/12,1),IF(I45="LeaseUp",H45*D45*(1+GrowthMarketRent)^2*IF(2=0,(12-DowntimeNew)/12,1),0)))),((F45-DATE(2026+2,5,1))/365.25)*G45*D45*(1+EscalatorInLease)^(2+M45)+((DATE(2027+2,4,30)-F45)/365.25)*IF(I45="Vacate",H45*D45*(1+GrowthMarketRent)^2*IF(INT((DATE(2026+2,10,31)-F45)/365.25)=0,(12-DowntimeNew)/12,1),IF(I45="Option",G45*D45*1.025*(1+EscalatorInLease)^2,IF(I45="Market",Retention*G45*D45*(1+EscalatorInLease)^(2+M45)+(1-Retention)*H45*D45*(1+GrowthMarketRent)^2*IF(INT((DATE(2026+2,10,31)-F45)/365.25)=0,(12-DowntimeNew)/12,1),IF(I45="LeaseUp",H45*D45*(1+GrowthMarketRent)^2*IF(2=0,(12-DowntimeNew)/12,1),0)))))))),0)</f>
        <v/>
      </c>
      <c r="Q45" s="14">
        <f>IFERROR(IF(I45="LeaseUp",H45*D45*(1+GrowthMarketRent)^3*IF(3=0,(12-DowntimeNew)/12,1),IF(F45="",0,IF(F45&gt;=DATE(2027+3,4,30),G45*D45*(1+EscalatorInLease)^(3+M45),IF(F45&lt;DATE(2026+3,5,1),IF(I45="Vacate",H45*D45*(1+GrowthMarketRent)^3*IF(INT((DATE(2026+3,10,31)-F45)/365.25)=0,(12-DowntimeNew)/12,1),IF(I45="Option",G45*D45*1.025*(1+EscalatorInLease)^3,IF(I45="Market",Retention*G45*D45*(1+EscalatorInLease)^(3+M45)+(1-Retention)*H45*D45*(1+GrowthMarketRent)^3*IF(INT((DATE(2026+3,10,31)-F45)/365.25)=0,(12-DowntimeNew)/12,1),IF(I45="LeaseUp",H45*D45*(1+GrowthMarketRent)^3*IF(3=0,(12-DowntimeNew)/12,1),0)))),((F45-DATE(2026+3,5,1))/365.25)*G45*D45*(1+EscalatorInLease)^(3+M45)+((DATE(2027+3,4,30)-F45)/365.25)*IF(I45="Vacate",H45*D45*(1+GrowthMarketRent)^3*IF(INT((DATE(2026+3,10,31)-F45)/365.25)=0,(12-DowntimeNew)/12,1),IF(I45="Option",G45*D45*1.025*(1+EscalatorInLease)^3,IF(I45="Market",Retention*G45*D45*(1+EscalatorInLease)^(3+M45)+(1-Retention)*H45*D45*(1+GrowthMarketRent)^3*IF(INT((DATE(2026+3,10,31)-F45)/365.25)=0,(12-DowntimeNew)/12,1),IF(I45="LeaseUp",H45*D45*(1+GrowthMarketRent)^3*IF(3=0,(12-DowntimeNew)/12,1),0)))))))),0)</f>
        <v/>
      </c>
      <c r="R45" s="14">
        <f>IFERROR(IF(I45="LeaseUp",H45*D45*(1+GrowthMarketRent)^4*IF(4=0,(12-DowntimeNew)/12,1),IF(F45="",0,IF(F45&gt;=DATE(2027+4,4,30),G45*D45*(1+EscalatorInLease)^(4+M45),IF(F45&lt;DATE(2026+4,5,1),IF(I45="Vacate",H45*D45*(1+GrowthMarketRent)^4*IF(INT((DATE(2026+4,10,31)-F45)/365.25)=0,(12-DowntimeNew)/12,1),IF(I45="Option",G45*D45*1.025*(1+EscalatorInLease)^4,IF(I45="Market",Retention*G45*D45*(1+EscalatorInLease)^(4+M45)+(1-Retention)*H45*D45*(1+GrowthMarketRent)^4*IF(INT((DATE(2026+4,10,31)-F45)/365.25)=0,(12-DowntimeNew)/12,1),IF(I45="LeaseUp",H45*D45*(1+GrowthMarketRent)^4*IF(4=0,(12-DowntimeNew)/12,1),0)))),((F45-DATE(2026+4,5,1))/365.25)*G45*D45*(1+EscalatorInLease)^(4+M45)+((DATE(2027+4,4,30)-F45)/365.25)*IF(I45="Vacate",H45*D45*(1+GrowthMarketRent)^4*IF(INT((DATE(2026+4,10,31)-F45)/365.25)=0,(12-DowntimeNew)/12,1),IF(I45="Option",G45*D45*1.025*(1+EscalatorInLease)^4,IF(I45="Market",Retention*G45*D45*(1+EscalatorInLease)^(4+M45)+(1-Retention)*H45*D45*(1+GrowthMarketRent)^4*IF(INT((DATE(2026+4,10,31)-F45)/365.25)=0,(12-DowntimeNew)/12,1),IF(I45="LeaseUp",H45*D45*(1+GrowthMarketRent)^4*IF(4=0,(12-DowntimeNew)/12,1),0)))))))),0)</f>
        <v/>
      </c>
      <c r="S45" s="14">
        <f>IFERROR(IF(I45="LeaseUp",H45*D45*(1+GrowthMarketRent)^5*IF(5=0,(12-DowntimeNew)/12,1),IF(F45="",0,IF(F45&gt;=DATE(2027+5,4,30),G45*D45*(1+EscalatorInLease)^(5+M45),IF(F45&lt;DATE(2026+5,5,1),IF(I45="Vacate",H45*D45*(1+GrowthMarketRent)^5*IF(INT((DATE(2026+5,10,31)-F45)/365.25)=0,(12-DowntimeNew)/12,1),IF(I45="Option",G45*D45*1.025*(1+EscalatorInLease)^5,IF(I45="Market",Retention*G45*D45*(1+EscalatorInLease)^(5+M45)+(1-Retention)*H45*D45*(1+GrowthMarketRent)^5*IF(INT((DATE(2026+5,10,31)-F45)/365.25)=0,(12-DowntimeNew)/12,1),IF(I45="LeaseUp",H45*D45*(1+GrowthMarketRent)^5*IF(5=0,(12-DowntimeNew)/12,1),0)))),((F45-DATE(2026+5,5,1))/365.25)*G45*D45*(1+EscalatorInLease)^(5+M45)+((DATE(2027+5,4,30)-F45)/365.25)*IF(I45="Vacate",H45*D45*(1+GrowthMarketRent)^5*IF(INT((DATE(2026+5,10,31)-F45)/365.25)=0,(12-DowntimeNew)/12,1),IF(I45="Option",G45*D45*1.025*(1+EscalatorInLease)^5,IF(I45="Market",Retention*G45*D45*(1+EscalatorInLease)^(5+M45)+(1-Retention)*H45*D45*(1+GrowthMarketRent)^5*IF(INT((DATE(2026+5,10,31)-F45)/365.25)=0,(12-DowntimeNew)/12,1),IF(I45="LeaseUp",H45*D45*(1+GrowthMarketRent)^5*IF(5=0,(12-DowntimeNew)/12,1),0)))))))),0)</f>
        <v/>
      </c>
      <c r="T45" s="14">
        <f>IFERROR(IF(I45="LeaseUp",H45*D45*(1+GrowthMarketRent)^6*IF(6=0,(12-DowntimeNew)/12,1),IF(F45="",0,IF(F45&gt;=DATE(2027+6,4,30),G45*D45*(1+EscalatorInLease)^(6+M45),IF(F45&lt;DATE(2026+6,5,1),IF(I45="Vacate",H45*D45*(1+GrowthMarketRent)^6*IF(INT((DATE(2026+6,10,31)-F45)/365.25)=0,(12-DowntimeNew)/12,1),IF(I45="Option",G45*D45*1.025*(1+EscalatorInLease)^6,IF(I45="Market",Retention*G45*D45*(1+EscalatorInLease)^(6+M45)+(1-Retention)*H45*D45*(1+GrowthMarketRent)^6*IF(INT((DATE(2026+6,10,31)-F45)/365.25)=0,(12-DowntimeNew)/12,1),IF(I45="LeaseUp",H45*D45*(1+GrowthMarketRent)^6*IF(6=0,(12-DowntimeNew)/12,1),0)))),((F45-DATE(2026+6,5,1))/365.25)*G45*D45*(1+EscalatorInLease)^(6+M45)+((DATE(2027+6,4,30)-F45)/365.25)*IF(I45="Vacate",H45*D45*(1+GrowthMarketRent)^6*IF(INT((DATE(2026+6,10,31)-F45)/365.25)=0,(12-DowntimeNew)/12,1),IF(I45="Option",G45*D45*1.025*(1+EscalatorInLease)^6,IF(I45="Market",Retention*G45*D45*(1+EscalatorInLease)^(6+M45)+(1-Retention)*H45*D45*(1+GrowthMarketRent)^6*IF(INT((DATE(2026+6,10,31)-F45)/365.25)=0,(12-DowntimeNew)/12,1),IF(I45="LeaseUp",H45*D45*(1+GrowthMarketRent)^6*IF(6=0,(12-DowntimeNew)/12,1),0)))))))),0)</f>
        <v/>
      </c>
      <c r="U45" s="14">
        <f>IFERROR(IF(I45="LeaseUp",H45*D45*(1+GrowthMarketRent)^7*IF(7=0,(12-DowntimeNew)/12,1),IF(F45="",0,IF(F45&gt;=DATE(2027+7,4,30),G45*D45*(1+EscalatorInLease)^(7+M45),IF(F45&lt;DATE(2026+7,5,1),IF(I45="Vacate",H45*D45*(1+GrowthMarketRent)^7*IF(INT((DATE(2026+7,10,31)-F45)/365.25)=0,(12-DowntimeNew)/12,1),IF(I45="Option",G45*D45*1.025*(1+EscalatorInLease)^7,IF(I45="Market",Retention*G45*D45*(1+EscalatorInLease)^(7+M45)+(1-Retention)*H45*D45*(1+GrowthMarketRent)^7*IF(INT((DATE(2026+7,10,31)-F45)/365.25)=0,(12-DowntimeNew)/12,1),IF(I45="LeaseUp",H45*D45*(1+GrowthMarketRent)^7*IF(7=0,(12-DowntimeNew)/12,1),0)))),((F45-DATE(2026+7,5,1))/365.25)*G45*D45*(1+EscalatorInLease)^(7+M45)+((DATE(2027+7,4,30)-F45)/365.25)*IF(I45="Vacate",H45*D45*(1+GrowthMarketRent)^7*IF(INT((DATE(2026+7,10,31)-F45)/365.25)=0,(12-DowntimeNew)/12,1),IF(I45="Option",G45*D45*1.025*(1+EscalatorInLease)^7,IF(I45="Market",Retention*G45*D45*(1+EscalatorInLease)^(7+M45)+(1-Retention)*H45*D45*(1+GrowthMarketRent)^7*IF(INT((DATE(2026+7,10,31)-F45)/365.25)=0,(12-DowntimeNew)/12,1),IF(I45="LeaseUp",H45*D45*(1+GrowthMarketRent)^7*IF(7=0,(12-DowntimeNew)/12,1),0)))))))),0)</f>
        <v/>
      </c>
      <c r="V45" s="14">
        <f>IFERROR(IF(I45="LeaseUp",H45*D45*(1+GrowthMarketRent)^8*IF(8=0,(12-DowntimeNew)/12,1),IF(F45="",0,IF(F45&gt;=DATE(2027+8,4,30),G45*D45*(1+EscalatorInLease)^(8+M45),IF(F45&lt;DATE(2026+8,5,1),IF(I45="Vacate",H45*D45*(1+GrowthMarketRent)^8*IF(INT((DATE(2026+8,10,31)-F45)/365.25)=0,(12-DowntimeNew)/12,1),IF(I45="Option",G45*D45*1.025*(1+EscalatorInLease)^8,IF(I45="Market",Retention*G45*D45*(1+EscalatorInLease)^(8+M45)+(1-Retention)*H45*D45*(1+GrowthMarketRent)^8*IF(INT((DATE(2026+8,10,31)-F45)/365.25)=0,(12-DowntimeNew)/12,1),IF(I45="LeaseUp",H45*D45*(1+GrowthMarketRent)^8*IF(8=0,(12-DowntimeNew)/12,1),0)))),((F45-DATE(2026+8,5,1))/365.25)*G45*D45*(1+EscalatorInLease)^(8+M45)+((DATE(2027+8,4,30)-F45)/365.25)*IF(I45="Vacate",H45*D45*(1+GrowthMarketRent)^8*IF(INT((DATE(2026+8,10,31)-F45)/365.25)=0,(12-DowntimeNew)/12,1),IF(I45="Option",G45*D45*1.025*(1+EscalatorInLease)^8,IF(I45="Market",Retention*G45*D45*(1+EscalatorInLease)^(8+M45)+(1-Retention)*H45*D45*(1+GrowthMarketRent)^8*IF(INT((DATE(2026+8,10,31)-F45)/365.25)=0,(12-DowntimeNew)/12,1),IF(I45="LeaseUp",H45*D45*(1+GrowthMarketRent)^8*IF(8=0,(12-DowntimeNew)/12,1),0)))))))),0)</f>
        <v/>
      </c>
      <c r="W45" s="14">
        <f>IFERROR(IF(I45="LeaseUp",H45*D45*(1+GrowthMarketRent)^9*IF(9=0,(12-DowntimeNew)/12,1),IF(F45="",0,IF(F45&gt;=DATE(2027+9,4,30),G45*D45*(1+EscalatorInLease)^(9+M45),IF(F45&lt;DATE(2026+9,5,1),IF(I45="Vacate",H45*D45*(1+GrowthMarketRent)^9*IF(INT((DATE(2026+9,10,31)-F45)/365.25)=0,(12-DowntimeNew)/12,1),IF(I45="Option",G45*D45*1.025*(1+EscalatorInLease)^9,IF(I45="Market",Retention*G45*D45*(1+EscalatorInLease)^(9+M45)+(1-Retention)*H45*D45*(1+GrowthMarketRent)^9*IF(INT((DATE(2026+9,10,31)-F45)/365.25)=0,(12-DowntimeNew)/12,1),IF(I45="LeaseUp",H45*D45*(1+GrowthMarketRent)^9*IF(9=0,(12-DowntimeNew)/12,1),0)))),((F45-DATE(2026+9,5,1))/365.25)*G45*D45*(1+EscalatorInLease)^(9+M45)+((DATE(2027+9,4,30)-F45)/365.25)*IF(I45="Vacate",H45*D45*(1+GrowthMarketRent)^9*IF(INT((DATE(2026+9,10,31)-F45)/365.25)=0,(12-DowntimeNew)/12,1),IF(I45="Option",G45*D45*1.025*(1+EscalatorInLease)^9,IF(I45="Market",Retention*G45*D45*(1+EscalatorInLease)^(9+M45)+(1-Retention)*H45*D45*(1+GrowthMarketRent)^9*IF(INT((DATE(2026+9,10,31)-F45)/365.25)=0,(12-DowntimeNew)/12,1),IF(I45="LeaseUp",H45*D45*(1+GrowthMarketRent)^9*IF(9=0,(12-DowntimeNew)/12,1),0)))))))),0)</f>
        <v/>
      </c>
      <c r="X45" s="14">
        <f>IFERROR(IF(I45="LeaseUp",H45*D45*(1+GrowthMarketRent)^10*IF(10=0,(12-DowntimeNew)/12,1),IF(F45="",0,IF(F45&gt;=DATE(2027+10,4,30),G45*D45*(1+EscalatorInLease)^(10+M45),IF(F45&lt;DATE(2026+10,5,1),IF(I45="Vacate",H45*D45*(1+GrowthMarketRent)^10*IF(INT((DATE(2026+10,10,31)-F45)/365.25)=0,(12-DowntimeNew)/12,1),IF(I45="Option",G45*D45*1.025*(1+EscalatorInLease)^10,IF(I45="Market",Retention*G45*D45*(1+EscalatorInLease)^(10+M45)+(1-Retention)*H45*D45*(1+GrowthMarketRent)^10*IF(INT((DATE(2026+10,10,31)-F45)/365.25)=0,(12-DowntimeNew)/12,1),IF(I45="LeaseUp",H45*D45*(1+GrowthMarketRent)^10*IF(10=0,(12-DowntimeNew)/12,1),0)))),((F45-DATE(2026+10,5,1))/365.25)*G45*D45*(1+EscalatorInLease)^(10+M45)+((DATE(2027+10,4,30)-F45)/365.25)*IF(I45="Vacate",H45*D45*(1+GrowthMarketRent)^10*IF(INT((DATE(2026+10,10,31)-F45)/365.25)=0,(12-DowntimeNew)/12,1),IF(I45="Option",G45*D45*1.025*(1+EscalatorInLease)^10,IF(I45="Market",Retention*G45*D45*(1+EscalatorInLease)^(10+M45)+(1-Retention)*H45*D45*(1+GrowthMarketRent)^10*IF(INT((DATE(2026+10,10,31)-F45)/365.25)=0,(12-DowntimeNew)/12,1),IF(I45="LeaseUp",H45*D45*(1+GrowthMarketRent)^10*IF(10=0,(12-DowntimeNew)/12,1),0)))))))),0)</f>
        <v/>
      </c>
      <c r="Y45" s="14">
        <f>IFERROR(IF(AND(I45="LeaseUp",0=0),(IF(I45="Vacate",TINew*D45,IF(I45="Market",Retention*TIRenewal*D45+(1-Retention)*TINew*D45,IF(I45="LeaseUp",TINew*D45,IF(I45="Option",TIRenewal*D45,0)))))+(IF(I45="Vacate",LCNew*H45*D45*(1+GrowthMarketRent)^0,IF(I45="Market",Retention*LCRenewal*H45*D45*(1+GrowthMarketRent)^0+(1-Retention)*LCNew*H45*D45*(1+GrowthMarketRent)^0,IF(I45="LeaseUp",LCNew*H45*D45*(1+GrowthMarketRent)^0,IF(I45="Option",LCRenewal*H45*D45*(1+GrowthMarketRent)^0,0))))),IF(F45="",0,IF(AND(F45&gt;=DATE(2026+0,5,1),F45&lt;=DATE(2027+0,4,30)),(IF(I45="Vacate",TINew*D45,IF(I45="Market",Retention*TIRenewal*D45+(1-Retention)*TINew*D45,IF(I45="LeaseUp",TINew*D45,IF(I45="Option",TIRenewal*D45,0)))))+(IF(I45="Vacate",LCNew*H45*D45*(1+GrowthMarketRent)^0,IF(I45="Market",Retention*LCRenewal*H45*D45*(1+GrowthMarketRent)^0+(1-Retention)*LCNew*H45*D45*(1+GrowthMarketRent)^0,IF(I45="LeaseUp",LCNew*H45*D45*(1+GrowthMarketRent)^0,IF(I45="Option",LCRenewal*H45*D45*(1+GrowthMarketRent)^0,0))))),0))),0)</f>
        <v/>
      </c>
      <c r="Z45" s="14">
        <f>IFERROR(IF(AND(I45="LeaseUp",1=0),(IF(I45="Vacate",TINew*D45,IF(I45="Market",Retention*TIRenewal*D45+(1-Retention)*TINew*D45,IF(I45="LeaseUp",TINew*D45,IF(I45="Option",TIRenewal*D45,0)))))+(IF(I45="Vacate",LCNew*H45*D45*(1+GrowthMarketRent)^1,IF(I45="Market",Retention*LCRenewal*H45*D45*(1+GrowthMarketRent)^1+(1-Retention)*LCNew*H45*D45*(1+GrowthMarketRent)^1,IF(I45="LeaseUp",LCNew*H45*D45*(1+GrowthMarketRent)^1,IF(I45="Option",LCRenewal*H45*D45*(1+GrowthMarketRent)^1,0))))),IF(F45="",0,IF(AND(F45&gt;=DATE(2026+1,5,1),F45&lt;=DATE(2027+1,4,30)),(IF(I45="Vacate",TINew*D45,IF(I45="Market",Retention*TIRenewal*D45+(1-Retention)*TINew*D45,IF(I45="LeaseUp",TINew*D45,IF(I45="Option",TIRenewal*D45,0)))))+(IF(I45="Vacate",LCNew*H45*D45*(1+GrowthMarketRent)^1,IF(I45="Market",Retention*LCRenewal*H45*D45*(1+GrowthMarketRent)^1+(1-Retention)*LCNew*H45*D45*(1+GrowthMarketRent)^1,IF(I45="LeaseUp",LCNew*H45*D45*(1+GrowthMarketRent)^1,IF(I45="Option",LCRenewal*H45*D45*(1+GrowthMarketRent)^1,0))))),0))),0)</f>
        <v/>
      </c>
      <c r="AA45" s="14">
        <f>IFERROR(IF(AND(I45="LeaseUp",2=0),(IF(I45="Vacate",TINew*D45,IF(I45="Market",Retention*TIRenewal*D45+(1-Retention)*TINew*D45,IF(I45="LeaseUp",TINew*D45,IF(I45="Option",TIRenewal*D45,0)))))+(IF(I45="Vacate",LCNew*H45*D45*(1+GrowthMarketRent)^2,IF(I45="Market",Retention*LCRenewal*H45*D45*(1+GrowthMarketRent)^2+(1-Retention)*LCNew*H45*D45*(1+GrowthMarketRent)^2,IF(I45="LeaseUp",LCNew*H45*D45*(1+GrowthMarketRent)^2,IF(I45="Option",LCRenewal*H45*D45*(1+GrowthMarketRent)^2,0))))),IF(F45="",0,IF(AND(F45&gt;=DATE(2026+2,5,1),F45&lt;=DATE(2027+2,4,30)),(IF(I45="Vacate",TINew*D45,IF(I45="Market",Retention*TIRenewal*D45+(1-Retention)*TINew*D45,IF(I45="LeaseUp",TINew*D45,IF(I45="Option",TIRenewal*D45,0)))))+(IF(I45="Vacate",LCNew*H45*D45*(1+GrowthMarketRent)^2,IF(I45="Market",Retention*LCRenewal*H45*D45*(1+GrowthMarketRent)^2+(1-Retention)*LCNew*H45*D45*(1+GrowthMarketRent)^2,IF(I45="LeaseUp",LCNew*H45*D45*(1+GrowthMarketRent)^2,IF(I45="Option",LCRenewal*H45*D45*(1+GrowthMarketRent)^2,0))))),0))),0)</f>
        <v/>
      </c>
      <c r="AB45" s="14">
        <f>IFERROR(IF(AND(I45="LeaseUp",3=0),(IF(I45="Vacate",TINew*D45,IF(I45="Market",Retention*TIRenewal*D45+(1-Retention)*TINew*D45,IF(I45="LeaseUp",TINew*D45,IF(I45="Option",TIRenewal*D45,0)))))+(IF(I45="Vacate",LCNew*H45*D45*(1+GrowthMarketRent)^3,IF(I45="Market",Retention*LCRenewal*H45*D45*(1+GrowthMarketRent)^3+(1-Retention)*LCNew*H45*D45*(1+GrowthMarketRent)^3,IF(I45="LeaseUp",LCNew*H45*D45*(1+GrowthMarketRent)^3,IF(I45="Option",LCRenewal*H45*D45*(1+GrowthMarketRent)^3,0))))),IF(F45="",0,IF(AND(F45&gt;=DATE(2026+3,5,1),F45&lt;=DATE(2027+3,4,30)),(IF(I45="Vacate",TINew*D45,IF(I45="Market",Retention*TIRenewal*D45+(1-Retention)*TINew*D45,IF(I45="LeaseUp",TINew*D45,IF(I45="Option",TIRenewal*D45,0)))))+(IF(I45="Vacate",LCNew*H45*D45*(1+GrowthMarketRent)^3,IF(I45="Market",Retention*LCRenewal*H45*D45*(1+GrowthMarketRent)^3+(1-Retention)*LCNew*H45*D45*(1+GrowthMarketRent)^3,IF(I45="LeaseUp",LCNew*H45*D45*(1+GrowthMarketRent)^3,IF(I45="Option",LCRenewal*H45*D45*(1+GrowthMarketRent)^3,0))))),0))),0)</f>
        <v/>
      </c>
      <c r="AC45" s="14">
        <f>IFERROR(IF(AND(I45="LeaseUp",4=0),(IF(I45="Vacate",TINew*D45,IF(I45="Market",Retention*TIRenewal*D45+(1-Retention)*TINew*D45,IF(I45="LeaseUp",TINew*D45,IF(I45="Option",TIRenewal*D45,0)))))+(IF(I45="Vacate",LCNew*H45*D45*(1+GrowthMarketRent)^4,IF(I45="Market",Retention*LCRenewal*H45*D45*(1+GrowthMarketRent)^4+(1-Retention)*LCNew*H45*D45*(1+GrowthMarketRent)^4,IF(I45="LeaseUp",LCNew*H45*D45*(1+GrowthMarketRent)^4,IF(I45="Option",LCRenewal*H45*D45*(1+GrowthMarketRent)^4,0))))),IF(F45="",0,IF(AND(F45&gt;=DATE(2026+4,5,1),F45&lt;=DATE(2027+4,4,30)),(IF(I45="Vacate",TINew*D45,IF(I45="Market",Retention*TIRenewal*D45+(1-Retention)*TINew*D45,IF(I45="LeaseUp",TINew*D45,IF(I45="Option",TIRenewal*D45,0)))))+(IF(I45="Vacate",LCNew*H45*D45*(1+GrowthMarketRent)^4,IF(I45="Market",Retention*LCRenewal*H45*D45*(1+GrowthMarketRent)^4+(1-Retention)*LCNew*H45*D45*(1+GrowthMarketRent)^4,IF(I45="LeaseUp",LCNew*H45*D45*(1+GrowthMarketRent)^4,IF(I45="Option",LCRenewal*H45*D45*(1+GrowthMarketRent)^4,0))))),0))),0)</f>
        <v/>
      </c>
      <c r="AD45" s="14">
        <f>IFERROR(IF(AND(I45="LeaseUp",5=0),(IF(I45="Vacate",TINew*D45,IF(I45="Market",Retention*TIRenewal*D45+(1-Retention)*TINew*D45,IF(I45="LeaseUp",TINew*D45,IF(I45="Option",TIRenewal*D45,0)))))+(IF(I45="Vacate",LCNew*H45*D45*(1+GrowthMarketRent)^5,IF(I45="Market",Retention*LCRenewal*H45*D45*(1+GrowthMarketRent)^5+(1-Retention)*LCNew*H45*D45*(1+GrowthMarketRent)^5,IF(I45="LeaseUp",LCNew*H45*D45*(1+GrowthMarketRent)^5,IF(I45="Option",LCRenewal*H45*D45*(1+GrowthMarketRent)^5,0))))),IF(F45="",0,IF(AND(F45&gt;=DATE(2026+5,5,1),F45&lt;=DATE(2027+5,4,30)),(IF(I45="Vacate",TINew*D45,IF(I45="Market",Retention*TIRenewal*D45+(1-Retention)*TINew*D45,IF(I45="LeaseUp",TINew*D45,IF(I45="Option",TIRenewal*D45,0)))))+(IF(I45="Vacate",LCNew*H45*D45*(1+GrowthMarketRent)^5,IF(I45="Market",Retention*LCRenewal*H45*D45*(1+GrowthMarketRent)^5+(1-Retention)*LCNew*H45*D45*(1+GrowthMarketRent)^5,IF(I45="LeaseUp",LCNew*H45*D45*(1+GrowthMarketRent)^5,IF(I45="Option",LCRenewal*H45*D45*(1+GrowthMarketRent)^5,0))))),0))),0)</f>
        <v/>
      </c>
      <c r="AE45" s="14">
        <f>IFERROR(IF(AND(I45="LeaseUp",6=0),(IF(I45="Vacate",TINew*D45,IF(I45="Market",Retention*TIRenewal*D45+(1-Retention)*TINew*D45,IF(I45="LeaseUp",TINew*D45,IF(I45="Option",TIRenewal*D45,0)))))+(IF(I45="Vacate",LCNew*H45*D45*(1+GrowthMarketRent)^6,IF(I45="Market",Retention*LCRenewal*H45*D45*(1+GrowthMarketRent)^6+(1-Retention)*LCNew*H45*D45*(1+GrowthMarketRent)^6,IF(I45="LeaseUp",LCNew*H45*D45*(1+GrowthMarketRent)^6,IF(I45="Option",LCRenewal*H45*D45*(1+GrowthMarketRent)^6,0))))),IF(F45="",0,IF(AND(F45&gt;=DATE(2026+6,5,1),F45&lt;=DATE(2027+6,4,30)),(IF(I45="Vacate",TINew*D45,IF(I45="Market",Retention*TIRenewal*D45+(1-Retention)*TINew*D45,IF(I45="LeaseUp",TINew*D45,IF(I45="Option",TIRenewal*D45,0)))))+(IF(I45="Vacate",LCNew*H45*D45*(1+GrowthMarketRent)^6,IF(I45="Market",Retention*LCRenewal*H45*D45*(1+GrowthMarketRent)^6+(1-Retention)*LCNew*H45*D45*(1+GrowthMarketRent)^6,IF(I45="LeaseUp",LCNew*H45*D45*(1+GrowthMarketRent)^6,IF(I45="Option",LCRenewal*H45*D45*(1+GrowthMarketRent)^6,0))))),0))),0)</f>
        <v/>
      </c>
      <c r="AF45" s="14">
        <f>IFERROR(IF(AND(I45="LeaseUp",7=0),(IF(I45="Vacate",TINew*D45,IF(I45="Market",Retention*TIRenewal*D45+(1-Retention)*TINew*D45,IF(I45="LeaseUp",TINew*D45,IF(I45="Option",TIRenewal*D45,0)))))+(IF(I45="Vacate",LCNew*H45*D45*(1+GrowthMarketRent)^7,IF(I45="Market",Retention*LCRenewal*H45*D45*(1+GrowthMarketRent)^7+(1-Retention)*LCNew*H45*D45*(1+GrowthMarketRent)^7,IF(I45="LeaseUp",LCNew*H45*D45*(1+GrowthMarketRent)^7,IF(I45="Option",LCRenewal*H45*D45*(1+GrowthMarketRent)^7,0))))),IF(F45="",0,IF(AND(F45&gt;=DATE(2026+7,5,1),F45&lt;=DATE(2027+7,4,30)),(IF(I45="Vacate",TINew*D45,IF(I45="Market",Retention*TIRenewal*D45+(1-Retention)*TINew*D45,IF(I45="LeaseUp",TINew*D45,IF(I45="Option",TIRenewal*D45,0)))))+(IF(I45="Vacate",LCNew*H45*D45*(1+GrowthMarketRent)^7,IF(I45="Market",Retention*LCRenewal*H45*D45*(1+GrowthMarketRent)^7+(1-Retention)*LCNew*H45*D45*(1+GrowthMarketRent)^7,IF(I45="LeaseUp",LCNew*H45*D45*(1+GrowthMarketRent)^7,IF(I45="Option",LCRenewal*H45*D45*(1+GrowthMarketRent)^7,0))))),0))),0)</f>
        <v/>
      </c>
      <c r="AG45" s="14">
        <f>IFERROR(IF(AND(I45="LeaseUp",8=0),(IF(I45="Vacate",TINew*D45,IF(I45="Market",Retention*TIRenewal*D45+(1-Retention)*TINew*D45,IF(I45="LeaseUp",TINew*D45,IF(I45="Option",TIRenewal*D45,0)))))+(IF(I45="Vacate",LCNew*H45*D45*(1+GrowthMarketRent)^8,IF(I45="Market",Retention*LCRenewal*H45*D45*(1+GrowthMarketRent)^8+(1-Retention)*LCNew*H45*D45*(1+GrowthMarketRent)^8,IF(I45="LeaseUp",LCNew*H45*D45*(1+GrowthMarketRent)^8,IF(I45="Option",LCRenewal*H45*D45*(1+GrowthMarketRent)^8,0))))),IF(F45="",0,IF(AND(F45&gt;=DATE(2026+8,5,1),F45&lt;=DATE(2027+8,4,30)),(IF(I45="Vacate",TINew*D45,IF(I45="Market",Retention*TIRenewal*D45+(1-Retention)*TINew*D45,IF(I45="LeaseUp",TINew*D45,IF(I45="Option",TIRenewal*D45,0)))))+(IF(I45="Vacate",LCNew*H45*D45*(1+GrowthMarketRent)^8,IF(I45="Market",Retention*LCRenewal*H45*D45*(1+GrowthMarketRent)^8+(1-Retention)*LCNew*H45*D45*(1+GrowthMarketRent)^8,IF(I45="LeaseUp",LCNew*H45*D45*(1+GrowthMarketRent)^8,IF(I45="Option",LCRenewal*H45*D45*(1+GrowthMarketRent)^8,0))))),0))),0)</f>
        <v/>
      </c>
      <c r="AH45" s="14">
        <f>IFERROR(IF(AND(I45="LeaseUp",9=0),(IF(I45="Vacate",TINew*D45,IF(I45="Market",Retention*TIRenewal*D45+(1-Retention)*TINew*D45,IF(I45="LeaseUp",TINew*D45,IF(I45="Option",TIRenewal*D45,0)))))+(IF(I45="Vacate",LCNew*H45*D45*(1+GrowthMarketRent)^9,IF(I45="Market",Retention*LCRenewal*H45*D45*(1+GrowthMarketRent)^9+(1-Retention)*LCNew*H45*D45*(1+GrowthMarketRent)^9,IF(I45="LeaseUp",LCNew*H45*D45*(1+GrowthMarketRent)^9,IF(I45="Option",LCRenewal*H45*D45*(1+GrowthMarketRent)^9,0))))),IF(F45="",0,IF(AND(F45&gt;=DATE(2026+9,5,1),F45&lt;=DATE(2027+9,4,30)),(IF(I45="Vacate",TINew*D45,IF(I45="Market",Retention*TIRenewal*D45+(1-Retention)*TINew*D45,IF(I45="LeaseUp",TINew*D45,IF(I45="Option",TIRenewal*D45,0)))))+(IF(I45="Vacate",LCNew*H45*D45*(1+GrowthMarketRent)^9,IF(I45="Market",Retention*LCRenewal*H45*D45*(1+GrowthMarketRent)^9+(1-Retention)*LCNew*H45*D45*(1+GrowthMarketRent)^9,IF(I45="LeaseUp",LCNew*H45*D45*(1+GrowthMarketRent)^9,IF(I45="Option",LCRenewal*H45*D45*(1+GrowthMarketRent)^9,0))))),0))),0)</f>
        <v/>
      </c>
      <c r="AI45" s="14">
        <f>IFERROR(IF(AND(I45="LeaseUp",10=0),(IF(I45="Vacate",TINew*D45,IF(I45="Market",Retention*TIRenewal*D45+(1-Retention)*TINew*D45,IF(I45="LeaseUp",TINew*D45,IF(I45="Option",TIRenewal*D45,0)))))+(IF(I45="Vacate",LCNew*H45*D45*(1+GrowthMarketRent)^10,IF(I45="Market",Retention*LCRenewal*H45*D45*(1+GrowthMarketRent)^10+(1-Retention)*LCNew*H45*D45*(1+GrowthMarketRent)^10,IF(I45="LeaseUp",LCNew*H45*D45*(1+GrowthMarketRent)^10,IF(I45="Option",LCRenewal*H45*D45*(1+GrowthMarketRent)^10,0))))),IF(F45="",0,IF(AND(F45&gt;=DATE(2026+10,5,1),F45&lt;=DATE(2027+10,4,30)),(IF(I45="Vacate",TINew*D45,IF(I45="Market",Retention*TIRenewal*D45+(1-Retention)*TINew*D45,IF(I45="LeaseUp",TINew*D45,IF(I45="Option",TIRenewal*D45,0)))))+(IF(I45="Vacate",LCNew*H45*D45*(1+GrowthMarketRent)^10,IF(I45="Market",Retention*LCRenewal*H45*D45*(1+GrowthMarketRent)^10+(1-Retention)*LCNew*H45*D45*(1+GrowthMarketRent)^10,IF(I45="LeaseUp",LCNew*H45*D45*(1+GrowthMarketRent)^10,IF(I45="Option",LCRenewal*H45*D45*(1+GrowthMarketRent)^10,0))))),0))),0)</f>
        <v/>
      </c>
    </row>
    <row r="46">
      <c r="A46" t="inlineStr">
        <is>
          <t>Frisco</t>
        </is>
      </c>
      <c r="B46" t="inlineStr">
        <is>
          <t>106</t>
        </is>
      </c>
      <c r="C46" t="inlineStr">
        <is>
          <t>Louder Group LLC</t>
        </is>
      </c>
      <c r="D46" s="32" t="n">
        <v>2600</v>
      </c>
      <c r="E46" s="33" t="n">
        <v>45870</v>
      </c>
      <c r="F46" s="33" t="n">
        <v>47119</v>
      </c>
      <c r="G46" s="34" t="n">
        <v>18</v>
      </c>
      <c r="H46" s="16">
        <f>VLOOKUP(A46,MLA!$A$5:$L$11,3,FALSE)</f>
        <v/>
      </c>
      <c r="I46" s="11" t="inlineStr">
        <is>
          <t>Market</t>
        </is>
      </c>
      <c r="J46" t="inlineStr">
        <is>
          <t>Shop</t>
        </is>
      </c>
      <c r="K46" t="inlineStr">
        <is>
          <t>Occupied</t>
        </is>
      </c>
      <c r="L46" t="inlineStr">
        <is>
          <t>Guarantor: Maro Radenovic</t>
        </is>
      </c>
      <c r="M46" s="20">
        <f>IF(E46="",0,(AnalysisStart-E46)/365.25)</f>
        <v/>
      </c>
      <c r="N46" s="14">
        <f>IFERROR(IF(I46="LeaseUp",H46*D46*(1+GrowthMarketRent)^0*IF(0=0,(12-DowntimeNew)/12,1),IF(F46="",0,IF(F46&gt;=DATE(2027+0,4,30),G46*D46*(1+EscalatorInLease)^(0+M46),IF(F46&lt;DATE(2026+0,5,1),IF(I46="Vacate",H46*D46*(1+GrowthMarketRent)^0*IF(INT((DATE(2026+0,10,31)-F46)/365.25)=0,(12-DowntimeNew)/12,1),IF(I46="Option",G46*D46*1.025*(1+EscalatorInLease)^0,IF(I46="Market",Retention*G46*D46*(1+EscalatorInLease)^(0+M46)+(1-Retention)*H46*D46*(1+GrowthMarketRent)^0*IF(INT((DATE(2026+0,10,31)-F46)/365.25)=0,(12-DowntimeNew)/12,1),IF(I46="LeaseUp",H46*D46*(1+GrowthMarketRent)^0*IF(0=0,(12-DowntimeNew)/12,1),0)))),((F46-DATE(2026+0,5,1))/365.25)*G46*D46*(1+EscalatorInLease)^(0+M46)+((DATE(2027+0,4,30)-F46)/365.25)*IF(I46="Vacate",H46*D46*(1+GrowthMarketRent)^0*IF(INT((DATE(2026+0,10,31)-F46)/365.25)=0,(12-DowntimeNew)/12,1),IF(I46="Option",G46*D46*1.025*(1+EscalatorInLease)^0,IF(I46="Market",Retention*G46*D46*(1+EscalatorInLease)^(0+M46)+(1-Retention)*H46*D46*(1+GrowthMarketRent)^0*IF(INT((DATE(2026+0,10,31)-F46)/365.25)=0,(12-DowntimeNew)/12,1),IF(I46="LeaseUp",H46*D46*(1+GrowthMarketRent)^0*IF(0=0,(12-DowntimeNew)/12,1),0)))))))),0)</f>
        <v/>
      </c>
      <c r="O46" s="14">
        <f>IFERROR(IF(I46="LeaseUp",H46*D46*(1+GrowthMarketRent)^1*IF(1=0,(12-DowntimeNew)/12,1),IF(F46="",0,IF(F46&gt;=DATE(2027+1,4,30),G46*D46*(1+EscalatorInLease)^(1+M46),IF(F46&lt;DATE(2026+1,5,1),IF(I46="Vacate",H46*D46*(1+GrowthMarketRent)^1*IF(INT((DATE(2026+1,10,31)-F46)/365.25)=0,(12-DowntimeNew)/12,1),IF(I46="Option",G46*D46*1.025*(1+EscalatorInLease)^1,IF(I46="Market",Retention*G46*D46*(1+EscalatorInLease)^(1+M46)+(1-Retention)*H46*D46*(1+GrowthMarketRent)^1*IF(INT((DATE(2026+1,10,31)-F46)/365.25)=0,(12-DowntimeNew)/12,1),IF(I46="LeaseUp",H46*D46*(1+GrowthMarketRent)^1*IF(1=0,(12-DowntimeNew)/12,1),0)))),((F46-DATE(2026+1,5,1))/365.25)*G46*D46*(1+EscalatorInLease)^(1+M46)+((DATE(2027+1,4,30)-F46)/365.25)*IF(I46="Vacate",H46*D46*(1+GrowthMarketRent)^1*IF(INT((DATE(2026+1,10,31)-F46)/365.25)=0,(12-DowntimeNew)/12,1),IF(I46="Option",G46*D46*1.025*(1+EscalatorInLease)^1,IF(I46="Market",Retention*G46*D46*(1+EscalatorInLease)^(1+M46)+(1-Retention)*H46*D46*(1+GrowthMarketRent)^1*IF(INT((DATE(2026+1,10,31)-F46)/365.25)=0,(12-DowntimeNew)/12,1),IF(I46="LeaseUp",H46*D46*(1+GrowthMarketRent)^1*IF(1=0,(12-DowntimeNew)/12,1),0)))))))),0)</f>
        <v/>
      </c>
      <c r="P46" s="14">
        <f>IFERROR(IF(I46="LeaseUp",H46*D46*(1+GrowthMarketRent)^2*IF(2=0,(12-DowntimeNew)/12,1),IF(F46="",0,IF(F46&gt;=DATE(2027+2,4,30),G46*D46*(1+EscalatorInLease)^(2+M46),IF(F46&lt;DATE(2026+2,5,1),IF(I46="Vacate",H46*D46*(1+GrowthMarketRent)^2*IF(INT((DATE(2026+2,10,31)-F46)/365.25)=0,(12-DowntimeNew)/12,1),IF(I46="Option",G46*D46*1.025*(1+EscalatorInLease)^2,IF(I46="Market",Retention*G46*D46*(1+EscalatorInLease)^(2+M46)+(1-Retention)*H46*D46*(1+GrowthMarketRent)^2*IF(INT((DATE(2026+2,10,31)-F46)/365.25)=0,(12-DowntimeNew)/12,1),IF(I46="LeaseUp",H46*D46*(1+GrowthMarketRent)^2*IF(2=0,(12-DowntimeNew)/12,1),0)))),((F46-DATE(2026+2,5,1))/365.25)*G46*D46*(1+EscalatorInLease)^(2+M46)+((DATE(2027+2,4,30)-F46)/365.25)*IF(I46="Vacate",H46*D46*(1+GrowthMarketRent)^2*IF(INT((DATE(2026+2,10,31)-F46)/365.25)=0,(12-DowntimeNew)/12,1),IF(I46="Option",G46*D46*1.025*(1+EscalatorInLease)^2,IF(I46="Market",Retention*G46*D46*(1+EscalatorInLease)^(2+M46)+(1-Retention)*H46*D46*(1+GrowthMarketRent)^2*IF(INT((DATE(2026+2,10,31)-F46)/365.25)=0,(12-DowntimeNew)/12,1),IF(I46="LeaseUp",H46*D46*(1+GrowthMarketRent)^2*IF(2=0,(12-DowntimeNew)/12,1),0)))))))),0)</f>
        <v/>
      </c>
      <c r="Q46" s="14">
        <f>IFERROR(IF(I46="LeaseUp",H46*D46*(1+GrowthMarketRent)^3*IF(3=0,(12-DowntimeNew)/12,1),IF(F46="",0,IF(F46&gt;=DATE(2027+3,4,30),G46*D46*(1+EscalatorInLease)^(3+M46),IF(F46&lt;DATE(2026+3,5,1),IF(I46="Vacate",H46*D46*(1+GrowthMarketRent)^3*IF(INT((DATE(2026+3,10,31)-F46)/365.25)=0,(12-DowntimeNew)/12,1),IF(I46="Option",G46*D46*1.025*(1+EscalatorInLease)^3,IF(I46="Market",Retention*G46*D46*(1+EscalatorInLease)^(3+M46)+(1-Retention)*H46*D46*(1+GrowthMarketRent)^3*IF(INT((DATE(2026+3,10,31)-F46)/365.25)=0,(12-DowntimeNew)/12,1),IF(I46="LeaseUp",H46*D46*(1+GrowthMarketRent)^3*IF(3=0,(12-DowntimeNew)/12,1),0)))),((F46-DATE(2026+3,5,1))/365.25)*G46*D46*(1+EscalatorInLease)^(3+M46)+((DATE(2027+3,4,30)-F46)/365.25)*IF(I46="Vacate",H46*D46*(1+GrowthMarketRent)^3*IF(INT((DATE(2026+3,10,31)-F46)/365.25)=0,(12-DowntimeNew)/12,1),IF(I46="Option",G46*D46*1.025*(1+EscalatorInLease)^3,IF(I46="Market",Retention*G46*D46*(1+EscalatorInLease)^(3+M46)+(1-Retention)*H46*D46*(1+GrowthMarketRent)^3*IF(INT((DATE(2026+3,10,31)-F46)/365.25)=0,(12-DowntimeNew)/12,1),IF(I46="LeaseUp",H46*D46*(1+GrowthMarketRent)^3*IF(3=0,(12-DowntimeNew)/12,1),0)))))))),0)</f>
        <v/>
      </c>
      <c r="R46" s="14">
        <f>IFERROR(IF(I46="LeaseUp",H46*D46*(1+GrowthMarketRent)^4*IF(4=0,(12-DowntimeNew)/12,1),IF(F46="",0,IF(F46&gt;=DATE(2027+4,4,30),G46*D46*(1+EscalatorInLease)^(4+M46),IF(F46&lt;DATE(2026+4,5,1),IF(I46="Vacate",H46*D46*(1+GrowthMarketRent)^4*IF(INT((DATE(2026+4,10,31)-F46)/365.25)=0,(12-DowntimeNew)/12,1),IF(I46="Option",G46*D46*1.025*(1+EscalatorInLease)^4,IF(I46="Market",Retention*G46*D46*(1+EscalatorInLease)^(4+M46)+(1-Retention)*H46*D46*(1+GrowthMarketRent)^4*IF(INT((DATE(2026+4,10,31)-F46)/365.25)=0,(12-DowntimeNew)/12,1),IF(I46="LeaseUp",H46*D46*(1+GrowthMarketRent)^4*IF(4=0,(12-DowntimeNew)/12,1),0)))),((F46-DATE(2026+4,5,1))/365.25)*G46*D46*(1+EscalatorInLease)^(4+M46)+((DATE(2027+4,4,30)-F46)/365.25)*IF(I46="Vacate",H46*D46*(1+GrowthMarketRent)^4*IF(INT((DATE(2026+4,10,31)-F46)/365.25)=0,(12-DowntimeNew)/12,1),IF(I46="Option",G46*D46*1.025*(1+EscalatorInLease)^4,IF(I46="Market",Retention*G46*D46*(1+EscalatorInLease)^(4+M46)+(1-Retention)*H46*D46*(1+GrowthMarketRent)^4*IF(INT((DATE(2026+4,10,31)-F46)/365.25)=0,(12-DowntimeNew)/12,1),IF(I46="LeaseUp",H46*D46*(1+GrowthMarketRent)^4*IF(4=0,(12-DowntimeNew)/12,1),0)))))))),0)</f>
        <v/>
      </c>
      <c r="S46" s="14">
        <f>IFERROR(IF(I46="LeaseUp",H46*D46*(1+GrowthMarketRent)^5*IF(5=0,(12-DowntimeNew)/12,1),IF(F46="",0,IF(F46&gt;=DATE(2027+5,4,30),G46*D46*(1+EscalatorInLease)^(5+M46),IF(F46&lt;DATE(2026+5,5,1),IF(I46="Vacate",H46*D46*(1+GrowthMarketRent)^5*IF(INT((DATE(2026+5,10,31)-F46)/365.25)=0,(12-DowntimeNew)/12,1),IF(I46="Option",G46*D46*1.025*(1+EscalatorInLease)^5,IF(I46="Market",Retention*G46*D46*(1+EscalatorInLease)^(5+M46)+(1-Retention)*H46*D46*(1+GrowthMarketRent)^5*IF(INT((DATE(2026+5,10,31)-F46)/365.25)=0,(12-DowntimeNew)/12,1),IF(I46="LeaseUp",H46*D46*(1+GrowthMarketRent)^5*IF(5=0,(12-DowntimeNew)/12,1),0)))),((F46-DATE(2026+5,5,1))/365.25)*G46*D46*(1+EscalatorInLease)^(5+M46)+((DATE(2027+5,4,30)-F46)/365.25)*IF(I46="Vacate",H46*D46*(1+GrowthMarketRent)^5*IF(INT((DATE(2026+5,10,31)-F46)/365.25)=0,(12-DowntimeNew)/12,1),IF(I46="Option",G46*D46*1.025*(1+EscalatorInLease)^5,IF(I46="Market",Retention*G46*D46*(1+EscalatorInLease)^(5+M46)+(1-Retention)*H46*D46*(1+GrowthMarketRent)^5*IF(INT((DATE(2026+5,10,31)-F46)/365.25)=0,(12-DowntimeNew)/12,1),IF(I46="LeaseUp",H46*D46*(1+GrowthMarketRent)^5*IF(5=0,(12-DowntimeNew)/12,1),0)))))))),0)</f>
        <v/>
      </c>
      <c r="T46" s="14">
        <f>IFERROR(IF(I46="LeaseUp",H46*D46*(1+GrowthMarketRent)^6*IF(6=0,(12-DowntimeNew)/12,1),IF(F46="",0,IF(F46&gt;=DATE(2027+6,4,30),G46*D46*(1+EscalatorInLease)^(6+M46),IF(F46&lt;DATE(2026+6,5,1),IF(I46="Vacate",H46*D46*(1+GrowthMarketRent)^6*IF(INT((DATE(2026+6,10,31)-F46)/365.25)=0,(12-DowntimeNew)/12,1),IF(I46="Option",G46*D46*1.025*(1+EscalatorInLease)^6,IF(I46="Market",Retention*G46*D46*(1+EscalatorInLease)^(6+M46)+(1-Retention)*H46*D46*(1+GrowthMarketRent)^6*IF(INT((DATE(2026+6,10,31)-F46)/365.25)=0,(12-DowntimeNew)/12,1),IF(I46="LeaseUp",H46*D46*(1+GrowthMarketRent)^6*IF(6=0,(12-DowntimeNew)/12,1),0)))),((F46-DATE(2026+6,5,1))/365.25)*G46*D46*(1+EscalatorInLease)^(6+M46)+((DATE(2027+6,4,30)-F46)/365.25)*IF(I46="Vacate",H46*D46*(1+GrowthMarketRent)^6*IF(INT((DATE(2026+6,10,31)-F46)/365.25)=0,(12-DowntimeNew)/12,1),IF(I46="Option",G46*D46*1.025*(1+EscalatorInLease)^6,IF(I46="Market",Retention*G46*D46*(1+EscalatorInLease)^(6+M46)+(1-Retention)*H46*D46*(1+GrowthMarketRent)^6*IF(INT((DATE(2026+6,10,31)-F46)/365.25)=0,(12-DowntimeNew)/12,1),IF(I46="LeaseUp",H46*D46*(1+GrowthMarketRent)^6*IF(6=0,(12-DowntimeNew)/12,1),0)))))))),0)</f>
        <v/>
      </c>
      <c r="U46" s="14">
        <f>IFERROR(IF(I46="LeaseUp",H46*D46*(1+GrowthMarketRent)^7*IF(7=0,(12-DowntimeNew)/12,1),IF(F46="",0,IF(F46&gt;=DATE(2027+7,4,30),G46*D46*(1+EscalatorInLease)^(7+M46),IF(F46&lt;DATE(2026+7,5,1),IF(I46="Vacate",H46*D46*(1+GrowthMarketRent)^7*IF(INT((DATE(2026+7,10,31)-F46)/365.25)=0,(12-DowntimeNew)/12,1),IF(I46="Option",G46*D46*1.025*(1+EscalatorInLease)^7,IF(I46="Market",Retention*G46*D46*(1+EscalatorInLease)^(7+M46)+(1-Retention)*H46*D46*(1+GrowthMarketRent)^7*IF(INT((DATE(2026+7,10,31)-F46)/365.25)=0,(12-DowntimeNew)/12,1),IF(I46="LeaseUp",H46*D46*(1+GrowthMarketRent)^7*IF(7=0,(12-DowntimeNew)/12,1),0)))),((F46-DATE(2026+7,5,1))/365.25)*G46*D46*(1+EscalatorInLease)^(7+M46)+((DATE(2027+7,4,30)-F46)/365.25)*IF(I46="Vacate",H46*D46*(1+GrowthMarketRent)^7*IF(INT((DATE(2026+7,10,31)-F46)/365.25)=0,(12-DowntimeNew)/12,1),IF(I46="Option",G46*D46*1.025*(1+EscalatorInLease)^7,IF(I46="Market",Retention*G46*D46*(1+EscalatorInLease)^(7+M46)+(1-Retention)*H46*D46*(1+GrowthMarketRent)^7*IF(INT((DATE(2026+7,10,31)-F46)/365.25)=0,(12-DowntimeNew)/12,1),IF(I46="LeaseUp",H46*D46*(1+GrowthMarketRent)^7*IF(7=0,(12-DowntimeNew)/12,1),0)))))))),0)</f>
        <v/>
      </c>
      <c r="V46" s="14">
        <f>IFERROR(IF(I46="LeaseUp",H46*D46*(1+GrowthMarketRent)^8*IF(8=0,(12-DowntimeNew)/12,1),IF(F46="",0,IF(F46&gt;=DATE(2027+8,4,30),G46*D46*(1+EscalatorInLease)^(8+M46),IF(F46&lt;DATE(2026+8,5,1),IF(I46="Vacate",H46*D46*(1+GrowthMarketRent)^8*IF(INT((DATE(2026+8,10,31)-F46)/365.25)=0,(12-DowntimeNew)/12,1),IF(I46="Option",G46*D46*1.025*(1+EscalatorInLease)^8,IF(I46="Market",Retention*G46*D46*(1+EscalatorInLease)^(8+M46)+(1-Retention)*H46*D46*(1+GrowthMarketRent)^8*IF(INT((DATE(2026+8,10,31)-F46)/365.25)=0,(12-DowntimeNew)/12,1),IF(I46="LeaseUp",H46*D46*(1+GrowthMarketRent)^8*IF(8=0,(12-DowntimeNew)/12,1),0)))),((F46-DATE(2026+8,5,1))/365.25)*G46*D46*(1+EscalatorInLease)^(8+M46)+((DATE(2027+8,4,30)-F46)/365.25)*IF(I46="Vacate",H46*D46*(1+GrowthMarketRent)^8*IF(INT((DATE(2026+8,10,31)-F46)/365.25)=0,(12-DowntimeNew)/12,1),IF(I46="Option",G46*D46*1.025*(1+EscalatorInLease)^8,IF(I46="Market",Retention*G46*D46*(1+EscalatorInLease)^(8+M46)+(1-Retention)*H46*D46*(1+GrowthMarketRent)^8*IF(INT((DATE(2026+8,10,31)-F46)/365.25)=0,(12-DowntimeNew)/12,1),IF(I46="LeaseUp",H46*D46*(1+GrowthMarketRent)^8*IF(8=0,(12-DowntimeNew)/12,1),0)))))))),0)</f>
        <v/>
      </c>
      <c r="W46" s="14">
        <f>IFERROR(IF(I46="LeaseUp",H46*D46*(1+GrowthMarketRent)^9*IF(9=0,(12-DowntimeNew)/12,1),IF(F46="",0,IF(F46&gt;=DATE(2027+9,4,30),G46*D46*(1+EscalatorInLease)^(9+M46),IF(F46&lt;DATE(2026+9,5,1),IF(I46="Vacate",H46*D46*(1+GrowthMarketRent)^9*IF(INT((DATE(2026+9,10,31)-F46)/365.25)=0,(12-DowntimeNew)/12,1),IF(I46="Option",G46*D46*1.025*(1+EscalatorInLease)^9,IF(I46="Market",Retention*G46*D46*(1+EscalatorInLease)^(9+M46)+(1-Retention)*H46*D46*(1+GrowthMarketRent)^9*IF(INT((DATE(2026+9,10,31)-F46)/365.25)=0,(12-DowntimeNew)/12,1),IF(I46="LeaseUp",H46*D46*(1+GrowthMarketRent)^9*IF(9=0,(12-DowntimeNew)/12,1),0)))),((F46-DATE(2026+9,5,1))/365.25)*G46*D46*(1+EscalatorInLease)^(9+M46)+((DATE(2027+9,4,30)-F46)/365.25)*IF(I46="Vacate",H46*D46*(1+GrowthMarketRent)^9*IF(INT((DATE(2026+9,10,31)-F46)/365.25)=0,(12-DowntimeNew)/12,1),IF(I46="Option",G46*D46*1.025*(1+EscalatorInLease)^9,IF(I46="Market",Retention*G46*D46*(1+EscalatorInLease)^(9+M46)+(1-Retention)*H46*D46*(1+GrowthMarketRent)^9*IF(INT((DATE(2026+9,10,31)-F46)/365.25)=0,(12-DowntimeNew)/12,1),IF(I46="LeaseUp",H46*D46*(1+GrowthMarketRent)^9*IF(9=0,(12-DowntimeNew)/12,1),0)))))))),0)</f>
        <v/>
      </c>
      <c r="X46" s="14">
        <f>IFERROR(IF(I46="LeaseUp",H46*D46*(1+GrowthMarketRent)^10*IF(10=0,(12-DowntimeNew)/12,1),IF(F46="",0,IF(F46&gt;=DATE(2027+10,4,30),G46*D46*(1+EscalatorInLease)^(10+M46),IF(F46&lt;DATE(2026+10,5,1),IF(I46="Vacate",H46*D46*(1+GrowthMarketRent)^10*IF(INT((DATE(2026+10,10,31)-F46)/365.25)=0,(12-DowntimeNew)/12,1),IF(I46="Option",G46*D46*1.025*(1+EscalatorInLease)^10,IF(I46="Market",Retention*G46*D46*(1+EscalatorInLease)^(10+M46)+(1-Retention)*H46*D46*(1+GrowthMarketRent)^10*IF(INT((DATE(2026+10,10,31)-F46)/365.25)=0,(12-DowntimeNew)/12,1),IF(I46="LeaseUp",H46*D46*(1+GrowthMarketRent)^10*IF(10=0,(12-DowntimeNew)/12,1),0)))),((F46-DATE(2026+10,5,1))/365.25)*G46*D46*(1+EscalatorInLease)^(10+M46)+((DATE(2027+10,4,30)-F46)/365.25)*IF(I46="Vacate",H46*D46*(1+GrowthMarketRent)^10*IF(INT((DATE(2026+10,10,31)-F46)/365.25)=0,(12-DowntimeNew)/12,1),IF(I46="Option",G46*D46*1.025*(1+EscalatorInLease)^10,IF(I46="Market",Retention*G46*D46*(1+EscalatorInLease)^(10+M46)+(1-Retention)*H46*D46*(1+GrowthMarketRent)^10*IF(INT((DATE(2026+10,10,31)-F46)/365.25)=0,(12-DowntimeNew)/12,1),IF(I46="LeaseUp",H46*D46*(1+GrowthMarketRent)^10*IF(10=0,(12-DowntimeNew)/12,1),0)))))))),0)</f>
        <v/>
      </c>
      <c r="Y46" s="14">
        <f>IFERROR(IF(AND(I46="LeaseUp",0=0),(IF(I46="Vacate",TINew*D46,IF(I46="Market",Retention*TIRenewal*D46+(1-Retention)*TINew*D46,IF(I46="LeaseUp",TINew*D46,IF(I46="Option",TIRenewal*D46,0)))))+(IF(I46="Vacate",LCNew*H46*D46*(1+GrowthMarketRent)^0,IF(I46="Market",Retention*LCRenewal*H46*D46*(1+GrowthMarketRent)^0+(1-Retention)*LCNew*H46*D46*(1+GrowthMarketRent)^0,IF(I46="LeaseUp",LCNew*H46*D46*(1+GrowthMarketRent)^0,IF(I46="Option",LCRenewal*H46*D46*(1+GrowthMarketRent)^0,0))))),IF(F46="",0,IF(AND(F46&gt;=DATE(2026+0,5,1),F46&lt;=DATE(2027+0,4,30)),(IF(I46="Vacate",TINew*D46,IF(I46="Market",Retention*TIRenewal*D46+(1-Retention)*TINew*D46,IF(I46="LeaseUp",TINew*D46,IF(I46="Option",TIRenewal*D46,0)))))+(IF(I46="Vacate",LCNew*H46*D46*(1+GrowthMarketRent)^0,IF(I46="Market",Retention*LCRenewal*H46*D46*(1+GrowthMarketRent)^0+(1-Retention)*LCNew*H46*D46*(1+GrowthMarketRent)^0,IF(I46="LeaseUp",LCNew*H46*D46*(1+GrowthMarketRent)^0,IF(I46="Option",LCRenewal*H46*D46*(1+GrowthMarketRent)^0,0))))),0))),0)</f>
        <v/>
      </c>
      <c r="Z46" s="14">
        <f>IFERROR(IF(AND(I46="LeaseUp",1=0),(IF(I46="Vacate",TINew*D46,IF(I46="Market",Retention*TIRenewal*D46+(1-Retention)*TINew*D46,IF(I46="LeaseUp",TINew*D46,IF(I46="Option",TIRenewal*D46,0)))))+(IF(I46="Vacate",LCNew*H46*D46*(1+GrowthMarketRent)^1,IF(I46="Market",Retention*LCRenewal*H46*D46*(1+GrowthMarketRent)^1+(1-Retention)*LCNew*H46*D46*(1+GrowthMarketRent)^1,IF(I46="LeaseUp",LCNew*H46*D46*(1+GrowthMarketRent)^1,IF(I46="Option",LCRenewal*H46*D46*(1+GrowthMarketRent)^1,0))))),IF(F46="",0,IF(AND(F46&gt;=DATE(2026+1,5,1),F46&lt;=DATE(2027+1,4,30)),(IF(I46="Vacate",TINew*D46,IF(I46="Market",Retention*TIRenewal*D46+(1-Retention)*TINew*D46,IF(I46="LeaseUp",TINew*D46,IF(I46="Option",TIRenewal*D46,0)))))+(IF(I46="Vacate",LCNew*H46*D46*(1+GrowthMarketRent)^1,IF(I46="Market",Retention*LCRenewal*H46*D46*(1+GrowthMarketRent)^1+(1-Retention)*LCNew*H46*D46*(1+GrowthMarketRent)^1,IF(I46="LeaseUp",LCNew*H46*D46*(1+GrowthMarketRent)^1,IF(I46="Option",LCRenewal*H46*D46*(1+GrowthMarketRent)^1,0))))),0))),0)</f>
        <v/>
      </c>
      <c r="AA46" s="14">
        <f>IFERROR(IF(AND(I46="LeaseUp",2=0),(IF(I46="Vacate",TINew*D46,IF(I46="Market",Retention*TIRenewal*D46+(1-Retention)*TINew*D46,IF(I46="LeaseUp",TINew*D46,IF(I46="Option",TIRenewal*D46,0)))))+(IF(I46="Vacate",LCNew*H46*D46*(1+GrowthMarketRent)^2,IF(I46="Market",Retention*LCRenewal*H46*D46*(1+GrowthMarketRent)^2+(1-Retention)*LCNew*H46*D46*(1+GrowthMarketRent)^2,IF(I46="LeaseUp",LCNew*H46*D46*(1+GrowthMarketRent)^2,IF(I46="Option",LCRenewal*H46*D46*(1+GrowthMarketRent)^2,0))))),IF(F46="",0,IF(AND(F46&gt;=DATE(2026+2,5,1),F46&lt;=DATE(2027+2,4,30)),(IF(I46="Vacate",TINew*D46,IF(I46="Market",Retention*TIRenewal*D46+(1-Retention)*TINew*D46,IF(I46="LeaseUp",TINew*D46,IF(I46="Option",TIRenewal*D46,0)))))+(IF(I46="Vacate",LCNew*H46*D46*(1+GrowthMarketRent)^2,IF(I46="Market",Retention*LCRenewal*H46*D46*(1+GrowthMarketRent)^2+(1-Retention)*LCNew*H46*D46*(1+GrowthMarketRent)^2,IF(I46="LeaseUp",LCNew*H46*D46*(1+GrowthMarketRent)^2,IF(I46="Option",LCRenewal*H46*D46*(1+GrowthMarketRent)^2,0))))),0))),0)</f>
        <v/>
      </c>
      <c r="AB46" s="14">
        <f>IFERROR(IF(AND(I46="LeaseUp",3=0),(IF(I46="Vacate",TINew*D46,IF(I46="Market",Retention*TIRenewal*D46+(1-Retention)*TINew*D46,IF(I46="LeaseUp",TINew*D46,IF(I46="Option",TIRenewal*D46,0)))))+(IF(I46="Vacate",LCNew*H46*D46*(1+GrowthMarketRent)^3,IF(I46="Market",Retention*LCRenewal*H46*D46*(1+GrowthMarketRent)^3+(1-Retention)*LCNew*H46*D46*(1+GrowthMarketRent)^3,IF(I46="LeaseUp",LCNew*H46*D46*(1+GrowthMarketRent)^3,IF(I46="Option",LCRenewal*H46*D46*(1+GrowthMarketRent)^3,0))))),IF(F46="",0,IF(AND(F46&gt;=DATE(2026+3,5,1),F46&lt;=DATE(2027+3,4,30)),(IF(I46="Vacate",TINew*D46,IF(I46="Market",Retention*TIRenewal*D46+(1-Retention)*TINew*D46,IF(I46="LeaseUp",TINew*D46,IF(I46="Option",TIRenewal*D46,0)))))+(IF(I46="Vacate",LCNew*H46*D46*(1+GrowthMarketRent)^3,IF(I46="Market",Retention*LCRenewal*H46*D46*(1+GrowthMarketRent)^3+(1-Retention)*LCNew*H46*D46*(1+GrowthMarketRent)^3,IF(I46="LeaseUp",LCNew*H46*D46*(1+GrowthMarketRent)^3,IF(I46="Option",LCRenewal*H46*D46*(1+GrowthMarketRent)^3,0))))),0))),0)</f>
        <v/>
      </c>
      <c r="AC46" s="14">
        <f>IFERROR(IF(AND(I46="LeaseUp",4=0),(IF(I46="Vacate",TINew*D46,IF(I46="Market",Retention*TIRenewal*D46+(1-Retention)*TINew*D46,IF(I46="LeaseUp",TINew*D46,IF(I46="Option",TIRenewal*D46,0)))))+(IF(I46="Vacate",LCNew*H46*D46*(1+GrowthMarketRent)^4,IF(I46="Market",Retention*LCRenewal*H46*D46*(1+GrowthMarketRent)^4+(1-Retention)*LCNew*H46*D46*(1+GrowthMarketRent)^4,IF(I46="LeaseUp",LCNew*H46*D46*(1+GrowthMarketRent)^4,IF(I46="Option",LCRenewal*H46*D46*(1+GrowthMarketRent)^4,0))))),IF(F46="",0,IF(AND(F46&gt;=DATE(2026+4,5,1),F46&lt;=DATE(2027+4,4,30)),(IF(I46="Vacate",TINew*D46,IF(I46="Market",Retention*TIRenewal*D46+(1-Retention)*TINew*D46,IF(I46="LeaseUp",TINew*D46,IF(I46="Option",TIRenewal*D46,0)))))+(IF(I46="Vacate",LCNew*H46*D46*(1+GrowthMarketRent)^4,IF(I46="Market",Retention*LCRenewal*H46*D46*(1+GrowthMarketRent)^4+(1-Retention)*LCNew*H46*D46*(1+GrowthMarketRent)^4,IF(I46="LeaseUp",LCNew*H46*D46*(1+GrowthMarketRent)^4,IF(I46="Option",LCRenewal*H46*D46*(1+GrowthMarketRent)^4,0))))),0))),0)</f>
        <v/>
      </c>
      <c r="AD46" s="14">
        <f>IFERROR(IF(AND(I46="LeaseUp",5=0),(IF(I46="Vacate",TINew*D46,IF(I46="Market",Retention*TIRenewal*D46+(1-Retention)*TINew*D46,IF(I46="LeaseUp",TINew*D46,IF(I46="Option",TIRenewal*D46,0)))))+(IF(I46="Vacate",LCNew*H46*D46*(1+GrowthMarketRent)^5,IF(I46="Market",Retention*LCRenewal*H46*D46*(1+GrowthMarketRent)^5+(1-Retention)*LCNew*H46*D46*(1+GrowthMarketRent)^5,IF(I46="LeaseUp",LCNew*H46*D46*(1+GrowthMarketRent)^5,IF(I46="Option",LCRenewal*H46*D46*(1+GrowthMarketRent)^5,0))))),IF(F46="",0,IF(AND(F46&gt;=DATE(2026+5,5,1),F46&lt;=DATE(2027+5,4,30)),(IF(I46="Vacate",TINew*D46,IF(I46="Market",Retention*TIRenewal*D46+(1-Retention)*TINew*D46,IF(I46="LeaseUp",TINew*D46,IF(I46="Option",TIRenewal*D46,0)))))+(IF(I46="Vacate",LCNew*H46*D46*(1+GrowthMarketRent)^5,IF(I46="Market",Retention*LCRenewal*H46*D46*(1+GrowthMarketRent)^5+(1-Retention)*LCNew*H46*D46*(1+GrowthMarketRent)^5,IF(I46="LeaseUp",LCNew*H46*D46*(1+GrowthMarketRent)^5,IF(I46="Option",LCRenewal*H46*D46*(1+GrowthMarketRent)^5,0))))),0))),0)</f>
        <v/>
      </c>
      <c r="AE46" s="14">
        <f>IFERROR(IF(AND(I46="LeaseUp",6=0),(IF(I46="Vacate",TINew*D46,IF(I46="Market",Retention*TIRenewal*D46+(1-Retention)*TINew*D46,IF(I46="LeaseUp",TINew*D46,IF(I46="Option",TIRenewal*D46,0)))))+(IF(I46="Vacate",LCNew*H46*D46*(1+GrowthMarketRent)^6,IF(I46="Market",Retention*LCRenewal*H46*D46*(1+GrowthMarketRent)^6+(1-Retention)*LCNew*H46*D46*(1+GrowthMarketRent)^6,IF(I46="LeaseUp",LCNew*H46*D46*(1+GrowthMarketRent)^6,IF(I46="Option",LCRenewal*H46*D46*(1+GrowthMarketRent)^6,0))))),IF(F46="",0,IF(AND(F46&gt;=DATE(2026+6,5,1),F46&lt;=DATE(2027+6,4,30)),(IF(I46="Vacate",TINew*D46,IF(I46="Market",Retention*TIRenewal*D46+(1-Retention)*TINew*D46,IF(I46="LeaseUp",TINew*D46,IF(I46="Option",TIRenewal*D46,0)))))+(IF(I46="Vacate",LCNew*H46*D46*(1+GrowthMarketRent)^6,IF(I46="Market",Retention*LCRenewal*H46*D46*(1+GrowthMarketRent)^6+(1-Retention)*LCNew*H46*D46*(1+GrowthMarketRent)^6,IF(I46="LeaseUp",LCNew*H46*D46*(1+GrowthMarketRent)^6,IF(I46="Option",LCRenewal*H46*D46*(1+GrowthMarketRent)^6,0))))),0))),0)</f>
        <v/>
      </c>
      <c r="AF46" s="14">
        <f>IFERROR(IF(AND(I46="LeaseUp",7=0),(IF(I46="Vacate",TINew*D46,IF(I46="Market",Retention*TIRenewal*D46+(1-Retention)*TINew*D46,IF(I46="LeaseUp",TINew*D46,IF(I46="Option",TIRenewal*D46,0)))))+(IF(I46="Vacate",LCNew*H46*D46*(1+GrowthMarketRent)^7,IF(I46="Market",Retention*LCRenewal*H46*D46*(1+GrowthMarketRent)^7+(1-Retention)*LCNew*H46*D46*(1+GrowthMarketRent)^7,IF(I46="LeaseUp",LCNew*H46*D46*(1+GrowthMarketRent)^7,IF(I46="Option",LCRenewal*H46*D46*(1+GrowthMarketRent)^7,0))))),IF(F46="",0,IF(AND(F46&gt;=DATE(2026+7,5,1),F46&lt;=DATE(2027+7,4,30)),(IF(I46="Vacate",TINew*D46,IF(I46="Market",Retention*TIRenewal*D46+(1-Retention)*TINew*D46,IF(I46="LeaseUp",TINew*D46,IF(I46="Option",TIRenewal*D46,0)))))+(IF(I46="Vacate",LCNew*H46*D46*(1+GrowthMarketRent)^7,IF(I46="Market",Retention*LCRenewal*H46*D46*(1+GrowthMarketRent)^7+(1-Retention)*LCNew*H46*D46*(1+GrowthMarketRent)^7,IF(I46="LeaseUp",LCNew*H46*D46*(1+GrowthMarketRent)^7,IF(I46="Option",LCRenewal*H46*D46*(1+GrowthMarketRent)^7,0))))),0))),0)</f>
        <v/>
      </c>
      <c r="AG46" s="14">
        <f>IFERROR(IF(AND(I46="LeaseUp",8=0),(IF(I46="Vacate",TINew*D46,IF(I46="Market",Retention*TIRenewal*D46+(1-Retention)*TINew*D46,IF(I46="LeaseUp",TINew*D46,IF(I46="Option",TIRenewal*D46,0)))))+(IF(I46="Vacate",LCNew*H46*D46*(1+GrowthMarketRent)^8,IF(I46="Market",Retention*LCRenewal*H46*D46*(1+GrowthMarketRent)^8+(1-Retention)*LCNew*H46*D46*(1+GrowthMarketRent)^8,IF(I46="LeaseUp",LCNew*H46*D46*(1+GrowthMarketRent)^8,IF(I46="Option",LCRenewal*H46*D46*(1+GrowthMarketRent)^8,0))))),IF(F46="",0,IF(AND(F46&gt;=DATE(2026+8,5,1),F46&lt;=DATE(2027+8,4,30)),(IF(I46="Vacate",TINew*D46,IF(I46="Market",Retention*TIRenewal*D46+(1-Retention)*TINew*D46,IF(I46="LeaseUp",TINew*D46,IF(I46="Option",TIRenewal*D46,0)))))+(IF(I46="Vacate",LCNew*H46*D46*(1+GrowthMarketRent)^8,IF(I46="Market",Retention*LCRenewal*H46*D46*(1+GrowthMarketRent)^8+(1-Retention)*LCNew*H46*D46*(1+GrowthMarketRent)^8,IF(I46="LeaseUp",LCNew*H46*D46*(1+GrowthMarketRent)^8,IF(I46="Option",LCRenewal*H46*D46*(1+GrowthMarketRent)^8,0))))),0))),0)</f>
        <v/>
      </c>
      <c r="AH46" s="14">
        <f>IFERROR(IF(AND(I46="LeaseUp",9=0),(IF(I46="Vacate",TINew*D46,IF(I46="Market",Retention*TIRenewal*D46+(1-Retention)*TINew*D46,IF(I46="LeaseUp",TINew*D46,IF(I46="Option",TIRenewal*D46,0)))))+(IF(I46="Vacate",LCNew*H46*D46*(1+GrowthMarketRent)^9,IF(I46="Market",Retention*LCRenewal*H46*D46*(1+GrowthMarketRent)^9+(1-Retention)*LCNew*H46*D46*(1+GrowthMarketRent)^9,IF(I46="LeaseUp",LCNew*H46*D46*(1+GrowthMarketRent)^9,IF(I46="Option",LCRenewal*H46*D46*(1+GrowthMarketRent)^9,0))))),IF(F46="",0,IF(AND(F46&gt;=DATE(2026+9,5,1),F46&lt;=DATE(2027+9,4,30)),(IF(I46="Vacate",TINew*D46,IF(I46="Market",Retention*TIRenewal*D46+(1-Retention)*TINew*D46,IF(I46="LeaseUp",TINew*D46,IF(I46="Option",TIRenewal*D46,0)))))+(IF(I46="Vacate",LCNew*H46*D46*(1+GrowthMarketRent)^9,IF(I46="Market",Retention*LCRenewal*H46*D46*(1+GrowthMarketRent)^9+(1-Retention)*LCNew*H46*D46*(1+GrowthMarketRent)^9,IF(I46="LeaseUp",LCNew*H46*D46*(1+GrowthMarketRent)^9,IF(I46="Option",LCRenewal*H46*D46*(1+GrowthMarketRent)^9,0))))),0))),0)</f>
        <v/>
      </c>
      <c r="AI46" s="14">
        <f>IFERROR(IF(AND(I46="LeaseUp",10=0),(IF(I46="Vacate",TINew*D46,IF(I46="Market",Retention*TIRenewal*D46+(1-Retention)*TINew*D46,IF(I46="LeaseUp",TINew*D46,IF(I46="Option",TIRenewal*D46,0)))))+(IF(I46="Vacate",LCNew*H46*D46*(1+GrowthMarketRent)^10,IF(I46="Market",Retention*LCRenewal*H46*D46*(1+GrowthMarketRent)^10+(1-Retention)*LCNew*H46*D46*(1+GrowthMarketRent)^10,IF(I46="LeaseUp",LCNew*H46*D46*(1+GrowthMarketRent)^10,IF(I46="Option",LCRenewal*H46*D46*(1+GrowthMarketRent)^10,0))))),IF(F46="",0,IF(AND(F46&gt;=DATE(2026+10,5,1),F46&lt;=DATE(2027+10,4,30)),(IF(I46="Vacate",TINew*D46,IF(I46="Market",Retention*TIRenewal*D46+(1-Retention)*TINew*D46,IF(I46="LeaseUp",TINew*D46,IF(I46="Option",TIRenewal*D46,0)))))+(IF(I46="Vacate",LCNew*H46*D46*(1+GrowthMarketRent)^10,IF(I46="Market",Retention*LCRenewal*H46*D46*(1+GrowthMarketRent)^10+(1-Retention)*LCNew*H46*D46*(1+GrowthMarketRent)^10,IF(I46="LeaseUp",LCNew*H46*D46*(1+GrowthMarketRent)^10,IF(I46="Option",LCRenewal*H46*D46*(1+GrowthMarketRent)^10,0))))),0))),0)</f>
        <v/>
      </c>
    </row>
    <row r="47">
      <c r="A47" t="inlineStr">
        <is>
          <t>Frisco</t>
        </is>
      </c>
      <c r="B47" t="inlineStr">
        <is>
          <t>107</t>
        </is>
      </c>
      <c r="C47" t="inlineStr">
        <is>
          <t>Foundation Werks LLC</t>
        </is>
      </c>
      <c r="D47" s="32" t="n">
        <v>2600</v>
      </c>
      <c r="E47" s="33" t="n">
        <v>45748</v>
      </c>
      <c r="F47" s="33" t="n">
        <v>46997</v>
      </c>
      <c r="G47" s="34" t="n">
        <v>16.9126923076923</v>
      </c>
      <c r="H47" s="16">
        <f>VLOOKUP(A47,MLA!$A$5:$L$11,3,FALSE)</f>
        <v/>
      </c>
      <c r="I47" s="11" t="inlineStr">
        <is>
          <t>Market</t>
        </is>
      </c>
      <c r="J47" t="inlineStr">
        <is>
          <t>Shop</t>
        </is>
      </c>
      <c r="K47" t="inlineStr">
        <is>
          <t>Occupied</t>
        </is>
      </c>
      <c r="L47" t="inlineStr">
        <is>
          <t>Guarantor: Seneca McField</t>
        </is>
      </c>
      <c r="M47" s="20">
        <f>IF(E47="",0,(AnalysisStart-E47)/365.25)</f>
        <v/>
      </c>
      <c r="N47" s="14">
        <f>IFERROR(IF(I47="LeaseUp",H47*D47*(1+GrowthMarketRent)^0*IF(0=0,(12-DowntimeNew)/12,1),IF(F47="",0,IF(F47&gt;=DATE(2027+0,4,30),G47*D47*(1+EscalatorInLease)^(0+M47),IF(F47&lt;DATE(2026+0,5,1),IF(I47="Vacate",H47*D47*(1+GrowthMarketRent)^0*IF(INT((DATE(2026+0,10,31)-F47)/365.25)=0,(12-DowntimeNew)/12,1),IF(I47="Option",G47*D47*1.025*(1+EscalatorInLease)^0,IF(I47="Market",Retention*G47*D47*(1+EscalatorInLease)^(0+M47)+(1-Retention)*H47*D47*(1+GrowthMarketRent)^0*IF(INT((DATE(2026+0,10,31)-F47)/365.25)=0,(12-DowntimeNew)/12,1),IF(I47="LeaseUp",H47*D47*(1+GrowthMarketRent)^0*IF(0=0,(12-DowntimeNew)/12,1),0)))),((F47-DATE(2026+0,5,1))/365.25)*G47*D47*(1+EscalatorInLease)^(0+M47)+((DATE(2027+0,4,30)-F47)/365.25)*IF(I47="Vacate",H47*D47*(1+GrowthMarketRent)^0*IF(INT((DATE(2026+0,10,31)-F47)/365.25)=0,(12-DowntimeNew)/12,1),IF(I47="Option",G47*D47*1.025*(1+EscalatorInLease)^0,IF(I47="Market",Retention*G47*D47*(1+EscalatorInLease)^(0+M47)+(1-Retention)*H47*D47*(1+GrowthMarketRent)^0*IF(INT((DATE(2026+0,10,31)-F47)/365.25)=0,(12-DowntimeNew)/12,1),IF(I47="LeaseUp",H47*D47*(1+GrowthMarketRent)^0*IF(0=0,(12-DowntimeNew)/12,1),0)))))))),0)</f>
        <v/>
      </c>
      <c r="O47" s="14">
        <f>IFERROR(IF(I47="LeaseUp",H47*D47*(1+GrowthMarketRent)^1*IF(1=0,(12-DowntimeNew)/12,1),IF(F47="",0,IF(F47&gt;=DATE(2027+1,4,30),G47*D47*(1+EscalatorInLease)^(1+M47),IF(F47&lt;DATE(2026+1,5,1),IF(I47="Vacate",H47*D47*(1+GrowthMarketRent)^1*IF(INT((DATE(2026+1,10,31)-F47)/365.25)=0,(12-DowntimeNew)/12,1),IF(I47="Option",G47*D47*1.025*(1+EscalatorInLease)^1,IF(I47="Market",Retention*G47*D47*(1+EscalatorInLease)^(1+M47)+(1-Retention)*H47*D47*(1+GrowthMarketRent)^1*IF(INT((DATE(2026+1,10,31)-F47)/365.25)=0,(12-DowntimeNew)/12,1),IF(I47="LeaseUp",H47*D47*(1+GrowthMarketRent)^1*IF(1=0,(12-DowntimeNew)/12,1),0)))),((F47-DATE(2026+1,5,1))/365.25)*G47*D47*(1+EscalatorInLease)^(1+M47)+((DATE(2027+1,4,30)-F47)/365.25)*IF(I47="Vacate",H47*D47*(1+GrowthMarketRent)^1*IF(INT((DATE(2026+1,10,31)-F47)/365.25)=0,(12-DowntimeNew)/12,1),IF(I47="Option",G47*D47*1.025*(1+EscalatorInLease)^1,IF(I47="Market",Retention*G47*D47*(1+EscalatorInLease)^(1+M47)+(1-Retention)*H47*D47*(1+GrowthMarketRent)^1*IF(INT((DATE(2026+1,10,31)-F47)/365.25)=0,(12-DowntimeNew)/12,1),IF(I47="LeaseUp",H47*D47*(1+GrowthMarketRent)^1*IF(1=0,(12-DowntimeNew)/12,1),0)))))))),0)</f>
        <v/>
      </c>
      <c r="P47" s="14">
        <f>IFERROR(IF(I47="LeaseUp",H47*D47*(1+GrowthMarketRent)^2*IF(2=0,(12-DowntimeNew)/12,1),IF(F47="",0,IF(F47&gt;=DATE(2027+2,4,30),G47*D47*(1+EscalatorInLease)^(2+M47),IF(F47&lt;DATE(2026+2,5,1),IF(I47="Vacate",H47*D47*(1+GrowthMarketRent)^2*IF(INT((DATE(2026+2,10,31)-F47)/365.25)=0,(12-DowntimeNew)/12,1),IF(I47="Option",G47*D47*1.025*(1+EscalatorInLease)^2,IF(I47="Market",Retention*G47*D47*(1+EscalatorInLease)^(2+M47)+(1-Retention)*H47*D47*(1+GrowthMarketRent)^2*IF(INT((DATE(2026+2,10,31)-F47)/365.25)=0,(12-DowntimeNew)/12,1),IF(I47="LeaseUp",H47*D47*(1+GrowthMarketRent)^2*IF(2=0,(12-DowntimeNew)/12,1),0)))),((F47-DATE(2026+2,5,1))/365.25)*G47*D47*(1+EscalatorInLease)^(2+M47)+((DATE(2027+2,4,30)-F47)/365.25)*IF(I47="Vacate",H47*D47*(1+GrowthMarketRent)^2*IF(INT((DATE(2026+2,10,31)-F47)/365.25)=0,(12-DowntimeNew)/12,1),IF(I47="Option",G47*D47*1.025*(1+EscalatorInLease)^2,IF(I47="Market",Retention*G47*D47*(1+EscalatorInLease)^(2+M47)+(1-Retention)*H47*D47*(1+GrowthMarketRent)^2*IF(INT((DATE(2026+2,10,31)-F47)/365.25)=0,(12-DowntimeNew)/12,1),IF(I47="LeaseUp",H47*D47*(1+GrowthMarketRent)^2*IF(2=0,(12-DowntimeNew)/12,1),0)))))))),0)</f>
        <v/>
      </c>
      <c r="Q47" s="14">
        <f>IFERROR(IF(I47="LeaseUp",H47*D47*(1+GrowthMarketRent)^3*IF(3=0,(12-DowntimeNew)/12,1),IF(F47="",0,IF(F47&gt;=DATE(2027+3,4,30),G47*D47*(1+EscalatorInLease)^(3+M47),IF(F47&lt;DATE(2026+3,5,1),IF(I47="Vacate",H47*D47*(1+GrowthMarketRent)^3*IF(INT((DATE(2026+3,10,31)-F47)/365.25)=0,(12-DowntimeNew)/12,1),IF(I47="Option",G47*D47*1.025*(1+EscalatorInLease)^3,IF(I47="Market",Retention*G47*D47*(1+EscalatorInLease)^(3+M47)+(1-Retention)*H47*D47*(1+GrowthMarketRent)^3*IF(INT((DATE(2026+3,10,31)-F47)/365.25)=0,(12-DowntimeNew)/12,1),IF(I47="LeaseUp",H47*D47*(1+GrowthMarketRent)^3*IF(3=0,(12-DowntimeNew)/12,1),0)))),((F47-DATE(2026+3,5,1))/365.25)*G47*D47*(1+EscalatorInLease)^(3+M47)+((DATE(2027+3,4,30)-F47)/365.25)*IF(I47="Vacate",H47*D47*(1+GrowthMarketRent)^3*IF(INT((DATE(2026+3,10,31)-F47)/365.25)=0,(12-DowntimeNew)/12,1),IF(I47="Option",G47*D47*1.025*(1+EscalatorInLease)^3,IF(I47="Market",Retention*G47*D47*(1+EscalatorInLease)^(3+M47)+(1-Retention)*H47*D47*(1+GrowthMarketRent)^3*IF(INT((DATE(2026+3,10,31)-F47)/365.25)=0,(12-DowntimeNew)/12,1),IF(I47="LeaseUp",H47*D47*(1+GrowthMarketRent)^3*IF(3=0,(12-DowntimeNew)/12,1),0)))))))),0)</f>
        <v/>
      </c>
      <c r="R47" s="14">
        <f>IFERROR(IF(I47="LeaseUp",H47*D47*(1+GrowthMarketRent)^4*IF(4=0,(12-DowntimeNew)/12,1),IF(F47="",0,IF(F47&gt;=DATE(2027+4,4,30),G47*D47*(1+EscalatorInLease)^(4+M47),IF(F47&lt;DATE(2026+4,5,1),IF(I47="Vacate",H47*D47*(1+GrowthMarketRent)^4*IF(INT((DATE(2026+4,10,31)-F47)/365.25)=0,(12-DowntimeNew)/12,1),IF(I47="Option",G47*D47*1.025*(1+EscalatorInLease)^4,IF(I47="Market",Retention*G47*D47*(1+EscalatorInLease)^(4+M47)+(1-Retention)*H47*D47*(1+GrowthMarketRent)^4*IF(INT((DATE(2026+4,10,31)-F47)/365.25)=0,(12-DowntimeNew)/12,1),IF(I47="LeaseUp",H47*D47*(1+GrowthMarketRent)^4*IF(4=0,(12-DowntimeNew)/12,1),0)))),((F47-DATE(2026+4,5,1))/365.25)*G47*D47*(1+EscalatorInLease)^(4+M47)+((DATE(2027+4,4,30)-F47)/365.25)*IF(I47="Vacate",H47*D47*(1+GrowthMarketRent)^4*IF(INT((DATE(2026+4,10,31)-F47)/365.25)=0,(12-DowntimeNew)/12,1),IF(I47="Option",G47*D47*1.025*(1+EscalatorInLease)^4,IF(I47="Market",Retention*G47*D47*(1+EscalatorInLease)^(4+M47)+(1-Retention)*H47*D47*(1+GrowthMarketRent)^4*IF(INT((DATE(2026+4,10,31)-F47)/365.25)=0,(12-DowntimeNew)/12,1),IF(I47="LeaseUp",H47*D47*(1+GrowthMarketRent)^4*IF(4=0,(12-DowntimeNew)/12,1),0)))))))),0)</f>
        <v/>
      </c>
      <c r="S47" s="14">
        <f>IFERROR(IF(I47="LeaseUp",H47*D47*(1+GrowthMarketRent)^5*IF(5=0,(12-DowntimeNew)/12,1),IF(F47="",0,IF(F47&gt;=DATE(2027+5,4,30),G47*D47*(1+EscalatorInLease)^(5+M47),IF(F47&lt;DATE(2026+5,5,1),IF(I47="Vacate",H47*D47*(1+GrowthMarketRent)^5*IF(INT((DATE(2026+5,10,31)-F47)/365.25)=0,(12-DowntimeNew)/12,1),IF(I47="Option",G47*D47*1.025*(1+EscalatorInLease)^5,IF(I47="Market",Retention*G47*D47*(1+EscalatorInLease)^(5+M47)+(1-Retention)*H47*D47*(1+GrowthMarketRent)^5*IF(INT((DATE(2026+5,10,31)-F47)/365.25)=0,(12-DowntimeNew)/12,1),IF(I47="LeaseUp",H47*D47*(1+GrowthMarketRent)^5*IF(5=0,(12-DowntimeNew)/12,1),0)))),((F47-DATE(2026+5,5,1))/365.25)*G47*D47*(1+EscalatorInLease)^(5+M47)+((DATE(2027+5,4,30)-F47)/365.25)*IF(I47="Vacate",H47*D47*(1+GrowthMarketRent)^5*IF(INT((DATE(2026+5,10,31)-F47)/365.25)=0,(12-DowntimeNew)/12,1),IF(I47="Option",G47*D47*1.025*(1+EscalatorInLease)^5,IF(I47="Market",Retention*G47*D47*(1+EscalatorInLease)^(5+M47)+(1-Retention)*H47*D47*(1+GrowthMarketRent)^5*IF(INT((DATE(2026+5,10,31)-F47)/365.25)=0,(12-DowntimeNew)/12,1),IF(I47="LeaseUp",H47*D47*(1+GrowthMarketRent)^5*IF(5=0,(12-DowntimeNew)/12,1),0)))))))),0)</f>
        <v/>
      </c>
      <c r="T47" s="14">
        <f>IFERROR(IF(I47="LeaseUp",H47*D47*(1+GrowthMarketRent)^6*IF(6=0,(12-DowntimeNew)/12,1),IF(F47="",0,IF(F47&gt;=DATE(2027+6,4,30),G47*D47*(1+EscalatorInLease)^(6+M47),IF(F47&lt;DATE(2026+6,5,1),IF(I47="Vacate",H47*D47*(1+GrowthMarketRent)^6*IF(INT((DATE(2026+6,10,31)-F47)/365.25)=0,(12-DowntimeNew)/12,1),IF(I47="Option",G47*D47*1.025*(1+EscalatorInLease)^6,IF(I47="Market",Retention*G47*D47*(1+EscalatorInLease)^(6+M47)+(1-Retention)*H47*D47*(1+GrowthMarketRent)^6*IF(INT((DATE(2026+6,10,31)-F47)/365.25)=0,(12-DowntimeNew)/12,1),IF(I47="LeaseUp",H47*D47*(1+GrowthMarketRent)^6*IF(6=0,(12-DowntimeNew)/12,1),0)))),((F47-DATE(2026+6,5,1))/365.25)*G47*D47*(1+EscalatorInLease)^(6+M47)+((DATE(2027+6,4,30)-F47)/365.25)*IF(I47="Vacate",H47*D47*(1+GrowthMarketRent)^6*IF(INT((DATE(2026+6,10,31)-F47)/365.25)=0,(12-DowntimeNew)/12,1),IF(I47="Option",G47*D47*1.025*(1+EscalatorInLease)^6,IF(I47="Market",Retention*G47*D47*(1+EscalatorInLease)^(6+M47)+(1-Retention)*H47*D47*(1+GrowthMarketRent)^6*IF(INT((DATE(2026+6,10,31)-F47)/365.25)=0,(12-DowntimeNew)/12,1),IF(I47="LeaseUp",H47*D47*(1+GrowthMarketRent)^6*IF(6=0,(12-DowntimeNew)/12,1),0)))))))),0)</f>
        <v/>
      </c>
      <c r="U47" s="14">
        <f>IFERROR(IF(I47="LeaseUp",H47*D47*(1+GrowthMarketRent)^7*IF(7=0,(12-DowntimeNew)/12,1),IF(F47="",0,IF(F47&gt;=DATE(2027+7,4,30),G47*D47*(1+EscalatorInLease)^(7+M47),IF(F47&lt;DATE(2026+7,5,1),IF(I47="Vacate",H47*D47*(1+GrowthMarketRent)^7*IF(INT((DATE(2026+7,10,31)-F47)/365.25)=0,(12-DowntimeNew)/12,1),IF(I47="Option",G47*D47*1.025*(1+EscalatorInLease)^7,IF(I47="Market",Retention*G47*D47*(1+EscalatorInLease)^(7+M47)+(1-Retention)*H47*D47*(1+GrowthMarketRent)^7*IF(INT((DATE(2026+7,10,31)-F47)/365.25)=0,(12-DowntimeNew)/12,1),IF(I47="LeaseUp",H47*D47*(1+GrowthMarketRent)^7*IF(7=0,(12-DowntimeNew)/12,1),0)))),((F47-DATE(2026+7,5,1))/365.25)*G47*D47*(1+EscalatorInLease)^(7+M47)+((DATE(2027+7,4,30)-F47)/365.25)*IF(I47="Vacate",H47*D47*(1+GrowthMarketRent)^7*IF(INT((DATE(2026+7,10,31)-F47)/365.25)=0,(12-DowntimeNew)/12,1),IF(I47="Option",G47*D47*1.025*(1+EscalatorInLease)^7,IF(I47="Market",Retention*G47*D47*(1+EscalatorInLease)^(7+M47)+(1-Retention)*H47*D47*(1+GrowthMarketRent)^7*IF(INT((DATE(2026+7,10,31)-F47)/365.25)=0,(12-DowntimeNew)/12,1),IF(I47="LeaseUp",H47*D47*(1+GrowthMarketRent)^7*IF(7=0,(12-DowntimeNew)/12,1),0)))))))),0)</f>
        <v/>
      </c>
      <c r="V47" s="14">
        <f>IFERROR(IF(I47="LeaseUp",H47*D47*(1+GrowthMarketRent)^8*IF(8=0,(12-DowntimeNew)/12,1),IF(F47="",0,IF(F47&gt;=DATE(2027+8,4,30),G47*D47*(1+EscalatorInLease)^(8+M47),IF(F47&lt;DATE(2026+8,5,1),IF(I47="Vacate",H47*D47*(1+GrowthMarketRent)^8*IF(INT((DATE(2026+8,10,31)-F47)/365.25)=0,(12-DowntimeNew)/12,1),IF(I47="Option",G47*D47*1.025*(1+EscalatorInLease)^8,IF(I47="Market",Retention*G47*D47*(1+EscalatorInLease)^(8+M47)+(1-Retention)*H47*D47*(1+GrowthMarketRent)^8*IF(INT((DATE(2026+8,10,31)-F47)/365.25)=0,(12-DowntimeNew)/12,1),IF(I47="LeaseUp",H47*D47*(1+GrowthMarketRent)^8*IF(8=0,(12-DowntimeNew)/12,1),0)))),((F47-DATE(2026+8,5,1))/365.25)*G47*D47*(1+EscalatorInLease)^(8+M47)+((DATE(2027+8,4,30)-F47)/365.25)*IF(I47="Vacate",H47*D47*(1+GrowthMarketRent)^8*IF(INT((DATE(2026+8,10,31)-F47)/365.25)=0,(12-DowntimeNew)/12,1),IF(I47="Option",G47*D47*1.025*(1+EscalatorInLease)^8,IF(I47="Market",Retention*G47*D47*(1+EscalatorInLease)^(8+M47)+(1-Retention)*H47*D47*(1+GrowthMarketRent)^8*IF(INT((DATE(2026+8,10,31)-F47)/365.25)=0,(12-DowntimeNew)/12,1),IF(I47="LeaseUp",H47*D47*(1+GrowthMarketRent)^8*IF(8=0,(12-DowntimeNew)/12,1),0)))))))),0)</f>
        <v/>
      </c>
      <c r="W47" s="14">
        <f>IFERROR(IF(I47="LeaseUp",H47*D47*(1+GrowthMarketRent)^9*IF(9=0,(12-DowntimeNew)/12,1),IF(F47="",0,IF(F47&gt;=DATE(2027+9,4,30),G47*D47*(1+EscalatorInLease)^(9+M47),IF(F47&lt;DATE(2026+9,5,1),IF(I47="Vacate",H47*D47*(1+GrowthMarketRent)^9*IF(INT((DATE(2026+9,10,31)-F47)/365.25)=0,(12-DowntimeNew)/12,1),IF(I47="Option",G47*D47*1.025*(1+EscalatorInLease)^9,IF(I47="Market",Retention*G47*D47*(1+EscalatorInLease)^(9+M47)+(1-Retention)*H47*D47*(1+GrowthMarketRent)^9*IF(INT((DATE(2026+9,10,31)-F47)/365.25)=0,(12-DowntimeNew)/12,1),IF(I47="LeaseUp",H47*D47*(1+GrowthMarketRent)^9*IF(9=0,(12-DowntimeNew)/12,1),0)))),((F47-DATE(2026+9,5,1))/365.25)*G47*D47*(1+EscalatorInLease)^(9+M47)+((DATE(2027+9,4,30)-F47)/365.25)*IF(I47="Vacate",H47*D47*(1+GrowthMarketRent)^9*IF(INT((DATE(2026+9,10,31)-F47)/365.25)=0,(12-DowntimeNew)/12,1),IF(I47="Option",G47*D47*1.025*(1+EscalatorInLease)^9,IF(I47="Market",Retention*G47*D47*(1+EscalatorInLease)^(9+M47)+(1-Retention)*H47*D47*(1+GrowthMarketRent)^9*IF(INT((DATE(2026+9,10,31)-F47)/365.25)=0,(12-DowntimeNew)/12,1),IF(I47="LeaseUp",H47*D47*(1+GrowthMarketRent)^9*IF(9=0,(12-DowntimeNew)/12,1),0)))))))),0)</f>
        <v/>
      </c>
      <c r="X47" s="14">
        <f>IFERROR(IF(I47="LeaseUp",H47*D47*(1+GrowthMarketRent)^10*IF(10=0,(12-DowntimeNew)/12,1),IF(F47="",0,IF(F47&gt;=DATE(2027+10,4,30),G47*D47*(1+EscalatorInLease)^(10+M47),IF(F47&lt;DATE(2026+10,5,1),IF(I47="Vacate",H47*D47*(1+GrowthMarketRent)^10*IF(INT((DATE(2026+10,10,31)-F47)/365.25)=0,(12-DowntimeNew)/12,1),IF(I47="Option",G47*D47*1.025*(1+EscalatorInLease)^10,IF(I47="Market",Retention*G47*D47*(1+EscalatorInLease)^(10+M47)+(1-Retention)*H47*D47*(1+GrowthMarketRent)^10*IF(INT((DATE(2026+10,10,31)-F47)/365.25)=0,(12-DowntimeNew)/12,1),IF(I47="LeaseUp",H47*D47*(1+GrowthMarketRent)^10*IF(10=0,(12-DowntimeNew)/12,1),0)))),((F47-DATE(2026+10,5,1))/365.25)*G47*D47*(1+EscalatorInLease)^(10+M47)+((DATE(2027+10,4,30)-F47)/365.25)*IF(I47="Vacate",H47*D47*(1+GrowthMarketRent)^10*IF(INT((DATE(2026+10,10,31)-F47)/365.25)=0,(12-DowntimeNew)/12,1),IF(I47="Option",G47*D47*1.025*(1+EscalatorInLease)^10,IF(I47="Market",Retention*G47*D47*(1+EscalatorInLease)^(10+M47)+(1-Retention)*H47*D47*(1+GrowthMarketRent)^10*IF(INT((DATE(2026+10,10,31)-F47)/365.25)=0,(12-DowntimeNew)/12,1),IF(I47="LeaseUp",H47*D47*(1+GrowthMarketRent)^10*IF(10=0,(12-DowntimeNew)/12,1),0)))))))),0)</f>
        <v/>
      </c>
      <c r="Y47" s="14">
        <f>IFERROR(IF(AND(I47="LeaseUp",0=0),(IF(I47="Vacate",TINew*D47,IF(I47="Market",Retention*TIRenewal*D47+(1-Retention)*TINew*D47,IF(I47="LeaseUp",TINew*D47,IF(I47="Option",TIRenewal*D47,0)))))+(IF(I47="Vacate",LCNew*H47*D47*(1+GrowthMarketRent)^0,IF(I47="Market",Retention*LCRenewal*H47*D47*(1+GrowthMarketRent)^0+(1-Retention)*LCNew*H47*D47*(1+GrowthMarketRent)^0,IF(I47="LeaseUp",LCNew*H47*D47*(1+GrowthMarketRent)^0,IF(I47="Option",LCRenewal*H47*D47*(1+GrowthMarketRent)^0,0))))),IF(F47="",0,IF(AND(F47&gt;=DATE(2026+0,5,1),F47&lt;=DATE(2027+0,4,30)),(IF(I47="Vacate",TINew*D47,IF(I47="Market",Retention*TIRenewal*D47+(1-Retention)*TINew*D47,IF(I47="LeaseUp",TINew*D47,IF(I47="Option",TIRenewal*D47,0)))))+(IF(I47="Vacate",LCNew*H47*D47*(1+GrowthMarketRent)^0,IF(I47="Market",Retention*LCRenewal*H47*D47*(1+GrowthMarketRent)^0+(1-Retention)*LCNew*H47*D47*(1+GrowthMarketRent)^0,IF(I47="LeaseUp",LCNew*H47*D47*(1+GrowthMarketRent)^0,IF(I47="Option",LCRenewal*H47*D47*(1+GrowthMarketRent)^0,0))))),0))),0)</f>
        <v/>
      </c>
      <c r="Z47" s="14">
        <f>IFERROR(IF(AND(I47="LeaseUp",1=0),(IF(I47="Vacate",TINew*D47,IF(I47="Market",Retention*TIRenewal*D47+(1-Retention)*TINew*D47,IF(I47="LeaseUp",TINew*D47,IF(I47="Option",TIRenewal*D47,0)))))+(IF(I47="Vacate",LCNew*H47*D47*(1+GrowthMarketRent)^1,IF(I47="Market",Retention*LCRenewal*H47*D47*(1+GrowthMarketRent)^1+(1-Retention)*LCNew*H47*D47*(1+GrowthMarketRent)^1,IF(I47="LeaseUp",LCNew*H47*D47*(1+GrowthMarketRent)^1,IF(I47="Option",LCRenewal*H47*D47*(1+GrowthMarketRent)^1,0))))),IF(F47="",0,IF(AND(F47&gt;=DATE(2026+1,5,1),F47&lt;=DATE(2027+1,4,30)),(IF(I47="Vacate",TINew*D47,IF(I47="Market",Retention*TIRenewal*D47+(1-Retention)*TINew*D47,IF(I47="LeaseUp",TINew*D47,IF(I47="Option",TIRenewal*D47,0)))))+(IF(I47="Vacate",LCNew*H47*D47*(1+GrowthMarketRent)^1,IF(I47="Market",Retention*LCRenewal*H47*D47*(1+GrowthMarketRent)^1+(1-Retention)*LCNew*H47*D47*(1+GrowthMarketRent)^1,IF(I47="LeaseUp",LCNew*H47*D47*(1+GrowthMarketRent)^1,IF(I47="Option",LCRenewal*H47*D47*(1+GrowthMarketRent)^1,0))))),0))),0)</f>
        <v/>
      </c>
      <c r="AA47" s="14">
        <f>IFERROR(IF(AND(I47="LeaseUp",2=0),(IF(I47="Vacate",TINew*D47,IF(I47="Market",Retention*TIRenewal*D47+(1-Retention)*TINew*D47,IF(I47="LeaseUp",TINew*D47,IF(I47="Option",TIRenewal*D47,0)))))+(IF(I47="Vacate",LCNew*H47*D47*(1+GrowthMarketRent)^2,IF(I47="Market",Retention*LCRenewal*H47*D47*(1+GrowthMarketRent)^2+(1-Retention)*LCNew*H47*D47*(1+GrowthMarketRent)^2,IF(I47="LeaseUp",LCNew*H47*D47*(1+GrowthMarketRent)^2,IF(I47="Option",LCRenewal*H47*D47*(1+GrowthMarketRent)^2,0))))),IF(F47="",0,IF(AND(F47&gt;=DATE(2026+2,5,1),F47&lt;=DATE(2027+2,4,30)),(IF(I47="Vacate",TINew*D47,IF(I47="Market",Retention*TIRenewal*D47+(1-Retention)*TINew*D47,IF(I47="LeaseUp",TINew*D47,IF(I47="Option",TIRenewal*D47,0)))))+(IF(I47="Vacate",LCNew*H47*D47*(1+GrowthMarketRent)^2,IF(I47="Market",Retention*LCRenewal*H47*D47*(1+GrowthMarketRent)^2+(1-Retention)*LCNew*H47*D47*(1+GrowthMarketRent)^2,IF(I47="LeaseUp",LCNew*H47*D47*(1+GrowthMarketRent)^2,IF(I47="Option",LCRenewal*H47*D47*(1+GrowthMarketRent)^2,0))))),0))),0)</f>
        <v/>
      </c>
      <c r="AB47" s="14">
        <f>IFERROR(IF(AND(I47="LeaseUp",3=0),(IF(I47="Vacate",TINew*D47,IF(I47="Market",Retention*TIRenewal*D47+(1-Retention)*TINew*D47,IF(I47="LeaseUp",TINew*D47,IF(I47="Option",TIRenewal*D47,0)))))+(IF(I47="Vacate",LCNew*H47*D47*(1+GrowthMarketRent)^3,IF(I47="Market",Retention*LCRenewal*H47*D47*(1+GrowthMarketRent)^3+(1-Retention)*LCNew*H47*D47*(1+GrowthMarketRent)^3,IF(I47="LeaseUp",LCNew*H47*D47*(1+GrowthMarketRent)^3,IF(I47="Option",LCRenewal*H47*D47*(1+GrowthMarketRent)^3,0))))),IF(F47="",0,IF(AND(F47&gt;=DATE(2026+3,5,1),F47&lt;=DATE(2027+3,4,30)),(IF(I47="Vacate",TINew*D47,IF(I47="Market",Retention*TIRenewal*D47+(1-Retention)*TINew*D47,IF(I47="LeaseUp",TINew*D47,IF(I47="Option",TIRenewal*D47,0)))))+(IF(I47="Vacate",LCNew*H47*D47*(1+GrowthMarketRent)^3,IF(I47="Market",Retention*LCRenewal*H47*D47*(1+GrowthMarketRent)^3+(1-Retention)*LCNew*H47*D47*(1+GrowthMarketRent)^3,IF(I47="LeaseUp",LCNew*H47*D47*(1+GrowthMarketRent)^3,IF(I47="Option",LCRenewal*H47*D47*(1+GrowthMarketRent)^3,0))))),0))),0)</f>
        <v/>
      </c>
      <c r="AC47" s="14">
        <f>IFERROR(IF(AND(I47="LeaseUp",4=0),(IF(I47="Vacate",TINew*D47,IF(I47="Market",Retention*TIRenewal*D47+(1-Retention)*TINew*D47,IF(I47="LeaseUp",TINew*D47,IF(I47="Option",TIRenewal*D47,0)))))+(IF(I47="Vacate",LCNew*H47*D47*(1+GrowthMarketRent)^4,IF(I47="Market",Retention*LCRenewal*H47*D47*(1+GrowthMarketRent)^4+(1-Retention)*LCNew*H47*D47*(1+GrowthMarketRent)^4,IF(I47="LeaseUp",LCNew*H47*D47*(1+GrowthMarketRent)^4,IF(I47="Option",LCRenewal*H47*D47*(1+GrowthMarketRent)^4,0))))),IF(F47="",0,IF(AND(F47&gt;=DATE(2026+4,5,1),F47&lt;=DATE(2027+4,4,30)),(IF(I47="Vacate",TINew*D47,IF(I47="Market",Retention*TIRenewal*D47+(1-Retention)*TINew*D47,IF(I47="LeaseUp",TINew*D47,IF(I47="Option",TIRenewal*D47,0)))))+(IF(I47="Vacate",LCNew*H47*D47*(1+GrowthMarketRent)^4,IF(I47="Market",Retention*LCRenewal*H47*D47*(1+GrowthMarketRent)^4+(1-Retention)*LCNew*H47*D47*(1+GrowthMarketRent)^4,IF(I47="LeaseUp",LCNew*H47*D47*(1+GrowthMarketRent)^4,IF(I47="Option",LCRenewal*H47*D47*(1+GrowthMarketRent)^4,0))))),0))),0)</f>
        <v/>
      </c>
      <c r="AD47" s="14">
        <f>IFERROR(IF(AND(I47="LeaseUp",5=0),(IF(I47="Vacate",TINew*D47,IF(I47="Market",Retention*TIRenewal*D47+(1-Retention)*TINew*D47,IF(I47="LeaseUp",TINew*D47,IF(I47="Option",TIRenewal*D47,0)))))+(IF(I47="Vacate",LCNew*H47*D47*(1+GrowthMarketRent)^5,IF(I47="Market",Retention*LCRenewal*H47*D47*(1+GrowthMarketRent)^5+(1-Retention)*LCNew*H47*D47*(1+GrowthMarketRent)^5,IF(I47="LeaseUp",LCNew*H47*D47*(1+GrowthMarketRent)^5,IF(I47="Option",LCRenewal*H47*D47*(1+GrowthMarketRent)^5,0))))),IF(F47="",0,IF(AND(F47&gt;=DATE(2026+5,5,1),F47&lt;=DATE(2027+5,4,30)),(IF(I47="Vacate",TINew*D47,IF(I47="Market",Retention*TIRenewal*D47+(1-Retention)*TINew*D47,IF(I47="LeaseUp",TINew*D47,IF(I47="Option",TIRenewal*D47,0)))))+(IF(I47="Vacate",LCNew*H47*D47*(1+GrowthMarketRent)^5,IF(I47="Market",Retention*LCRenewal*H47*D47*(1+GrowthMarketRent)^5+(1-Retention)*LCNew*H47*D47*(1+GrowthMarketRent)^5,IF(I47="LeaseUp",LCNew*H47*D47*(1+GrowthMarketRent)^5,IF(I47="Option",LCRenewal*H47*D47*(1+GrowthMarketRent)^5,0))))),0))),0)</f>
        <v/>
      </c>
      <c r="AE47" s="14">
        <f>IFERROR(IF(AND(I47="LeaseUp",6=0),(IF(I47="Vacate",TINew*D47,IF(I47="Market",Retention*TIRenewal*D47+(1-Retention)*TINew*D47,IF(I47="LeaseUp",TINew*D47,IF(I47="Option",TIRenewal*D47,0)))))+(IF(I47="Vacate",LCNew*H47*D47*(1+GrowthMarketRent)^6,IF(I47="Market",Retention*LCRenewal*H47*D47*(1+GrowthMarketRent)^6+(1-Retention)*LCNew*H47*D47*(1+GrowthMarketRent)^6,IF(I47="LeaseUp",LCNew*H47*D47*(1+GrowthMarketRent)^6,IF(I47="Option",LCRenewal*H47*D47*(1+GrowthMarketRent)^6,0))))),IF(F47="",0,IF(AND(F47&gt;=DATE(2026+6,5,1),F47&lt;=DATE(2027+6,4,30)),(IF(I47="Vacate",TINew*D47,IF(I47="Market",Retention*TIRenewal*D47+(1-Retention)*TINew*D47,IF(I47="LeaseUp",TINew*D47,IF(I47="Option",TIRenewal*D47,0)))))+(IF(I47="Vacate",LCNew*H47*D47*(1+GrowthMarketRent)^6,IF(I47="Market",Retention*LCRenewal*H47*D47*(1+GrowthMarketRent)^6+(1-Retention)*LCNew*H47*D47*(1+GrowthMarketRent)^6,IF(I47="LeaseUp",LCNew*H47*D47*(1+GrowthMarketRent)^6,IF(I47="Option",LCRenewal*H47*D47*(1+GrowthMarketRent)^6,0))))),0))),0)</f>
        <v/>
      </c>
      <c r="AF47" s="14">
        <f>IFERROR(IF(AND(I47="LeaseUp",7=0),(IF(I47="Vacate",TINew*D47,IF(I47="Market",Retention*TIRenewal*D47+(1-Retention)*TINew*D47,IF(I47="LeaseUp",TINew*D47,IF(I47="Option",TIRenewal*D47,0)))))+(IF(I47="Vacate",LCNew*H47*D47*(1+GrowthMarketRent)^7,IF(I47="Market",Retention*LCRenewal*H47*D47*(1+GrowthMarketRent)^7+(1-Retention)*LCNew*H47*D47*(1+GrowthMarketRent)^7,IF(I47="LeaseUp",LCNew*H47*D47*(1+GrowthMarketRent)^7,IF(I47="Option",LCRenewal*H47*D47*(1+GrowthMarketRent)^7,0))))),IF(F47="",0,IF(AND(F47&gt;=DATE(2026+7,5,1),F47&lt;=DATE(2027+7,4,30)),(IF(I47="Vacate",TINew*D47,IF(I47="Market",Retention*TIRenewal*D47+(1-Retention)*TINew*D47,IF(I47="LeaseUp",TINew*D47,IF(I47="Option",TIRenewal*D47,0)))))+(IF(I47="Vacate",LCNew*H47*D47*(1+GrowthMarketRent)^7,IF(I47="Market",Retention*LCRenewal*H47*D47*(1+GrowthMarketRent)^7+(1-Retention)*LCNew*H47*D47*(1+GrowthMarketRent)^7,IF(I47="LeaseUp",LCNew*H47*D47*(1+GrowthMarketRent)^7,IF(I47="Option",LCRenewal*H47*D47*(1+GrowthMarketRent)^7,0))))),0))),0)</f>
        <v/>
      </c>
      <c r="AG47" s="14">
        <f>IFERROR(IF(AND(I47="LeaseUp",8=0),(IF(I47="Vacate",TINew*D47,IF(I47="Market",Retention*TIRenewal*D47+(1-Retention)*TINew*D47,IF(I47="LeaseUp",TINew*D47,IF(I47="Option",TIRenewal*D47,0)))))+(IF(I47="Vacate",LCNew*H47*D47*(1+GrowthMarketRent)^8,IF(I47="Market",Retention*LCRenewal*H47*D47*(1+GrowthMarketRent)^8+(1-Retention)*LCNew*H47*D47*(1+GrowthMarketRent)^8,IF(I47="LeaseUp",LCNew*H47*D47*(1+GrowthMarketRent)^8,IF(I47="Option",LCRenewal*H47*D47*(1+GrowthMarketRent)^8,0))))),IF(F47="",0,IF(AND(F47&gt;=DATE(2026+8,5,1),F47&lt;=DATE(2027+8,4,30)),(IF(I47="Vacate",TINew*D47,IF(I47="Market",Retention*TIRenewal*D47+(1-Retention)*TINew*D47,IF(I47="LeaseUp",TINew*D47,IF(I47="Option",TIRenewal*D47,0)))))+(IF(I47="Vacate",LCNew*H47*D47*(1+GrowthMarketRent)^8,IF(I47="Market",Retention*LCRenewal*H47*D47*(1+GrowthMarketRent)^8+(1-Retention)*LCNew*H47*D47*(1+GrowthMarketRent)^8,IF(I47="LeaseUp",LCNew*H47*D47*(1+GrowthMarketRent)^8,IF(I47="Option",LCRenewal*H47*D47*(1+GrowthMarketRent)^8,0))))),0))),0)</f>
        <v/>
      </c>
      <c r="AH47" s="14">
        <f>IFERROR(IF(AND(I47="LeaseUp",9=0),(IF(I47="Vacate",TINew*D47,IF(I47="Market",Retention*TIRenewal*D47+(1-Retention)*TINew*D47,IF(I47="LeaseUp",TINew*D47,IF(I47="Option",TIRenewal*D47,0)))))+(IF(I47="Vacate",LCNew*H47*D47*(1+GrowthMarketRent)^9,IF(I47="Market",Retention*LCRenewal*H47*D47*(1+GrowthMarketRent)^9+(1-Retention)*LCNew*H47*D47*(1+GrowthMarketRent)^9,IF(I47="LeaseUp",LCNew*H47*D47*(1+GrowthMarketRent)^9,IF(I47="Option",LCRenewal*H47*D47*(1+GrowthMarketRent)^9,0))))),IF(F47="",0,IF(AND(F47&gt;=DATE(2026+9,5,1),F47&lt;=DATE(2027+9,4,30)),(IF(I47="Vacate",TINew*D47,IF(I47="Market",Retention*TIRenewal*D47+(1-Retention)*TINew*D47,IF(I47="LeaseUp",TINew*D47,IF(I47="Option",TIRenewal*D47,0)))))+(IF(I47="Vacate",LCNew*H47*D47*(1+GrowthMarketRent)^9,IF(I47="Market",Retention*LCRenewal*H47*D47*(1+GrowthMarketRent)^9+(1-Retention)*LCNew*H47*D47*(1+GrowthMarketRent)^9,IF(I47="LeaseUp",LCNew*H47*D47*(1+GrowthMarketRent)^9,IF(I47="Option",LCRenewal*H47*D47*(1+GrowthMarketRent)^9,0))))),0))),0)</f>
        <v/>
      </c>
      <c r="AI47" s="14">
        <f>IFERROR(IF(AND(I47="LeaseUp",10=0),(IF(I47="Vacate",TINew*D47,IF(I47="Market",Retention*TIRenewal*D47+(1-Retention)*TINew*D47,IF(I47="LeaseUp",TINew*D47,IF(I47="Option",TIRenewal*D47,0)))))+(IF(I47="Vacate",LCNew*H47*D47*(1+GrowthMarketRent)^10,IF(I47="Market",Retention*LCRenewal*H47*D47*(1+GrowthMarketRent)^10+(1-Retention)*LCNew*H47*D47*(1+GrowthMarketRent)^10,IF(I47="LeaseUp",LCNew*H47*D47*(1+GrowthMarketRent)^10,IF(I47="Option",LCRenewal*H47*D47*(1+GrowthMarketRent)^10,0))))),IF(F47="",0,IF(AND(F47&gt;=DATE(2026+10,5,1),F47&lt;=DATE(2027+10,4,30)),(IF(I47="Vacate",TINew*D47,IF(I47="Market",Retention*TIRenewal*D47+(1-Retention)*TINew*D47,IF(I47="LeaseUp",TINew*D47,IF(I47="Option",TIRenewal*D47,0)))))+(IF(I47="Vacate",LCNew*H47*D47*(1+GrowthMarketRent)^10,IF(I47="Market",Retention*LCRenewal*H47*D47*(1+GrowthMarketRent)^10+(1-Retention)*LCNew*H47*D47*(1+GrowthMarketRent)^10,IF(I47="LeaseUp",LCNew*H47*D47*(1+GrowthMarketRent)^10,IF(I47="Option",LCRenewal*H47*D47*(1+GrowthMarketRent)^10,0))))),0))),0)</f>
        <v/>
      </c>
    </row>
    <row r="48">
      <c r="A48" t="inlineStr">
        <is>
          <t>Frisco</t>
        </is>
      </c>
      <c r="B48" t="inlineStr">
        <is>
          <t>108</t>
        </is>
      </c>
      <c r="C48" t="inlineStr">
        <is>
          <t>JHBT Investments LLC</t>
        </is>
      </c>
      <c r="D48" s="32" t="n">
        <v>2600</v>
      </c>
      <c r="E48" s="33" t="n">
        <v>45809</v>
      </c>
      <c r="F48" s="33" t="n">
        <v>47058</v>
      </c>
      <c r="G48" s="34" t="n">
        <v>19</v>
      </c>
      <c r="H48" s="16">
        <f>VLOOKUP(A48,MLA!$A$5:$L$11,3,FALSE)</f>
        <v/>
      </c>
      <c r="I48" s="11" t="inlineStr">
        <is>
          <t>Market</t>
        </is>
      </c>
      <c r="J48" t="inlineStr">
        <is>
          <t>Shop</t>
        </is>
      </c>
      <c r="K48" t="inlineStr">
        <is>
          <t>Occupied</t>
        </is>
      </c>
      <c r="L48" t="inlineStr">
        <is>
          <t>Guarantor: Jonathon Hunter</t>
        </is>
      </c>
      <c r="M48" s="20">
        <f>IF(E48="",0,(AnalysisStart-E48)/365.25)</f>
        <v/>
      </c>
      <c r="N48" s="14">
        <f>IFERROR(IF(I48="LeaseUp",H48*D48*(1+GrowthMarketRent)^0*IF(0=0,(12-DowntimeNew)/12,1),IF(F48="",0,IF(F48&gt;=DATE(2027+0,4,30),G48*D48*(1+EscalatorInLease)^(0+M48),IF(F48&lt;DATE(2026+0,5,1),IF(I48="Vacate",H48*D48*(1+GrowthMarketRent)^0*IF(INT((DATE(2026+0,10,31)-F48)/365.25)=0,(12-DowntimeNew)/12,1),IF(I48="Option",G48*D48*1.025*(1+EscalatorInLease)^0,IF(I48="Market",Retention*G48*D48*(1+EscalatorInLease)^(0+M48)+(1-Retention)*H48*D48*(1+GrowthMarketRent)^0*IF(INT((DATE(2026+0,10,31)-F48)/365.25)=0,(12-DowntimeNew)/12,1),IF(I48="LeaseUp",H48*D48*(1+GrowthMarketRent)^0*IF(0=0,(12-DowntimeNew)/12,1),0)))),((F48-DATE(2026+0,5,1))/365.25)*G48*D48*(1+EscalatorInLease)^(0+M48)+((DATE(2027+0,4,30)-F48)/365.25)*IF(I48="Vacate",H48*D48*(1+GrowthMarketRent)^0*IF(INT((DATE(2026+0,10,31)-F48)/365.25)=0,(12-DowntimeNew)/12,1),IF(I48="Option",G48*D48*1.025*(1+EscalatorInLease)^0,IF(I48="Market",Retention*G48*D48*(1+EscalatorInLease)^(0+M48)+(1-Retention)*H48*D48*(1+GrowthMarketRent)^0*IF(INT((DATE(2026+0,10,31)-F48)/365.25)=0,(12-DowntimeNew)/12,1),IF(I48="LeaseUp",H48*D48*(1+GrowthMarketRent)^0*IF(0=0,(12-DowntimeNew)/12,1),0)))))))),0)</f>
        <v/>
      </c>
      <c r="O48" s="14">
        <f>IFERROR(IF(I48="LeaseUp",H48*D48*(1+GrowthMarketRent)^1*IF(1=0,(12-DowntimeNew)/12,1),IF(F48="",0,IF(F48&gt;=DATE(2027+1,4,30),G48*D48*(1+EscalatorInLease)^(1+M48),IF(F48&lt;DATE(2026+1,5,1),IF(I48="Vacate",H48*D48*(1+GrowthMarketRent)^1*IF(INT((DATE(2026+1,10,31)-F48)/365.25)=0,(12-DowntimeNew)/12,1),IF(I48="Option",G48*D48*1.025*(1+EscalatorInLease)^1,IF(I48="Market",Retention*G48*D48*(1+EscalatorInLease)^(1+M48)+(1-Retention)*H48*D48*(1+GrowthMarketRent)^1*IF(INT((DATE(2026+1,10,31)-F48)/365.25)=0,(12-DowntimeNew)/12,1),IF(I48="LeaseUp",H48*D48*(1+GrowthMarketRent)^1*IF(1=0,(12-DowntimeNew)/12,1),0)))),((F48-DATE(2026+1,5,1))/365.25)*G48*D48*(1+EscalatorInLease)^(1+M48)+((DATE(2027+1,4,30)-F48)/365.25)*IF(I48="Vacate",H48*D48*(1+GrowthMarketRent)^1*IF(INT((DATE(2026+1,10,31)-F48)/365.25)=0,(12-DowntimeNew)/12,1),IF(I48="Option",G48*D48*1.025*(1+EscalatorInLease)^1,IF(I48="Market",Retention*G48*D48*(1+EscalatorInLease)^(1+M48)+(1-Retention)*H48*D48*(1+GrowthMarketRent)^1*IF(INT((DATE(2026+1,10,31)-F48)/365.25)=0,(12-DowntimeNew)/12,1),IF(I48="LeaseUp",H48*D48*(1+GrowthMarketRent)^1*IF(1=0,(12-DowntimeNew)/12,1),0)))))))),0)</f>
        <v/>
      </c>
      <c r="P48" s="14">
        <f>IFERROR(IF(I48="LeaseUp",H48*D48*(1+GrowthMarketRent)^2*IF(2=0,(12-DowntimeNew)/12,1),IF(F48="",0,IF(F48&gt;=DATE(2027+2,4,30),G48*D48*(1+EscalatorInLease)^(2+M48),IF(F48&lt;DATE(2026+2,5,1),IF(I48="Vacate",H48*D48*(1+GrowthMarketRent)^2*IF(INT((DATE(2026+2,10,31)-F48)/365.25)=0,(12-DowntimeNew)/12,1),IF(I48="Option",G48*D48*1.025*(1+EscalatorInLease)^2,IF(I48="Market",Retention*G48*D48*(1+EscalatorInLease)^(2+M48)+(1-Retention)*H48*D48*(1+GrowthMarketRent)^2*IF(INT((DATE(2026+2,10,31)-F48)/365.25)=0,(12-DowntimeNew)/12,1),IF(I48="LeaseUp",H48*D48*(1+GrowthMarketRent)^2*IF(2=0,(12-DowntimeNew)/12,1),0)))),((F48-DATE(2026+2,5,1))/365.25)*G48*D48*(1+EscalatorInLease)^(2+M48)+((DATE(2027+2,4,30)-F48)/365.25)*IF(I48="Vacate",H48*D48*(1+GrowthMarketRent)^2*IF(INT((DATE(2026+2,10,31)-F48)/365.25)=0,(12-DowntimeNew)/12,1),IF(I48="Option",G48*D48*1.025*(1+EscalatorInLease)^2,IF(I48="Market",Retention*G48*D48*(1+EscalatorInLease)^(2+M48)+(1-Retention)*H48*D48*(1+GrowthMarketRent)^2*IF(INT((DATE(2026+2,10,31)-F48)/365.25)=0,(12-DowntimeNew)/12,1),IF(I48="LeaseUp",H48*D48*(1+GrowthMarketRent)^2*IF(2=0,(12-DowntimeNew)/12,1),0)))))))),0)</f>
        <v/>
      </c>
      <c r="Q48" s="14">
        <f>IFERROR(IF(I48="LeaseUp",H48*D48*(1+GrowthMarketRent)^3*IF(3=0,(12-DowntimeNew)/12,1),IF(F48="",0,IF(F48&gt;=DATE(2027+3,4,30),G48*D48*(1+EscalatorInLease)^(3+M48),IF(F48&lt;DATE(2026+3,5,1),IF(I48="Vacate",H48*D48*(1+GrowthMarketRent)^3*IF(INT((DATE(2026+3,10,31)-F48)/365.25)=0,(12-DowntimeNew)/12,1),IF(I48="Option",G48*D48*1.025*(1+EscalatorInLease)^3,IF(I48="Market",Retention*G48*D48*(1+EscalatorInLease)^(3+M48)+(1-Retention)*H48*D48*(1+GrowthMarketRent)^3*IF(INT((DATE(2026+3,10,31)-F48)/365.25)=0,(12-DowntimeNew)/12,1),IF(I48="LeaseUp",H48*D48*(1+GrowthMarketRent)^3*IF(3=0,(12-DowntimeNew)/12,1),0)))),((F48-DATE(2026+3,5,1))/365.25)*G48*D48*(1+EscalatorInLease)^(3+M48)+((DATE(2027+3,4,30)-F48)/365.25)*IF(I48="Vacate",H48*D48*(1+GrowthMarketRent)^3*IF(INT((DATE(2026+3,10,31)-F48)/365.25)=0,(12-DowntimeNew)/12,1),IF(I48="Option",G48*D48*1.025*(1+EscalatorInLease)^3,IF(I48="Market",Retention*G48*D48*(1+EscalatorInLease)^(3+M48)+(1-Retention)*H48*D48*(1+GrowthMarketRent)^3*IF(INT((DATE(2026+3,10,31)-F48)/365.25)=0,(12-DowntimeNew)/12,1),IF(I48="LeaseUp",H48*D48*(1+GrowthMarketRent)^3*IF(3=0,(12-DowntimeNew)/12,1),0)))))))),0)</f>
        <v/>
      </c>
      <c r="R48" s="14">
        <f>IFERROR(IF(I48="LeaseUp",H48*D48*(1+GrowthMarketRent)^4*IF(4=0,(12-DowntimeNew)/12,1),IF(F48="",0,IF(F48&gt;=DATE(2027+4,4,30),G48*D48*(1+EscalatorInLease)^(4+M48),IF(F48&lt;DATE(2026+4,5,1),IF(I48="Vacate",H48*D48*(1+GrowthMarketRent)^4*IF(INT((DATE(2026+4,10,31)-F48)/365.25)=0,(12-DowntimeNew)/12,1),IF(I48="Option",G48*D48*1.025*(1+EscalatorInLease)^4,IF(I48="Market",Retention*G48*D48*(1+EscalatorInLease)^(4+M48)+(1-Retention)*H48*D48*(1+GrowthMarketRent)^4*IF(INT((DATE(2026+4,10,31)-F48)/365.25)=0,(12-DowntimeNew)/12,1),IF(I48="LeaseUp",H48*D48*(1+GrowthMarketRent)^4*IF(4=0,(12-DowntimeNew)/12,1),0)))),((F48-DATE(2026+4,5,1))/365.25)*G48*D48*(1+EscalatorInLease)^(4+M48)+((DATE(2027+4,4,30)-F48)/365.25)*IF(I48="Vacate",H48*D48*(1+GrowthMarketRent)^4*IF(INT((DATE(2026+4,10,31)-F48)/365.25)=0,(12-DowntimeNew)/12,1),IF(I48="Option",G48*D48*1.025*(1+EscalatorInLease)^4,IF(I48="Market",Retention*G48*D48*(1+EscalatorInLease)^(4+M48)+(1-Retention)*H48*D48*(1+GrowthMarketRent)^4*IF(INT((DATE(2026+4,10,31)-F48)/365.25)=0,(12-DowntimeNew)/12,1),IF(I48="LeaseUp",H48*D48*(1+GrowthMarketRent)^4*IF(4=0,(12-DowntimeNew)/12,1),0)))))))),0)</f>
        <v/>
      </c>
      <c r="S48" s="14">
        <f>IFERROR(IF(I48="LeaseUp",H48*D48*(1+GrowthMarketRent)^5*IF(5=0,(12-DowntimeNew)/12,1),IF(F48="",0,IF(F48&gt;=DATE(2027+5,4,30),G48*D48*(1+EscalatorInLease)^(5+M48),IF(F48&lt;DATE(2026+5,5,1),IF(I48="Vacate",H48*D48*(1+GrowthMarketRent)^5*IF(INT((DATE(2026+5,10,31)-F48)/365.25)=0,(12-DowntimeNew)/12,1),IF(I48="Option",G48*D48*1.025*(1+EscalatorInLease)^5,IF(I48="Market",Retention*G48*D48*(1+EscalatorInLease)^(5+M48)+(1-Retention)*H48*D48*(1+GrowthMarketRent)^5*IF(INT((DATE(2026+5,10,31)-F48)/365.25)=0,(12-DowntimeNew)/12,1),IF(I48="LeaseUp",H48*D48*(1+GrowthMarketRent)^5*IF(5=0,(12-DowntimeNew)/12,1),0)))),((F48-DATE(2026+5,5,1))/365.25)*G48*D48*(1+EscalatorInLease)^(5+M48)+((DATE(2027+5,4,30)-F48)/365.25)*IF(I48="Vacate",H48*D48*(1+GrowthMarketRent)^5*IF(INT((DATE(2026+5,10,31)-F48)/365.25)=0,(12-DowntimeNew)/12,1),IF(I48="Option",G48*D48*1.025*(1+EscalatorInLease)^5,IF(I48="Market",Retention*G48*D48*(1+EscalatorInLease)^(5+M48)+(1-Retention)*H48*D48*(1+GrowthMarketRent)^5*IF(INT((DATE(2026+5,10,31)-F48)/365.25)=0,(12-DowntimeNew)/12,1),IF(I48="LeaseUp",H48*D48*(1+GrowthMarketRent)^5*IF(5=0,(12-DowntimeNew)/12,1),0)))))))),0)</f>
        <v/>
      </c>
      <c r="T48" s="14">
        <f>IFERROR(IF(I48="LeaseUp",H48*D48*(1+GrowthMarketRent)^6*IF(6=0,(12-DowntimeNew)/12,1),IF(F48="",0,IF(F48&gt;=DATE(2027+6,4,30),G48*D48*(1+EscalatorInLease)^(6+M48),IF(F48&lt;DATE(2026+6,5,1),IF(I48="Vacate",H48*D48*(1+GrowthMarketRent)^6*IF(INT((DATE(2026+6,10,31)-F48)/365.25)=0,(12-DowntimeNew)/12,1),IF(I48="Option",G48*D48*1.025*(1+EscalatorInLease)^6,IF(I48="Market",Retention*G48*D48*(1+EscalatorInLease)^(6+M48)+(1-Retention)*H48*D48*(1+GrowthMarketRent)^6*IF(INT((DATE(2026+6,10,31)-F48)/365.25)=0,(12-DowntimeNew)/12,1),IF(I48="LeaseUp",H48*D48*(1+GrowthMarketRent)^6*IF(6=0,(12-DowntimeNew)/12,1),0)))),((F48-DATE(2026+6,5,1))/365.25)*G48*D48*(1+EscalatorInLease)^(6+M48)+((DATE(2027+6,4,30)-F48)/365.25)*IF(I48="Vacate",H48*D48*(1+GrowthMarketRent)^6*IF(INT((DATE(2026+6,10,31)-F48)/365.25)=0,(12-DowntimeNew)/12,1),IF(I48="Option",G48*D48*1.025*(1+EscalatorInLease)^6,IF(I48="Market",Retention*G48*D48*(1+EscalatorInLease)^(6+M48)+(1-Retention)*H48*D48*(1+GrowthMarketRent)^6*IF(INT((DATE(2026+6,10,31)-F48)/365.25)=0,(12-DowntimeNew)/12,1),IF(I48="LeaseUp",H48*D48*(1+GrowthMarketRent)^6*IF(6=0,(12-DowntimeNew)/12,1),0)))))))),0)</f>
        <v/>
      </c>
      <c r="U48" s="14">
        <f>IFERROR(IF(I48="LeaseUp",H48*D48*(1+GrowthMarketRent)^7*IF(7=0,(12-DowntimeNew)/12,1),IF(F48="",0,IF(F48&gt;=DATE(2027+7,4,30),G48*D48*(1+EscalatorInLease)^(7+M48),IF(F48&lt;DATE(2026+7,5,1),IF(I48="Vacate",H48*D48*(1+GrowthMarketRent)^7*IF(INT((DATE(2026+7,10,31)-F48)/365.25)=0,(12-DowntimeNew)/12,1),IF(I48="Option",G48*D48*1.025*(1+EscalatorInLease)^7,IF(I48="Market",Retention*G48*D48*(1+EscalatorInLease)^(7+M48)+(1-Retention)*H48*D48*(1+GrowthMarketRent)^7*IF(INT((DATE(2026+7,10,31)-F48)/365.25)=0,(12-DowntimeNew)/12,1),IF(I48="LeaseUp",H48*D48*(1+GrowthMarketRent)^7*IF(7=0,(12-DowntimeNew)/12,1),0)))),((F48-DATE(2026+7,5,1))/365.25)*G48*D48*(1+EscalatorInLease)^(7+M48)+((DATE(2027+7,4,30)-F48)/365.25)*IF(I48="Vacate",H48*D48*(1+GrowthMarketRent)^7*IF(INT((DATE(2026+7,10,31)-F48)/365.25)=0,(12-DowntimeNew)/12,1),IF(I48="Option",G48*D48*1.025*(1+EscalatorInLease)^7,IF(I48="Market",Retention*G48*D48*(1+EscalatorInLease)^(7+M48)+(1-Retention)*H48*D48*(1+GrowthMarketRent)^7*IF(INT((DATE(2026+7,10,31)-F48)/365.25)=0,(12-DowntimeNew)/12,1),IF(I48="LeaseUp",H48*D48*(1+GrowthMarketRent)^7*IF(7=0,(12-DowntimeNew)/12,1),0)))))))),0)</f>
        <v/>
      </c>
      <c r="V48" s="14">
        <f>IFERROR(IF(I48="LeaseUp",H48*D48*(1+GrowthMarketRent)^8*IF(8=0,(12-DowntimeNew)/12,1),IF(F48="",0,IF(F48&gt;=DATE(2027+8,4,30),G48*D48*(1+EscalatorInLease)^(8+M48),IF(F48&lt;DATE(2026+8,5,1),IF(I48="Vacate",H48*D48*(1+GrowthMarketRent)^8*IF(INT((DATE(2026+8,10,31)-F48)/365.25)=0,(12-DowntimeNew)/12,1),IF(I48="Option",G48*D48*1.025*(1+EscalatorInLease)^8,IF(I48="Market",Retention*G48*D48*(1+EscalatorInLease)^(8+M48)+(1-Retention)*H48*D48*(1+GrowthMarketRent)^8*IF(INT((DATE(2026+8,10,31)-F48)/365.25)=0,(12-DowntimeNew)/12,1),IF(I48="LeaseUp",H48*D48*(1+GrowthMarketRent)^8*IF(8=0,(12-DowntimeNew)/12,1),0)))),((F48-DATE(2026+8,5,1))/365.25)*G48*D48*(1+EscalatorInLease)^(8+M48)+((DATE(2027+8,4,30)-F48)/365.25)*IF(I48="Vacate",H48*D48*(1+GrowthMarketRent)^8*IF(INT((DATE(2026+8,10,31)-F48)/365.25)=0,(12-DowntimeNew)/12,1),IF(I48="Option",G48*D48*1.025*(1+EscalatorInLease)^8,IF(I48="Market",Retention*G48*D48*(1+EscalatorInLease)^(8+M48)+(1-Retention)*H48*D48*(1+GrowthMarketRent)^8*IF(INT((DATE(2026+8,10,31)-F48)/365.25)=0,(12-DowntimeNew)/12,1),IF(I48="LeaseUp",H48*D48*(1+GrowthMarketRent)^8*IF(8=0,(12-DowntimeNew)/12,1),0)))))))),0)</f>
        <v/>
      </c>
      <c r="W48" s="14">
        <f>IFERROR(IF(I48="LeaseUp",H48*D48*(1+GrowthMarketRent)^9*IF(9=0,(12-DowntimeNew)/12,1),IF(F48="",0,IF(F48&gt;=DATE(2027+9,4,30),G48*D48*(1+EscalatorInLease)^(9+M48),IF(F48&lt;DATE(2026+9,5,1),IF(I48="Vacate",H48*D48*(1+GrowthMarketRent)^9*IF(INT((DATE(2026+9,10,31)-F48)/365.25)=0,(12-DowntimeNew)/12,1),IF(I48="Option",G48*D48*1.025*(1+EscalatorInLease)^9,IF(I48="Market",Retention*G48*D48*(1+EscalatorInLease)^(9+M48)+(1-Retention)*H48*D48*(1+GrowthMarketRent)^9*IF(INT((DATE(2026+9,10,31)-F48)/365.25)=0,(12-DowntimeNew)/12,1),IF(I48="LeaseUp",H48*D48*(1+GrowthMarketRent)^9*IF(9=0,(12-DowntimeNew)/12,1),0)))),((F48-DATE(2026+9,5,1))/365.25)*G48*D48*(1+EscalatorInLease)^(9+M48)+((DATE(2027+9,4,30)-F48)/365.25)*IF(I48="Vacate",H48*D48*(1+GrowthMarketRent)^9*IF(INT((DATE(2026+9,10,31)-F48)/365.25)=0,(12-DowntimeNew)/12,1),IF(I48="Option",G48*D48*1.025*(1+EscalatorInLease)^9,IF(I48="Market",Retention*G48*D48*(1+EscalatorInLease)^(9+M48)+(1-Retention)*H48*D48*(1+GrowthMarketRent)^9*IF(INT((DATE(2026+9,10,31)-F48)/365.25)=0,(12-DowntimeNew)/12,1),IF(I48="LeaseUp",H48*D48*(1+GrowthMarketRent)^9*IF(9=0,(12-DowntimeNew)/12,1),0)))))))),0)</f>
        <v/>
      </c>
      <c r="X48" s="14">
        <f>IFERROR(IF(I48="LeaseUp",H48*D48*(1+GrowthMarketRent)^10*IF(10=0,(12-DowntimeNew)/12,1),IF(F48="",0,IF(F48&gt;=DATE(2027+10,4,30),G48*D48*(1+EscalatorInLease)^(10+M48),IF(F48&lt;DATE(2026+10,5,1),IF(I48="Vacate",H48*D48*(1+GrowthMarketRent)^10*IF(INT((DATE(2026+10,10,31)-F48)/365.25)=0,(12-DowntimeNew)/12,1),IF(I48="Option",G48*D48*1.025*(1+EscalatorInLease)^10,IF(I48="Market",Retention*G48*D48*(1+EscalatorInLease)^(10+M48)+(1-Retention)*H48*D48*(1+GrowthMarketRent)^10*IF(INT((DATE(2026+10,10,31)-F48)/365.25)=0,(12-DowntimeNew)/12,1),IF(I48="LeaseUp",H48*D48*(1+GrowthMarketRent)^10*IF(10=0,(12-DowntimeNew)/12,1),0)))),((F48-DATE(2026+10,5,1))/365.25)*G48*D48*(1+EscalatorInLease)^(10+M48)+((DATE(2027+10,4,30)-F48)/365.25)*IF(I48="Vacate",H48*D48*(1+GrowthMarketRent)^10*IF(INT((DATE(2026+10,10,31)-F48)/365.25)=0,(12-DowntimeNew)/12,1),IF(I48="Option",G48*D48*1.025*(1+EscalatorInLease)^10,IF(I48="Market",Retention*G48*D48*(1+EscalatorInLease)^(10+M48)+(1-Retention)*H48*D48*(1+GrowthMarketRent)^10*IF(INT((DATE(2026+10,10,31)-F48)/365.25)=0,(12-DowntimeNew)/12,1),IF(I48="LeaseUp",H48*D48*(1+GrowthMarketRent)^10*IF(10=0,(12-DowntimeNew)/12,1),0)))))))),0)</f>
        <v/>
      </c>
      <c r="Y48" s="14">
        <f>IFERROR(IF(AND(I48="LeaseUp",0=0),(IF(I48="Vacate",TINew*D48,IF(I48="Market",Retention*TIRenewal*D48+(1-Retention)*TINew*D48,IF(I48="LeaseUp",TINew*D48,IF(I48="Option",TIRenewal*D48,0)))))+(IF(I48="Vacate",LCNew*H48*D48*(1+GrowthMarketRent)^0,IF(I48="Market",Retention*LCRenewal*H48*D48*(1+GrowthMarketRent)^0+(1-Retention)*LCNew*H48*D48*(1+GrowthMarketRent)^0,IF(I48="LeaseUp",LCNew*H48*D48*(1+GrowthMarketRent)^0,IF(I48="Option",LCRenewal*H48*D48*(1+GrowthMarketRent)^0,0))))),IF(F48="",0,IF(AND(F48&gt;=DATE(2026+0,5,1),F48&lt;=DATE(2027+0,4,30)),(IF(I48="Vacate",TINew*D48,IF(I48="Market",Retention*TIRenewal*D48+(1-Retention)*TINew*D48,IF(I48="LeaseUp",TINew*D48,IF(I48="Option",TIRenewal*D48,0)))))+(IF(I48="Vacate",LCNew*H48*D48*(1+GrowthMarketRent)^0,IF(I48="Market",Retention*LCRenewal*H48*D48*(1+GrowthMarketRent)^0+(1-Retention)*LCNew*H48*D48*(1+GrowthMarketRent)^0,IF(I48="LeaseUp",LCNew*H48*D48*(1+GrowthMarketRent)^0,IF(I48="Option",LCRenewal*H48*D48*(1+GrowthMarketRent)^0,0))))),0))),0)</f>
        <v/>
      </c>
      <c r="Z48" s="14">
        <f>IFERROR(IF(AND(I48="LeaseUp",1=0),(IF(I48="Vacate",TINew*D48,IF(I48="Market",Retention*TIRenewal*D48+(1-Retention)*TINew*D48,IF(I48="LeaseUp",TINew*D48,IF(I48="Option",TIRenewal*D48,0)))))+(IF(I48="Vacate",LCNew*H48*D48*(1+GrowthMarketRent)^1,IF(I48="Market",Retention*LCRenewal*H48*D48*(1+GrowthMarketRent)^1+(1-Retention)*LCNew*H48*D48*(1+GrowthMarketRent)^1,IF(I48="LeaseUp",LCNew*H48*D48*(1+GrowthMarketRent)^1,IF(I48="Option",LCRenewal*H48*D48*(1+GrowthMarketRent)^1,0))))),IF(F48="",0,IF(AND(F48&gt;=DATE(2026+1,5,1),F48&lt;=DATE(2027+1,4,30)),(IF(I48="Vacate",TINew*D48,IF(I48="Market",Retention*TIRenewal*D48+(1-Retention)*TINew*D48,IF(I48="LeaseUp",TINew*D48,IF(I48="Option",TIRenewal*D48,0)))))+(IF(I48="Vacate",LCNew*H48*D48*(1+GrowthMarketRent)^1,IF(I48="Market",Retention*LCRenewal*H48*D48*(1+GrowthMarketRent)^1+(1-Retention)*LCNew*H48*D48*(1+GrowthMarketRent)^1,IF(I48="LeaseUp",LCNew*H48*D48*(1+GrowthMarketRent)^1,IF(I48="Option",LCRenewal*H48*D48*(1+GrowthMarketRent)^1,0))))),0))),0)</f>
        <v/>
      </c>
      <c r="AA48" s="14">
        <f>IFERROR(IF(AND(I48="LeaseUp",2=0),(IF(I48="Vacate",TINew*D48,IF(I48="Market",Retention*TIRenewal*D48+(1-Retention)*TINew*D48,IF(I48="LeaseUp",TINew*D48,IF(I48="Option",TIRenewal*D48,0)))))+(IF(I48="Vacate",LCNew*H48*D48*(1+GrowthMarketRent)^2,IF(I48="Market",Retention*LCRenewal*H48*D48*(1+GrowthMarketRent)^2+(1-Retention)*LCNew*H48*D48*(1+GrowthMarketRent)^2,IF(I48="LeaseUp",LCNew*H48*D48*(1+GrowthMarketRent)^2,IF(I48="Option",LCRenewal*H48*D48*(1+GrowthMarketRent)^2,0))))),IF(F48="",0,IF(AND(F48&gt;=DATE(2026+2,5,1),F48&lt;=DATE(2027+2,4,30)),(IF(I48="Vacate",TINew*D48,IF(I48="Market",Retention*TIRenewal*D48+(1-Retention)*TINew*D48,IF(I48="LeaseUp",TINew*D48,IF(I48="Option",TIRenewal*D48,0)))))+(IF(I48="Vacate",LCNew*H48*D48*(1+GrowthMarketRent)^2,IF(I48="Market",Retention*LCRenewal*H48*D48*(1+GrowthMarketRent)^2+(1-Retention)*LCNew*H48*D48*(1+GrowthMarketRent)^2,IF(I48="LeaseUp",LCNew*H48*D48*(1+GrowthMarketRent)^2,IF(I48="Option",LCRenewal*H48*D48*(1+GrowthMarketRent)^2,0))))),0))),0)</f>
        <v/>
      </c>
      <c r="AB48" s="14">
        <f>IFERROR(IF(AND(I48="LeaseUp",3=0),(IF(I48="Vacate",TINew*D48,IF(I48="Market",Retention*TIRenewal*D48+(1-Retention)*TINew*D48,IF(I48="LeaseUp",TINew*D48,IF(I48="Option",TIRenewal*D48,0)))))+(IF(I48="Vacate",LCNew*H48*D48*(1+GrowthMarketRent)^3,IF(I48="Market",Retention*LCRenewal*H48*D48*(1+GrowthMarketRent)^3+(1-Retention)*LCNew*H48*D48*(1+GrowthMarketRent)^3,IF(I48="LeaseUp",LCNew*H48*D48*(1+GrowthMarketRent)^3,IF(I48="Option",LCRenewal*H48*D48*(1+GrowthMarketRent)^3,0))))),IF(F48="",0,IF(AND(F48&gt;=DATE(2026+3,5,1),F48&lt;=DATE(2027+3,4,30)),(IF(I48="Vacate",TINew*D48,IF(I48="Market",Retention*TIRenewal*D48+(1-Retention)*TINew*D48,IF(I48="LeaseUp",TINew*D48,IF(I48="Option",TIRenewal*D48,0)))))+(IF(I48="Vacate",LCNew*H48*D48*(1+GrowthMarketRent)^3,IF(I48="Market",Retention*LCRenewal*H48*D48*(1+GrowthMarketRent)^3+(1-Retention)*LCNew*H48*D48*(1+GrowthMarketRent)^3,IF(I48="LeaseUp",LCNew*H48*D48*(1+GrowthMarketRent)^3,IF(I48="Option",LCRenewal*H48*D48*(1+GrowthMarketRent)^3,0))))),0))),0)</f>
        <v/>
      </c>
      <c r="AC48" s="14">
        <f>IFERROR(IF(AND(I48="LeaseUp",4=0),(IF(I48="Vacate",TINew*D48,IF(I48="Market",Retention*TIRenewal*D48+(1-Retention)*TINew*D48,IF(I48="LeaseUp",TINew*D48,IF(I48="Option",TIRenewal*D48,0)))))+(IF(I48="Vacate",LCNew*H48*D48*(1+GrowthMarketRent)^4,IF(I48="Market",Retention*LCRenewal*H48*D48*(1+GrowthMarketRent)^4+(1-Retention)*LCNew*H48*D48*(1+GrowthMarketRent)^4,IF(I48="LeaseUp",LCNew*H48*D48*(1+GrowthMarketRent)^4,IF(I48="Option",LCRenewal*H48*D48*(1+GrowthMarketRent)^4,0))))),IF(F48="",0,IF(AND(F48&gt;=DATE(2026+4,5,1),F48&lt;=DATE(2027+4,4,30)),(IF(I48="Vacate",TINew*D48,IF(I48="Market",Retention*TIRenewal*D48+(1-Retention)*TINew*D48,IF(I48="LeaseUp",TINew*D48,IF(I48="Option",TIRenewal*D48,0)))))+(IF(I48="Vacate",LCNew*H48*D48*(1+GrowthMarketRent)^4,IF(I48="Market",Retention*LCRenewal*H48*D48*(1+GrowthMarketRent)^4+(1-Retention)*LCNew*H48*D48*(1+GrowthMarketRent)^4,IF(I48="LeaseUp",LCNew*H48*D48*(1+GrowthMarketRent)^4,IF(I48="Option",LCRenewal*H48*D48*(1+GrowthMarketRent)^4,0))))),0))),0)</f>
        <v/>
      </c>
      <c r="AD48" s="14">
        <f>IFERROR(IF(AND(I48="LeaseUp",5=0),(IF(I48="Vacate",TINew*D48,IF(I48="Market",Retention*TIRenewal*D48+(1-Retention)*TINew*D48,IF(I48="LeaseUp",TINew*D48,IF(I48="Option",TIRenewal*D48,0)))))+(IF(I48="Vacate",LCNew*H48*D48*(1+GrowthMarketRent)^5,IF(I48="Market",Retention*LCRenewal*H48*D48*(1+GrowthMarketRent)^5+(1-Retention)*LCNew*H48*D48*(1+GrowthMarketRent)^5,IF(I48="LeaseUp",LCNew*H48*D48*(1+GrowthMarketRent)^5,IF(I48="Option",LCRenewal*H48*D48*(1+GrowthMarketRent)^5,0))))),IF(F48="",0,IF(AND(F48&gt;=DATE(2026+5,5,1),F48&lt;=DATE(2027+5,4,30)),(IF(I48="Vacate",TINew*D48,IF(I48="Market",Retention*TIRenewal*D48+(1-Retention)*TINew*D48,IF(I48="LeaseUp",TINew*D48,IF(I48="Option",TIRenewal*D48,0)))))+(IF(I48="Vacate",LCNew*H48*D48*(1+GrowthMarketRent)^5,IF(I48="Market",Retention*LCRenewal*H48*D48*(1+GrowthMarketRent)^5+(1-Retention)*LCNew*H48*D48*(1+GrowthMarketRent)^5,IF(I48="LeaseUp",LCNew*H48*D48*(1+GrowthMarketRent)^5,IF(I48="Option",LCRenewal*H48*D48*(1+GrowthMarketRent)^5,0))))),0))),0)</f>
        <v/>
      </c>
      <c r="AE48" s="14">
        <f>IFERROR(IF(AND(I48="LeaseUp",6=0),(IF(I48="Vacate",TINew*D48,IF(I48="Market",Retention*TIRenewal*D48+(1-Retention)*TINew*D48,IF(I48="LeaseUp",TINew*D48,IF(I48="Option",TIRenewal*D48,0)))))+(IF(I48="Vacate",LCNew*H48*D48*(1+GrowthMarketRent)^6,IF(I48="Market",Retention*LCRenewal*H48*D48*(1+GrowthMarketRent)^6+(1-Retention)*LCNew*H48*D48*(1+GrowthMarketRent)^6,IF(I48="LeaseUp",LCNew*H48*D48*(1+GrowthMarketRent)^6,IF(I48="Option",LCRenewal*H48*D48*(1+GrowthMarketRent)^6,0))))),IF(F48="",0,IF(AND(F48&gt;=DATE(2026+6,5,1),F48&lt;=DATE(2027+6,4,30)),(IF(I48="Vacate",TINew*D48,IF(I48="Market",Retention*TIRenewal*D48+(1-Retention)*TINew*D48,IF(I48="LeaseUp",TINew*D48,IF(I48="Option",TIRenewal*D48,0)))))+(IF(I48="Vacate",LCNew*H48*D48*(1+GrowthMarketRent)^6,IF(I48="Market",Retention*LCRenewal*H48*D48*(1+GrowthMarketRent)^6+(1-Retention)*LCNew*H48*D48*(1+GrowthMarketRent)^6,IF(I48="LeaseUp",LCNew*H48*D48*(1+GrowthMarketRent)^6,IF(I48="Option",LCRenewal*H48*D48*(1+GrowthMarketRent)^6,0))))),0))),0)</f>
        <v/>
      </c>
      <c r="AF48" s="14">
        <f>IFERROR(IF(AND(I48="LeaseUp",7=0),(IF(I48="Vacate",TINew*D48,IF(I48="Market",Retention*TIRenewal*D48+(1-Retention)*TINew*D48,IF(I48="LeaseUp",TINew*D48,IF(I48="Option",TIRenewal*D48,0)))))+(IF(I48="Vacate",LCNew*H48*D48*(1+GrowthMarketRent)^7,IF(I48="Market",Retention*LCRenewal*H48*D48*(1+GrowthMarketRent)^7+(1-Retention)*LCNew*H48*D48*(1+GrowthMarketRent)^7,IF(I48="LeaseUp",LCNew*H48*D48*(1+GrowthMarketRent)^7,IF(I48="Option",LCRenewal*H48*D48*(1+GrowthMarketRent)^7,0))))),IF(F48="",0,IF(AND(F48&gt;=DATE(2026+7,5,1),F48&lt;=DATE(2027+7,4,30)),(IF(I48="Vacate",TINew*D48,IF(I48="Market",Retention*TIRenewal*D48+(1-Retention)*TINew*D48,IF(I48="LeaseUp",TINew*D48,IF(I48="Option",TIRenewal*D48,0)))))+(IF(I48="Vacate",LCNew*H48*D48*(1+GrowthMarketRent)^7,IF(I48="Market",Retention*LCRenewal*H48*D48*(1+GrowthMarketRent)^7+(1-Retention)*LCNew*H48*D48*(1+GrowthMarketRent)^7,IF(I48="LeaseUp",LCNew*H48*D48*(1+GrowthMarketRent)^7,IF(I48="Option",LCRenewal*H48*D48*(1+GrowthMarketRent)^7,0))))),0))),0)</f>
        <v/>
      </c>
      <c r="AG48" s="14">
        <f>IFERROR(IF(AND(I48="LeaseUp",8=0),(IF(I48="Vacate",TINew*D48,IF(I48="Market",Retention*TIRenewal*D48+(1-Retention)*TINew*D48,IF(I48="LeaseUp",TINew*D48,IF(I48="Option",TIRenewal*D48,0)))))+(IF(I48="Vacate",LCNew*H48*D48*(1+GrowthMarketRent)^8,IF(I48="Market",Retention*LCRenewal*H48*D48*(1+GrowthMarketRent)^8+(1-Retention)*LCNew*H48*D48*(1+GrowthMarketRent)^8,IF(I48="LeaseUp",LCNew*H48*D48*(1+GrowthMarketRent)^8,IF(I48="Option",LCRenewal*H48*D48*(1+GrowthMarketRent)^8,0))))),IF(F48="",0,IF(AND(F48&gt;=DATE(2026+8,5,1),F48&lt;=DATE(2027+8,4,30)),(IF(I48="Vacate",TINew*D48,IF(I48="Market",Retention*TIRenewal*D48+(1-Retention)*TINew*D48,IF(I48="LeaseUp",TINew*D48,IF(I48="Option",TIRenewal*D48,0)))))+(IF(I48="Vacate",LCNew*H48*D48*(1+GrowthMarketRent)^8,IF(I48="Market",Retention*LCRenewal*H48*D48*(1+GrowthMarketRent)^8+(1-Retention)*LCNew*H48*D48*(1+GrowthMarketRent)^8,IF(I48="LeaseUp",LCNew*H48*D48*(1+GrowthMarketRent)^8,IF(I48="Option",LCRenewal*H48*D48*(1+GrowthMarketRent)^8,0))))),0))),0)</f>
        <v/>
      </c>
      <c r="AH48" s="14">
        <f>IFERROR(IF(AND(I48="LeaseUp",9=0),(IF(I48="Vacate",TINew*D48,IF(I48="Market",Retention*TIRenewal*D48+(1-Retention)*TINew*D48,IF(I48="LeaseUp",TINew*D48,IF(I48="Option",TIRenewal*D48,0)))))+(IF(I48="Vacate",LCNew*H48*D48*(1+GrowthMarketRent)^9,IF(I48="Market",Retention*LCRenewal*H48*D48*(1+GrowthMarketRent)^9+(1-Retention)*LCNew*H48*D48*(1+GrowthMarketRent)^9,IF(I48="LeaseUp",LCNew*H48*D48*(1+GrowthMarketRent)^9,IF(I48="Option",LCRenewal*H48*D48*(1+GrowthMarketRent)^9,0))))),IF(F48="",0,IF(AND(F48&gt;=DATE(2026+9,5,1),F48&lt;=DATE(2027+9,4,30)),(IF(I48="Vacate",TINew*D48,IF(I48="Market",Retention*TIRenewal*D48+(1-Retention)*TINew*D48,IF(I48="LeaseUp",TINew*D48,IF(I48="Option",TIRenewal*D48,0)))))+(IF(I48="Vacate",LCNew*H48*D48*(1+GrowthMarketRent)^9,IF(I48="Market",Retention*LCRenewal*H48*D48*(1+GrowthMarketRent)^9+(1-Retention)*LCNew*H48*D48*(1+GrowthMarketRent)^9,IF(I48="LeaseUp",LCNew*H48*D48*(1+GrowthMarketRent)^9,IF(I48="Option",LCRenewal*H48*D48*(1+GrowthMarketRent)^9,0))))),0))),0)</f>
        <v/>
      </c>
      <c r="AI48" s="14">
        <f>IFERROR(IF(AND(I48="LeaseUp",10=0),(IF(I48="Vacate",TINew*D48,IF(I48="Market",Retention*TIRenewal*D48+(1-Retention)*TINew*D48,IF(I48="LeaseUp",TINew*D48,IF(I48="Option",TIRenewal*D48,0)))))+(IF(I48="Vacate",LCNew*H48*D48*(1+GrowthMarketRent)^10,IF(I48="Market",Retention*LCRenewal*H48*D48*(1+GrowthMarketRent)^10+(1-Retention)*LCNew*H48*D48*(1+GrowthMarketRent)^10,IF(I48="LeaseUp",LCNew*H48*D48*(1+GrowthMarketRent)^10,IF(I48="Option",LCRenewal*H48*D48*(1+GrowthMarketRent)^10,0))))),IF(F48="",0,IF(AND(F48&gt;=DATE(2026+10,5,1),F48&lt;=DATE(2027+10,4,30)),(IF(I48="Vacate",TINew*D48,IF(I48="Market",Retention*TIRenewal*D48+(1-Retention)*TINew*D48,IF(I48="LeaseUp",TINew*D48,IF(I48="Option",TIRenewal*D48,0)))))+(IF(I48="Vacate",LCNew*H48*D48*(1+GrowthMarketRent)^10,IF(I48="Market",Retention*LCRenewal*H48*D48*(1+GrowthMarketRent)^10+(1-Retention)*LCNew*H48*D48*(1+GrowthMarketRent)^10,IF(I48="LeaseUp",LCNew*H48*D48*(1+GrowthMarketRent)^10,IF(I48="Option",LCRenewal*H48*D48*(1+GrowthMarketRent)^10,0))))),0))),0)</f>
        <v/>
      </c>
    </row>
    <row r="49">
      <c r="A49" t="inlineStr">
        <is>
          <t>Frisco</t>
        </is>
      </c>
      <c r="B49" t="inlineStr">
        <is>
          <t>109</t>
        </is>
      </c>
      <c r="C49" t="inlineStr">
        <is>
          <t>Terrace Design Group LLC</t>
        </is>
      </c>
      <c r="D49" s="32" t="n">
        <v>2600</v>
      </c>
      <c r="E49" s="33" t="n">
        <v>45748</v>
      </c>
      <c r="F49" s="33" t="n">
        <v>46997</v>
      </c>
      <c r="G49" s="34" t="n">
        <v>17.425</v>
      </c>
      <c r="H49" s="16">
        <f>VLOOKUP(A49,MLA!$A$5:$L$11,3,FALSE)</f>
        <v/>
      </c>
      <c r="I49" s="11" t="inlineStr">
        <is>
          <t>Vacate</t>
        </is>
      </c>
      <c r="J49" t="inlineStr">
        <is>
          <t>Shop</t>
        </is>
      </c>
      <c r="K49" t="inlineStr">
        <is>
          <t>Occupied</t>
        </is>
      </c>
      <c r="L49" t="inlineStr">
        <is>
          <t>Assumed to vacate; Guarantor: Collin Jarrell</t>
        </is>
      </c>
      <c r="M49" s="20">
        <f>IF(E49="",0,(AnalysisStart-E49)/365.25)</f>
        <v/>
      </c>
      <c r="N49" s="14">
        <f>IFERROR(IF(I49="LeaseUp",H49*D49*(1+GrowthMarketRent)^0*IF(0=0,(12-DowntimeNew)/12,1),IF(F49="",0,IF(F49&gt;=DATE(2027+0,4,30),G49*D49*(1+EscalatorInLease)^(0+M49),IF(F49&lt;DATE(2026+0,5,1),IF(I49="Vacate",H49*D49*(1+GrowthMarketRent)^0*IF(INT((DATE(2026+0,10,31)-F49)/365.25)=0,(12-DowntimeNew)/12,1),IF(I49="Option",G49*D49*1.025*(1+EscalatorInLease)^0,IF(I49="Market",Retention*G49*D49*(1+EscalatorInLease)^(0+M49)+(1-Retention)*H49*D49*(1+GrowthMarketRent)^0*IF(INT((DATE(2026+0,10,31)-F49)/365.25)=0,(12-DowntimeNew)/12,1),IF(I49="LeaseUp",H49*D49*(1+GrowthMarketRent)^0*IF(0=0,(12-DowntimeNew)/12,1),0)))),((F49-DATE(2026+0,5,1))/365.25)*G49*D49*(1+EscalatorInLease)^(0+M49)+((DATE(2027+0,4,30)-F49)/365.25)*IF(I49="Vacate",H49*D49*(1+GrowthMarketRent)^0*IF(INT((DATE(2026+0,10,31)-F49)/365.25)=0,(12-DowntimeNew)/12,1),IF(I49="Option",G49*D49*1.025*(1+EscalatorInLease)^0,IF(I49="Market",Retention*G49*D49*(1+EscalatorInLease)^(0+M49)+(1-Retention)*H49*D49*(1+GrowthMarketRent)^0*IF(INT((DATE(2026+0,10,31)-F49)/365.25)=0,(12-DowntimeNew)/12,1),IF(I49="LeaseUp",H49*D49*(1+GrowthMarketRent)^0*IF(0=0,(12-DowntimeNew)/12,1),0)))))))),0)</f>
        <v/>
      </c>
      <c r="O49" s="14">
        <f>IFERROR(IF(I49="LeaseUp",H49*D49*(1+GrowthMarketRent)^1*IF(1=0,(12-DowntimeNew)/12,1),IF(F49="",0,IF(F49&gt;=DATE(2027+1,4,30),G49*D49*(1+EscalatorInLease)^(1+M49),IF(F49&lt;DATE(2026+1,5,1),IF(I49="Vacate",H49*D49*(1+GrowthMarketRent)^1*IF(INT((DATE(2026+1,10,31)-F49)/365.25)=0,(12-DowntimeNew)/12,1),IF(I49="Option",G49*D49*1.025*(1+EscalatorInLease)^1,IF(I49="Market",Retention*G49*D49*(1+EscalatorInLease)^(1+M49)+(1-Retention)*H49*D49*(1+GrowthMarketRent)^1*IF(INT((DATE(2026+1,10,31)-F49)/365.25)=0,(12-DowntimeNew)/12,1),IF(I49="LeaseUp",H49*D49*(1+GrowthMarketRent)^1*IF(1=0,(12-DowntimeNew)/12,1),0)))),((F49-DATE(2026+1,5,1))/365.25)*G49*D49*(1+EscalatorInLease)^(1+M49)+((DATE(2027+1,4,30)-F49)/365.25)*IF(I49="Vacate",H49*D49*(1+GrowthMarketRent)^1*IF(INT((DATE(2026+1,10,31)-F49)/365.25)=0,(12-DowntimeNew)/12,1),IF(I49="Option",G49*D49*1.025*(1+EscalatorInLease)^1,IF(I49="Market",Retention*G49*D49*(1+EscalatorInLease)^(1+M49)+(1-Retention)*H49*D49*(1+GrowthMarketRent)^1*IF(INT((DATE(2026+1,10,31)-F49)/365.25)=0,(12-DowntimeNew)/12,1),IF(I49="LeaseUp",H49*D49*(1+GrowthMarketRent)^1*IF(1=0,(12-DowntimeNew)/12,1),0)))))))),0)</f>
        <v/>
      </c>
      <c r="P49" s="14">
        <f>IFERROR(IF(I49="LeaseUp",H49*D49*(1+GrowthMarketRent)^2*IF(2=0,(12-DowntimeNew)/12,1),IF(F49="",0,IF(F49&gt;=DATE(2027+2,4,30),G49*D49*(1+EscalatorInLease)^(2+M49),IF(F49&lt;DATE(2026+2,5,1),IF(I49="Vacate",H49*D49*(1+GrowthMarketRent)^2*IF(INT((DATE(2026+2,10,31)-F49)/365.25)=0,(12-DowntimeNew)/12,1),IF(I49="Option",G49*D49*1.025*(1+EscalatorInLease)^2,IF(I49="Market",Retention*G49*D49*(1+EscalatorInLease)^(2+M49)+(1-Retention)*H49*D49*(1+GrowthMarketRent)^2*IF(INT((DATE(2026+2,10,31)-F49)/365.25)=0,(12-DowntimeNew)/12,1),IF(I49="LeaseUp",H49*D49*(1+GrowthMarketRent)^2*IF(2=0,(12-DowntimeNew)/12,1),0)))),((F49-DATE(2026+2,5,1))/365.25)*G49*D49*(1+EscalatorInLease)^(2+M49)+((DATE(2027+2,4,30)-F49)/365.25)*IF(I49="Vacate",H49*D49*(1+GrowthMarketRent)^2*IF(INT((DATE(2026+2,10,31)-F49)/365.25)=0,(12-DowntimeNew)/12,1),IF(I49="Option",G49*D49*1.025*(1+EscalatorInLease)^2,IF(I49="Market",Retention*G49*D49*(1+EscalatorInLease)^(2+M49)+(1-Retention)*H49*D49*(1+GrowthMarketRent)^2*IF(INT((DATE(2026+2,10,31)-F49)/365.25)=0,(12-DowntimeNew)/12,1),IF(I49="LeaseUp",H49*D49*(1+GrowthMarketRent)^2*IF(2=0,(12-DowntimeNew)/12,1),0)))))))),0)</f>
        <v/>
      </c>
      <c r="Q49" s="14">
        <f>IFERROR(IF(I49="LeaseUp",H49*D49*(1+GrowthMarketRent)^3*IF(3=0,(12-DowntimeNew)/12,1),IF(F49="",0,IF(F49&gt;=DATE(2027+3,4,30),G49*D49*(1+EscalatorInLease)^(3+M49),IF(F49&lt;DATE(2026+3,5,1),IF(I49="Vacate",H49*D49*(1+GrowthMarketRent)^3*IF(INT((DATE(2026+3,10,31)-F49)/365.25)=0,(12-DowntimeNew)/12,1),IF(I49="Option",G49*D49*1.025*(1+EscalatorInLease)^3,IF(I49="Market",Retention*G49*D49*(1+EscalatorInLease)^(3+M49)+(1-Retention)*H49*D49*(1+GrowthMarketRent)^3*IF(INT((DATE(2026+3,10,31)-F49)/365.25)=0,(12-DowntimeNew)/12,1),IF(I49="LeaseUp",H49*D49*(1+GrowthMarketRent)^3*IF(3=0,(12-DowntimeNew)/12,1),0)))),((F49-DATE(2026+3,5,1))/365.25)*G49*D49*(1+EscalatorInLease)^(3+M49)+((DATE(2027+3,4,30)-F49)/365.25)*IF(I49="Vacate",H49*D49*(1+GrowthMarketRent)^3*IF(INT((DATE(2026+3,10,31)-F49)/365.25)=0,(12-DowntimeNew)/12,1),IF(I49="Option",G49*D49*1.025*(1+EscalatorInLease)^3,IF(I49="Market",Retention*G49*D49*(1+EscalatorInLease)^(3+M49)+(1-Retention)*H49*D49*(1+GrowthMarketRent)^3*IF(INT((DATE(2026+3,10,31)-F49)/365.25)=0,(12-DowntimeNew)/12,1),IF(I49="LeaseUp",H49*D49*(1+GrowthMarketRent)^3*IF(3=0,(12-DowntimeNew)/12,1),0)))))))),0)</f>
        <v/>
      </c>
      <c r="R49" s="14">
        <f>IFERROR(IF(I49="LeaseUp",H49*D49*(1+GrowthMarketRent)^4*IF(4=0,(12-DowntimeNew)/12,1),IF(F49="",0,IF(F49&gt;=DATE(2027+4,4,30),G49*D49*(1+EscalatorInLease)^(4+M49),IF(F49&lt;DATE(2026+4,5,1),IF(I49="Vacate",H49*D49*(1+GrowthMarketRent)^4*IF(INT((DATE(2026+4,10,31)-F49)/365.25)=0,(12-DowntimeNew)/12,1),IF(I49="Option",G49*D49*1.025*(1+EscalatorInLease)^4,IF(I49="Market",Retention*G49*D49*(1+EscalatorInLease)^(4+M49)+(1-Retention)*H49*D49*(1+GrowthMarketRent)^4*IF(INT((DATE(2026+4,10,31)-F49)/365.25)=0,(12-DowntimeNew)/12,1),IF(I49="LeaseUp",H49*D49*(1+GrowthMarketRent)^4*IF(4=0,(12-DowntimeNew)/12,1),0)))),((F49-DATE(2026+4,5,1))/365.25)*G49*D49*(1+EscalatorInLease)^(4+M49)+((DATE(2027+4,4,30)-F49)/365.25)*IF(I49="Vacate",H49*D49*(1+GrowthMarketRent)^4*IF(INT((DATE(2026+4,10,31)-F49)/365.25)=0,(12-DowntimeNew)/12,1),IF(I49="Option",G49*D49*1.025*(1+EscalatorInLease)^4,IF(I49="Market",Retention*G49*D49*(1+EscalatorInLease)^(4+M49)+(1-Retention)*H49*D49*(1+GrowthMarketRent)^4*IF(INT((DATE(2026+4,10,31)-F49)/365.25)=0,(12-DowntimeNew)/12,1),IF(I49="LeaseUp",H49*D49*(1+GrowthMarketRent)^4*IF(4=0,(12-DowntimeNew)/12,1),0)))))))),0)</f>
        <v/>
      </c>
      <c r="S49" s="14">
        <f>IFERROR(IF(I49="LeaseUp",H49*D49*(1+GrowthMarketRent)^5*IF(5=0,(12-DowntimeNew)/12,1),IF(F49="",0,IF(F49&gt;=DATE(2027+5,4,30),G49*D49*(1+EscalatorInLease)^(5+M49),IF(F49&lt;DATE(2026+5,5,1),IF(I49="Vacate",H49*D49*(1+GrowthMarketRent)^5*IF(INT((DATE(2026+5,10,31)-F49)/365.25)=0,(12-DowntimeNew)/12,1),IF(I49="Option",G49*D49*1.025*(1+EscalatorInLease)^5,IF(I49="Market",Retention*G49*D49*(1+EscalatorInLease)^(5+M49)+(1-Retention)*H49*D49*(1+GrowthMarketRent)^5*IF(INT((DATE(2026+5,10,31)-F49)/365.25)=0,(12-DowntimeNew)/12,1),IF(I49="LeaseUp",H49*D49*(1+GrowthMarketRent)^5*IF(5=0,(12-DowntimeNew)/12,1),0)))),((F49-DATE(2026+5,5,1))/365.25)*G49*D49*(1+EscalatorInLease)^(5+M49)+((DATE(2027+5,4,30)-F49)/365.25)*IF(I49="Vacate",H49*D49*(1+GrowthMarketRent)^5*IF(INT((DATE(2026+5,10,31)-F49)/365.25)=0,(12-DowntimeNew)/12,1),IF(I49="Option",G49*D49*1.025*(1+EscalatorInLease)^5,IF(I49="Market",Retention*G49*D49*(1+EscalatorInLease)^(5+M49)+(1-Retention)*H49*D49*(1+GrowthMarketRent)^5*IF(INT((DATE(2026+5,10,31)-F49)/365.25)=0,(12-DowntimeNew)/12,1),IF(I49="LeaseUp",H49*D49*(1+GrowthMarketRent)^5*IF(5=0,(12-DowntimeNew)/12,1),0)))))))),0)</f>
        <v/>
      </c>
      <c r="T49" s="14">
        <f>IFERROR(IF(I49="LeaseUp",H49*D49*(1+GrowthMarketRent)^6*IF(6=0,(12-DowntimeNew)/12,1),IF(F49="",0,IF(F49&gt;=DATE(2027+6,4,30),G49*D49*(1+EscalatorInLease)^(6+M49),IF(F49&lt;DATE(2026+6,5,1),IF(I49="Vacate",H49*D49*(1+GrowthMarketRent)^6*IF(INT((DATE(2026+6,10,31)-F49)/365.25)=0,(12-DowntimeNew)/12,1),IF(I49="Option",G49*D49*1.025*(1+EscalatorInLease)^6,IF(I49="Market",Retention*G49*D49*(1+EscalatorInLease)^(6+M49)+(1-Retention)*H49*D49*(1+GrowthMarketRent)^6*IF(INT((DATE(2026+6,10,31)-F49)/365.25)=0,(12-DowntimeNew)/12,1),IF(I49="LeaseUp",H49*D49*(1+GrowthMarketRent)^6*IF(6=0,(12-DowntimeNew)/12,1),0)))),((F49-DATE(2026+6,5,1))/365.25)*G49*D49*(1+EscalatorInLease)^(6+M49)+((DATE(2027+6,4,30)-F49)/365.25)*IF(I49="Vacate",H49*D49*(1+GrowthMarketRent)^6*IF(INT((DATE(2026+6,10,31)-F49)/365.25)=0,(12-DowntimeNew)/12,1),IF(I49="Option",G49*D49*1.025*(1+EscalatorInLease)^6,IF(I49="Market",Retention*G49*D49*(1+EscalatorInLease)^(6+M49)+(1-Retention)*H49*D49*(1+GrowthMarketRent)^6*IF(INT((DATE(2026+6,10,31)-F49)/365.25)=0,(12-DowntimeNew)/12,1),IF(I49="LeaseUp",H49*D49*(1+GrowthMarketRent)^6*IF(6=0,(12-DowntimeNew)/12,1),0)))))))),0)</f>
        <v/>
      </c>
      <c r="U49" s="14">
        <f>IFERROR(IF(I49="LeaseUp",H49*D49*(1+GrowthMarketRent)^7*IF(7=0,(12-DowntimeNew)/12,1),IF(F49="",0,IF(F49&gt;=DATE(2027+7,4,30),G49*D49*(1+EscalatorInLease)^(7+M49),IF(F49&lt;DATE(2026+7,5,1),IF(I49="Vacate",H49*D49*(1+GrowthMarketRent)^7*IF(INT((DATE(2026+7,10,31)-F49)/365.25)=0,(12-DowntimeNew)/12,1),IF(I49="Option",G49*D49*1.025*(1+EscalatorInLease)^7,IF(I49="Market",Retention*G49*D49*(1+EscalatorInLease)^(7+M49)+(1-Retention)*H49*D49*(1+GrowthMarketRent)^7*IF(INT((DATE(2026+7,10,31)-F49)/365.25)=0,(12-DowntimeNew)/12,1),IF(I49="LeaseUp",H49*D49*(1+GrowthMarketRent)^7*IF(7=0,(12-DowntimeNew)/12,1),0)))),((F49-DATE(2026+7,5,1))/365.25)*G49*D49*(1+EscalatorInLease)^(7+M49)+((DATE(2027+7,4,30)-F49)/365.25)*IF(I49="Vacate",H49*D49*(1+GrowthMarketRent)^7*IF(INT((DATE(2026+7,10,31)-F49)/365.25)=0,(12-DowntimeNew)/12,1),IF(I49="Option",G49*D49*1.025*(1+EscalatorInLease)^7,IF(I49="Market",Retention*G49*D49*(1+EscalatorInLease)^(7+M49)+(1-Retention)*H49*D49*(1+GrowthMarketRent)^7*IF(INT((DATE(2026+7,10,31)-F49)/365.25)=0,(12-DowntimeNew)/12,1),IF(I49="LeaseUp",H49*D49*(1+GrowthMarketRent)^7*IF(7=0,(12-DowntimeNew)/12,1),0)))))))),0)</f>
        <v/>
      </c>
      <c r="V49" s="14">
        <f>IFERROR(IF(I49="LeaseUp",H49*D49*(1+GrowthMarketRent)^8*IF(8=0,(12-DowntimeNew)/12,1),IF(F49="",0,IF(F49&gt;=DATE(2027+8,4,30),G49*D49*(1+EscalatorInLease)^(8+M49),IF(F49&lt;DATE(2026+8,5,1),IF(I49="Vacate",H49*D49*(1+GrowthMarketRent)^8*IF(INT((DATE(2026+8,10,31)-F49)/365.25)=0,(12-DowntimeNew)/12,1),IF(I49="Option",G49*D49*1.025*(1+EscalatorInLease)^8,IF(I49="Market",Retention*G49*D49*(1+EscalatorInLease)^(8+M49)+(1-Retention)*H49*D49*(1+GrowthMarketRent)^8*IF(INT((DATE(2026+8,10,31)-F49)/365.25)=0,(12-DowntimeNew)/12,1),IF(I49="LeaseUp",H49*D49*(1+GrowthMarketRent)^8*IF(8=0,(12-DowntimeNew)/12,1),0)))),((F49-DATE(2026+8,5,1))/365.25)*G49*D49*(1+EscalatorInLease)^(8+M49)+((DATE(2027+8,4,30)-F49)/365.25)*IF(I49="Vacate",H49*D49*(1+GrowthMarketRent)^8*IF(INT((DATE(2026+8,10,31)-F49)/365.25)=0,(12-DowntimeNew)/12,1),IF(I49="Option",G49*D49*1.025*(1+EscalatorInLease)^8,IF(I49="Market",Retention*G49*D49*(1+EscalatorInLease)^(8+M49)+(1-Retention)*H49*D49*(1+GrowthMarketRent)^8*IF(INT((DATE(2026+8,10,31)-F49)/365.25)=0,(12-DowntimeNew)/12,1),IF(I49="LeaseUp",H49*D49*(1+GrowthMarketRent)^8*IF(8=0,(12-DowntimeNew)/12,1),0)))))))),0)</f>
        <v/>
      </c>
      <c r="W49" s="14">
        <f>IFERROR(IF(I49="LeaseUp",H49*D49*(1+GrowthMarketRent)^9*IF(9=0,(12-DowntimeNew)/12,1),IF(F49="",0,IF(F49&gt;=DATE(2027+9,4,30),G49*D49*(1+EscalatorInLease)^(9+M49),IF(F49&lt;DATE(2026+9,5,1),IF(I49="Vacate",H49*D49*(1+GrowthMarketRent)^9*IF(INT((DATE(2026+9,10,31)-F49)/365.25)=0,(12-DowntimeNew)/12,1),IF(I49="Option",G49*D49*1.025*(1+EscalatorInLease)^9,IF(I49="Market",Retention*G49*D49*(1+EscalatorInLease)^(9+M49)+(1-Retention)*H49*D49*(1+GrowthMarketRent)^9*IF(INT((DATE(2026+9,10,31)-F49)/365.25)=0,(12-DowntimeNew)/12,1),IF(I49="LeaseUp",H49*D49*(1+GrowthMarketRent)^9*IF(9=0,(12-DowntimeNew)/12,1),0)))),((F49-DATE(2026+9,5,1))/365.25)*G49*D49*(1+EscalatorInLease)^(9+M49)+((DATE(2027+9,4,30)-F49)/365.25)*IF(I49="Vacate",H49*D49*(1+GrowthMarketRent)^9*IF(INT((DATE(2026+9,10,31)-F49)/365.25)=0,(12-DowntimeNew)/12,1),IF(I49="Option",G49*D49*1.025*(1+EscalatorInLease)^9,IF(I49="Market",Retention*G49*D49*(1+EscalatorInLease)^(9+M49)+(1-Retention)*H49*D49*(1+GrowthMarketRent)^9*IF(INT((DATE(2026+9,10,31)-F49)/365.25)=0,(12-DowntimeNew)/12,1),IF(I49="LeaseUp",H49*D49*(1+GrowthMarketRent)^9*IF(9=0,(12-DowntimeNew)/12,1),0)))))))),0)</f>
        <v/>
      </c>
      <c r="X49" s="14">
        <f>IFERROR(IF(I49="LeaseUp",H49*D49*(1+GrowthMarketRent)^10*IF(10=0,(12-DowntimeNew)/12,1),IF(F49="",0,IF(F49&gt;=DATE(2027+10,4,30),G49*D49*(1+EscalatorInLease)^(10+M49),IF(F49&lt;DATE(2026+10,5,1),IF(I49="Vacate",H49*D49*(1+GrowthMarketRent)^10*IF(INT((DATE(2026+10,10,31)-F49)/365.25)=0,(12-DowntimeNew)/12,1),IF(I49="Option",G49*D49*1.025*(1+EscalatorInLease)^10,IF(I49="Market",Retention*G49*D49*(1+EscalatorInLease)^(10+M49)+(1-Retention)*H49*D49*(1+GrowthMarketRent)^10*IF(INT((DATE(2026+10,10,31)-F49)/365.25)=0,(12-DowntimeNew)/12,1),IF(I49="LeaseUp",H49*D49*(1+GrowthMarketRent)^10*IF(10=0,(12-DowntimeNew)/12,1),0)))),((F49-DATE(2026+10,5,1))/365.25)*G49*D49*(1+EscalatorInLease)^(10+M49)+((DATE(2027+10,4,30)-F49)/365.25)*IF(I49="Vacate",H49*D49*(1+GrowthMarketRent)^10*IF(INT((DATE(2026+10,10,31)-F49)/365.25)=0,(12-DowntimeNew)/12,1),IF(I49="Option",G49*D49*1.025*(1+EscalatorInLease)^10,IF(I49="Market",Retention*G49*D49*(1+EscalatorInLease)^(10+M49)+(1-Retention)*H49*D49*(1+GrowthMarketRent)^10*IF(INT((DATE(2026+10,10,31)-F49)/365.25)=0,(12-DowntimeNew)/12,1),IF(I49="LeaseUp",H49*D49*(1+GrowthMarketRent)^10*IF(10=0,(12-DowntimeNew)/12,1),0)))))))),0)</f>
        <v/>
      </c>
      <c r="Y49" s="14">
        <f>IFERROR(IF(AND(I49="LeaseUp",0=0),(IF(I49="Vacate",TINew*D49,IF(I49="Market",Retention*TIRenewal*D49+(1-Retention)*TINew*D49,IF(I49="LeaseUp",TINew*D49,IF(I49="Option",TIRenewal*D49,0)))))+(IF(I49="Vacate",LCNew*H49*D49*(1+GrowthMarketRent)^0,IF(I49="Market",Retention*LCRenewal*H49*D49*(1+GrowthMarketRent)^0+(1-Retention)*LCNew*H49*D49*(1+GrowthMarketRent)^0,IF(I49="LeaseUp",LCNew*H49*D49*(1+GrowthMarketRent)^0,IF(I49="Option",LCRenewal*H49*D49*(1+GrowthMarketRent)^0,0))))),IF(F49="",0,IF(AND(F49&gt;=DATE(2026+0,5,1),F49&lt;=DATE(2027+0,4,30)),(IF(I49="Vacate",TINew*D49,IF(I49="Market",Retention*TIRenewal*D49+(1-Retention)*TINew*D49,IF(I49="LeaseUp",TINew*D49,IF(I49="Option",TIRenewal*D49,0)))))+(IF(I49="Vacate",LCNew*H49*D49*(1+GrowthMarketRent)^0,IF(I49="Market",Retention*LCRenewal*H49*D49*(1+GrowthMarketRent)^0+(1-Retention)*LCNew*H49*D49*(1+GrowthMarketRent)^0,IF(I49="LeaseUp",LCNew*H49*D49*(1+GrowthMarketRent)^0,IF(I49="Option",LCRenewal*H49*D49*(1+GrowthMarketRent)^0,0))))),0))),0)</f>
        <v/>
      </c>
      <c r="Z49" s="14">
        <f>IFERROR(IF(AND(I49="LeaseUp",1=0),(IF(I49="Vacate",TINew*D49,IF(I49="Market",Retention*TIRenewal*D49+(1-Retention)*TINew*D49,IF(I49="LeaseUp",TINew*D49,IF(I49="Option",TIRenewal*D49,0)))))+(IF(I49="Vacate",LCNew*H49*D49*(1+GrowthMarketRent)^1,IF(I49="Market",Retention*LCRenewal*H49*D49*(1+GrowthMarketRent)^1+(1-Retention)*LCNew*H49*D49*(1+GrowthMarketRent)^1,IF(I49="LeaseUp",LCNew*H49*D49*(1+GrowthMarketRent)^1,IF(I49="Option",LCRenewal*H49*D49*(1+GrowthMarketRent)^1,0))))),IF(F49="",0,IF(AND(F49&gt;=DATE(2026+1,5,1),F49&lt;=DATE(2027+1,4,30)),(IF(I49="Vacate",TINew*D49,IF(I49="Market",Retention*TIRenewal*D49+(1-Retention)*TINew*D49,IF(I49="LeaseUp",TINew*D49,IF(I49="Option",TIRenewal*D49,0)))))+(IF(I49="Vacate",LCNew*H49*D49*(1+GrowthMarketRent)^1,IF(I49="Market",Retention*LCRenewal*H49*D49*(1+GrowthMarketRent)^1+(1-Retention)*LCNew*H49*D49*(1+GrowthMarketRent)^1,IF(I49="LeaseUp",LCNew*H49*D49*(1+GrowthMarketRent)^1,IF(I49="Option",LCRenewal*H49*D49*(1+GrowthMarketRent)^1,0))))),0))),0)</f>
        <v/>
      </c>
      <c r="AA49" s="14">
        <f>IFERROR(IF(AND(I49="LeaseUp",2=0),(IF(I49="Vacate",TINew*D49,IF(I49="Market",Retention*TIRenewal*D49+(1-Retention)*TINew*D49,IF(I49="LeaseUp",TINew*D49,IF(I49="Option",TIRenewal*D49,0)))))+(IF(I49="Vacate",LCNew*H49*D49*(1+GrowthMarketRent)^2,IF(I49="Market",Retention*LCRenewal*H49*D49*(1+GrowthMarketRent)^2+(1-Retention)*LCNew*H49*D49*(1+GrowthMarketRent)^2,IF(I49="LeaseUp",LCNew*H49*D49*(1+GrowthMarketRent)^2,IF(I49="Option",LCRenewal*H49*D49*(1+GrowthMarketRent)^2,0))))),IF(F49="",0,IF(AND(F49&gt;=DATE(2026+2,5,1),F49&lt;=DATE(2027+2,4,30)),(IF(I49="Vacate",TINew*D49,IF(I49="Market",Retention*TIRenewal*D49+(1-Retention)*TINew*D49,IF(I49="LeaseUp",TINew*D49,IF(I49="Option",TIRenewal*D49,0)))))+(IF(I49="Vacate",LCNew*H49*D49*(1+GrowthMarketRent)^2,IF(I49="Market",Retention*LCRenewal*H49*D49*(1+GrowthMarketRent)^2+(1-Retention)*LCNew*H49*D49*(1+GrowthMarketRent)^2,IF(I49="LeaseUp",LCNew*H49*D49*(1+GrowthMarketRent)^2,IF(I49="Option",LCRenewal*H49*D49*(1+GrowthMarketRent)^2,0))))),0))),0)</f>
        <v/>
      </c>
      <c r="AB49" s="14">
        <f>IFERROR(IF(AND(I49="LeaseUp",3=0),(IF(I49="Vacate",TINew*D49,IF(I49="Market",Retention*TIRenewal*D49+(1-Retention)*TINew*D49,IF(I49="LeaseUp",TINew*D49,IF(I49="Option",TIRenewal*D49,0)))))+(IF(I49="Vacate",LCNew*H49*D49*(1+GrowthMarketRent)^3,IF(I49="Market",Retention*LCRenewal*H49*D49*(1+GrowthMarketRent)^3+(1-Retention)*LCNew*H49*D49*(1+GrowthMarketRent)^3,IF(I49="LeaseUp",LCNew*H49*D49*(1+GrowthMarketRent)^3,IF(I49="Option",LCRenewal*H49*D49*(1+GrowthMarketRent)^3,0))))),IF(F49="",0,IF(AND(F49&gt;=DATE(2026+3,5,1),F49&lt;=DATE(2027+3,4,30)),(IF(I49="Vacate",TINew*D49,IF(I49="Market",Retention*TIRenewal*D49+(1-Retention)*TINew*D49,IF(I49="LeaseUp",TINew*D49,IF(I49="Option",TIRenewal*D49,0)))))+(IF(I49="Vacate",LCNew*H49*D49*(1+GrowthMarketRent)^3,IF(I49="Market",Retention*LCRenewal*H49*D49*(1+GrowthMarketRent)^3+(1-Retention)*LCNew*H49*D49*(1+GrowthMarketRent)^3,IF(I49="LeaseUp",LCNew*H49*D49*(1+GrowthMarketRent)^3,IF(I49="Option",LCRenewal*H49*D49*(1+GrowthMarketRent)^3,0))))),0))),0)</f>
        <v/>
      </c>
      <c r="AC49" s="14">
        <f>IFERROR(IF(AND(I49="LeaseUp",4=0),(IF(I49="Vacate",TINew*D49,IF(I49="Market",Retention*TIRenewal*D49+(1-Retention)*TINew*D49,IF(I49="LeaseUp",TINew*D49,IF(I49="Option",TIRenewal*D49,0)))))+(IF(I49="Vacate",LCNew*H49*D49*(1+GrowthMarketRent)^4,IF(I49="Market",Retention*LCRenewal*H49*D49*(1+GrowthMarketRent)^4+(1-Retention)*LCNew*H49*D49*(1+GrowthMarketRent)^4,IF(I49="LeaseUp",LCNew*H49*D49*(1+GrowthMarketRent)^4,IF(I49="Option",LCRenewal*H49*D49*(1+GrowthMarketRent)^4,0))))),IF(F49="",0,IF(AND(F49&gt;=DATE(2026+4,5,1),F49&lt;=DATE(2027+4,4,30)),(IF(I49="Vacate",TINew*D49,IF(I49="Market",Retention*TIRenewal*D49+(1-Retention)*TINew*D49,IF(I49="LeaseUp",TINew*D49,IF(I49="Option",TIRenewal*D49,0)))))+(IF(I49="Vacate",LCNew*H49*D49*(1+GrowthMarketRent)^4,IF(I49="Market",Retention*LCRenewal*H49*D49*(1+GrowthMarketRent)^4+(1-Retention)*LCNew*H49*D49*(1+GrowthMarketRent)^4,IF(I49="LeaseUp",LCNew*H49*D49*(1+GrowthMarketRent)^4,IF(I49="Option",LCRenewal*H49*D49*(1+GrowthMarketRent)^4,0))))),0))),0)</f>
        <v/>
      </c>
      <c r="AD49" s="14">
        <f>IFERROR(IF(AND(I49="LeaseUp",5=0),(IF(I49="Vacate",TINew*D49,IF(I49="Market",Retention*TIRenewal*D49+(1-Retention)*TINew*D49,IF(I49="LeaseUp",TINew*D49,IF(I49="Option",TIRenewal*D49,0)))))+(IF(I49="Vacate",LCNew*H49*D49*(1+GrowthMarketRent)^5,IF(I49="Market",Retention*LCRenewal*H49*D49*(1+GrowthMarketRent)^5+(1-Retention)*LCNew*H49*D49*(1+GrowthMarketRent)^5,IF(I49="LeaseUp",LCNew*H49*D49*(1+GrowthMarketRent)^5,IF(I49="Option",LCRenewal*H49*D49*(1+GrowthMarketRent)^5,0))))),IF(F49="",0,IF(AND(F49&gt;=DATE(2026+5,5,1),F49&lt;=DATE(2027+5,4,30)),(IF(I49="Vacate",TINew*D49,IF(I49="Market",Retention*TIRenewal*D49+(1-Retention)*TINew*D49,IF(I49="LeaseUp",TINew*D49,IF(I49="Option",TIRenewal*D49,0)))))+(IF(I49="Vacate",LCNew*H49*D49*(1+GrowthMarketRent)^5,IF(I49="Market",Retention*LCRenewal*H49*D49*(1+GrowthMarketRent)^5+(1-Retention)*LCNew*H49*D49*(1+GrowthMarketRent)^5,IF(I49="LeaseUp",LCNew*H49*D49*(1+GrowthMarketRent)^5,IF(I49="Option",LCRenewal*H49*D49*(1+GrowthMarketRent)^5,0))))),0))),0)</f>
        <v/>
      </c>
      <c r="AE49" s="14">
        <f>IFERROR(IF(AND(I49="LeaseUp",6=0),(IF(I49="Vacate",TINew*D49,IF(I49="Market",Retention*TIRenewal*D49+(1-Retention)*TINew*D49,IF(I49="LeaseUp",TINew*D49,IF(I49="Option",TIRenewal*D49,0)))))+(IF(I49="Vacate",LCNew*H49*D49*(1+GrowthMarketRent)^6,IF(I49="Market",Retention*LCRenewal*H49*D49*(1+GrowthMarketRent)^6+(1-Retention)*LCNew*H49*D49*(1+GrowthMarketRent)^6,IF(I49="LeaseUp",LCNew*H49*D49*(1+GrowthMarketRent)^6,IF(I49="Option",LCRenewal*H49*D49*(1+GrowthMarketRent)^6,0))))),IF(F49="",0,IF(AND(F49&gt;=DATE(2026+6,5,1),F49&lt;=DATE(2027+6,4,30)),(IF(I49="Vacate",TINew*D49,IF(I49="Market",Retention*TIRenewal*D49+(1-Retention)*TINew*D49,IF(I49="LeaseUp",TINew*D49,IF(I49="Option",TIRenewal*D49,0)))))+(IF(I49="Vacate",LCNew*H49*D49*(1+GrowthMarketRent)^6,IF(I49="Market",Retention*LCRenewal*H49*D49*(1+GrowthMarketRent)^6+(1-Retention)*LCNew*H49*D49*(1+GrowthMarketRent)^6,IF(I49="LeaseUp",LCNew*H49*D49*(1+GrowthMarketRent)^6,IF(I49="Option",LCRenewal*H49*D49*(1+GrowthMarketRent)^6,0))))),0))),0)</f>
        <v/>
      </c>
      <c r="AF49" s="14">
        <f>IFERROR(IF(AND(I49="LeaseUp",7=0),(IF(I49="Vacate",TINew*D49,IF(I49="Market",Retention*TIRenewal*D49+(1-Retention)*TINew*D49,IF(I49="LeaseUp",TINew*D49,IF(I49="Option",TIRenewal*D49,0)))))+(IF(I49="Vacate",LCNew*H49*D49*(1+GrowthMarketRent)^7,IF(I49="Market",Retention*LCRenewal*H49*D49*(1+GrowthMarketRent)^7+(1-Retention)*LCNew*H49*D49*(1+GrowthMarketRent)^7,IF(I49="LeaseUp",LCNew*H49*D49*(1+GrowthMarketRent)^7,IF(I49="Option",LCRenewal*H49*D49*(1+GrowthMarketRent)^7,0))))),IF(F49="",0,IF(AND(F49&gt;=DATE(2026+7,5,1),F49&lt;=DATE(2027+7,4,30)),(IF(I49="Vacate",TINew*D49,IF(I49="Market",Retention*TIRenewal*D49+(1-Retention)*TINew*D49,IF(I49="LeaseUp",TINew*D49,IF(I49="Option",TIRenewal*D49,0)))))+(IF(I49="Vacate",LCNew*H49*D49*(1+GrowthMarketRent)^7,IF(I49="Market",Retention*LCRenewal*H49*D49*(1+GrowthMarketRent)^7+(1-Retention)*LCNew*H49*D49*(1+GrowthMarketRent)^7,IF(I49="LeaseUp",LCNew*H49*D49*(1+GrowthMarketRent)^7,IF(I49="Option",LCRenewal*H49*D49*(1+GrowthMarketRent)^7,0))))),0))),0)</f>
        <v/>
      </c>
      <c r="AG49" s="14">
        <f>IFERROR(IF(AND(I49="LeaseUp",8=0),(IF(I49="Vacate",TINew*D49,IF(I49="Market",Retention*TIRenewal*D49+(1-Retention)*TINew*D49,IF(I49="LeaseUp",TINew*D49,IF(I49="Option",TIRenewal*D49,0)))))+(IF(I49="Vacate",LCNew*H49*D49*(1+GrowthMarketRent)^8,IF(I49="Market",Retention*LCRenewal*H49*D49*(1+GrowthMarketRent)^8+(1-Retention)*LCNew*H49*D49*(1+GrowthMarketRent)^8,IF(I49="LeaseUp",LCNew*H49*D49*(1+GrowthMarketRent)^8,IF(I49="Option",LCRenewal*H49*D49*(1+GrowthMarketRent)^8,0))))),IF(F49="",0,IF(AND(F49&gt;=DATE(2026+8,5,1),F49&lt;=DATE(2027+8,4,30)),(IF(I49="Vacate",TINew*D49,IF(I49="Market",Retention*TIRenewal*D49+(1-Retention)*TINew*D49,IF(I49="LeaseUp",TINew*D49,IF(I49="Option",TIRenewal*D49,0)))))+(IF(I49="Vacate",LCNew*H49*D49*(1+GrowthMarketRent)^8,IF(I49="Market",Retention*LCRenewal*H49*D49*(1+GrowthMarketRent)^8+(1-Retention)*LCNew*H49*D49*(1+GrowthMarketRent)^8,IF(I49="LeaseUp",LCNew*H49*D49*(1+GrowthMarketRent)^8,IF(I49="Option",LCRenewal*H49*D49*(1+GrowthMarketRent)^8,0))))),0))),0)</f>
        <v/>
      </c>
      <c r="AH49" s="14">
        <f>IFERROR(IF(AND(I49="LeaseUp",9=0),(IF(I49="Vacate",TINew*D49,IF(I49="Market",Retention*TIRenewal*D49+(1-Retention)*TINew*D49,IF(I49="LeaseUp",TINew*D49,IF(I49="Option",TIRenewal*D49,0)))))+(IF(I49="Vacate",LCNew*H49*D49*(1+GrowthMarketRent)^9,IF(I49="Market",Retention*LCRenewal*H49*D49*(1+GrowthMarketRent)^9+(1-Retention)*LCNew*H49*D49*(1+GrowthMarketRent)^9,IF(I49="LeaseUp",LCNew*H49*D49*(1+GrowthMarketRent)^9,IF(I49="Option",LCRenewal*H49*D49*(1+GrowthMarketRent)^9,0))))),IF(F49="",0,IF(AND(F49&gt;=DATE(2026+9,5,1),F49&lt;=DATE(2027+9,4,30)),(IF(I49="Vacate",TINew*D49,IF(I49="Market",Retention*TIRenewal*D49+(1-Retention)*TINew*D49,IF(I49="LeaseUp",TINew*D49,IF(I49="Option",TIRenewal*D49,0)))))+(IF(I49="Vacate",LCNew*H49*D49*(1+GrowthMarketRent)^9,IF(I49="Market",Retention*LCRenewal*H49*D49*(1+GrowthMarketRent)^9+(1-Retention)*LCNew*H49*D49*(1+GrowthMarketRent)^9,IF(I49="LeaseUp",LCNew*H49*D49*(1+GrowthMarketRent)^9,IF(I49="Option",LCRenewal*H49*D49*(1+GrowthMarketRent)^9,0))))),0))),0)</f>
        <v/>
      </c>
      <c r="AI49" s="14">
        <f>IFERROR(IF(AND(I49="LeaseUp",10=0),(IF(I49="Vacate",TINew*D49,IF(I49="Market",Retention*TIRenewal*D49+(1-Retention)*TINew*D49,IF(I49="LeaseUp",TINew*D49,IF(I49="Option",TIRenewal*D49,0)))))+(IF(I49="Vacate",LCNew*H49*D49*(1+GrowthMarketRent)^10,IF(I49="Market",Retention*LCRenewal*H49*D49*(1+GrowthMarketRent)^10+(1-Retention)*LCNew*H49*D49*(1+GrowthMarketRent)^10,IF(I49="LeaseUp",LCNew*H49*D49*(1+GrowthMarketRent)^10,IF(I49="Option",LCRenewal*H49*D49*(1+GrowthMarketRent)^10,0))))),IF(F49="",0,IF(AND(F49&gt;=DATE(2026+10,5,1),F49&lt;=DATE(2027+10,4,30)),(IF(I49="Vacate",TINew*D49,IF(I49="Market",Retention*TIRenewal*D49+(1-Retention)*TINew*D49,IF(I49="LeaseUp",TINew*D49,IF(I49="Option",TIRenewal*D49,0)))))+(IF(I49="Vacate",LCNew*H49*D49*(1+GrowthMarketRent)^10,IF(I49="Market",Retention*LCRenewal*H49*D49*(1+GrowthMarketRent)^10+(1-Retention)*LCNew*H49*D49*(1+GrowthMarketRent)^10,IF(I49="LeaseUp",LCNew*H49*D49*(1+GrowthMarketRent)^10,IF(I49="Option",LCRenewal*H49*D49*(1+GrowthMarketRent)^10,0))))),0))),0)</f>
        <v/>
      </c>
    </row>
    <row r="50">
      <c r="A50" t="inlineStr">
        <is>
          <t>Frisco</t>
        </is>
      </c>
      <c r="B50" t="inlineStr">
        <is>
          <t>110</t>
        </is>
      </c>
      <c r="C50" t="inlineStr">
        <is>
          <t>Dallas Closet Design LLC</t>
        </is>
      </c>
      <c r="D50" s="32" t="n">
        <v>2600</v>
      </c>
      <c r="E50" s="33" t="n">
        <v>45778</v>
      </c>
      <c r="F50" s="33" t="n">
        <v>47027</v>
      </c>
      <c r="G50" s="34" t="n">
        <v>17.425</v>
      </c>
      <c r="H50" s="16">
        <f>VLOOKUP(A50,MLA!$A$5:$L$11,3,FALSE)</f>
        <v/>
      </c>
      <c r="I50" s="11" t="inlineStr">
        <is>
          <t>Market</t>
        </is>
      </c>
      <c r="J50" t="inlineStr">
        <is>
          <t>Shop</t>
        </is>
      </c>
      <c r="K50" t="inlineStr">
        <is>
          <t>Occupied</t>
        </is>
      </c>
      <c r="L50" t="inlineStr">
        <is>
          <t>Guarantor: Shannon Swarbrick</t>
        </is>
      </c>
      <c r="M50" s="20">
        <f>IF(E50="",0,(AnalysisStart-E50)/365.25)</f>
        <v/>
      </c>
      <c r="N50" s="14">
        <f>IFERROR(IF(I50="LeaseUp",H50*D50*(1+GrowthMarketRent)^0*IF(0=0,(12-DowntimeNew)/12,1),IF(F50="",0,IF(F50&gt;=DATE(2027+0,4,30),G50*D50*(1+EscalatorInLease)^(0+M50),IF(F50&lt;DATE(2026+0,5,1),IF(I50="Vacate",H50*D50*(1+GrowthMarketRent)^0*IF(INT((DATE(2026+0,10,31)-F50)/365.25)=0,(12-DowntimeNew)/12,1),IF(I50="Option",G50*D50*1.025*(1+EscalatorInLease)^0,IF(I50="Market",Retention*G50*D50*(1+EscalatorInLease)^(0+M50)+(1-Retention)*H50*D50*(1+GrowthMarketRent)^0*IF(INT((DATE(2026+0,10,31)-F50)/365.25)=0,(12-DowntimeNew)/12,1),IF(I50="LeaseUp",H50*D50*(1+GrowthMarketRent)^0*IF(0=0,(12-DowntimeNew)/12,1),0)))),((F50-DATE(2026+0,5,1))/365.25)*G50*D50*(1+EscalatorInLease)^(0+M50)+((DATE(2027+0,4,30)-F50)/365.25)*IF(I50="Vacate",H50*D50*(1+GrowthMarketRent)^0*IF(INT((DATE(2026+0,10,31)-F50)/365.25)=0,(12-DowntimeNew)/12,1),IF(I50="Option",G50*D50*1.025*(1+EscalatorInLease)^0,IF(I50="Market",Retention*G50*D50*(1+EscalatorInLease)^(0+M50)+(1-Retention)*H50*D50*(1+GrowthMarketRent)^0*IF(INT((DATE(2026+0,10,31)-F50)/365.25)=0,(12-DowntimeNew)/12,1),IF(I50="LeaseUp",H50*D50*(1+GrowthMarketRent)^0*IF(0=0,(12-DowntimeNew)/12,1),0)))))))),0)</f>
        <v/>
      </c>
      <c r="O50" s="14">
        <f>IFERROR(IF(I50="LeaseUp",H50*D50*(1+GrowthMarketRent)^1*IF(1=0,(12-DowntimeNew)/12,1),IF(F50="",0,IF(F50&gt;=DATE(2027+1,4,30),G50*D50*(1+EscalatorInLease)^(1+M50),IF(F50&lt;DATE(2026+1,5,1),IF(I50="Vacate",H50*D50*(1+GrowthMarketRent)^1*IF(INT((DATE(2026+1,10,31)-F50)/365.25)=0,(12-DowntimeNew)/12,1),IF(I50="Option",G50*D50*1.025*(1+EscalatorInLease)^1,IF(I50="Market",Retention*G50*D50*(1+EscalatorInLease)^(1+M50)+(1-Retention)*H50*D50*(1+GrowthMarketRent)^1*IF(INT((DATE(2026+1,10,31)-F50)/365.25)=0,(12-DowntimeNew)/12,1),IF(I50="LeaseUp",H50*D50*(1+GrowthMarketRent)^1*IF(1=0,(12-DowntimeNew)/12,1),0)))),((F50-DATE(2026+1,5,1))/365.25)*G50*D50*(1+EscalatorInLease)^(1+M50)+((DATE(2027+1,4,30)-F50)/365.25)*IF(I50="Vacate",H50*D50*(1+GrowthMarketRent)^1*IF(INT((DATE(2026+1,10,31)-F50)/365.25)=0,(12-DowntimeNew)/12,1),IF(I50="Option",G50*D50*1.025*(1+EscalatorInLease)^1,IF(I50="Market",Retention*G50*D50*(1+EscalatorInLease)^(1+M50)+(1-Retention)*H50*D50*(1+GrowthMarketRent)^1*IF(INT((DATE(2026+1,10,31)-F50)/365.25)=0,(12-DowntimeNew)/12,1),IF(I50="LeaseUp",H50*D50*(1+GrowthMarketRent)^1*IF(1=0,(12-DowntimeNew)/12,1),0)))))))),0)</f>
        <v/>
      </c>
      <c r="P50" s="14">
        <f>IFERROR(IF(I50="LeaseUp",H50*D50*(1+GrowthMarketRent)^2*IF(2=0,(12-DowntimeNew)/12,1),IF(F50="",0,IF(F50&gt;=DATE(2027+2,4,30),G50*D50*(1+EscalatorInLease)^(2+M50),IF(F50&lt;DATE(2026+2,5,1),IF(I50="Vacate",H50*D50*(1+GrowthMarketRent)^2*IF(INT((DATE(2026+2,10,31)-F50)/365.25)=0,(12-DowntimeNew)/12,1),IF(I50="Option",G50*D50*1.025*(1+EscalatorInLease)^2,IF(I50="Market",Retention*G50*D50*(1+EscalatorInLease)^(2+M50)+(1-Retention)*H50*D50*(1+GrowthMarketRent)^2*IF(INT((DATE(2026+2,10,31)-F50)/365.25)=0,(12-DowntimeNew)/12,1),IF(I50="LeaseUp",H50*D50*(1+GrowthMarketRent)^2*IF(2=0,(12-DowntimeNew)/12,1),0)))),((F50-DATE(2026+2,5,1))/365.25)*G50*D50*(1+EscalatorInLease)^(2+M50)+((DATE(2027+2,4,30)-F50)/365.25)*IF(I50="Vacate",H50*D50*(1+GrowthMarketRent)^2*IF(INT((DATE(2026+2,10,31)-F50)/365.25)=0,(12-DowntimeNew)/12,1),IF(I50="Option",G50*D50*1.025*(1+EscalatorInLease)^2,IF(I50="Market",Retention*G50*D50*(1+EscalatorInLease)^(2+M50)+(1-Retention)*H50*D50*(1+GrowthMarketRent)^2*IF(INT((DATE(2026+2,10,31)-F50)/365.25)=0,(12-DowntimeNew)/12,1),IF(I50="LeaseUp",H50*D50*(1+GrowthMarketRent)^2*IF(2=0,(12-DowntimeNew)/12,1),0)))))))),0)</f>
        <v/>
      </c>
      <c r="Q50" s="14">
        <f>IFERROR(IF(I50="LeaseUp",H50*D50*(1+GrowthMarketRent)^3*IF(3=0,(12-DowntimeNew)/12,1),IF(F50="",0,IF(F50&gt;=DATE(2027+3,4,30),G50*D50*(1+EscalatorInLease)^(3+M50),IF(F50&lt;DATE(2026+3,5,1),IF(I50="Vacate",H50*D50*(1+GrowthMarketRent)^3*IF(INT((DATE(2026+3,10,31)-F50)/365.25)=0,(12-DowntimeNew)/12,1),IF(I50="Option",G50*D50*1.025*(1+EscalatorInLease)^3,IF(I50="Market",Retention*G50*D50*(1+EscalatorInLease)^(3+M50)+(1-Retention)*H50*D50*(1+GrowthMarketRent)^3*IF(INT((DATE(2026+3,10,31)-F50)/365.25)=0,(12-DowntimeNew)/12,1),IF(I50="LeaseUp",H50*D50*(1+GrowthMarketRent)^3*IF(3=0,(12-DowntimeNew)/12,1),0)))),((F50-DATE(2026+3,5,1))/365.25)*G50*D50*(1+EscalatorInLease)^(3+M50)+((DATE(2027+3,4,30)-F50)/365.25)*IF(I50="Vacate",H50*D50*(1+GrowthMarketRent)^3*IF(INT((DATE(2026+3,10,31)-F50)/365.25)=0,(12-DowntimeNew)/12,1),IF(I50="Option",G50*D50*1.025*(1+EscalatorInLease)^3,IF(I50="Market",Retention*G50*D50*(1+EscalatorInLease)^(3+M50)+(1-Retention)*H50*D50*(1+GrowthMarketRent)^3*IF(INT((DATE(2026+3,10,31)-F50)/365.25)=0,(12-DowntimeNew)/12,1),IF(I50="LeaseUp",H50*D50*(1+GrowthMarketRent)^3*IF(3=0,(12-DowntimeNew)/12,1),0)))))))),0)</f>
        <v/>
      </c>
      <c r="R50" s="14">
        <f>IFERROR(IF(I50="LeaseUp",H50*D50*(1+GrowthMarketRent)^4*IF(4=0,(12-DowntimeNew)/12,1),IF(F50="",0,IF(F50&gt;=DATE(2027+4,4,30),G50*D50*(1+EscalatorInLease)^(4+M50),IF(F50&lt;DATE(2026+4,5,1),IF(I50="Vacate",H50*D50*(1+GrowthMarketRent)^4*IF(INT((DATE(2026+4,10,31)-F50)/365.25)=0,(12-DowntimeNew)/12,1),IF(I50="Option",G50*D50*1.025*(1+EscalatorInLease)^4,IF(I50="Market",Retention*G50*D50*(1+EscalatorInLease)^(4+M50)+(1-Retention)*H50*D50*(1+GrowthMarketRent)^4*IF(INT((DATE(2026+4,10,31)-F50)/365.25)=0,(12-DowntimeNew)/12,1),IF(I50="LeaseUp",H50*D50*(1+GrowthMarketRent)^4*IF(4=0,(12-DowntimeNew)/12,1),0)))),((F50-DATE(2026+4,5,1))/365.25)*G50*D50*(1+EscalatorInLease)^(4+M50)+((DATE(2027+4,4,30)-F50)/365.25)*IF(I50="Vacate",H50*D50*(1+GrowthMarketRent)^4*IF(INT((DATE(2026+4,10,31)-F50)/365.25)=0,(12-DowntimeNew)/12,1),IF(I50="Option",G50*D50*1.025*(1+EscalatorInLease)^4,IF(I50="Market",Retention*G50*D50*(1+EscalatorInLease)^(4+M50)+(1-Retention)*H50*D50*(1+GrowthMarketRent)^4*IF(INT((DATE(2026+4,10,31)-F50)/365.25)=0,(12-DowntimeNew)/12,1),IF(I50="LeaseUp",H50*D50*(1+GrowthMarketRent)^4*IF(4=0,(12-DowntimeNew)/12,1),0)))))))),0)</f>
        <v/>
      </c>
      <c r="S50" s="14">
        <f>IFERROR(IF(I50="LeaseUp",H50*D50*(1+GrowthMarketRent)^5*IF(5=0,(12-DowntimeNew)/12,1),IF(F50="",0,IF(F50&gt;=DATE(2027+5,4,30),G50*D50*(1+EscalatorInLease)^(5+M50),IF(F50&lt;DATE(2026+5,5,1),IF(I50="Vacate",H50*D50*(1+GrowthMarketRent)^5*IF(INT((DATE(2026+5,10,31)-F50)/365.25)=0,(12-DowntimeNew)/12,1),IF(I50="Option",G50*D50*1.025*(1+EscalatorInLease)^5,IF(I50="Market",Retention*G50*D50*(1+EscalatorInLease)^(5+M50)+(1-Retention)*H50*D50*(1+GrowthMarketRent)^5*IF(INT((DATE(2026+5,10,31)-F50)/365.25)=0,(12-DowntimeNew)/12,1),IF(I50="LeaseUp",H50*D50*(1+GrowthMarketRent)^5*IF(5=0,(12-DowntimeNew)/12,1),0)))),((F50-DATE(2026+5,5,1))/365.25)*G50*D50*(1+EscalatorInLease)^(5+M50)+((DATE(2027+5,4,30)-F50)/365.25)*IF(I50="Vacate",H50*D50*(1+GrowthMarketRent)^5*IF(INT((DATE(2026+5,10,31)-F50)/365.25)=0,(12-DowntimeNew)/12,1),IF(I50="Option",G50*D50*1.025*(1+EscalatorInLease)^5,IF(I50="Market",Retention*G50*D50*(1+EscalatorInLease)^(5+M50)+(1-Retention)*H50*D50*(1+GrowthMarketRent)^5*IF(INT((DATE(2026+5,10,31)-F50)/365.25)=0,(12-DowntimeNew)/12,1),IF(I50="LeaseUp",H50*D50*(1+GrowthMarketRent)^5*IF(5=0,(12-DowntimeNew)/12,1),0)))))))),0)</f>
        <v/>
      </c>
      <c r="T50" s="14">
        <f>IFERROR(IF(I50="LeaseUp",H50*D50*(1+GrowthMarketRent)^6*IF(6=0,(12-DowntimeNew)/12,1),IF(F50="",0,IF(F50&gt;=DATE(2027+6,4,30),G50*D50*(1+EscalatorInLease)^(6+M50),IF(F50&lt;DATE(2026+6,5,1),IF(I50="Vacate",H50*D50*(1+GrowthMarketRent)^6*IF(INT((DATE(2026+6,10,31)-F50)/365.25)=0,(12-DowntimeNew)/12,1),IF(I50="Option",G50*D50*1.025*(1+EscalatorInLease)^6,IF(I50="Market",Retention*G50*D50*(1+EscalatorInLease)^(6+M50)+(1-Retention)*H50*D50*(1+GrowthMarketRent)^6*IF(INT((DATE(2026+6,10,31)-F50)/365.25)=0,(12-DowntimeNew)/12,1),IF(I50="LeaseUp",H50*D50*(1+GrowthMarketRent)^6*IF(6=0,(12-DowntimeNew)/12,1),0)))),((F50-DATE(2026+6,5,1))/365.25)*G50*D50*(1+EscalatorInLease)^(6+M50)+((DATE(2027+6,4,30)-F50)/365.25)*IF(I50="Vacate",H50*D50*(1+GrowthMarketRent)^6*IF(INT((DATE(2026+6,10,31)-F50)/365.25)=0,(12-DowntimeNew)/12,1),IF(I50="Option",G50*D50*1.025*(1+EscalatorInLease)^6,IF(I50="Market",Retention*G50*D50*(1+EscalatorInLease)^(6+M50)+(1-Retention)*H50*D50*(1+GrowthMarketRent)^6*IF(INT((DATE(2026+6,10,31)-F50)/365.25)=0,(12-DowntimeNew)/12,1),IF(I50="LeaseUp",H50*D50*(1+GrowthMarketRent)^6*IF(6=0,(12-DowntimeNew)/12,1),0)))))))),0)</f>
        <v/>
      </c>
      <c r="U50" s="14">
        <f>IFERROR(IF(I50="LeaseUp",H50*D50*(1+GrowthMarketRent)^7*IF(7=0,(12-DowntimeNew)/12,1),IF(F50="",0,IF(F50&gt;=DATE(2027+7,4,30),G50*D50*(1+EscalatorInLease)^(7+M50),IF(F50&lt;DATE(2026+7,5,1),IF(I50="Vacate",H50*D50*(1+GrowthMarketRent)^7*IF(INT((DATE(2026+7,10,31)-F50)/365.25)=0,(12-DowntimeNew)/12,1),IF(I50="Option",G50*D50*1.025*(1+EscalatorInLease)^7,IF(I50="Market",Retention*G50*D50*(1+EscalatorInLease)^(7+M50)+(1-Retention)*H50*D50*(1+GrowthMarketRent)^7*IF(INT((DATE(2026+7,10,31)-F50)/365.25)=0,(12-DowntimeNew)/12,1),IF(I50="LeaseUp",H50*D50*(1+GrowthMarketRent)^7*IF(7=0,(12-DowntimeNew)/12,1),0)))),((F50-DATE(2026+7,5,1))/365.25)*G50*D50*(1+EscalatorInLease)^(7+M50)+((DATE(2027+7,4,30)-F50)/365.25)*IF(I50="Vacate",H50*D50*(1+GrowthMarketRent)^7*IF(INT((DATE(2026+7,10,31)-F50)/365.25)=0,(12-DowntimeNew)/12,1),IF(I50="Option",G50*D50*1.025*(1+EscalatorInLease)^7,IF(I50="Market",Retention*G50*D50*(1+EscalatorInLease)^(7+M50)+(1-Retention)*H50*D50*(1+GrowthMarketRent)^7*IF(INT((DATE(2026+7,10,31)-F50)/365.25)=0,(12-DowntimeNew)/12,1),IF(I50="LeaseUp",H50*D50*(1+GrowthMarketRent)^7*IF(7=0,(12-DowntimeNew)/12,1),0)))))))),0)</f>
        <v/>
      </c>
      <c r="V50" s="14">
        <f>IFERROR(IF(I50="LeaseUp",H50*D50*(1+GrowthMarketRent)^8*IF(8=0,(12-DowntimeNew)/12,1),IF(F50="",0,IF(F50&gt;=DATE(2027+8,4,30),G50*D50*(1+EscalatorInLease)^(8+M50),IF(F50&lt;DATE(2026+8,5,1),IF(I50="Vacate",H50*D50*(1+GrowthMarketRent)^8*IF(INT((DATE(2026+8,10,31)-F50)/365.25)=0,(12-DowntimeNew)/12,1),IF(I50="Option",G50*D50*1.025*(1+EscalatorInLease)^8,IF(I50="Market",Retention*G50*D50*(1+EscalatorInLease)^(8+M50)+(1-Retention)*H50*D50*(1+GrowthMarketRent)^8*IF(INT((DATE(2026+8,10,31)-F50)/365.25)=0,(12-DowntimeNew)/12,1),IF(I50="LeaseUp",H50*D50*(1+GrowthMarketRent)^8*IF(8=0,(12-DowntimeNew)/12,1),0)))),((F50-DATE(2026+8,5,1))/365.25)*G50*D50*(1+EscalatorInLease)^(8+M50)+((DATE(2027+8,4,30)-F50)/365.25)*IF(I50="Vacate",H50*D50*(1+GrowthMarketRent)^8*IF(INT((DATE(2026+8,10,31)-F50)/365.25)=0,(12-DowntimeNew)/12,1),IF(I50="Option",G50*D50*1.025*(1+EscalatorInLease)^8,IF(I50="Market",Retention*G50*D50*(1+EscalatorInLease)^(8+M50)+(1-Retention)*H50*D50*(1+GrowthMarketRent)^8*IF(INT((DATE(2026+8,10,31)-F50)/365.25)=0,(12-DowntimeNew)/12,1),IF(I50="LeaseUp",H50*D50*(1+GrowthMarketRent)^8*IF(8=0,(12-DowntimeNew)/12,1),0)))))))),0)</f>
        <v/>
      </c>
      <c r="W50" s="14">
        <f>IFERROR(IF(I50="LeaseUp",H50*D50*(1+GrowthMarketRent)^9*IF(9=0,(12-DowntimeNew)/12,1),IF(F50="",0,IF(F50&gt;=DATE(2027+9,4,30),G50*D50*(1+EscalatorInLease)^(9+M50),IF(F50&lt;DATE(2026+9,5,1),IF(I50="Vacate",H50*D50*(1+GrowthMarketRent)^9*IF(INT((DATE(2026+9,10,31)-F50)/365.25)=0,(12-DowntimeNew)/12,1),IF(I50="Option",G50*D50*1.025*(1+EscalatorInLease)^9,IF(I50="Market",Retention*G50*D50*(1+EscalatorInLease)^(9+M50)+(1-Retention)*H50*D50*(1+GrowthMarketRent)^9*IF(INT((DATE(2026+9,10,31)-F50)/365.25)=0,(12-DowntimeNew)/12,1),IF(I50="LeaseUp",H50*D50*(1+GrowthMarketRent)^9*IF(9=0,(12-DowntimeNew)/12,1),0)))),((F50-DATE(2026+9,5,1))/365.25)*G50*D50*(1+EscalatorInLease)^(9+M50)+((DATE(2027+9,4,30)-F50)/365.25)*IF(I50="Vacate",H50*D50*(1+GrowthMarketRent)^9*IF(INT((DATE(2026+9,10,31)-F50)/365.25)=0,(12-DowntimeNew)/12,1),IF(I50="Option",G50*D50*1.025*(1+EscalatorInLease)^9,IF(I50="Market",Retention*G50*D50*(1+EscalatorInLease)^(9+M50)+(1-Retention)*H50*D50*(1+GrowthMarketRent)^9*IF(INT((DATE(2026+9,10,31)-F50)/365.25)=0,(12-DowntimeNew)/12,1),IF(I50="LeaseUp",H50*D50*(1+GrowthMarketRent)^9*IF(9=0,(12-DowntimeNew)/12,1),0)))))))),0)</f>
        <v/>
      </c>
      <c r="X50" s="14">
        <f>IFERROR(IF(I50="LeaseUp",H50*D50*(1+GrowthMarketRent)^10*IF(10=0,(12-DowntimeNew)/12,1),IF(F50="",0,IF(F50&gt;=DATE(2027+10,4,30),G50*D50*(1+EscalatorInLease)^(10+M50),IF(F50&lt;DATE(2026+10,5,1),IF(I50="Vacate",H50*D50*(1+GrowthMarketRent)^10*IF(INT((DATE(2026+10,10,31)-F50)/365.25)=0,(12-DowntimeNew)/12,1),IF(I50="Option",G50*D50*1.025*(1+EscalatorInLease)^10,IF(I50="Market",Retention*G50*D50*(1+EscalatorInLease)^(10+M50)+(1-Retention)*H50*D50*(1+GrowthMarketRent)^10*IF(INT((DATE(2026+10,10,31)-F50)/365.25)=0,(12-DowntimeNew)/12,1),IF(I50="LeaseUp",H50*D50*(1+GrowthMarketRent)^10*IF(10=0,(12-DowntimeNew)/12,1),0)))),((F50-DATE(2026+10,5,1))/365.25)*G50*D50*(1+EscalatorInLease)^(10+M50)+((DATE(2027+10,4,30)-F50)/365.25)*IF(I50="Vacate",H50*D50*(1+GrowthMarketRent)^10*IF(INT((DATE(2026+10,10,31)-F50)/365.25)=0,(12-DowntimeNew)/12,1),IF(I50="Option",G50*D50*1.025*(1+EscalatorInLease)^10,IF(I50="Market",Retention*G50*D50*(1+EscalatorInLease)^(10+M50)+(1-Retention)*H50*D50*(1+GrowthMarketRent)^10*IF(INT((DATE(2026+10,10,31)-F50)/365.25)=0,(12-DowntimeNew)/12,1),IF(I50="LeaseUp",H50*D50*(1+GrowthMarketRent)^10*IF(10=0,(12-DowntimeNew)/12,1),0)))))))),0)</f>
        <v/>
      </c>
      <c r="Y50" s="14">
        <f>IFERROR(IF(AND(I50="LeaseUp",0=0),(IF(I50="Vacate",TINew*D50,IF(I50="Market",Retention*TIRenewal*D50+(1-Retention)*TINew*D50,IF(I50="LeaseUp",TINew*D50,IF(I50="Option",TIRenewal*D50,0)))))+(IF(I50="Vacate",LCNew*H50*D50*(1+GrowthMarketRent)^0,IF(I50="Market",Retention*LCRenewal*H50*D50*(1+GrowthMarketRent)^0+(1-Retention)*LCNew*H50*D50*(1+GrowthMarketRent)^0,IF(I50="LeaseUp",LCNew*H50*D50*(1+GrowthMarketRent)^0,IF(I50="Option",LCRenewal*H50*D50*(1+GrowthMarketRent)^0,0))))),IF(F50="",0,IF(AND(F50&gt;=DATE(2026+0,5,1),F50&lt;=DATE(2027+0,4,30)),(IF(I50="Vacate",TINew*D50,IF(I50="Market",Retention*TIRenewal*D50+(1-Retention)*TINew*D50,IF(I50="LeaseUp",TINew*D50,IF(I50="Option",TIRenewal*D50,0)))))+(IF(I50="Vacate",LCNew*H50*D50*(1+GrowthMarketRent)^0,IF(I50="Market",Retention*LCRenewal*H50*D50*(1+GrowthMarketRent)^0+(1-Retention)*LCNew*H50*D50*(1+GrowthMarketRent)^0,IF(I50="LeaseUp",LCNew*H50*D50*(1+GrowthMarketRent)^0,IF(I50="Option",LCRenewal*H50*D50*(1+GrowthMarketRent)^0,0))))),0))),0)</f>
        <v/>
      </c>
      <c r="Z50" s="14">
        <f>IFERROR(IF(AND(I50="LeaseUp",1=0),(IF(I50="Vacate",TINew*D50,IF(I50="Market",Retention*TIRenewal*D50+(1-Retention)*TINew*D50,IF(I50="LeaseUp",TINew*D50,IF(I50="Option",TIRenewal*D50,0)))))+(IF(I50="Vacate",LCNew*H50*D50*(1+GrowthMarketRent)^1,IF(I50="Market",Retention*LCRenewal*H50*D50*(1+GrowthMarketRent)^1+(1-Retention)*LCNew*H50*D50*(1+GrowthMarketRent)^1,IF(I50="LeaseUp",LCNew*H50*D50*(1+GrowthMarketRent)^1,IF(I50="Option",LCRenewal*H50*D50*(1+GrowthMarketRent)^1,0))))),IF(F50="",0,IF(AND(F50&gt;=DATE(2026+1,5,1),F50&lt;=DATE(2027+1,4,30)),(IF(I50="Vacate",TINew*D50,IF(I50="Market",Retention*TIRenewal*D50+(1-Retention)*TINew*D50,IF(I50="LeaseUp",TINew*D50,IF(I50="Option",TIRenewal*D50,0)))))+(IF(I50="Vacate",LCNew*H50*D50*(1+GrowthMarketRent)^1,IF(I50="Market",Retention*LCRenewal*H50*D50*(1+GrowthMarketRent)^1+(1-Retention)*LCNew*H50*D50*(1+GrowthMarketRent)^1,IF(I50="LeaseUp",LCNew*H50*D50*(1+GrowthMarketRent)^1,IF(I50="Option",LCRenewal*H50*D50*(1+GrowthMarketRent)^1,0))))),0))),0)</f>
        <v/>
      </c>
      <c r="AA50" s="14">
        <f>IFERROR(IF(AND(I50="LeaseUp",2=0),(IF(I50="Vacate",TINew*D50,IF(I50="Market",Retention*TIRenewal*D50+(1-Retention)*TINew*D50,IF(I50="LeaseUp",TINew*D50,IF(I50="Option",TIRenewal*D50,0)))))+(IF(I50="Vacate",LCNew*H50*D50*(1+GrowthMarketRent)^2,IF(I50="Market",Retention*LCRenewal*H50*D50*(1+GrowthMarketRent)^2+(1-Retention)*LCNew*H50*D50*(1+GrowthMarketRent)^2,IF(I50="LeaseUp",LCNew*H50*D50*(1+GrowthMarketRent)^2,IF(I50="Option",LCRenewal*H50*D50*(1+GrowthMarketRent)^2,0))))),IF(F50="",0,IF(AND(F50&gt;=DATE(2026+2,5,1),F50&lt;=DATE(2027+2,4,30)),(IF(I50="Vacate",TINew*D50,IF(I50="Market",Retention*TIRenewal*D50+(1-Retention)*TINew*D50,IF(I50="LeaseUp",TINew*D50,IF(I50="Option",TIRenewal*D50,0)))))+(IF(I50="Vacate",LCNew*H50*D50*(1+GrowthMarketRent)^2,IF(I50="Market",Retention*LCRenewal*H50*D50*(1+GrowthMarketRent)^2+(1-Retention)*LCNew*H50*D50*(1+GrowthMarketRent)^2,IF(I50="LeaseUp",LCNew*H50*D50*(1+GrowthMarketRent)^2,IF(I50="Option",LCRenewal*H50*D50*(1+GrowthMarketRent)^2,0))))),0))),0)</f>
        <v/>
      </c>
      <c r="AB50" s="14">
        <f>IFERROR(IF(AND(I50="LeaseUp",3=0),(IF(I50="Vacate",TINew*D50,IF(I50="Market",Retention*TIRenewal*D50+(1-Retention)*TINew*D50,IF(I50="LeaseUp",TINew*D50,IF(I50="Option",TIRenewal*D50,0)))))+(IF(I50="Vacate",LCNew*H50*D50*(1+GrowthMarketRent)^3,IF(I50="Market",Retention*LCRenewal*H50*D50*(1+GrowthMarketRent)^3+(1-Retention)*LCNew*H50*D50*(1+GrowthMarketRent)^3,IF(I50="LeaseUp",LCNew*H50*D50*(1+GrowthMarketRent)^3,IF(I50="Option",LCRenewal*H50*D50*(1+GrowthMarketRent)^3,0))))),IF(F50="",0,IF(AND(F50&gt;=DATE(2026+3,5,1),F50&lt;=DATE(2027+3,4,30)),(IF(I50="Vacate",TINew*D50,IF(I50="Market",Retention*TIRenewal*D50+(1-Retention)*TINew*D50,IF(I50="LeaseUp",TINew*D50,IF(I50="Option",TIRenewal*D50,0)))))+(IF(I50="Vacate",LCNew*H50*D50*(1+GrowthMarketRent)^3,IF(I50="Market",Retention*LCRenewal*H50*D50*(1+GrowthMarketRent)^3+(1-Retention)*LCNew*H50*D50*(1+GrowthMarketRent)^3,IF(I50="LeaseUp",LCNew*H50*D50*(1+GrowthMarketRent)^3,IF(I50="Option",LCRenewal*H50*D50*(1+GrowthMarketRent)^3,0))))),0))),0)</f>
        <v/>
      </c>
      <c r="AC50" s="14">
        <f>IFERROR(IF(AND(I50="LeaseUp",4=0),(IF(I50="Vacate",TINew*D50,IF(I50="Market",Retention*TIRenewal*D50+(1-Retention)*TINew*D50,IF(I50="LeaseUp",TINew*D50,IF(I50="Option",TIRenewal*D50,0)))))+(IF(I50="Vacate",LCNew*H50*D50*(1+GrowthMarketRent)^4,IF(I50="Market",Retention*LCRenewal*H50*D50*(1+GrowthMarketRent)^4+(1-Retention)*LCNew*H50*D50*(1+GrowthMarketRent)^4,IF(I50="LeaseUp",LCNew*H50*D50*(1+GrowthMarketRent)^4,IF(I50="Option",LCRenewal*H50*D50*(1+GrowthMarketRent)^4,0))))),IF(F50="",0,IF(AND(F50&gt;=DATE(2026+4,5,1),F50&lt;=DATE(2027+4,4,30)),(IF(I50="Vacate",TINew*D50,IF(I50="Market",Retention*TIRenewal*D50+(1-Retention)*TINew*D50,IF(I50="LeaseUp",TINew*D50,IF(I50="Option",TIRenewal*D50,0)))))+(IF(I50="Vacate",LCNew*H50*D50*(1+GrowthMarketRent)^4,IF(I50="Market",Retention*LCRenewal*H50*D50*(1+GrowthMarketRent)^4+(1-Retention)*LCNew*H50*D50*(1+GrowthMarketRent)^4,IF(I50="LeaseUp",LCNew*H50*D50*(1+GrowthMarketRent)^4,IF(I50="Option",LCRenewal*H50*D50*(1+GrowthMarketRent)^4,0))))),0))),0)</f>
        <v/>
      </c>
      <c r="AD50" s="14">
        <f>IFERROR(IF(AND(I50="LeaseUp",5=0),(IF(I50="Vacate",TINew*D50,IF(I50="Market",Retention*TIRenewal*D50+(1-Retention)*TINew*D50,IF(I50="LeaseUp",TINew*D50,IF(I50="Option",TIRenewal*D50,0)))))+(IF(I50="Vacate",LCNew*H50*D50*(1+GrowthMarketRent)^5,IF(I50="Market",Retention*LCRenewal*H50*D50*(1+GrowthMarketRent)^5+(1-Retention)*LCNew*H50*D50*(1+GrowthMarketRent)^5,IF(I50="LeaseUp",LCNew*H50*D50*(1+GrowthMarketRent)^5,IF(I50="Option",LCRenewal*H50*D50*(1+GrowthMarketRent)^5,0))))),IF(F50="",0,IF(AND(F50&gt;=DATE(2026+5,5,1),F50&lt;=DATE(2027+5,4,30)),(IF(I50="Vacate",TINew*D50,IF(I50="Market",Retention*TIRenewal*D50+(1-Retention)*TINew*D50,IF(I50="LeaseUp",TINew*D50,IF(I50="Option",TIRenewal*D50,0)))))+(IF(I50="Vacate",LCNew*H50*D50*(1+GrowthMarketRent)^5,IF(I50="Market",Retention*LCRenewal*H50*D50*(1+GrowthMarketRent)^5+(1-Retention)*LCNew*H50*D50*(1+GrowthMarketRent)^5,IF(I50="LeaseUp",LCNew*H50*D50*(1+GrowthMarketRent)^5,IF(I50="Option",LCRenewal*H50*D50*(1+GrowthMarketRent)^5,0))))),0))),0)</f>
        <v/>
      </c>
      <c r="AE50" s="14">
        <f>IFERROR(IF(AND(I50="LeaseUp",6=0),(IF(I50="Vacate",TINew*D50,IF(I50="Market",Retention*TIRenewal*D50+(1-Retention)*TINew*D50,IF(I50="LeaseUp",TINew*D50,IF(I50="Option",TIRenewal*D50,0)))))+(IF(I50="Vacate",LCNew*H50*D50*(1+GrowthMarketRent)^6,IF(I50="Market",Retention*LCRenewal*H50*D50*(1+GrowthMarketRent)^6+(1-Retention)*LCNew*H50*D50*(1+GrowthMarketRent)^6,IF(I50="LeaseUp",LCNew*H50*D50*(1+GrowthMarketRent)^6,IF(I50="Option",LCRenewal*H50*D50*(1+GrowthMarketRent)^6,0))))),IF(F50="",0,IF(AND(F50&gt;=DATE(2026+6,5,1),F50&lt;=DATE(2027+6,4,30)),(IF(I50="Vacate",TINew*D50,IF(I50="Market",Retention*TIRenewal*D50+(1-Retention)*TINew*D50,IF(I50="LeaseUp",TINew*D50,IF(I50="Option",TIRenewal*D50,0)))))+(IF(I50="Vacate",LCNew*H50*D50*(1+GrowthMarketRent)^6,IF(I50="Market",Retention*LCRenewal*H50*D50*(1+GrowthMarketRent)^6+(1-Retention)*LCNew*H50*D50*(1+GrowthMarketRent)^6,IF(I50="LeaseUp",LCNew*H50*D50*(1+GrowthMarketRent)^6,IF(I50="Option",LCRenewal*H50*D50*(1+GrowthMarketRent)^6,0))))),0))),0)</f>
        <v/>
      </c>
      <c r="AF50" s="14">
        <f>IFERROR(IF(AND(I50="LeaseUp",7=0),(IF(I50="Vacate",TINew*D50,IF(I50="Market",Retention*TIRenewal*D50+(1-Retention)*TINew*D50,IF(I50="LeaseUp",TINew*D50,IF(I50="Option",TIRenewal*D50,0)))))+(IF(I50="Vacate",LCNew*H50*D50*(1+GrowthMarketRent)^7,IF(I50="Market",Retention*LCRenewal*H50*D50*(1+GrowthMarketRent)^7+(1-Retention)*LCNew*H50*D50*(1+GrowthMarketRent)^7,IF(I50="LeaseUp",LCNew*H50*D50*(1+GrowthMarketRent)^7,IF(I50="Option",LCRenewal*H50*D50*(1+GrowthMarketRent)^7,0))))),IF(F50="",0,IF(AND(F50&gt;=DATE(2026+7,5,1),F50&lt;=DATE(2027+7,4,30)),(IF(I50="Vacate",TINew*D50,IF(I50="Market",Retention*TIRenewal*D50+(1-Retention)*TINew*D50,IF(I50="LeaseUp",TINew*D50,IF(I50="Option",TIRenewal*D50,0)))))+(IF(I50="Vacate",LCNew*H50*D50*(1+GrowthMarketRent)^7,IF(I50="Market",Retention*LCRenewal*H50*D50*(1+GrowthMarketRent)^7+(1-Retention)*LCNew*H50*D50*(1+GrowthMarketRent)^7,IF(I50="LeaseUp",LCNew*H50*D50*(1+GrowthMarketRent)^7,IF(I50="Option",LCRenewal*H50*D50*(1+GrowthMarketRent)^7,0))))),0))),0)</f>
        <v/>
      </c>
      <c r="AG50" s="14">
        <f>IFERROR(IF(AND(I50="LeaseUp",8=0),(IF(I50="Vacate",TINew*D50,IF(I50="Market",Retention*TIRenewal*D50+(1-Retention)*TINew*D50,IF(I50="LeaseUp",TINew*D50,IF(I50="Option",TIRenewal*D50,0)))))+(IF(I50="Vacate",LCNew*H50*D50*(1+GrowthMarketRent)^8,IF(I50="Market",Retention*LCRenewal*H50*D50*(1+GrowthMarketRent)^8+(1-Retention)*LCNew*H50*D50*(1+GrowthMarketRent)^8,IF(I50="LeaseUp",LCNew*H50*D50*(1+GrowthMarketRent)^8,IF(I50="Option",LCRenewal*H50*D50*(1+GrowthMarketRent)^8,0))))),IF(F50="",0,IF(AND(F50&gt;=DATE(2026+8,5,1),F50&lt;=DATE(2027+8,4,30)),(IF(I50="Vacate",TINew*D50,IF(I50="Market",Retention*TIRenewal*D50+(1-Retention)*TINew*D50,IF(I50="LeaseUp",TINew*D50,IF(I50="Option",TIRenewal*D50,0)))))+(IF(I50="Vacate",LCNew*H50*D50*(1+GrowthMarketRent)^8,IF(I50="Market",Retention*LCRenewal*H50*D50*(1+GrowthMarketRent)^8+(1-Retention)*LCNew*H50*D50*(1+GrowthMarketRent)^8,IF(I50="LeaseUp",LCNew*H50*D50*(1+GrowthMarketRent)^8,IF(I50="Option",LCRenewal*H50*D50*(1+GrowthMarketRent)^8,0))))),0))),0)</f>
        <v/>
      </c>
      <c r="AH50" s="14">
        <f>IFERROR(IF(AND(I50="LeaseUp",9=0),(IF(I50="Vacate",TINew*D50,IF(I50="Market",Retention*TIRenewal*D50+(1-Retention)*TINew*D50,IF(I50="LeaseUp",TINew*D50,IF(I50="Option",TIRenewal*D50,0)))))+(IF(I50="Vacate",LCNew*H50*D50*(1+GrowthMarketRent)^9,IF(I50="Market",Retention*LCRenewal*H50*D50*(1+GrowthMarketRent)^9+(1-Retention)*LCNew*H50*D50*(1+GrowthMarketRent)^9,IF(I50="LeaseUp",LCNew*H50*D50*(1+GrowthMarketRent)^9,IF(I50="Option",LCRenewal*H50*D50*(1+GrowthMarketRent)^9,0))))),IF(F50="",0,IF(AND(F50&gt;=DATE(2026+9,5,1),F50&lt;=DATE(2027+9,4,30)),(IF(I50="Vacate",TINew*D50,IF(I50="Market",Retention*TIRenewal*D50+(1-Retention)*TINew*D50,IF(I50="LeaseUp",TINew*D50,IF(I50="Option",TIRenewal*D50,0)))))+(IF(I50="Vacate",LCNew*H50*D50*(1+GrowthMarketRent)^9,IF(I50="Market",Retention*LCRenewal*H50*D50*(1+GrowthMarketRent)^9+(1-Retention)*LCNew*H50*D50*(1+GrowthMarketRent)^9,IF(I50="LeaseUp",LCNew*H50*D50*(1+GrowthMarketRent)^9,IF(I50="Option",LCRenewal*H50*D50*(1+GrowthMarketRent)^9,0))))),0))),0)</f>
        <v/>
      </c>
      <c r="AI50" s="14">
        <f>IFERROR(IF(AND(I50="LeaseUp",10=0),(IF(I50="Vacate",TINew*D50,IF(I50="Market",Retention*TIRenewal*D50+(1-Retention)*TINew*D50,IF(I50="LeaseUp",TINew*D50,IF(I50="Option",TIRenewal*D50,0)))))+(IF(I50="Vacate",LCNew*H50*D50*(1+GrowthMarketRent)^10,IF(I50="Market",Retention*LCRenewal*H50*D50*(1+GrowthMarketRent)^10+(1-Retention)*LCNew*H50*D50*(1+GrowthMarketRent)^10,IF(I50="LeaseUp",LCNew*H50*D50*(1+GrowthMarketRent)^10,IF(I50="Option",LCRenewal*H50*D50*(1+GrowthMarketRent)^10,0))))),IF(F50="",0,IF(AND(F50&gt;=DATE(2026+10,5,1),F50&lt;=DATE(2027+10,4,30)),(IF(I50="Vacate",TINew*D50,IF(I50="Market",Retention*TIRenewal*D50+(1-Retention)*TINew*D50,IF(I50="LeaseUp",TINew*D50,IF(I50="Option",TIRenewal*D50,0)))))+(IF(I50="Vacate",LCNew*H50*D50*(1+GrowthMarketRent)^10,IF(I50="Market",Retention*LCRenewal*H50*D50*(1+GrowthMarketRent)^10+(1-Retention)*LCNew*H50*D50*(1+GrowthMarketRent)^10,IF(I50="LeaseUp",LCNew*H50*D50*(1+GrowthMarketRent)^10,IF(I50="Option",LCRenewal*H50*D50*(1+GrowthMarketRent)^10,0))))),0))),0)</f>
        <v/>
      </c>
    </row>
    <row r="51">
      <c r="A51" t="inlineStr">
        <is>
          <t>Frisco</t>
        </is>
      </c>
      <c r="B51" t="inlineStr">
        <is>
          <t>111</t>
        </is>
      </c>
      <c r="C51" t="inlineStr">
        <is>
          <t>Proficient Roofing LLC</t>
        </is>
      </c>
      <c r="D51" s="32" t="n">
        <v>2600</v>
      </c>
      <c r="E51" s="33" t="n">
        <v>45748</v>
      </c>
      <c r="F51" s="33" t="n">
        <v>46997</v>
      </c>
      <c r="G51" s="34" t="n">
        <v>16.9126923076923</v>
      </c>
      <c r="H51" s="16">
        <f>VLOOKUP(A51,MLA!$A$5:$L$11,3,FALSE)</f>
        <v/>
      </c>
      <c r="I51" s="11" t="inlineStr">
        <is>
          <t>Market</t>
        </is>
      </c>
      <c r="J51" t="inlineStr">
        <is>
          <t>Shop</t>
        </is>
      </c>
      <c r="K51" t="inlineStr">
        <is>
          <t>Occupied</t>
        </is>
      </c>
      <c r="L51" t="inlineStr">
        <is>
          <t>Guarantor: Juan Tapia</t>
        </is>
      </c>
      <c r="M51" s="20">
        <f>IF(E51="",0,(AnalysisStart-E51)/365.25)</f>
        <v/>
      </c>
      <c r="N51" s="14">
        <f>IFERROR(IF(I51="LeaseUp",H51*D51*(1+GrowthMarketRent)^0*IF(0=0,(12-DowntimeNew)/12,1),IF(F51="",0,IF(F51&gt;=DATE(2027+0,4,30),G51*D51*(1+EscalatorInLease)^(0+M51),IF(F51&lt;DATE(2026+0,5,1),IF(I51="Vacate",H51*D51*(1+GrowthMarketRent)^0*IF(INT((DATE(2026+0,10,31)-F51)/365.25)=0,(12-DowntimeNew)/12,1),IF(I51="Option",G51*D51*1.025*(1+EscalatorInLease)^0,IF(I51="Market",Retention*G51*D51*(1+EscalatorInLease)^(0+M51)+(1-Retention)*H51*D51*(1+GrowthMarketRent)^0*IF(INT((DATE(2026+0,10,31)-F51)/365.25)=0,(12-DowntimeNew)/12,1),IF(I51="LeaseUp",H51*D51*(1+GrowthMarketRent)^0*IF(0=0,(12-DowntimeNew)/12,1),0)))),((F51-DATE(2026+0,5,1))/365.25)*G51*D51*(1+EscalatorInLease)^(0+M51)+((DATE(2027+0,4,30)-F51)/365.25)*IF(I51="Vacate",H51*D51*(1+GrowthMarketRent)^0*IF(INT((DATE(2026+0,10,31)-F51)/365.25)=0,(12-DowntimeNew)/12,1),IF(I51="Option",G51*D51*1.025*(1+EscalatorInLease)^0,IF(I51="Market",Retention*G51*D51*(1+EscalatorInLease)^(0+M51)+(1-Retention)*H51*D51*(1+GrowthMarketRent)^0*IF(INT((DATE(2026+0,10,31)-F51)/365.25)=0,(12-DowntimeNew)/12,1),IF(I51="LeaseUp",H51*D51*(1+GrowthMarketRent)^0*IF(0=0,(12-DowntimeNew)/12,1),0)))))))),0)</f>
        <v/>
      </c>
      <c r="O51" s="14">
        <f>IFERROR(IF(I51="LeaseUp",H51*D51*(1+GrowthMarketRent)^1*IF(1=0,(12-DowntimeNew)/12,1),IF(F51="",0,IF(F51&gt;=DATE(2027+1,4,30),G51*D51*(1+EscalatorInLease)^(1+M51),IF(F51&lt;DATE(2026+1,5,1),IF(I51="Vacate",H51*D51*(1+GrowthMarketRent)^1*IF(INT((DATE(2026+1,10,31)-F51)/365.25)=0,(12-DowntimeNew)/12,1),IF(I51="Option",G51*D51*1.025*(1+EscalatorInLease)^1,IF(I51="Market",Retention*G51*D51*(1+EscalatorInLease)^(1+M51)+(1-Retention)*H51*D51*(1+GrowthMarketRent)^1*IF(INT((DATE(2026+1,10,31)-F51)/365.25)=0,(12-DowntimeNew)/12,1),IF(I51="LeaseUp",H51*D51*(1+GrowthMarketRent)^1*IF(1=0,(12-DowntimeNew)/12,1),0)))),((F51-DATE(2026+1,5,1))/365.25)*G51*D51*(1+EscalatorInLease)^(1+M51)+((DATE(2027+1,4,30)-F51)/365.25)*IF(I51="Vacate",H51*D51*(1+GrowthMarketRent)^1*IF(INT((DATE(2026+1,10,31)-F51)/365.25)=0,(12-DowntimeNew)/12,1),IF(I51="Option",G51*D51*1.025*(1+EscalatorInLease)^1,IF(I51="Market",Retention*G51*D51*(1+EscalatorInLease)^(1+M51)+(1-Retention)*H51*D51*(1+GrowthMarketRent)^1*IF(INT((DATE(2026+1,10,31)-F51)/365.25)=0,(12-DowntimeNew)/12,1),IF(I51="LeaseUp",H51*D51*(1+GrowthMarketRent)^1*IF(1=0,(12-DowntimeNew)/12,1),0)))))))),0)</f>
        <v/>
      </c>
      <c r="P51" s="14">
        <f>IFERROR(IF(I51="LeaseUp",H51*D51*(1+GrowthMarketRent)^2*IF(2=0,(12-DowntimeNew)/12,1),IF(F51="",0,IF(F51&gt;=DATE(2027+2,4,30),G51*D51*(1+EscalatorInLease)^(2+M51),IF(F51&lt;DATE(2026+2,5,1),IF(I51="Vacate",H51*D51*(1+GrowthMarketRent)^2*IF(INT((DATE(2026+2,10,31)-F51)/365.25)=0,(12-DowntimeNew)/12,1),IF(I51="Option",G51*D51*1.025*(1+EscalatorInLease)^2,IF(I51="Market",Retention*G51*D51*(1+EscalatorInLease)^(2+M51)+(1-Retention)*H51*D51*(1+GrowthMarketRent)^2*IF(INT((DATE(2026+2,10,31)-F51)/365.25)=0,(12-DowntimeNew)/12,1),IF(I51="LeaseUp",H51*D51*(1+GrowthMarketRent)^2*IF(2=0,(12-DowntimeNew)/12,1),0)))),((F51-DATE(2026+2,5,1))/365.25)*G51*D51*(1+EscalatorInLease)^(2+M51)+((DATE(2027+2,4,30)-F51)/365.25)*IF(I51="Vacate",H51*D51*(1+GrowthMarketRent)^2*IF(INT((DATE(2026+2,10,31)-F51)/365.25)=0,(12-DowntimeNew)/12,1),IF(I51="Option",G51*D51*1.025*(1+EscalatorInLease)^2,IF(I51="Market",Retention*G51*D51*(1+EscalatorInLease)^(2+M51)+(1-Retention)*H51*D51*(1+GrowthMarketRent)^2*IF(INT((DATE(2026+2,10,31)-F51)/365.25)=0,(12-DowntimeNew)/12,1),IF(I51="LeaseUp",H51*D51*(1+GrowthMarketRent)^2*IF(2=0,(12-DowntimeNew)/12,1),0)))))))),0)</f>
        <v/>
      </c>
      <c r="Q51" s="14">
        <f>IFERROR(IF(I51="LeaseUp",H51*D51*(1+GrowthMarketRent)^3*IF(3=0,(12-DowntimeNew)/12,1),IF(F51="",0,IF(F51&gt;=DATE(2027+3,4,30),G51*D51*(1+EscalatorInLease)^(3+M51),IF(F51&lt;DATE(2026+3,5,1),IF(I51="Vacate",H51*D51*(1+GrowthMarketRent)^3*IF(INT((DATE(2026+3,10,31)-F51)/365.25)=0,(12-DowntimeNew)/12,1),IF(I51="Option",G51*D51*1.025*(1+EscalatorInLease)^3,IF(I51="Market",Retention*G51*D51*(1+EscalatorInLease)^(3+M51)+(1-Retention)*H51*D51*(1+GrowthMarketRent)^3*IF(INT((DATE(2026+3,10,31)-F51)/365.25)=0,(12-DowntimeNew)/12,1),IF(I51="LeaseUp",H51*D51*(1+GrowthMarketRent)^3*IF(3=0,(12-DowntimeNew)/12,1),0)))),((F51-DATE(2026+3,5,1))/365.25)*G51*D51*(1+EscalatorInLease)^(3+M51)+((DATE(2027+3,4,30)-F51)/365.25)*IF(I51="Vacate",H51*D51*(1+GrowthMarketRent)^3*IF(INT((DATE(2026+3,10,31)-F51)/365.25)=0,(12-DowntimeNew)/12,1),IF(I51="Option",G51*D51*1.025*(1+EscalatorInLease)^3,IF(I51="Market",Retention*G51*D51*(1+EscalatorInLease)^(3+M51)+(1-Retention)*H51*D51*(1+GrowthMarketRent)^3*IF(INT((DATE(2026+3,10,31)-F51)/365.25)=0,(12-DowntimeNew)/12,1),IF(I51="LeaseUp",H51*D51*(1+GrowthMarketRent)^3*IF(3=0,(12-DowntimeNew)/12,1),0)))))))),0)</f>
        <v/>
      </c>
      <c r="R51" s="14">
        <f>IFERROR(IF(I51="LeaseUp",H51*D51*(1+GrowthMarketRent)^4*IF(4=0,(12-DowntimeNew)/12,1),IF(F51="",0,IF(F51&gt;=DATE(2027+4,4,30),G51*D51*(1+EscalatorInLease)^(4+M51),IF(F51&lt;DATE(2026+4,5,1),IF(I51="Vacate",H51*D51*(1+GrowthMarketRent)^4*IF(INT((DATE(2026+4,10,31)-F51)/365.25)=0,(12-DowntimeNew)/12,1),IF(I51="Option",G51*D51*1.025*(1+EscalatorInLease)^4,IF(I51="Market",Retention*G51*D51*(1+EscalatorInLease)^(4+M51)+(1-Retention)*H51*D51*(1+GrowthMarketRent)^4*IF(INT((DATE(2026+4,10,31)-F51)/365.25)=0,(12-DowntimeNew)/12,1),IF(I51="LeaseUp",H51*D51*(1+GrowthMarketRent)^4*IF(4=0,(12-DowntimeNew)/12,1),0)))),((F51-DATE(2026+4,5,1))/365.25)*G51*D51*(1+EscalatorInLease)^(4+M51)+((DATE(2027+4,4,30)-F51)/365.25)*IF(I51="Vacate",H51*D51*(1+GrowthMarketRent)^4*IF(INT((DATE(2026+4,10,31)-F51)/365.25)=0,(12-DowntimeNew)/12,1),IF(I51="Option",G51*D51*1.025*(1+EscalatorInLease)^4,IF(I51="Market",Retention*G51*D51*(1+EscalatorInLease)^(4+M51)+(1-Retention)*H51*D51*(1+GrowthMarketRent)^4*IF(INT((DATE(2026+4,10,31)-F51)/365.25)=0,(12-DowntimeNew)/12,1),IF(I51="LeaseUp",H51*D51*(1+GrowthMarketRent)^4*IF(4=0,(12-DowntimeNew)/12,1),0)))))))),0)</f>
        <v/>
      </c>
      <c r="S51" s="14">
        <f>IFERROR(IF(I51="LeaseUp",H51*D51*(1+GrowthMarketRent)^5*IF(5=0,(12-DowntimeNew)/12,1),IF(F51="",0,IF(F51&gt;=DATE(2027+5,4,30),G51*D51*(1+EscalatorInLease)^(5+M51),IF(F51&lt;DATE(2026+5,5,1),IF(I51="Vacate",H51*D51*(1+GrowthMarketRent)^5*IF(INT((DATE(2026+5,10,31)-F51)/365.25)=0,(12-DowntimeNew)/12,1),IF(I51="Option",G51*D51*1.025*(1+EscalatorInLease)^5,IF(I51="Market",Retention*G51*D51*(1+EscalatorInLease)^(5+M51)+(1-Retention)*H51*D51*(1+GrowthMarketRent)^5*IF(INT((DATE(2026+5,10,31)-F51)/365.25)=0,(12-DowntimeNew)/12,1),IF(I51="LeaseUp",H51*D51*(1+GrowthMarketRent)^5*IF(5=0,(12-DowntimeNew)/12,1),0)))),((F51-DATE(2026+5,5,1))/365.25)*G51*D51*(1+EscalatorInLease)^(5+M51)+((DATE(2027+5,4,30)-F51)/365.25)*IF(I51="Vacate",H51*D51*(1+GrowthMarketRent)^5*IF(INT((DATE(2026+5,10,31)-F51)/365.25)=0,(12-DowntimeNew)/12,1),IF(I51="Option",G51*D51*1.025*(1+EscalatorInLease)^5,IF(I51="Market",Retention*G51*D51*(1+EscalatorInLease)^(5+M51)+(1-Retention)*H51*D51*(1+GrowthMarketRent)^5*IF(INT((DATE(2026+5,10,31)-F51)/365.25)=0,(12-DowntimeNew)/12,1),IF(I51="LeaseUp",H51*D51*(1+GrowthMarketRent)^5*IF(5=0,(12-DowntimeNew)/12,1),0)))))))),0)</f>
        <v/>
      </c>
      <c r="T51" s="14">
        <f>IFERROR(IF(I51="LeaseUp",H51*D51*(1+GrowthMarketRent)^6*IF(6=0,(12-DowntimeNew)/12,1),IF(F51="",0,IF(F51&gt;=DATE(2027+6,4,30),G51*D51*(1+EscalatorInLease)^(6+M51),IF(F51&lt;DATE(2026+6,5,1),IF(I51="Vacate",H51*D51*(1+GrowthMarketRent)^6*IF(INT((DATE(2026+6,10,31)-F51)/365.25)=0,(12-DowntimeNew)/12,1),IF(I51="Option",G51*D51*1.025*(1+EscalatorInLease)^6,IF(I51="Market",Retention*G51*D51*(1+EscalatorInLease)^(6+M51)+(1-Retention)*H51*D51*(1+GrowthMarketRent)^6*IF(INT((DATE(2026+6,10,31)-F51)/365.25)=0,(12-DowntimeNew)/12,1),IF(I51="LeaseUp",H51*D51*(1+GrowthMarketRent)^6*IF(6=0,(12-DowntimeNew)/12,1),0)))),((F51-DATE(2026+6,5,1))/365.25)*G51*D51*(1+EscalatorInLease)^(6+M51)+((DATE(2027+6,4,30)-F51)/365.25)*IF(I51="Vacate",H51*D51*(1+GrowthMarketRent)^6*IF(INT((DATE(2026+6,10,31)-F51)/365.25)=0,(12-DowntimeNew)/12,1),IF(I51="Option",G51*D51*1.025*(1+EscalatorInLease)^6,IF(I51="Market",Retention*G51*D51*(1+EscalatorInLease)^(6+M51)+(1-Retention)*H51*D51*(1+GrowthMarketRent)^6*IF(INT((DATE(2026+6,10,31)-F51)/365.25)=0,(12-DowntimeNew)/12,1),IF(I51="LeaseUp",H51*D51*(1+GrowthMarketRent)^6*IF(6=0,(12-DowntimeNew)/12,1),0)))))))),0)</f>
        <v/>
      </c>
      <c r="U51" s="14">
        <f>IFERROR(IF(I51="LeaseUp",H51*D51*(1+GrowthMarketRent)^7*IF(7=0,(12-DowntimeNew)/12,1),IF(F51="",0,IF(F51&gt;=DATE(2027+7,4,30),G51*D51*(1+EscalatorInLease)^(7+M51),IF(F51&lt;DATE(2026+7,5,1),IF(I51="Vacate",H51*D51*(1+GrowthMarketRent)^7*IF(INT((DATE(2026+7,10,31)-F51)/365.25)=0,(12-DowntimeNew)/12,1),IF(I51="Option",G51*D51*1.025*(1+EscalatorInLease)^7,IF(I51="Market",Retention*G51*D51*(1+EscalatorInLease)^(7+M51)+(1-Retention)*H51*D51*(1+GrowthMarketRent)^7*IF(INT((DATE(2026+7,10,31)-F51)/365.25)=0,(12-DowntimeNew)/12,1),IF(I51="LeaseUp",H51*D51*(1+GrowthMarketRent)^7*IF(7=0,(12-DowntimeNew)/12,1),0)))),((F51-DATE(2026+7,5,1))/365.25)*G51*D51*(1+EscalatorInLease)^(7+M51)+((DATE(2027+7,4,30)-F51)/365.25)*IF(I51="Vacate",H51*D51*(1+GrowthMarketRent)^7*IF(INT((DATE(2026+7,10,31)-F51)/365.25)=0,(12-DowntimeNew)/12,1),IF(I51="Option",G51*D51*1.025*(1+EscalatorInLease)^7,IF(I51="Market",Retention*G51*D51*(1+EscalatorInLease)^(7+M51)+(1-Retention)*H51*D51*(1+GrowthMarketRent)^7*IF(INT((DATE(2026+7,10,31)-F51)/365.25)=0,(12-DowntimeNew)/12,1),IF(I51="LeaseUp",H51*D51*(1+GrowthMarketRent)^7*IF(7=0,(12-DowntimeNew)/12,1),0)))))))),0)</f>
        <v/>
      </c>
      <c r="V51" s="14">
        <f>IFERROR(IF(I51="LeaseUp",H51*D51*(1+GrowthMarketRent)^8*IF(8=0,(12-DowntimeNew)/12,1),IF(F51="",0,IF(F51&gt;=DATE(2027+8,4,30),G51*D51*(1+EscalatorInLease)^(8+M51),IF(F51&lt;DATE(2026+8,5,1),IF(I51="Vacate",H51*D51*(1+GrowthMarketRent)^8*IF(INT((DATE(2026+8,10,31)-F51)/365.25)=0,(12-DowntimeNew)/12,1),IF(I51="Option",G51*D51*1.025*(1+EscalatorInLease)^8,IF(I51="Market",Retention*G51*D51*(1+EscalatorInLease)^(8+M51)+(1-Retention)*H51*D51*(1+GrowthMarketRent)^8*IF(INT((DATE(2026+8,10,31)-F51)/365.25)=0,(12-DowntimeNew)/12,1),IF(I51="LeaseUp",H51*D51*(1+GrowthMarketRent)^8*IF(8=0,(12-DowntimeNew)/12,1),0)))),((F51-DATE(2026+8,5,1))/365.25)*G51*D51*(1+EscalatorInLease)^(8+M51)+((DATE(2027+8,4,30)-F51)/365.25)*IF(I51="Vacate",H51*D51*(1+GrowthMarketRent)^8*IF(INT((DATE(2026+8,10,31)-F51)/365.25)=0,(12-DowntimeNew)/12,1),IF(I51="Option",G51*D51*1.025*(1+EscalatorInLease)^8,IF(I51="Market",Retention*G51*D51*(1+EscalatorInLease)^(8+M51)+(1-Retention)*H51*D51*(1+GrowthMarketRent)^8*IF(INT((DATE(2026+8,10,31)-F51)/365.25)=0,(12-DowntimeNew)/12,1),IF(I51="LeaseUp",H51*D51*(1+GrowthMarketRent)^8*IF(8=0,(12-DowntimeNew)/12,1),0)))))))),0)</f>
        <v/>
      </c>
      <c r="W51" s="14">
        <f>IFERROR(IF(I51="LeaseUp",H51*D51*(1+GrowthMarketRent)^9*IF(9=0,(12-DowntimeNew)/12,1),IF(F51="",0,IF(F51&gt;=DATE(2027+9,4,30),G51*D51*(1+EscalatorInLease)^(9+M51),IF(F51&lt;DATE(2026+9,5,1),IF(I51="Vacate",H51*D51*(1+GrowthMarketRent)^9*IF(INT((DATE(2026+9,10,31)-F51)/365.25)=0,(12-DowntimeNew)/12,1),IF(I51="Option",G51*D51*1.025*(1+EscalatorInLease)^9,IF(I51="Market",Retention*G51*D51*(1+EscalatorInLease)^(9+M51)+(1-Retention)*H51*D51*(1+GrowthMarketRent)^9*IF(INT((DATE(2026+9,10,31)-F51)/365.25)=0,(12-DowntimeNew)/12,1),IF(I51="LeaseUp",H51*D51*(1+GrowthMarketRent)^9*IF(9=0,(12-DowntimeNew)/12,1),0)))),((F51-DATE(2026+9,5,1))/365.25)*G51*D51*(1+EscalatorInLease)^(9+M51)+((DATE(2027+9,4,30)-F51)/365.25)*IF(I51="Vacate",H51*D51*(1+GrowthMarketRent)^9*IF(INT((DATE(2026+9,10,31)-F51)/365.25)=0,(12-DowntimeNew)/12,1),IF(I51="Option",G51*D51*1.025*(1+EscalatorInLease)^9,IF(I51="Market",Retention*G51*D51*(1+EscalatorInLease)^(9+M51)+(1-Retention)*H51*D51*(1+GrowthMarketRent)^9*IF(INT((DATE(2026+9,10,31)-F51)/365.25)=0,(12-DowntimeNew)/12,1),IF(I51="LeaseUp",H51*D51*(1+GrowthMarketRent)^9*IF(9=0,(12-DowntimeNew)/12,1),0)))))))),0)</f>
        <v/>
      </c>
      <c r="X51" s="14">
        <f>IFERROR(IF(I51="LeaseUp",H51*D51*(1+GrowthMarketRent)^10*IF(10=0,(12-DowntimeNew)/12,1),IF(F51="",0,IF(F51&gt;=DATE(2027+10,4,30),G51*D51*(1+EscalatorInLease)^(10+M51),IF(F51&lt;DATE(2026+10,5,1),IF(I51="Vacate",H51*D51*(1+GrowthMarketRent)^10*IF(INT((DATE(2026+10,10,31)-F51)/365.25)=0,(12-DowntimeNew)/12,1),IF(I51="Option",G51*D51*1.025*(1+EscalatorInLease)^10,IF(I51="Market",Retention*G51*D51*(1+EscalatorInLease)^(10+M51)+(1-Retention)*H51*D51*(1+GrowthMarketRent)^10*IF(INT((DATE(2026+10,10,31)-F51)/365.25)=0,(12-DowntimeNew)/12,1),IF(I51="LeaseUp",H51*D51*(1+GrowthMarketRent)^10*IF(10=0,(12-DowntimeNew)/12,1),0)))),((F51-DATE(2026+10,5,1))/365.25)*G51*D51*(1+EscalatorInLease)^(10+M51)+((DATE(2027+10,4,30)-F51)/365.25)*IF(I51="Vacate",H51*D51*(1+GrowthMarketRent)^10*IF(INT((DATE(2026+10,10,31)-F51)/365.25)=0,(12-DowntimeNew)/12,1),IF(I51="Option",G51*D51*1.025*(1+EscalatorInLease)^10,IF(I51="Market",Retention*G51*D51*(1+EscalatorInLease)^(10+M51)+(1-Retention)*H51*D51*(1+GrowthMarketRent)^10*IF(INT((DATE(2026+10,10,31)-F51)/365.25)=0,(12-DowntimeNew)/12,1),IF(I51="LeaseUp",H51*D51*(1+GrowthMarketRent)^10*IF(10=0,(12-DowntimeNew)/12,1),0)))))))),0)</f>
        <v/>
      </c>
      <c r="Y51" s="14">
        <f>IFERROR(IF(AND(I51="LeaseUp",0=0),(IF(I51="Vacate",TINew*D51,IF(I51="Market",Retention*TIRenewal*D51+(1-Retention)*TINew*D51,IF(I51="LeaseUp",TINew*D51,IF(I51="Option",TIRenewal*D51,0)))))+(IF(I51="Vacate",LCNew*H51*D51*(1+GrowthMarketRent)^0,IF(I51="Market",Retention*LCRenewal*H51*D51*(1+GrowthMarketRent)^0+(1-Retention)*LCNew*H51*D51*(1+GrowthMarketRent)^0,IF(I51="LeaseUp",LCNew*H51*D51*(1+GrowthMarketRent)^0,IF(I51="Option",LCRenewal*H51*D51*(1+GrowthMarketRent)^0,0))))),IF(F51="",0,IF(AND(F51&gt;=DATE(2026+0,5,1),F51&lt;=DATE(2027+0,4,30)),(IF(I51="Vacate",TINew*D51,IF(I51="Market",Retention*TIRenewal*D51+(1-Retention)*TINew*D51,IF(I51="LeaseUp",TINew*D51,IF(I51="Option",TIRenewal*D51,0)))))+(IF(I51="Vacate",LCNew*H51*D51*(1+GrowthMarketRent)^0,IF(I51="Market",Retention*LCRenewal*H51*D51*(1+GrowthMarketRent)^0+(1-Retention)*LCNew*H51*D51*(1+GrowthMarketRent)^0,IF(I51="LeaseUp",LCNew*H51*D51*(1+GrowthMarketRent)^0,IF(I51="Option",LCRenewal*H51*D51*(1+GrowthMarketRent)^0,0))))),0))),0)</f>
        <v/>
      </c>
      <c r="Z51" s="14">
        <f>IFERROR(IF(AND(I51="LeaseUp",1=0),(IF(I51="Vacate",TINew*D51,IF(I51="Market",Retention*TIRenewal*D51+(1-Retention)*TINew*D51,IF(I51="LeaseUp",TINew*D51,IF(I51="Option",TIRenewal*D51,0)))))+(IF(I51="Vacate",LCNew*H51*D51*(1+GrowthMarketRent)^1,IF(I51="Market",Retention*LCRenewal*H51*D51*(1+GrowthMarketRent)^1+(1-Retention)*LCNew*H51*D51*(1+GrowthMarketRent)^1,IF(I51="LeaseUp",LCNew*H51*D51*(1+GrowthMarketRent)^1,IF(I51="Option",LCRenewal*H51*D51*(1+GrowthMarketRent)^1,0))))),IF(F51="",0,IF(AND(F51&gt;=DATE(2026+1,5,1),F51&lt;=DATE(2027+1,4,30)),(IF(I51="Vacate",TINew*D51,IF(I51="Market",Retention*TIRenewal*D51+(1-Retention)*TINew*D51,IF(I51="LeaseUp",TINew*D51,IF(I51="Option",TIRenewal*D51,0)))))+(IF(I51="Vacate",LCNew*H51*D51*(1+GrowthMarketRent)^1,IF(I51="Market",Retention*LCRenewal*H51*D51*(1+GrowthMarketRent)^1+(1-Retention)*LCNew*H51*D51*(1+GrowthMarketRent)^1,IF(I51="LeaseUp",LCNew*H51*D51*(1+GrowthMarketRent)^1,IF(I51="Option",LCRenewal*H51*D51*(1+GrowthMarketRent)^1,0))))),0))),0)</f>
        <v/>
      </c>
      <c r="AA51" s="14">
        <f>IFERROR(IF(AND(I51="LeaseUp",2=0),(IF(I51="Vacate",TINew*D51,IF(I51="Market",Retention*TIRenewal*D51+(1-Retention)*TINew*D51,IF(I51="LeaseUp",TINew*D51,IF(I51="Option",TIRenewal*D51,0)))))+(IF(I51="Vacate",LCNew*H51*D51*(1+GrowthMarketRent)^2,IF(I51="Market",Retention*LCRenewal*H51*D51*(1+GrowthMarketRent)^2+(1-Retention)*LCNew*H51*D51*(1+GrowthMarketRent)^2,IF(I51="LeaseUp",LCNew*H51*D51*(1+GrowthMarketRent)^2,IF(I51="Option",LCRenewal*H51*D51*(1+GrowthMarketRent)^2,0))))),IF(F51="",0,IF(AND(F51&gt;=DATE(2026+2,5,1),F51&lt;=DATE(2027+2,4,30)),(IF(I51="Vacate",TINew*D51,IF(I51="Market",Retention*TIRenewal*D51+(1-Retention)*TINew*D51,IF(I51="LeaseUp",TINew*D51,IF(I51="Option",TIRenewal*D51,0)))))+(IF(I51="Vacate",LCNew*H51*D51*(1+GrowthMarketRent)^2,IF(I51="Market",Retention*LCRenewal*H51*D51*(1+GrowthMarketRent)^2+(1-Retention)*LCNew*H51*D51*(1+GrowthMarketRent)^2,IF(I51="LeaseUp",LCNew*H51*D51*(1+GrowthMarketRent)^2,IF(I51="Option",LCRenewal*H51*D51*(1+GrowthMarketRent)^2,0))))),0))),0)</f>
        <v/>
      </c>
      <c r="AB51" s="14">
        <f>IFERROR(IF(AND(I51="LeaseUp",3=0),(IF(I51="Vacate",TINew*D51,IF(I51="Market",Retention*TIRenewal*D51+(1-Retention)*TINew*D51,IF(I51="LeaseUp",TINew*D51,IF(I51="Option",TIRenewal*D51,0)))))+(IF(I51="Vacate",LCNew*H51*D51*(1+GrowthMarketRent)^3,IF(I51="Market",Retention*LCRenewal*H51*D51*(1+GrowthMarketRent)^3+(1-Retention)*LCNew*H51*D51*(1+GrowthMarketRent)^3,IF(I51="LeaseUp",LCNew*H51*D51*(1+GrowthMarketRent)^3,IF(I51="Option",LCRenewal*H51*D51*(1+GrowthMarketRent)^3,0))))),IF(F51="",0,IF(AND(F51&gt;=DATE(2026+3,5,1),F51&lt;=DATE(2027+3,4,30)),(IF(I51="Vacate",TINew*D51,IF(I51="Market",Retention*TIRenewal*D51+(1-Retention)*TINew*D51,IF(I51="LeaseUp",TINew*D51,IF(I51="Option",TIRenewal*D51,0)))))+(IF(I51="Vacate",LCNew*H51*D51*(1+GrowthMarketRent)^3,IF(I51="Market",Retention*LCRenewal*H51*D51*(1+GrowthMarketRent)^3+(1-Retention)*LCNew*H51*D51*(1+GrowthMarketRent)^3,IF(I51="LeaseUp",LCNew*H51*D51*(1+GrowthMarketRent)^3,IF(I51="Option",LCRenewal*H51*D51*(1+GrowthMarketRent)^3,0))))),0))),0)</f>
        <v/>
      </c>
      <c r="AC51" s="14">
        <f>IFERROR(IF(AND(I51="LeaseUp",4=0),(IF(I51="Vacate",TINew*D51,IF(I51="Market",Retention*TIRenewal*D51+(1-Retention)*TINew*D51,IF(I51="LeaseUp",TINew*D51,IF(I51="Option",TIRenewal*D51,0)))))+(IF(I51="Vacate",LCNew*H51*D51*(1+GrowthMarketRent)^4,IF(I51="Market",Retention*LCRenewal*H51*D51*(1+GrowthMarketRent)^4+(1-Retention)*LCNew*H51*D51*(1+GrowthMarketRent)^4,IF(I51="LeaseUp",LCNew*H51*D51*(1+GrowthMarketRent)^4,IF(I51="Option",LCRenewal*H51*D51*(1+GrowthMarketRent)^4,0))))),IF(F51="",0,IF(AND(F51&gt;=DATE(2026+4,5,1),F51&lt;=DATE(2027+4,4,30)),(IF(I51="Vacate",TINew*D51,IF(I51="Market",Retention*TIRenewal*D51+(1-Retention)*TINew*D51,IF(I51="LeaseUp",TINew*D51,IF(I51="Option",TIRenewal*D51,0)))))+(IF(I51="Vacate",LCNew*H51*D51*(1+GrowthMarketRent)^4,IF(I51="Market",Retention*LCRenewal*H51*D51*(1+GrowthMarketRent)^4+(1-Retention)*LCNew*H51*D51*(1+GrowthMarketRent)^4,IF(I51="LeaseUp",LCNew*H51*D51*(1+GrowthMarketRent)^4,IF(I51="Option",LCRenewal*H51*D51*(1+GrowthMarketRent)^4,0))))),0))),0)</f>
        <v/>
      </c>
      <c r="AD51" s="14">
        <f>IFERROR(IF(AND(I51="LeaseUp",5=0),(IF(I51="Vacate",TINew*D51,IF(I51="Market",Retention*TIRenewal*D51+(1-Retention)*TINew*D51,IF(I51="LeaseUp",TINew*D51,IF(I51="Option",TIRenewal*D51,0)))))+(IF(I51="Vacate",LCNew*H51*D51*(1+GrowthMarketRent)^5,IF(I51="Market",Retention*LCRenewal*H51*D51*(1+GrowthMarketRent)^5+(1-Retention)*LCNew*H51*D51*(1+GrowthMarketRent)^5,IF(I51="LeaseUp",LCNew*H51*D51*(1+GrowthMarketRent)^5,IF(I51="Option",LCRenewal*H51*D51*(1+GrowthMarketRent)^5,0))))),IF(F51="",0,IF(AND(F51&gt;=DATE(2026+5,5,1),F51&lt;=DATE(2027+5,4,30)),(IF(I51="Vacate",TINew*D51,IF(I51="Market",Retention*TIRenewal*D51+(1-Retention)*TINew*D51,IF(I51="LeaseUp",TINew*D51,IF(I51="Option",TIRenewal*D51,0)))))+(IF(I51="Vacate",LCNew*H51*D51*(1+GrowthMarketRent)^5,IF(I51="Market",Retention*LCRenewal*H51*D51*(1+GrowthMarketRent)^5+(1-Retention)*LCNew*H51*D51*(1+GrowthMarketRent)^5,IF(I51="LeaseUp",LCNew*H51*D51*(1+GrowthMarketRent)^5,IF(I51="Option",LCRenewal*H51*D51*(1+GrowthMarketRent)^5,0))))),0))),0)</f>
        <v/>
      </c>
      <c r="AE51" s="14">
        <f>IFERROR(IF(AND(I51="LeaseUp",6=0),(IF(I51="Vacate",TINew*D51,IF(I51="Market",Retention*TIRenewal*D51+(1-Retention)*TINew*D51,IF(I51="LeaseUp",TINew*D51,IF(I51="Option",TIRenewal*D51,0)))))+(IF(I51="Vacate",LCNew*H51*D51*(1+GrowthMarketRent)^6,IF(I51="Market",Retention*LCRenewal*H51*D51*(1+GrowthMarketRent)^6+(1-Retention)*LCNew*H51*D51*(1+GrowthMarketRent)^6,IF(I51="LeaseUp",LCNew*H51*D51*(1+GrowthMarketRent)^6,IF(I51="Option",LCRenewal*H51*D51*(1+GrowthMarketRent)^6,0))))),IF(F51="",0,IF(AND(F51&gt;=DATE(2026+6,5,1),F51&lt;=DATE(2027+6,4,30)),(IF(I51="Vacate",TINew*D51,IF(I51="Market",Retention*TIRenewal*D51+(1-Retention)*TINew*D51,IF(I51="LeaseUp",TINew*D51,IF(I51="Option",TIRenewal*D51,0)))))+(IF(I51="Vacate",LCNew*H51*D51*(1+GrowthMarketRent)^6,IF(I51="Market",Retention*LCRenewal*H51*D51*(1+GrowthMarketRent)^6+(1-Retention)*LCNew*H51*D51*(1+GrowthMarketRent)^6,IF(I51="LeaseUp",LCNew*H51*D51*(1+GrowthMarketRent)^6,IF(I51="Option",LCRenewal*H51*D51*(1+GrowthMarketRent)^6,0))))),0))),0)</f>
        <v/>
      </c>
      <c r="AF51" s="14">
        <f>IFERROR(IF(AND(I51="LeaseUp",7=0),(IF(I51="Vacate",TINew*D51,IF(I51="Market",Retention*TIRenewal*D51+(1-Retention)*TINew*D51,IF(I51="LeaseUp",TINew*D51,IF(I51="Option",TIRenewal*D51,0)))))+(IF(I51="Vacate",LCNew*H51*D51*(1+GrowthMarketRent)^7,IF(I51="Market",Retention*LCRenewal*H51*D51*(1+GrowthMarketRent)^7+(1-Retention)*LCNew*H51*D51*(1+GrowthMarketRent)^7,IF(I51="LeaseUp",LCNew*H51*D51*(1+GrowthMarketRent)^7,IF(I51="Option",LCRenewal*H51*D51*(1+GrowthMarketRent)^7,0))))),IF(F51="",0,IF(AND(F51&gt;=DATE(2026+7,5,1),F51&lt;=DATE(2027+7,4,30)),(IF(I51="Vacate",TINew*D51,IF(I51="Market",Retention*TIRenewal*D51+(1-Retention)*TINew*D51,IF(I51="LeaseUp",TINew*D51,IF(I51="Option",TIRenewal*D51,0)))))+(IF(I51="Vacate",LCNew*H51*D51*(1+GrowthMarketRent)^7,IF(I51="Market",Retention*LCRenewal*H51*D51*(1+GrowthMarketRent)^7+(1-Retention)*LCNew*H51*D51*(1+GrowthMarketRent)^7,IF(I51="LeaseUp",LCNew*H51*D51*(1+GrowthMarketRent)^7,IF(I51="Option",LCRenewal*H51*D51*(1+GrowthMarketRent)^7,0))))),0))),0)</f>
        <v/>
      </c>
      <c r="AG51" s="14">
        <f>IFERROR(IF(AND(I51="LeaseUp",8=0),(IF(I51="Vacate",TINew*D51,IF(I51="Market",Retention*TIRenewal*D51+(1-Retention)*TINew*D51,IF(I51="LeaseUp",TINew*D51,IF(I51="Option",TIRenewal*D51,0)))))+(IF(I51="Vacate",LCNew*H51*D51*(1+GrowthMarketRent)^8,IF(I51="Market",Retention*LCRenewal*H51*D51*(1+GrowthMarketRent)^8+(1-Retention)*LCNew*H51*D51*(1+GrowthMarketRent)^8,IF(I51="LeaseUp",LCNew*H51*D51*(1+GrowthMarketRent)^8,IF(I51="Option",LCRenewal*H51*D51*(1+GrowthMarketRent)^8,0))))),IF(F51="",0,IF(AND(F51&gt;=DATE(2026+8,5,1),F51&lt;=DATE(2027+8,4,30)),(IF(I51="Vacate",TINew*D51,IF(I51="Market",Retention*TIRenewal*D51+(1-Retention)*TINew*D51,IF(I51="LeaseUp",TINew*D51,IF(I51="Option",TIRenewal*D51,0)))))+(IF(I51="Vacate",LCNew*H51*D51*(1+GrowthMarketRent)^8,IF(I51="Market",Retention*LCRenewal*H51*D51*(1+GrowthMarketRent)^8+(1-Retention)*LCNew*H51*D51*(1+GrowthMarketRent)^8,IF(I51="LeaseUp",LCNew*H51*D51*(1+GrowthMarketRent)^8,IF(I51="Option",LCRenewal*H51*D51*(1+GrowthMarketRent)^8,0))))),0))),0)</f>
        <v/>
      </c>
      <c r="AH51" s="14">
        <f>IFERROR(IF(AND(I51="LeaseUp",9=0),(IF(I51="Vacate",TINew*D51,IF(I51="Market",Retention*TIRenewal*D51+(1-Retention)*TINew*D51,IF(I51="LeaseUp",TINew*D51,IF(I51="Option",TIRenewal*D51,0)))))+(IF(I51="Vacate",LCNew*H51*D51*(1+GrowthMarketRent)^9,IF(I51="Market",Retention*LCRenewal*H51*D51*(1+GrowthMarketRent)^9+(1-Retention)*LCNew*H51*D51*(1+GrowthMarketRent)^9,IF(I51="LeaseUp",LCNew*H51*D51*(1+GrowthMarketRent)^9,IF(I51="Option",LCRenewal*H51*D51*(1+GrowthMarketRent)^9,0))))),IF(F51="",0,IF(AND(F51&gt;=DATE(2026+9,5,1),F51&lt;=DATE(2027+9,4,30)),(IF(I51="Vacate",TINew*D51,IF(I51="Market",Retention*TIRenewal*D51+(1-Retention)*TINew*D51,IF(I51="LeaseUp",TINew*D51,IF(I51="Option",TIRenewal*D51,0)))))+(IF(I51="Vacate",LCNew*H51*D51*(1+GrowthMarketRent)^9,IF(I51="Market",Retention*LCRenewal*H51*D51*(1+GrowthMarketRent)^9+(1-Retention)*LCNew*H51*D51*(1+GrowthMarketRent)^9,IF(I51="LeaseUp",LCNew*H51*D51*(1+GrowthMarketRent)^9,IF(I51="Option",LCRenewal*H51*D51*(1+GrowthMarketRent)^9,0))))),0))),0)</f>
        <v/>
      </c>
      <c r="AI51" s="14">
        <f>IFERROR(IF(AND(I51="LeaseUp",10=0),(IF(I51="Vacate",TINew*D51,IF(I51="Market",Retention*TIRenewal*D51+(1-Retention)*TINew*D51,IF(I51="LeaseUp",TINew*D51,IF(I51="Option",TIRenewal*D51,0)))))+(IF(I51="Vacate",LCNew*H51*D51*(1+GrowthMarketRent)^10,IF(I51="Market",Retention*LCRenewal*H51*D51*(1+GrowthMarketRent)^10+(1-Retention)*LCNew*H51*D51*(1+GrowthMarketRent)^10,IF(I51="LeaseUp",LCNew*H51*D51*(1+GrowthMarketRent)^10,IF(I51="Option",LCRenewal*H51*D51*(1+GrowthMarketRent)^10,0))))),IF(F51="",0,IF(AND(F51&gt;=DATE(2026+10,5,1),F51&lt;=DATE(2027+10,4,30)),(IF(I51="Vacate",TINew*D51,IF(I51="Market",Retention*TIRenewal*D51+(1-Retention)*TINew*D51,IF(I51="LeaseUp",TINew*D51,IF(I51="Option",TIRenewal*D51,0)))))+(IF(I51="Vacate",LCNew*H51*D51*(1+GrowthMarketRent)^10,IF(I51="Market",Retention*LCRenewal*H51*D51*(1+GrowthMarketRent)^10+(1-Retention)*LCNew*H51*D51*(1+GrowthMarketRent)^10,IF(I51="LeaseUp",LCNew*H51*D51*(1+GrowthMarketRent)^10,IF(I51="Option",LCRenewal*H51*D51*(1+GrowthMarketRent)^10,0))))),0))),0)</f>
        <v/>
      </c>
    </row>
    <row r="52">
      <c r="A52" t="inlineStr">
        <is>
          <t>Frisco</t>
        </is>
      </c>
      <c r="B52" t="inlineStr">
        <is>
          <t>201</t>
        </is>
      </c>
      <c r="C52" t="inlineStr">
        <is>
          <t>ProXcellence LLC</t>
        </is>
      </c>
      <c r="D52" s="32" t="n">
        <v>2600</v>
      </c>
      <c r="E52" s="33" t="n">
        <v>45748</v>
      </c>
      <c r="F52" s="33" t="n">
        <v>46997</v>
      </c>
      <c r="G52" s="34" t="n">
        <v>18.45</v>
      </c>
      <c r="H52" s="16">
        <f>VLOOKUP(A52,MLA!$A$5:$L$11,3,FALSE)</f>
        <v/>
      </c>
      <c r="I52" s="11" t="inlineStr">
        <is>
          <t>Market</t>
        </is>
      </c>
      <c r="J52" t="inlineStr">
        <is>
          <t>Shop</t>
        </is>
      </c>
      <c r="K52" t="inlineStr">
        <is>
          <t>Occupied</t>
        </is>
      </c>
      <c r="L52" t="inlineStr">
        <is>
          <t>Guarantor: Li (Michelle) Li</t>
        </is>
      </c>
      <c r="M52" s="20">
        <f>IF(E52="",0,(AnalysisStart-E52)/365.25)</f>
        <v/>
      </c>
      <c r="N52" s="14">
        <f>IFERROR(IF(I52="LeaseUp",H52*D52*(1+GrowthMarketRent)^0*IF(0=0,(12-DowntimeNew)/12,1),IF(F52="",0,IF(F52&gt;=DATE(2027+0,4,30),G52*D52*(1+EscalatorInLease)^(0+M52),IF(F52&lt;DATE(2026+0,5,1),IF(I52="Vacate",H52*D52*(1+GrowthMarketRent)^0*IF(INT((DATE(2026+0,10,31)-F52)/365.25)=0,(12-DowntimeNew)/12,1),IF(I52="Option",G52*D52*1.025*(1+EscalatorInLease)^0,IF(I52="Market",Retention*G52*D52*(1+EscalatorInLease)^(0+M52)+(1-Retention)*H52*D52*(1+GrowthMarketRent)^0*IF(INT((DATE(2026+0,10,31)-F52)/365.25)=0,(12-DowntimeNew)/12,1),IF(I52="LeaseUp",H52*D52*(1+GrowthMarketRent)^0*IF(0=0,(12-DowntimeNew)/12,1),0)))),((F52-DATE(2026+0,5,1))/365.25)*G52*D52*(1+EscalatorInLease)^(0+M52)+((DATE(2027+0,4,30)-F52)/365.25)*IF(I52="Vacate",H52*D52*(1+GrowthMarketRent)^0*IF(INT((DATE(2026+0,10,31)-F52)/365.25)=0,(12-DowntimeNew)/12,1),IF(I52="Option",G52*D52*1.025*(1+EscalatorInLease)^0,IF(I52="Market",Retention*G52*D52*(1+EscalatorInLease)^(0+M52)+(1-Retention)*H52*D52*(1+GrowthMarketRent)^0*IF(INT((DATE(2026+0,10,31)-F52)/365.25)=0,(12-DowntimeNew)/12,1),IF(I52="LeaseUp",H52*D52*(1+GrowthMarketRent)^0*IF(0=0,(12-DowntimeNew)/12,1),0)))))))),0)</f>
        <v/>
      </c>
      <c r="O52" s="14">
        <f>IFERROR(IF(I52="LeaseUp",H52*D52*(1+GrowthMarketRent)^1*IF(1=0,(12-DowntimeNew)/12,1),IF(F52="",0,IF(F52&gt;=DATE(2027+1,4,30),G52*D52*(1+EscalatorInLease)^(1+M52),IF(F52&lt;DATE(2026+1,5,1),IF(I52="Vacate",H52*D52*(1+GrowthMarketRent)^1*IF(INT((DATE(2026+1,10,31)-F52)/365.25)=0,(12-DowntimeNew)/12,1),IF(I52="Option",G52*D52*1.025*(1+EscalatorInLease)^1,IF(I52="Market",Retention*G52*D52*(1+EscalatorInLease)^(1+M52)+(1-Retention)*H52*D52*(1+GrowthMarketRent)^1*IF(INT((DATE(2026+1,10,31)-F52)/365.25)=0,(12-DowntimeNew)/12,1),IF(I52="LeaseUp",H52*D52*(1+GrowthMarketRent)^1*IF(1=0,(12-DowntimeNew)/12,1),0)))),((F52-DATE(2026+1,5,1))/365.25)*G52*D52*(1+EscalatorInLease)^(1+M52)+((DATE(2027+1,4,30)-F52)/365.25)*IF(I52="Vacate",H52*D52*(1+GrowthMarketRent)^1*IF(INT((DATE(2026+1,10,31)-F52)/365.25)=0,(12-DowntimeNew)/12,1),IF(I52="Option",G52*D52*1.025*(1+EscalatorInLease)^1,IF(I52="Market",Retention*G52*D52*(1+EscalatorInLease)^(1+M52)+(1-Retention)*H52*D52*(1+GrowthMarketRent)^1*IF(INT((DATE(2026+1,10,31)-F52)/365.25)=0,(12-DowntimeNew)/12,1),IF(I52="LeaseUp",H52*D52*(1+GrowthMarketRent)^1*IF(1=0,(12-DowntimeNew)/12,1),0)))))))),0)</f>
        <v/>
      </c>
      <c r="P52" s="14">
        <f>IFERROR(IF(I52="LeaseUp",H52*D52*(1+GrowthMarketRent)^2*IF(2=0,(12-DowntimeNew)/12,1),IF(F52="",0,IF(F52&gt;=DATE(2027+2,4,30),G52*D52*(1+EscalatorInLease)^(2+M52),IF(F52&lt;DATE(2026+2,5,1),IF(I52="Vacate",H52*D52*(1+GrowthMarketRent)^2*IF(INT((DATE(2026+2,10,31)-F52)/365.25)=0,(12-DowntimeNew)/12,1),IF(I52="Option",G52*D52*1.025*(1+EscalatorInLease)^2,IF(I52="Market",Retention*G52*D52*(1+EscalatorInLease)^(2+M52)+(1-Retention)*H52*D52*(1+GrowthMarketRent)^2*IF(INT((DATE(2026+2,10,31)-F52)/365.25)=0,(12-DowntimeNew)/12,1),IF(I52="LeaseUp",H52*D52*(1+GrowthMarketRent)^2*IF(2=0,(12-DowntimeNew)/12,1),0)))),((F52-DATE(2026+2,5,1))/365.25)*G52*D52*(1+EscalatorInLease)^(2+M52)+((DATE(2027+2,4,30)-F52)/365.25)*IF(I52="Vacate",H52*D52*(1+GrowthMarketRent)^2*IF(INT((DATE(2026+2,10,31)-F52)/365.25)=0,(12-DowntimeNew)/12,1),IF(I52="Option",G52*D52*1.025*(1+EscalatorInLease)^2,IF(I52="Market",Retention*G52*D52*(1+EscalatorInLease)^(2+M52)+(1-Retention)*H52*D52*(1+GrowthMarketRent)^2*IF(INT((DATE(2026+2,10,31)-F52)/365.25)=0,(12-DowntimeNew)/12,1),IF(I52="LeaseUp",H52*D52*(1+GrowthMarketRent)^2*IF(2=0,(12-DowntimeNew)/12,1),0)))))))),0)</f>
        <v/>
      </c>
      <c r="Q52" s="14">
        <f>IFERROR(IF(I52="LeaseUp",H52*D52*(1+GrowthMarketRent)^3*IF(3=0,(12-DowntimeNew)/12,1),IF(F52="",0,IF(F52&gt;=DATE(2027+3,4,30),G52*D52*(1+EscalatorInLease)^(3+M52),IF(F52&lt;DATE(2026+3,5,1),IF(I52="Vacate",H52*D52*(1+GrowthMarketRent)^3*IF(INT((DATE(2026+3,10,31)-F52)/365.25)=0,(12-DowntimeNew)/12,1),IF(I52="Option",G52*D52*1.025*(1+EscalatorInLease)^3,IF(I52="Market",Retention*G52*D52*(1+EscalatorInLease)^(3+M52)+(1-Retention)*H52*D52*(1+GrowthMarketRent)^3*IF(INT((DATE(2026+3,10,31)-F52)/365.25)=0,(12-DowntimeNew)/12,1),IF(I52="LeaseUp",H52*D52*(1+GrowthMarketRent)^3*IF(3=0,(12-DowntimeNew)/12,1),0)))),((F52-DATE(2026+3,5,1))/365.25)*G52*D52*(1+EscalatorInLease)^(3+M52)+((DATE(2027+3,4,30)-F52)/365.25)*IF(I52="Vacate",H52*D52*(1+GrowthMarketRent)^3*IF(INT((DATE(2026+3,10,31)-F52)/365.25)=0,(12-DowntimeNew)/12,1),IF(I52="Option",G52*D52*1.025*(1+EscalatorInLease)^3,IF(I52="Market",Retention*G52*D52*(1+EscalatorInLease)^(3+M52)+(1-Retention)*H52*D52*(1+GrowthMarketRent)^3*IF(INT((DATE(2026+3,10,31)-F52)/365.25)=0,(12-DowntimeNew)/12,1),IF(I52="LeaseUp",H52*D52*(1+GrowthMarketRent)^3*IF(3=0,(12-DowntimeNew)/12,1),0)))))))),0)</f>
        <v/>
      </c>
      <c r="R52" s="14">
        <f>IFERROR(IF(I52="LeaseUp",H52*D52*(1+GrowthMarketRent)^4*IF(4=0,(12-DowntimeNew)/12,1),IF(F52="",0,IF(F52&gt;=DATE(2027+4,4,30),G52*D52*(1+EscalatorInLease)^(4+M52),IF(F52&lt;DATE(2026+4,5,1),IF(I52="Vacate",H52*D52*(1+GrowthMarketRent)^4*IF(INT((DATE(2026+4,10,31)-F52)/365.25)=0,(12-DowntimeNew)/12,1),IF(I52="Option",G52*D52*1.025*(1+EscalatorInLease)^4,IF(I52="Market",Retention*G52*D52*(1+EscalatorInLease)^(4+M52)+(1-Retention)*H52*D52*(1+GrowthMarketRent)^4*IF(INT((DATE(2026+4,10,31)-F52)/365.25)=0,(12-DowntimeNew)/12,1),IF(I52="LeaseUp",H52*D52*(1+GrowthMarketRent)^4*IF(4=0,(12-DowntimeNew)/12,1),0)))),((F52-DATE(2026+4,5,1))/365.25)*G52*D52*(1+EscalatorInLease)^(4+M52)+((DATE(2027+4,4,30)-F52)/365.25)*IF(I52="Vacate",H52*D52*(1+GrowthMarketRent)^4*IF(INT((DATE(2026+4,10,31)-F52)/365.25)=0,(12-DowntimeNew)/12,1),IF(I52="Option",G52*D52*1.025*(1+EscalatorInLease)^4,IF(I52="Market",Retention*G52*D52*(1+EscalatorInLease)^(4+M52)+(1-Retention)*H52*D52*(1+GrowthMarketRent)^4*IF(INT((DATE(2026+4,10,31)-F52)/365.25)=0,(12-DowntimeNew)/12,1),IF(I52="LeaseUp",H52*D52*(1+GrowthMarketRent)^4*IF(4=0,(12-DowntimeNew)/12,1),0)))))))),0)</f>
        <v/>
      </c>
      <c r="S52" s="14">
        <f>IFERROR(IF(I52="LeaseUp",H52*D52*(1+GrowthMarketRent)^5*IF(5=0,(12-DowntimeNew)/12,1),IF(F52="",0,IF(F52&gt;=DATE(2027+5,4,30),G52*D52*(1+EscalatorInLease)^(5+M52),IF(F52&lt;DATE(2026+5,5,1),IF(I52="Vacate",H52*D52*(1+GrowthMarketRent)^5*IF(INT((DATE(2026+5,10,31)-F52)/365.25)=0,(12-DowntimeNew)/12,1),IF(I52="Option",G52*D52*1.025*(1+EscalatorInLease)^5,IF(I52="Market",Retention*G52*D52*(1+EscalatorInLease)^(5+M52)+(1-Retention)*H52*D52*(1+GrowthMarketRent)^5*IF(INT((DATE(2026+5,10,31)-F52)/365.25)=0,(12-DowntimeNew)/12,1),IF(I52="LeaseUp",H52*D52*(1+GrowthMarketRent)^5*IF(5=0,(12-DowntimeNew)/12,1),0)))),((F52-DATE(2026+5,5,1))/365.25)*G52*D52*(1+EscalatorInLease)^(5+M52)+((DATE(2027+5,4,30)-F52)/365.25)*IF(I52="Vacate",H52*D52*(1+GrowthMarketRent)^5*IF(INT((DATE(2026+5,10,31)-F52)/365.25)=0,(12-DowntimeNew)/12,1),IF(I52="Option",G52*D52*1.025*(1+EscalatorInLease)^5,IF(I52="Market",Retention*G52*D52*(1+EscalatorInLease)^(5+M52)+(1-Retention)*H52*D52*(1+GrowthMarketRent)^5*IF(INT((DATE(2026+5,10,31)-F52)/365.25)=0,(12-DowntimeNew)/12,1),IF(I52="LeaseUp",H52*D52*(1+GrowthMarketRent)^5*IF(5=0,(12-DowntimeNew)/12,1),0)))))))),0)</f>
        <v/>
      </c>
      <c r="T52" s="14">
        <f>IFERROR(IF(I52="LeaseUp",H52*D52*(1+GrowthMarketRent)^6*IF(6=0,(12-DowntimeNew)/12,1),IF(F52="",0,IF(F52&gt;=DATE(2027+6,4,30),G52*D52*(1+EscalatorInLease)^(6+M52),IF(F52&lt;DATE(2026+6,5,1),IF(I52="Vacate",H52*D52*(1+GrowthMarketRent)^6*IF(INT((DATE(2026+6,10,31)-F52)/365.25)=0,(12-DowntimeNew)/12,1),IF(I52="Option",G52*D52*1.025*(1+EscalatorInLease)^6,IF(I52="Market",Retention*G52*D52*(1+EscalatorInLease)^(6+M52)+(1-Retention)*H52*D52*(1+GrowthMarketRent)^6*IF(INT((DATE(2026+6,10,31)-F52)/365.25)=0,(12-DowntimeNew)/12,1),IF(I52="LeaseUp",H52*D52*(1+GrowthMarketRent)^6*IF(6=0,(12-DowntimeNew)/12,1),0)))),((F52-DATE(2026+6,5,1))/365.25)*G52*D52*(1+EscalatorInLease)^(6+M52)+((DATE(2027+6,4,30)-F52)/365.25)*IF(I52="Vacate",H52*D52*(1+GrowthMarketRent)^6*IF(INT((DATE(2026+6,10,31)-F52)/365.25)=0,(12-DowntimeNew)/12,1),IF(I52="Option",G52*D52*1.025*(1+EscalatorInLease)^6,IF(I52="Market",Retention*G52*D52*(1+EscalatorInLease)^(6+M52)+(1-Retention)*H52*D52*(1+GrowthMarketRent)^6*IF(INT((DATE(2026+6,10,31)-F52)/365.25)=0,(12-DowntimeNew)/12,1),IF(I52="LeaseUp",H52*D52*(1+GrowthMarketRent)^6*IF(6=0,(12-DowntimeNew)/12,1),0)))))))),0)</f>
        <v/>
      </c>
      <c r="U52" s="14">
        <f>IFERROR(IF(I52="LeaseUp",H52*D52*(1+GrowthMarketRent)^7*IF(7=0,(12-DowntimeNew)/12,1),IF(F52="",0,IF(F52&gt;=DATE(2027+7,4,30),G52*D52*(1+EscalatorInLease)^(7+M52),IF(F52&lt;DATE(2026+7,5,1),IF(I52="Vacate",H52*D52*(1+GrowthMarketRent)^7*IF(INT((DATE(2026+7,10,31)-F52)/365.25)=0,(12-DowntimeNew)/12,1),IF(I52="Option",G52*D52*1.025*(1+EscalatorInLease)^7,IF(I52="Market",Retention*G52*D52*(1+EscalatorInLease)^(7+M52)+(1-Retention)*H52*D52*(1+GrowthMarketRent)^7*IF(INT((DATE(2026+7,10,31)-F52)/365.25)=0,(12-DowntimeNew)/12,1),IF(I52="LeaseUp",H52*D52*(1+GrowthMarketRent)^7*IF(7=0,(12-DowntimeNew)/12,1),0)))),((F52-DATE(2026+7,5,1))/365.25)*G52*D52*(1+EscalatorInLease)^(7+M52)+((DATE(2027+7,4,30)-F52)/365.25)*IF(I52="Vacate",H52*D52*(1+GrowthMarketRent)^7*IF(INT((DATE(2026+7,10,31)-F52)/365.25)=0,(12-DowntimeNew)/12,1),IF(I52="Option",G52*D52*1.025*(1+EscalatorInLease)^7,IF(I52="Market",Retention*G52*D52*(1+EscalatorInLease)^(7+M52)+(1-Retention)*H52*D52*(1+GrowthMarketRent)^7*IF(INT((DATE(2026+7,10,31)-F52)/365.25)=0,(12-DowntimeNew)/12,1),IF(I52="LeaseUp",H52*D52*(1+GrowthMarketRent)^7*IF(7=0,(12-DowntimeNew)/12,1),0)))))))),0)</f>
        <v/>
      </c>
      <c r="V52" s="14">
        <f>IFERROR(IF(I52="LeaseUp",H52*D52*(1+GrowthMarketRent)^8*IF(8=0,(12-DowntimeNew)/12,1),IF(F52="",0,IF(F52&gt;=DATE(2027+8,4,30),G52*D52*(1+EscalatorInLease)^(8+M52),IF(F52&lt;DATE(2026+8,5,1),IF(I52="Vacate",H52*D52*(1+GrowthMarketRent)^8*IF(INT((DATE(2026+8,10,31)-F52)/365.25)=0,(12-DowntimeNew)/12,1),IF(I52="Option",G52*D52*1.025*(1+EscalatorInLease)^8,IF(I52="Market",Retention*G52*D52*(1+EscalatorInLease)^(8+M52)+(1-Retention)*H52*D52*(1+GrowthMarketRent)^8*IF(INT((DATE(2026+8,10,31)-F52)/365.25)=0,(12-DowntimeNew)/12,1),IF(I52="LeaseUp",H52*D52*(1+GrowthMarketRent)^8*IF(8=0,(12-DowntimeNew)/12,1),0)))),((F52-DATE(2026+8,5,1))/365.25)*G52*D52*(1+EscalatorInLease)^(8+M52)+((DATE(2027+8,4,30)-F52)/365.25)*IF(I52="Vacate",H52*D52*(1+GrowthMarketRent)^8*IF(INT((DATE(2026+8,10,31)-F52)/365.25)=0,(12-DowntimeNew)/12,1),IF(I52="Option",G52*D52*1.025*(1+EscalatorInLease)^8,IF(I52="Market",Retention*G52*D52*(1+EscalatorInLease)^(8+M52)+(1-Retention)*H52*D52*(1+GrowthMarketRent)^8*IF(INT((DATE(2026+8,10,31)-F52)/365.25)=0,(12-DowntimeNew)/12,1),IF(I52="LeaseUp",H52*D52*(1+GrowthMarketRent)^8*IF(8=0,(12-DowntimeNew)/12,1),0)))))))),0)</f>
        <v/>
      </c>
      <c r="W52" s="14">
        <f>IFERROR(IF(I52="LeaseUp",H52*D52*(1+GrowthMarketRent)^9*IF(9=0,(12-DowntimeNew)/12,1),IF(F52="",0,IF(F52&gt;=DATE(2027+9,4,30),G52*D52*(1+EscalatorInLease)^(9+M52),IF(F52&lt;DATE(2026+9,5,1),IF(I52="Vacate",H52*D52*(1+GrowthMarketRent)^9*IF(INT((DATE(2026+9,10,31)-F52)/365.25)=0,(12-DowntimeNew)/12,1),IF(I52="Option",G52*D52*1.025*(1+EscalatorInLease)^9,IF(I52="Market",Retention*G52*D52*(1+EscalatorInLease)^(9+M52)+(1-Retention)*H52*D52*(1+GrowthMarketRent)^9*IF(INT((DATE(2026+9,10,31)-F52)/365.25)=0,(12-DowntimeNew)/12,1),IF(I52="LeaseUp",H52*D52*(1+GrowthMarketRent)^9*IF(9=0,(12-DowntimeNew)/12,1),0)))),((F52-DATE(2026+9,5,1))/365.25)*G52*D52*(1+EscalatorInLease)^(9+M52)+((DATE(2027+9,4,30)-F52)/365.25)*IF(I52="Vacate",H52*D52*(1+GrowthMarketRent)^9*IF(INT((DATE(2026+9,10,31)-F52)/365.25)=0,(12-DowntimeNew)/12,1),IF(I52="Option",G52*D52*1.025*(1+EscalatorInLease)^9,IF(I52="Market",Retention*G52*D52*(1+EscalatorInLease)^(9+M52)+(1-Retention)*H52*D52*(1+GrowthMarketRent)^9*IF(INT((DATE(2026+9,10,31)-F52)/365.25)=0,(12-DowntimeNew)/12,1),IF(I52="LeaseUp",H52*D52*(1+GrowthMarketRent)^9*IF(9=0,(12-DowntimeNew)/12,1),0)))))))),0)</f>
        <v/>
      </c>
      <c r="X52" s="14">
        <f>IFERROR(IF(I52="LeaseUp",H52*D52*(1+GrowthMarketRent)^10*IF(10=0,(12-DowntimeNew)/12,1),IF(F52="",0,IF(F52&gt;=DATE(2027+10,4,30),G52*D52*(1+EscalatorInLease)^(10+M52),IF(F52&lt;DATE(2026+10,5,1),IF(I52="Vacate",H52*D52*(1+GrowthMarketRent)^10*IF(INT((DATE(2026+10,10,31)-F52)/365.25)=0,(12-DowntimeNew)/12,1),IF(I52="Option",G52*D52*1.025*(1+EscalatorInLease)^10,IF(I52="Market",Retention*G52*D52*(1+EscalatorInLease)^(10+M52)+(1-Retention)*H52*D52*(1+GrowthMarketRent)^10*IF(INT((DATE(2026+10,10,31)-F52)/365.25)=0,(12-DowntimeNew)/12,1),IF(I52="LeaseUp",H52*D52*(1+GrowthMarketRent)^10*IF(10=0,(12-DowntimeNew)/12,1),0)))),((F52-DATE(2026+10,5,1))/365.25)*G52*D52*(1+EscalatorInLease)^(10+M52)+((DATE(2027+10,4,30)-F52)/365.25)*IF(I52="Vacate",H52*D52*(1+GrowthMarketRent)^10*IF(INT((DATE(2026+10,10,31)-F52)/365.25)=0,(12-DowntimeNew)/12,1),IF(I52="Option",G52*D52*1.025*(1+EscalatorInLease)^10,IF(I52="Market",Retention*G52*D52*(1+EscalatorInLease)^(10+M52)+(1-Retention)*H52*D52*(1+GrowthMarketRent)^10*IF(INT((DATE(2026+10,10,31)-F52)/365.25)=0,(12-DowntimeNew)/12,1),IF(I52="LeaseUp",H52*D52*(1+GrowthMarketRent)^10*IF(10=0,(12-DowntimeNew)/12,1),0)))))))),0)</f>
        <v/>
      </c>
      <c r="Y52" s="14">
        <f>IFERROR(IF(AND(I52="LeaseUp",0=0),(IF(I52="Vacate",TINew*D52,IF(I52="Market",Retention*TIRenewal*D52+(1-Retention)*TINew*D52,IF(I52="LeaseUp",TINew*D52,IF(I52="Option",TIRenewal*D52,0)))))+(IF(I52="Vacate",LCNew*H52*D52*(1+GrowthMarketRent)^0,IF(I52="Market",Retention*LCRenewal*H52*D52*(1+GrowthMarketRent)^0+(1-Retention)*LCNew*H52*D52*(1+GrowthMarketRent)^0,IF(I52="LeaseUp",LCNew*H52*D52*(1+GrowthMarketRent)^0,IF(I52="Option",LCRenewal*H52*D52*(1+GrowthMarketRent)^0,0))))),IF(F52="",0,IF(AND(F52&gt;=DATE(2026+0,5,1),F52&lt;=DATE(2027+0,4,30)),(IF(I52="Vacate",TINew*D52,IF(I52="Market",Retention*TIRenewal*D52+(1-Retention)*TINew*D52,IF(I52="LeaseUp",TINew*D52,IF(I52="Option",TIRenewal*D52,0)))))+(IF(I52="Vacate",LCNew*H52*D52*(1+GrowthMarketRent)^0,IF(I52="Market",Retention*LCRenewal*H52*D52*(1+GrowthMarketRent)^0+(1-Retention)*LCNew*H52*D52*(1+GrowthMarketRent)^0,IF(I52="LeaseUp",LCNew*H52*D52*(1+GrowthMarketRent)^0,IF(I52="Option",LCRenewal*H52*D52*(1+GrowthMarketRent)^0,0))))),0))),0)</f>
        <v/>
      </c>
      <c r="Z52" s="14">
        <f>IFERROR(IF(AND(I52="LeaseUp",1=0),(IF(I52="Vacate",TINew*D52,IF(I52="Market",Retention*TIRenewal*D52+(1-Retention)*TINew*D52,IF(I52="LeaseUp",TINew*D52,IF(I52="Option",TIRenewal*D52,0)))))+(IF(I52="Vacate",LCNew*H52*D52*(1+GrowthMarketRent)^1,IF(I52="Market",Retention*LCRenewal*H52*D52*(1+GrowthMarketRent)^1+(1-Retention)*LCNew*H52*D52*(1+GrowthMarketRent)^1,IF(I52="LeaseUp",LCNew*H52*D52*(1+GrowthMarketRent)^1,IF(I52="Option",LCRenewal*H52*D52*(1+GrowthMarketRent)^1,0))))),IF(F52="",0,IF(AND(F52&gt;=DATE(2026+1,5,1),F52&lt;=DATE(2027+1,4,30)),(IF(I52="Vacate",TINew*D52,IF(I52="Market",Retention*TIRenewal*D52+(1-Retention)*TINew*D52,IF(I52="LeaseUp",TINew*D52,IF(I52="Option",TIRenewal*D52,0)))))+(IF(I52="Vacate",LCNew*H52*D52*(1+GrowthMarketRent)^1,IF(I52="Market",Retention*LCRenewal*H52*D52*(1+GrowthMarketRent)^1+(1-Retention)*LCNew*H52*D52*(1+GrowthMarketRent)^1,IF(I52="LeaseUp",LCNew*H52*D52*(1+GrowthMarketRent)^1,IF(I52="Option",LCRenewal*H52*D52*(1+GrowthMarketRent)^1,0))))),0))),0)</f>
        <v/>
      </c>
      <c r="AA52" s="14">
        <f>IFERROR(IF(AND(I52="LeaseUp",2=0),(IF(I52="Vacate",TINew*D52,IF(I52="Market",Retention*TIRenewal*D52+(1-Retention)*TINew*D52,IF(I52="LeaseUp",TINew*D52,IF(I52="Option",TIRenewal*D52,0)))))+(IF(I52="Vacate",LCNew*H52*D52*(1+GrowthMarketRent)^2,IF(I52="Market",Retention*LCRenewal*H52*D52*(1+GrowthMarketRent)^2+(1-Retention)*LCNew*H52*D52*(1+GrowthMarketRent)^2,IF(I52="LeaseUp",LCNew*H52*D52*(1+GrowthMarketRent)^2,IF(I52="Option",LCRenewal*H52*D52*(1+GrowthMarketRent)^2,0))))),IF(F52="",0,IF(AND(F52&gt;=DATE(2026+2,5,1),F52&lt;=DATE(2027+2,4,30)),(IF(I52="Vacate",TINew*D52,IF(I52="Market",Retention*TIRenewal*D52+(1-Retention)*TINew*D52,IF(I52="LeaseUp",TINew*D52,IF(I52="Option",TIRenewal*D52,0)))))+(IF(I52="Vacate",LCNew*H52*D52*(1+GrowthMarketRent)^2,IF(I52="Market",Retention*LCRenewal*H52*D52*(1+GrowthMarketRent)^2+(1-Retention)*LCNew*H52*D52*(1+GrowthMarketRent)^2,IF(I52="LeaseUp",LCNew*H52*D52*(1+GrowthMarketRent)^2,IF(I52="Option",LCRenewal*H52*D52*(1+GrowthMarketRent)^2,0))))),0))),0)</f>
        <v/>
      </c>
      <c r="AB52" s="14">
        <f>IFERROR(IF(AND(I52="LeaseUp",3=0),(IF(I52="Vacate",TINew*D52,IF(I52="Market",Retention*TIRenewal*D52+(1-Retention)*TINew*D52,IF(I52="LeaseUp",TINew*D52,IF(I52="Option",TIRenewal*D52,0)))))+(IF(I52="Vacate",LCNew*H52*D52*(1+GrowthMarketRent)^3,IF(I52="Market",Retention*LCRenewal*H52*D52*(1+GrowthMarketRent)^3+(1-Retention)*LCNew*H52*D52*(1+GrowthMarketRent)^3,IF(I52="LeaseUp",LCNew*H52*D52*(1+GrowthMarketRent)^3,IF(I52="Option",LCRenewal*H52*D52*(1+GrowthMarketRent)^3,0))))),IF(F52="",0,IF(AND(F52&gt;=DATE(2026+3,5,1),F52&lt;=DATE(2027+3,4,30)),(IF(I52="Vacate",TINew*D52,IF(I52="Market",Retention*TIRenewal*D52+(1-Retention)*TINew*D52,IF(I52="LeaseUp",TINew*D52,IF(I52="Option",TIRenewal*D52,0)))))+(IF(I52="Vacate",LCNew*H52*D52*(1+GrowthMarketRent)^3,IF(I52="Market",Retention*LCRenewal*H52*D52*(1+GrowthMarketRent)^3+(1-Retention)*LCNew*H52*D52*(1+GrowthMarketRent)^3,IF(I52="LeaseUp",LCNew*H52*D52*(1+GrowthMarketRent)^3,IF(I52="Option",LCRenewal*H52*D52*(1+GrowthMarketRent)^3,0))))),0))),0)</f>
        <v/>
      </c>
      <c r="AC52" s="14">
        <f>IFERROR(IF(AND(I52="LeaseUp",4=0),(IF(I52="Vacate",TINew*D52,IF(I52="Market",Retention*TIRenewal*D52+(1-Retention)*TINew*D52,IF(I52="LeaseUp",TINew*D52,IF(I52="Option",TIRenewal*D52,0)))))+(IF(I52="Vacate",LCNew*H52*D52*(1+GrowthMarketRent)^4,IF(I52="Market",Retention*LCRenewal*H52*D52*(1+GrowthMarketRent)^4+(1-Retention)*LCNew*H52*D52*(1+GrowthMarketRent)^4,IF(I52="LeaseUp",LCNew*H52*D52*(1+GrowthMarketRent)^4,IF(I52="Option",LCRenewal*H52*D52*(1+GrowthMarketRent)^4,0))))),IF(F52="",0,IF(AND(F52&gt;=DATE(2026+4,5,1),F52&lt;=DATE(2027+4,4,30)),(IF(I52="Vacate",TINew*D52,IF(I52="Market",Retention*TIRenewal*D52+(1-Retention)*TINew*D52,IF(I52="LeaseUp",TINew*D52,IF(I52="Option",TIRenewal*D52,0)))))+(IF(I52="Vacate",LCNew*H52*D52*(1+GrowthMarketRent)^4,IF(I52="Market",Retention*LCRenewal*H52*D52*(1+GrowthMarketRent)^4+(1-Retention)*LCNew*H52*D52*(1+GrowthMarketRent)^4,IF(I52="LeaseUp",LCNew*H52*D52*(1+GrowthMarketRent)^4,IF(I52="Option",LCRenewal*H52*D52*(1+GrowthMarketRent)^4,0))))),0))),0)</f>
        <v/>
      </c>
      <c r="AD52" s="14">
        <f>IFERROR(IF(AND(I52="LeaseUp",5=0),(IF(I52="Vacate",TINew*D52,IF(I52="Market",Retention*TIRenewal*D52+(1-Retention)*TINew*D52,IF(I52="LeaseUp",TINew*D52,IF(I52="Option",TIRenewal*D52,0)))))+(IF(I52="Vacate",LCNew*H52*D52*(1+GrowthMarketRent)^5,IF(I52="Market",Retention*LCRenewal*H52*D52*(1+GrowthMarketRent)^5+(1-Retention)*LCNew*H52*D52*(1+GrowthMarketRent)^5,IF(I52="LeaseUp",LCNew*H52*D52*(1+GrowthMarketRent)^5,IF(I52="Option",LCRenewal*H52*D52*(1+GrowthMarketRent)^5,0))))),IF(F52="",0,IF(AND(F52&gt;=DATE(2026+5,5,1),F52&lt;=DATE(2027+5,4,30)),(IF(I52="Vacate",TINew*D52,IF(I52="Market",Retention*TIRenewal*D52+(1-Retention)*TINew*D52,IF(I52="LeaseUp",TINew*D52,IF(I52="Option",TIRenewal*D52,0)))))+(IF(I52="Vacate",LCNew*H52*D52*(1+GrowthMarketRent)^5,IF(I52="Market",Retention*LCRenewal*H52*D52*(1+GrowthMarketRent)^5+(1-Retention)*LCNew*H52*D52*(1+GrowthMarketRent)^5,IF(I52="LeaseUp",LCNew*H52*D52*(1+GrowthMarketRent)^5,IF(I52="Option",LCRenewal*H52*D52*(1+GrowthMarketRent)^5,0))))),0))),0)</f>
        <v/>
      </c>
      <c r="AE52" s="14">
        <f>IFERROR(IF(AND(I52="LeaseUp",6=0),(IF(I52="Vacate",TINew*D52,IF(I52="Market",Retention*TIRenewal*D52+(1-Retention)*TINew*D52,IF(I52="LeaseUp",TINew*D52,IF(I52="Option",TIRenewal*D52,0)))))+(IF(I52="Vacate",LCNew*H52*D52*(1+GrowthMarketRent)^6,IF(I52="Market",Retention*LCRenewal*H52*D52*(1+GrowthMarketRent)^6+(1-Retention)*LCNew*H52*D52*(1+GrowthMarketRent)^6,IF(I52="LeaseUp",LCNew*H52*D52*(1+GrowthMarketRent)^6,IF(I52="Option",LCRenewal*H52*D52*(1+GrowthMarketRent)^6,0))))),IF(F52="",0,IF(AND(F52&gt;=DATE(2026+6,5,1),F52&lt;=DATE(2027+6,4,30)),(IF(I52="Vacate",TINew*D52,IF(I52="Market",Retention*TIRenewal*D52+(1-Retention)*TINew*D52,IF(I52="LeaseUp",TINew*D52,IF(I52="Option",TIRenewal*D52,0)))))+(IF(I52="Vacate",LCNew*H52*D52*(1+GrowthMarketRent)^6,IF(I52="Market",Retention*LCRenewal*H52*D52*(1+GrowthMarketRent)^6+(1-Retention)*LCNew*H52*D52*(1+GrowthMarketRent)^6,IF(I52="LeaseUp",LCNew*H52*D52*(1+GrowthMarketRent)^6,IF(I52="Option",LCRenewal*H52*D52*(1+GrowthMarketRent)^6,0))))),0))),0)</f>
        <v/>
      </c>
      <c r="AF52" s="14">
        <f>IFERROR(IF(AND(I52="LeaseUp",7=0),(IF(I52="Vacate",TINew*D52,IF(I52="Market",Retention*TIRenewal*D52+(1-Retention)*TINew*D52,IF(I52="LeaseUp",TINew*D52,IF(I52="Option",TIRenewal*D52,0)))))+(IF(I52="Vacate",LCNew*H52*D52*(1+GrowthMarketRent)^7,IF(I52="Market",Retention*LCRenewal*H52*D52*(1+GrowthMarketRent)^7+(1-Retention)*LCNew*H52*D52*(1+GrowthMarketRent)^7,IF(I52="LeaseUp",LCNew*H52*D52*(1+GrowthMarketRent)^7,IF(I52="Option",LCRenewal*H52*D52*(1+GrowthMarketRent)^7,0))))),IF(F52="",0,IF(AND(F52&gt;=DATE(2026+7,5,1),F52&lt;=DATE(2027+7,4,30)),(IF(I52="Vacate",TINew*D52,IF(I52="Market",Retention*TIRenewal*D52+(1-Retention)*TINew*D52,IF(I52="LeaseUp",TINew*D52,IF(I52="Option",TIRenewal*D52,0)))))+(IF(I52="Vacate",LCNew*H52*D52*(1+GrowthMarketRent)^7,IF(I52="Market",Retention*LCRenewal*H52*D52*(1+GrowthMarketRent)^7+(1-Retention)*LCNew*H52*D52*(1+GrowthMarketRent)^7,IF(I52="LeaseUp",LCNew*H52*D52*(1+GrowthMarketRent)^7,IF(I52="Option",LCRenewal*H52*D52*(1+GrowthMarketRent)^7,0))))),0))),0)</f>
        <v/>
      </c>
      <c r="AG52" s="14">
        <f>IFERROR(IF(AND(I52="LeaseUp",8=0),(IF(I52="Vacate",TINew*D52,IF(I52="Market",Retention*TIRenewal*D52+(1-Retention)*TINew*D52,IF(I52="LeaseUp",TINew*D52,IF(I52="Option",TIRenewal*D52,0)))))+(IF(I52="Vacate",LCNew*H52*D52*(1+GrowthMarketRent)^8,IF(I52="Market",Retention*LCRenewal*H52*D52*(1+GrowthMarketRent)^8+(1-Retention)*LCNew*H52*D52*(1+GrowthMarketRent)^8,IF(I52="LeaseUp",LCNew*H52*D52*(1+GrowthMarketRent)^8,IF(I52="Option",LCRenewal*H52*D52*(1+GrowthMarketRent)^8,0))))),IF(F52="",0,IF(AND(F52&gt;=DATE(2026+8,5,1),F52&lt;=DATE(2027+8,4,30)),(IF(I52="Vacate",TINew*D52,IF(I52="Market",Retention*TIRenewal*D52+(1-Retention)*TINew*D52,IF(I52="LeaseUp",TINew*D52,IF(I52="Option",TIRenewal*D52,0)))))+(IF(I52="Vacate",LCNew*H52*D52*(1+GrowthMarketRent)^8,IF(I52="Market",Retention*LCRenewal*H52*D52*(1+GrowthMarketRent)^8+(1-Retention)*LCNew*H52*D52*(1+GrowthMarketRent)^8,IF(I52="LeaseUp",LCNew*H52*D52*(1+GrowthMarketRent)^8,IF(I52="Option",LCRenewal*H52*D52*(1+GrowthMarketRent)^8,0))))),0))),0)</f>
        <v/>
      </c>
      <c r="AH52" s="14">
        <f>IFERROR(IF(AND(I52="LeaseUp",9=0),(IF(I52="Vacate",TINew*D52,IF(I52="Market",Retention*TIRenewal*D52+(1-Retention)*TINew*D52,IF(I52="LeaseUp",TINew*D52,IF(I52="Option",TIRenewal*D52,0)))))+(IF(I52="Vacate",LCNew*H52*D52*(1+GrowthMarketRent)^9,IF(I52="Market",Retention*LCRenewal*H52*D52*(1+GrowthMarketRent)^9+(1-Retention)*LCNew*H52*D52*(1+GrowthMarketRent)^9,IF(I52="LeaseUp",LCNew*H52*D52*(1+GrowthMarketRent)^9,IF(I52="Option",LCRenewal*H52*D52*(1+GrowthMarketRent)^9,0))))),IF(F52="",0,IF(AND(F52&gt;=DATE(2026+9,5,1),F52&lt;=DATE(2027+9,4,30)),(IF(I52="Vacate",TINew*D52,IF(I52="Market",Retention*TIRenewal*D52+(1-Retention)*TINew*D52,IF(I52="LeaseUp",TINew*D52,IF(I52="Option",TIRenewal*D52,0)))))+(IF(I52="Vacate",LCNew*H52*D52*(1+GrowthMarketRent)^9,IF(I52="Market",Retention*LCRenewal*H52*D52*(1+GrowthMarketRent)^9+(1-Retention)*LCNew*H52*D52*(1+GrowthMarketRent)^9,IF(I52="LeaseUp",LCNew*H52*D52*(1+GrowthMarketRent)^9,IF(I52="Option",LCRenewal*H52*D52*(1+GrowthMarketRent)^9,0))))),0))),0)</f>
        <v/>
      </c>
      <c r="AI52" s="14">
        <f>IFERROR(IF(AND(I52="LeaseUp",10=0),(IF(I52="Vacate",TINew*D52,IF(I52="Market",Retention*TIRenewal*D52+(1-Retention)*TINew*D52,IF(I52="LeaseUp",TINew*D52,IF(I52="Option",TIRenewal*D52,0)))))+(IF(I52="Vacate",LCNew*H52*D52*(1+GrowthMarketRent)^10,IF(I52="Market",Retention*LCRenewal*H52*D52*(1+GrowthMarketRent)^10+(1-Retention)*LCNew*H52*D52*(1+GrowthMarketRent)^10,IF(I52="LeaseUp",LCNew*H52*D52*(1+GrowthMarketRent)^10,IF(I52="Option",LCRenewal*H52*D52*(1+GrowthMarketRent)^10,0))))),IF(F52="",0,IF(AND(F52&gt;=DATE(2026+10,5,1),F52&lt;=DATE(2027+10,4,30)),(IF(I52="Vacate",TINew*D52,IF(I52="Market",Retention*TIRenewal*D52+(1-Retention)*TINew*D52,IF(I52="LeaseUp",TINew*D52,IF(I52="Option",TIRenewal*D52,0)))))+(IF(I52="Vacate",LCNew*H52*D52*(1+GrowthMarketRent)^10,IF(I52="Market",Retention*LCRenewal*H52*D52*(1+GrowthMarketRent)^10+(1-Retention)*LCNew*H52*D52*(1+GrowthMarketRent)^10,IF(I52="LeaseUp",LCNew*H52*D52*(1+GrowthMarketRent)^10,IF(I52="Option",LCRenewal*H52*D52*(1+GrowthMarketRent)^10,0))))),0))),0)</f>
        <v/>
      </c>
    </row>
    <row r="53">
      <c r="A53" t="inlineStr">
        <is>
          <t>Frisco</t>
        </is>
      </c>
      <c r="B53" t="inlineStr">
        <is>
          <t>202</t>
        </is>
      </c>
      <c r="C53" t="inlineStr">
        <is>
          <t>RBM Services Inc.</t>
        </is>
      </c>
      <c r="D53" s="32" t="n">
        <v>2600</v>
      </c>
      <c r="E53" s="33" t="n">
        <v>45809</v>
      </c>
      <c r="F53" s="33" t="n">
        <v>47058</v>
      </c>
      <c r="G53" s="34" t="n">
        <v>19</v>
      </c>
      <c r="H53" s="16">
        <f>VLOOKUP(A53,MLA!$A$5:$L$11,3,FALSE)</f>
        <v/>
      </c>
      <c r="I53" s="11" t="inlineStr">
        <is>
          <t>Market</t>
        </is>
      </c>
      <c r="J53" t="inlineStr">
        <is>
          <t>Shop</t>
        </is>
      </c>
      <c r="K53" t="inlineStr">
        <is>
          <t>Occupied</t>
        </is>
      </c>
      <c r="L53" t="inlineStr"/>
      <c r="M53" s="20">
        <f>IF(E53="",0,(AnalysisStart-E53)/365.25)</f>
        <v/>
      </c>
      <c r="N53" s="14">
        <f>IFERROR(IF(I53="LeaseUp",H53*D53*(1+GrowthMarketRent)^0*IF(0=0,(12-DowntimeNew)/12,1),IF(F53="",0,IF(F53&gt;=DATE(2027+0,4,30),G53*D53*(1+EscalatorInLease)^(0+M53),IF(F53&lt;DATE(2026+0,5,1),IF(I53="Vacate",H53*D53*(1+GrowthMarketRent)^0*IF(INT((DATE(2026+0,10,31)-F53)/365.25)=0,(12-DowntimeNew)/12,1),IF(I53="Option",G53*D53*1.025*(1+EscalatorInLease)^0,IF(I53="Market",Retention*G53*D53*(1+EscalatorInLease)^(0+M53)+(1-Retention)*H53*D53*(1+GrowthMarketRent)^0*IF(INT((DATE(2026+0,10,31)-F53)/365.25)=0,(12-DowntimeNew)/12,1),IF(I53="LeaseUp",H53*D53*(1+GrowthMarketRent)^0*IF(0=0,(12-DowntimeNew)/12,1),0)))),((F53-DATE(2026+0,5,1))/365.25)*G53*D53*(1+EscalatorInLease)^(0+M53)+((DATE(2027+0,4,30)-F53)/365.25)*IF(I53="Vacate",H53*D53*(1+GrowthMarketRent)^0*IF(INT((DATE(2026+0,10,31)-F53)/365.25)=0,(12-DowntimeNew)/12,1),IF(I53="Option",G53*D53*1.025*(1+EscalatorInLease)^0,IF(I53="Market",Retention*G53*D53*(1+EscalatorInLease)^(0+M53)+(1-Retention)*H53*D53*(1+GrowthMarketRent)^0*IF(INT((DATE(2026+0,10,31)-F53)/365.25)=0,(12-DowntimeNew)/12,1),IF(I53="LeaseUp",H53*D53*(1+GrowthMarketRent)^0*IF(0=0,(12-DowntimeNew)/12,1),0)))))))),0)</f>
        <v/>
      </c>
      <c r="O53" s="14">
        <f>IFERROR(IF(I53="LeaseUp",H53*D53*(1+GrowthMarketRent)^1*IF(1=0,(12-DowntimeNew)/12,1),IF(F53="",0,IF(F53&gt;=DATE(2027+1,4,30),G53*D53*(1+EscalatorInLease)^(1+M53),IF(F53&lt;DATE(2026+1,5,1),IF(I53="Vacate",H53*D53*(1+GrowthMarketRent)^1*IF(INT((DATE(2026+1,10,31)-F53)/365.25)=0,(12-DowntimeNew)/12,1),IF(I53="Option",G53*D53*1.025*(1+EscalatorInLease)^1,IF(I53="Market",Retention*G53*D53*(1+EscalatorInLease)^(1+M53)+(1-Retention)*H53*D53*(1+GrowthMarketRent)^1*IF(INT((DATE(2026+1,10,31)-F53)/365.25)=0,(12-DowntimeNew)/12,1),IF(I53="LeaseUp",H53*D53*(1+GrowthMarketRent)^1*IF(1=0,(12-DowntimeNew)/12,1),0)))),((F53-DATE(2026+1,5,1))/365.25)*G53*D53*(1+EscalatorInLease)^(1+M53)+((DATE(2027+1,4,30)-F53)/365.25)*IF(I53="Vacate",H53*D53*(1+GrowthMarketRent)^1*IF(INT((DATE(2026+1,10,31)-F53)/365.25)=0,(12-DowntimeNew)/12,1),IF(I53="Option",G53*D53*1.025*(1+EscalatorInLease)^1,IF(I53="Market",Retention*G53*D53*(1+EscalatorInLease)^(1+M53)+(1-Retention)*H53*D53*(1+GrowthMarketRent)^1*IF(INT((DATE(2026+1,10,31)-F53)/365.25)=0,(12-DowntimeNew)/12,1),IF(I53="LeaseUp",H53*D53*(1+GrowthMarketRent)^1*IF(1=0,(12-DowntimeNew)/12,1),0)))))))),0)</f>
        <v/>
      </c>
      <c r="P53" s="14">
        <f>IFERROR(IF(I53="LeaseUp",H53*D53*(1+GrowthMarketRent)^2*IF(2=0,(12-DowntimeNew)/12,1),IF(F53="",0,IF(F53&gt;=DATE(2027+2,4,30),G53*D53*(1+EscalatorInLease)^(2+M53),IF(F53&lt;DATE(2026+2,5,1),IF(I53="Vacate",H53*D53*(1+GrowthMarketRent)^2*IF(INT((DATE(2026+2,10,31)-F53)/365.25)=0,(12-DowntimeNew)/12,1),IF(I53="Option",G53*D53*1.025*(1+EscalatorInLease)^2,IF(I53="Market",Retention*G53*D53*(1+EscalatorInLease)^(2+M53)+(1-Retention)*H53*D53*(1+GrowthMarketRent)^2*IF(INT((DATE(2026+2,10,31)-F53)/365.25)=0,(12-DowntimeNew)/12,1),IF(I53="LeaseUp",H53*D53*(1+GrowthMarketRent)^2*IF(2=0,(12-DowntimeNew)/12,1),0)))),((F53-DATE(2026+2,5,1))/365.25)*G53*D53*(1+EscalatorInLease)^(2+M53)+((DATE(2027+2,4,30)-F53)/365.25)*IF(I53="Vacate",H53*D53*(1+GrowthMarketRent)^2*IF(INT((DATE(2026+2,10,31)-F53)/365.25)=0,(12-DowntimeNew)/12,1),IF(I53="Option",G53*D53*1.025*(1+EscalatorInLease)^2,IF(I53="Market",Retention*G53*D53*(1+EscalatorInLease)^(2+M53)+(1-Retention)*H53*D53*(1+GrowthMarketRent)^2*IF(INT((DATE(2026+2,10,31)-F53)/365.25)=0,(12-DowntimeNew)/12,1),IF(I53="LeaseUp",H53*D53*(1+GrowthMarketRent)^2*IF(2=0,(12-DowntimeNew)/12,1),0)))))))),0)</f>
        <v/>
      </c>
      <c r="Q53" s="14">
        <f>IFERROR(IF(I53="LeaseUp",H53*D53*(1+GrowthMarketRent)^3*IF(3=0,(12-DowntimeNew)/12,1),IF(F53="",0,IF(F53&gt;=DATE(2027+3,4,30),G53*D53*(1+EscalatorInLease)^(3+M53),IF(F53&lt;DATE(2026+3,5,1),IF(I53="Vacate",H53*D53*(1+GrowthMarketRent)^3*IF(INT((DATE(2026+3,10,31)-F53)/365.25)=0,(12-DowntimeNew)/12,1),IF(I53="Option",G53*D53*1.025*(1+EscalatorInLease)^3,IF(I53="Market",Retention*G53*D53*(1+EscalatorInLease)^(3+M53)+(1-Retention)*H53*D53*(1+GrowthMarketRent)^3*IF(INT((DATE(2026+3,10,31)-F53)/365.25)=0,(12-DowntimeNew)/12,1),IF(I53="LeaseUp",H53*D53*(1+GrowthMarketRent)^3*IF(3=0,(12-DowntimeNew)/12,1),0)))),((F53-DATE(2026+3,5,1))/365.25)*G53*D53*(1+EscalatorInLease)^(3+M53)+((DATE(2027+3,4,30)-F53)/365.25)*IF(I53="Vacate",H53*D53*(1+GrowthMarketRent)^3*IF(INT((DATE(2026+3,10,31)-F53)/365.25)=0,(12-DowntimeNew)/12,1),IF(I53="Option",G53*D53*1.025*(1+EscalatorInLease)^3,IF(I53="Market",Retention*G53*D53*(1+EscalatorInLease)^(3+M53)+(1-Retention)*H53*D53*(1+GrowthMarketRent)^3*IF(INT((DATE(2026+3,10,31)-F53)/365.25)=0,(12-DowntimeNew)/12,1),IF(I53="LeaseUp",H53*D53*(1+GrowthMarketRent)^3*IF(3=0,(12-DowntimeNew)/12,1),0)))))))),0)</f>
        <v/>
      </c>
      <c r="R53" s="14">
        <f>IFERROR(IF(I53="LeaseUp",H53*D53*(1+GrowthMarketRent)^4*IF(4=0,(12-DowntimeNew)/12,1),IF(F53="",0,IF(F53&gt;=DATE(2027+4,4,30),G53*D53*(1+EscalatorInLease)^(4+M53),IF(F53&lt;DATE(2026+4,5,1),IF(I53="Vacate",H53*D53*(1+GrowthMarketRent)^4*IF(INT((DATE(2026+4,10,31)-F53)/365.25)=0,(12-DowntimeNew)/12,1),IF(I53="Option",G53*D53*1.025*(1+EscalatorInLease)^4,IF(I53="Market",Retention*G53*D53*(1+EscalatorInLease)^(4+M53)+(1-Retention)*H53*D53*(1+GrowthMarketRent)^4*IF(INT((DATE(2026+4,10,31)-F53)/365.25)=0,(12-DowntimeNew)/12,1),IF(I53="LeaseUp",H53*D53*(1+GrowthMarketRent)^4*IF(4=0,(12-DowntimeNew)/12,1),0)))),((F53-DATE(2026+4,5,1))/365.25)*G53*D53*(1+EscalatorInLease)^(4+M53)+((DATE(2027+4,4,30)-F53)/365.25)*IF(I53="Vacate",H53*D53*(1+GrowthMarketRent)^4*IF(INT((DATE(2026+4,10,31)-F53)/365.25)=0,(12-DowntimeNew)/12,1),IF(I53="Option",G53*D53*1.025*(1+EscalatorInLease)^4,IF(I53="Market",Retention*G53*D53*(1+EscalatorInLease)^(4+M53)+(1-Retention)*H53*D53*(1+GrowthMarketRent)^4*IF(INT((DATE(2026+4,10,31)-F53)/365.25)=0,(12-DowntimeNew)/12,1),IF(I53="LeaseUp",H53*D53*(1+GrowthMarketRent)^4*IF(4=0,(12-DowntimeNew)/12,1),0)))))))),0)</f>
        <v/>
      </c>
      <c r="S53" s="14">
        <f>IFERROR(IF(I53="LeaseUp",H53*D53*(1+GrowthMarketRent)^5*IF(5=0,(12-DowntimeNew)/12,1),IF(F53="",0,IF(F53&gt;=DATE(2027+5,4,30),G53*D53*(1+EscalatorInLease)^(5+M53),IF(F53&lt;DATE(2026+5,5,1),IF(I53="Vacate",H53*D53*(1+GrowthMarketRent)^5*IF(INT((DATE(2026+5,10,31)-F53)/365.25)=0,(12-DowntimeNew)/12,1),IF(I53="Option",G53*D53*1.025*(1+EscalatorInLease)^5,IF(I53="Market",Retention*G53*D53*(1+EscalatorInLease)^(5+M53)+(1-Retention)*H53*D53*(1+GrowthMarketRent)^5*IF(INT((DATE(2026+5,10,31)-F53)/365.25)=0,(12-DowntimeNew)/12,1),IF(I53="LeaseUp",H53*D53*(1+GrowthMarketRent)^5*IF(5=0,(12-DowntimeNew)/12,1),0)))),((F53-DATE(2026+5,5,1))/365.25)*G53*D53*(1+EscalatorInLease)^(5+M53)+((DATE(2027+5,4,30)-F53)/365.25)*IF(I53="Vacate",H53*D53*(1+GrowthMarketRent)^5*IF(INT((DATE(2026+5,10,31)-F53)/365.25)=0,(12-DowntimeNew)/12,1),IF(I53="Option",G53*D53*1.025*(1+EscalatorInLease)^5,IF(I53="Market",Retention*G53*D53*(1+EscalatorInLease)^(5+M53)+(1-Retention)*H53*D53*(1+GrowthMarketRent)^5*IF(INT((DATE(2026+5,10,31)-F53)/365.25)=0,(12-DowntimeNew)/12,1),IF(I53="LeaseUp",H53*D53*(1+GrowthMarketRent)^5*IF(5=0,(12-DowntimeNew)/12,1),0)))))))),0)</f>
        <v/>
      </c>
      <c r="T53" s="14">
        <f>IFERROR(IF(I53="LeaseUp",H53*D53*(1+GrowthMarketRent)^6*IF(6=0,(12-DowntimeNew)/12,1),IF(F53="",0,IF(F53&gt;=DATE(2027+6,4,30),G53*D53*(1+EscalatorInLease)^(6+M53),IF(F53&lt;DATE(2026+6,5,1),IF(I53="Vacate",H53*D53*(1+GrowthMarketRent)^6*IF(INT((DATE(2026+6,10,31)-F53)/365.25)=0,(12-DowntimeNew)/12,1),IF(I53="Option",G53*D53*1.025*(1+EscalatorInLease)^6,IF(I53="Market",Retention*G53*D53*(1+EscalatorInLease)^(6+M53)+(1-Retention)*H53*D53*(1+GrowthMarketRent)^6*IF(INT((DATE(2026+6,10,31)-F53)/365.25)=0,(12-DowntimeNew)/12,1),IF(I53="LeaseUp",H53*D53*(1+GrowthMarketRent)^6*IF(6=0,(12-DowntimeNew)/12,1),0)))),((F53-DATE(2026+6,5,1))/365.25)*G53*D53*(1+EscalatorInLease)^(6+M53)+((DATE(2027+6,4,30)-F53)/365.25)*IF(I53="Vacate",H53*D53*(1+GrowthMarketRent)^6*IF(INT((DATE(2026+6,10,31)-F53)/365.25)=0,(12-DowntimeNew)/12,1),IF(I53="Option",G53*D53*1.025*(1+EscalatorInLease)^6,IF(I53="Market",Retention*G53*D53*(1+EscalatorInLease)^(6+M53)+(1-Retention)*H53*D53*(1+GrowthMarketRent)^6*IF(INT((DATE(2026+6,10,31)-F53)/365.25)=0,(12-DowntimeNew)/12,1),IF(I53="LeaseUp",H53*D53*(1+GrowthMarketRent)^6*IF(6=0,(12-DowntimeNew)/12,1),0)))))))),0)</f>
        <v/>
      </c>
      <c r="U53" s="14">
        <f>IFERROR(IF(I53="LeaseUp",H53*D53*(1+GrowthMarketRent)^7*IF(7=0,(12-DowntimeNew)/12,1),IF(F53="",0,IF(F53&gt;=DATE(2027+7,4,30),G53*D53*(1+EscalatorInLease)^(7+M53),IF(F53&lt;DATE(2026+7,5,1),IF(I53="Vacate",H53*D53*(1+GrowthMarketRent)^7*IF(INT((DATE(2026+7,10,31)-F53)/365.25)=0,(12-DowntimeNew)/12,1),IF(I53="Option",G53*D53*1.025*(1+EscalatorInLease)^7,IF(I53="Market",Retention*G53*D53*(1+EscalatorInLease)^(7+M53)+(1-Retention)*H53*D53*(1+GrowthMarketRent)^7*IF(INT((DATE(2026+7,10,31)-F53)/365.25)=0,(12-DowntimeNew)/12,1),IF(I53="LeaseUp",H53*D53*(1+GrowthMarketRent)^7*IF(7=0,(12-DowntimeNew)/12,1),0)))),((F53-DATE(2026+7,5,1))/365.25)*G53*D53*(1+EscalatorInLease)^(7+M53)+((DATE(2027+7,4,30)-F53)/365.25)*IF(I53="Vacate",H53*D53*(1+GrowthMarketRent)^7*IF(INT((DATE(2026+7,10,31)-F53)/365.25)=0,(12-DowntimeNew)/12,1),IF(I53="Option",G53*D53*1.025*(1+EscalatorInLease)^7,IF(I53="Market",Retention*G53*D53*(1+EscalatorInLease)^(7+M53)+(1-Retention)*H53*D53*(1+GrowthMarketRent)^7*IF(INT((DATE(2026+7,10,31)-F53)/365.25)=0,(12-DowntimeNew)/12,1),IF(I53="LeaseUp",H53*D53*(1+GrowthMarketRent)^7*IF(7=0,(12-DowntimeNew)/12,1),0)))))))),0)</f>
        <v/>
      </c>
      <c r="V53" s="14">
        <f>IFERROR(IF(I53="LeaseUp",H53*D53*(1+GrowthMarketRent)^8*IF(8=0,(12-DowntimeNew)/12,1),IF(F53="",0,IF(F53&gt;=DATE(2027+8,4,30),G53*D53*(1+EscalatorInLease)^(8+M53),IF(F53&lt;DATE(2026+8,5,1),IF(I53="Vacate",H53*D53*(1+GrowthMarketRent)^8*IF(INT((DATE(2026+8,10,31)-F53)/365.25)=0,(12-DowntimeNew)/12,1),IF(I53="Option",G53*D53*1.025*(1+EscalatorInLease)^8,IF(I53="Market",Retention*G53*D53*(1+EscalatorInLease)^(8+M53)+(1-Retention)*H53*D53*(1+GrowthMarketRent)^8*IF(INT((DATE(2026+8,10,31)-F53)/365.25)=0,(12-DowntimeNew)/12,1),IF(I53="LeaseUp",H53*D53*(1+GrowthMarketRent)^8*IF(8=0,(12-DowntimeNew)/12,1),0)))),((F53-DATE(2026+8,5,1))/365.25)*G53*D53*(1+EscalatorInLease)^(8+M53)+((DATE(2027+8,4,30)-F53)/365.25)*IF(I53="Vacate",H53*D53*(1+GrowthMarketRent)^8*IF(INT((DATE(2026+8,10,31)-F53)/365.25)=0,(12-DowntimeNew)/12,1),IF(I53="Option",G53*D53*1.025*(1+EscalatorInLease)^8,IF(I53="Market",Retention*G53*D53*(1+EscalatorInLease)^(8+M53)+(1-Retention)*H53*D53*(1+GrowthMarketRent)^8*IF(INT((DATE(2026+8,10,31)-F53)/365.25)=0,(12-DowntimeNew)/12,1),IF(I53="LeaseUp",H53*D53*(1+GrowthMarketRent)^8*IF(8=0,(12-DowntimeNew)/12,1),0)))))))),0)</f>
        <v/>
      </c>
      <c r="W53" s="14">
        <f>IFERROR(IF(I53="LeaseUp",H53*D53*(1+GrowthMarketRent)^9*IF(9=0,(12-DowntimeNew)/12,1),IF(F53="",0,IF(F53&gt;=DATE(2027+9,4,30),G53*D53*(1+EscalatorInLease)^(9+M53),IF(F53&lt;DATE(2026+9,5,1),IF(I53="Vacate",H53*D53*(1+GrowthMarketRent)^9*IF(INT((DATE(2026+9,10,31)-F53)/365.25)=0,(12-DowntimeNew)/12,1),IF(I53="Option",G53*D53*1.025*(1+EscalatorInLease)^9,IF(I53="Market",Retention*G53*D53*(1+EscalatorInLease)^(9+M53)+(1-Retention)*H53*D53*(1+GrowthMarketRent)^9*IF(INT((DATE(2026+9,10,31)-F53)/365.25)=0,(12-DowntimeNew)/12,1),IF(I53="LeaseUp",H53*D53*(1+GrowthMarketRent)^9*IF(9=0,(12-DowntimeNew)/12,1),0)))),((F53-DATE(2026+9,5,1))/365.25)*G53*D53*(1+EscalatorInLease)^(9+M53)+((DATE(2027+9,4,30)-F53)/365.25)*IF(I53="Vacate",H53*D53*(1+GrowthMarketRent)^9*IF(INT((DATE(2026+9,10,31)-F53)/365.25)=0,(12-DowntimeNew)/12,1),IF(I53="Option",G53*D53*1.025*(1+EscalatorInLease)^9,IF(I53="Market",Retention*G53*D53*(1+EscalatorInLease)^(9+M53)+(1-Retention)*H53*D53*(1+GrowthMarketRent)^9*IF(INT((DATE(2026+9,10,31)-F53)/365.25)=0,(12-DowntimeNew)/12,1),IF(I53="LeaseUp",H53*D53*(1+GrowthMarketRent)^9*IF(9=0,(12-DowntimeNew)/12,1),0)))))))),0)</f>
        <v/>
      </c>
      <c r="X53" s="14">
        <f>IFERROR(IF(I53="LeaseUp",H53*D53*(1+GrowthMarketRent)^10*IF(10=0,(12-DowntimeNew)/12,1),IF(F53="",0,IF(F53&gt;=DATE(2027+10,4,30),G53*D53*(1+EscalatorInLease)^(10+M53),IF(F53&lt;DATE(2026+10,5,1),IF(I53="Vacate",H53*D53*(1+GrowthMarketRent)^10*IF(INT((DATE(2026+10,10,31)-F53)/365.25)=0,(12-DowntimeNew)/12,1),IF(I53="Option",G53*D53*1.025*(1+EscalatorInLease)^10,IF(I53="Market",Retention*G53*D53*(1+EscalatorInLease)^(10+M53)+(1-Retention)*H53*D53*(1+GrowthMarketRent)^10*IF(INT((DATE(2026+10,10,31)-F53)/365.25)=0,(12-DowntimeNew)/12,1),IF(I53="LeaseUp",H53*D53*(1+GrowthMarketRent)^10*IF(10=0,(12-DowntimeNew)/12,1),0)))),((F53-DATE(2026+10,5,1))/365.25)*G53*D53*(1+EscalatorInLease)^(10+M53)+((DATE(2027+10,4,30)-F53)/365.25)*IF(I53="Vacate",H53*D53*(1+GrowthMarketRent)^10*IF(INT((DATE(2026+10,10,31)-F53)/365.25)=0,(12-DowntimeNew)/12,1),IF(I53="Option",G53*D53*1.025*(1+EscalatorInLease)^10,IF(I53="Market",Retention*G53*D53*(1+EscalatorInLease)^(10+M53)+(1-Retention)*H53*D53*(1+GrowthMarketRent)^10*IF(INT((DATE(2026+10,10,31)-F53)/365.25)=0,(12-DowntimeNew)/12,1),IF(I53="LeaseUp",H53*D53*(1+GrowthMarketRent)^10*IF(10=0,(12-DowntimeNew)/12,1),0)))))))),0)</f>
        <v/>
      </c>
      <c r="Y53" s="14">
        <f>IFERROR(IF(AND(I53="LeaseUp",0=0),(IF(I53="Vacate",TINew*D53,IF(I53="Market",Retention*TIRenewal*D53+(1-Retention)*TINew*D53,IF(I53="LeaseUp",TINew*D53,IF(I53="Option",TIRenewal*D53,0)))))+(IF(I53="Vacate",LCNew*H53*D53*(1+GrowthMarketRent)^0,IF(I53="Market",Retention*LCRenewal*H53*D53*(1+GrowthMarketRent)^0+(1-Retention)*LCNew*H53*D53*(1+GrowthMarketRent)^0,IF(I53="LeaseUp",LCNew*H53*D53*(1+GrowthMarketRent)^0,IF(I53="Option",LCRenewal*H53*D53*(1+GrowthMarketRent)^0,0))))),IF(F53="",0,IF(AND(F53&gt;=DATE(2026+0,5,1),F53&lt;=DATE(2027+0,4,30)),(IF(I53="Vacate",TINew*D53,IF(I53="Market",Retention*TIRenewal*D53+(1-Retention)*TINew*D53,IF(I53="LeaseUp",TINew*D53,IF(I53="Option",TIRenewal*D53,0)))))+(IF(I53="Vacate",LCNew*H53*D53*(1+GrowthMarketRent)^0,IF(I53="Market",Retention*LCRenewal*H53*D53*(1+GrowthMarketRent)^0+(1-Retention)*LCNew*H53*D53*(1+GrowthMarketRent)^0,IF(I53="LeaseUp",LCNew*H53*D53*(1+GrowthMarketRent)^0,IF(I53="Option",LCRenewal*H53*D53*(1+GrowthMarketRent)^0,0))))),0))),0)</f>
        <v/>
      </c>
      <c r="Z53" s="14">
        <f>IFERROR(IF(AND(I53="LeaseUp",1=0),(IF(I53="Vacate",TINew*D53,IF(I53="Market",Retention*TIRenewal*D53+(1-Retention)*TINew*D53,IF(I53="LeaseUp",TINew*D53,IF(I53="Option",TIRenewal*D53,0)))))+(IF(I53="Vacate",LCNew*H53*D53*(1+GrowthMarketRent)^1,IF(I53="Market",Retention*LCRenewal*H53*D53*(1+GrowthMarketRent)^1+(1-Retention)*LCNew*H53*D53*(1+GrowthMarketRent)^1,IF(I53="LeaseUp",LCNew*H53*D53*(1+GrowthMarketRent)^1,IF(I53="Option",LCRenewal*H53*D53*(1+GrowthMarketRent)^1,0))))),IF(F53="",0,IF(AND(F53&gt;=DATE(2026+1,5,1),F53&lt;=DATE(2027+1,4,30)),(IF(I53="Vacate",TINew*D53,IF(I53="Market",Retention*TIRenewal*D53+(1-Retention)*TINew*D53,IF(I53="LeaseUp",TINew*D53,IF(I53="Option",TIRenewal*D53,0)))))+(IF(I53="Vacate",LCNew*H53*D53*(1+GrowthMarketRent)^1,IF(I53="Market",Retention*LCRenewal*H53*D53*(1+GrowthMarketRent)^1+(1-Retention)*LCNew*H53*D53*(1+GrowthMarketRent)^1,IF(I53="LeaseUp",LCNew*H53*D53*(1+GrowthMarketRent)^1,IF(I53="Option",LCRenewal*H53*D53*(1+GrowthMarketRent)^1,0))))),0))),0)</f>
        <v/>
      </c>
      <c r="AA53" s="14">
        <f>IFERROR(IF(AND(I53="LeaseUp",2=0),(IF(I53="Vacate",TINew*D53,IF(I53="Market",Retention*TIRenewal*D53+(1-Retention)*TINew*D53,IF(I53="LeaseUp",TINew*D53,IF(I53="Option",TIRenewal*D53,0)))))+(IF(I53="Vacate",LCNew*H53*D53*(1+GrowthMarketRent)^2,IF(I53="Market",Retention*LCRenewal*H53*D53*(1+GrowthMarketRent)^2+(1-Retention)*LCNew*H53*D53*(1+GrowthMarketRent)^2,IF(I53="LeaseUp",LCNew*H53*D53*(1+GrowthMarketRent)^2,IF(I53="Option",LCRenewal*H53*D53*(1+GrowthMarketRent)^2,0))))),IF(F53="",0,IF(AND(F53&gt;=DATE(2026+2,5,1),F53&lt;=DATE(2027+2,4,30)),(IF(I53="Vacate",TINew*D53,IF(I53="Market",Retention*TIRenewal*D53+(1-Retention)*TINew*D53,IF(I53="LeaseUp",TINew*D53,IF(I53="Option",TIRenewal*D53,0)))))+(IF(I53="Vacate",LCNew*H53*D53*(1+GrowthMarketRent)^2,IF(I53="Market",Retention*LCRenewal*H53*D53*(1+GrowthMarketRent)^2+(1-Retention)*LCNew*H53*D53*(1+GrowthMarketRent)^2,IF(I53="LeaseUp",LCNew*H53*D53*(1+GrowthMarketRent)^2,IF(I53="Option",LCRenewal*H53*D53*(1+GrowthMarketRent)^2,0))))),0))),0)</f>
        <v/>
      </c>
      <c r="AB53" s="14">
        <f>IFERROR(IF(AND(I53="LeaseUp",3=0),(IF(I53="Vacate",TINew*D53,IF(I53="Market",Retention*TIRenewal*D53+(1-Retention)*TINew*D53,IF(I53="LeaseUp",TINew*D53,IF(I53="Option",TIRenewal*D53,0)))))+(IF(I53="Vacate",LCNew*H53*D53*(1+GrowthMarketRent)^3,IF(I53="Market",Retention*LCRenewal*H53*D53*(1+GrowthMarketRent)^3+(1-Retention)*LCNew*H53*D53*(1+GrowthMarketRent)^3,IF(I53="LeaseUp",LCNew*H53*D53*(1+GrowthMarketRent)^3,IF(I53="Option",LCRenewal*H53*D53*(1+GrowthMarketRent)^3,0))))),IF(F53="",0,IF(AND(F53&gt;=DATE(2026+3,5,1),F53&lt;=DATE(2027+3,4,30)),(IF(I53="Vacate",TINew*D53,IF(I53="Market",Retention*TIRenewal*D53+(1-Retention)*TINew*D53,IF(I53="LeaseUp",TINew*D53,IF(I53="Option",TIRenewal*D53,0)))))+(IF(I53="Vacate",LCNew*H53*D53*(1+GrowthMarketRent)^3,IF(I53="Market",Retention*LCRenewal*H53*D53*(1+GrowthMarketRent)^3+(1-Retention)*LCNew*H53*D53*(1+GrowthMarketRent)^3,IF(I53="LeaseUp",LCNew*H53*D53*(1+GrowthMarketRent)^3,IF(I53="Option",LCRenewal*H53*D53*(1+GrowthMarketRent)^3,0))))),0))),0)</f>
        <v/>
      </c>
      <c r="AC53" s="14">
        <f>IFERROR(IF(AND(I53="LeaseUp",4=0),(IF(I53="Vacate",TINew*D53,IF(I53="Market",Retention*TIRenewal*D53+(1-Retention)*TINew*D53,IF(I53="LeaseUp",TINew*D53,IF(I53="Option",TIRenewal*D53,0)))))+(IF(I53="Vacate",LCNew*H53*D53*(1+GrowthMarketRent)^4,IF(I53="Market",Retention*LCRenewal*H53*D53*(1+GrowthMarketRent)^4+(1-Retention)*LCNew*H53*D53*(1+GrowthMarketRent)^4,IF(I53="LeaseUp",LCNew*H53*D53*(1+GrowthMarketRent)^4,IF(I53="Option",LCRenewal*H53*D53*(1+GrowthMarketRent)^4,0))))),IF(F53="",0,IF(AND(F53&gt;=DATE(2026+4,5,1),F53&lt;=DATE(2027+4,4,30)),(IF(I53="Vacate",TINew*D53,IF(I53="Market",Retention*TIRenewal*D53+(1-Retention)*TINew*D53,IF(I53="LeaseUp",TINew*D53,IF(I53="Option",TIRenewal*D53,0)))))+(IF(I53="Vacate",LCNew*H53*D53*(1+GrowthMarketRent)^4,IF(I53="Market",Retention*LCRenewal*H53*D53*(1+GrowthMarketRent)^4+(1-Retention)*LCNew*H53*D53*(1+GrowthMarketRent)^4,IF(I53="LeaseUp",LCNew*H53*D53*(1+GrowthMarketRent)^4,IF(I53="Option",LCRenewal*H53*D53*(1+GrowthMarketRent)^4,0))))),0))),0)</f>
        <v/>
      </c>
      <c r="AD53" s="14">
        <f>IFERROR(IF(AND(I53="LeaseUp",5=0),(IF(I53="Vacate",TINew*D53,IF(I53="Market",Retention*TIRenewal*D53+(1-Retention)*TINew*D53,IF(I53="LeaseUp",TINew*D53,IF(I53="Option",TIRenewal*D53,0)))))+(IF(I53="Vacate",LCNew*H53*D53*(1+GrowthMarketRent)^5,IF(I53="Market",Retention*LCRenewal*H53*D53*(1+GrowthMarketRent)^5+(1-Retention)*LCNew*H53*D53*(1+GrowthMarketRent)^5,IF(I53="LeaseUp",LCNew*H53*D53*(1+GrowthMarketRent)^5,IF(I53="Option",LCRenewal*H53*D53*(1+GrowthMarketRent)^5,0))))),IF(F53="",0,IF(AND(F53&gt;=DATE(2026+5,5,1),F53&lt;=DATE(2027+5,4,30)),(IF(I53="Vacate",TINew*D53,IF(I53="Market",Retention*TIRenewal*D53+(1-Retention)*TINew*D53,IF(I53="LeaseUp",TINew*D53,IF(I53="Option",TIRenewal*D53,0)))))+(IF(I53="Vacate",LCNew*H53*D53*(1+GrowthMarketRent)^5,IF(I53="Market",Retention*LCRenewal*H53*D53*(1+GrowthMarketRent)^5+(1-Retention)*LCNew*H53*D53*(1+GrowthMarketRent)^5,IF(I53="LeaseUp",LCNew*H53*D53*(1+GrowthMarketRent)^5,IF(I53="Option",LCRenewal*H53*D53*(1+GrowthMarketRent)^5,0))))),0))),0)</f>
        <v/>
      </c>
      <c r="AE53" s="14">
        <f>IFERROR(IF(AND(I53="LeaseUp",6=0),(IF(I53="Vacate",TINew*D53,IF(I53="Market",Retention*TIRenewal*D53+(1-Retention)*TINew*D53,IF(I53="LeaseUp",TINew*D53,IF(I53="Option",TIRenewal*D53,0)))))+(IF(I53="Vacate",LCNew*H53*D53*(1+GrowthMarketRent)^6,IF(I53="Market",Retention*LCRenewal*H53*D53*(1+GrowthMarketRent)^6+(1-Retention)*LCNew*H53*D53*(1+GrowthMarketRent)^6,IF(I53="LeaseUp",LCNew*H53*D53*(1+GrowthMarketRent)^6,IF(I53="Option",LCRenewal*H53*D53*(1+GrowthMarketRent)^6,0))))),IF(F53="",0,IF(AND(F53&gt;=DATE(2026+6,5,1),F53&lt;=DATE(2027+6,4,30)),(IF(I53="Vacate",TINew*D53,IF(I53="Market",Retention*TIRenewal*D53+(1-Retention)*TINew*D53,IF(I53="LeaseUp",TINew*D53,IF(I53="Option",TIRenewal*D53,0)))))+(IF(I53="Vacate",LCNew*H53*D53*(1+GrowthMarketRent)^6,IF(I53="Market",Retention*LCRenewal*H53*D53*(1+GrowthMarketRent)^6+(1-Retention)*LCNew*H53*D53*(1+GrowthMarketRent)^6,IF(I53="LeaseUp",LCNew*H53*D53*(1+GrowthMarketRent)^6,IF(I53="Option",LCRenewal*H53*D53*(1+GrowthMarketRent)^6,0))))),0))),0)</f>
        <v/>
      </c>
      <c r="AF53" s="14">
        <f>IFERROR(IF(AND(I53="LeaseUp",7=0),(IF(I53="Vacate",TINew*D53,IF(I53="Market",Retention*TIRenewal*D53+(1-Retention)*TINew*D53,IF(I53="LeaseUp",TINew*D53,IF(I53="Option",TIRenewal*D53,0)))))+(IF(I53="Vacate",LCNew*H53*D53*(1+GrowthMarketRent)^7,IF(I53="Market",Retention*LCRenewal*H53*D53*(1+GrowthMarketRent)^7+(1-Retention)*LCNew*H53*D53*(1+GrowthMarketRent)^7,IF(I53="LeaseUp",LCNew*H53*D53*(1+GrowthMarketRent)^7,IF(I53="Option",LCRenewal*H53*D53*(1+GrowthMarketRent)^7,0))))),IF(F53="",0,IF(AND(F53&gt;=DATE(2026+7,5,1),F53&lt;=DATE(2027+7,4,30)),(IF(I53="Vacate",TINew*D53,IF(I53="Market",Retention*TIRenewal*D53+(1-Retention)*TINew*D53,IF(I53="LeaseUp",TINew*D53,IF(I53="Option",TIRenewal*D53,0)))))+(IF(I53="Vacate",LCNew*H53*D53*(1+GrowthMarketRent)^7,IF(I53="Market",Retention*LCRenewal*H53*D53*(1+GrowthMarketRent)^7+(1-Retention)*LCNew*H53*D53*(1+GrowthMarketRent)^7,IF(I53="LeaseUp",LCNew*H53*D53*(1+GrowthMarketRent)^7,IF(I53="Option",LCRenewal*H53*D53*(1+GrowthMarketRent)^7,0))))),0))),0)</f>
        <v/>
      </c>
      <c r="AG53" s="14">
        <f>IFERROR(IF(AND(I53="LeaseUp",8=0),(IF(I53="Vacate",TINew*D53,IF(I53="Market",Retention*TIRenewal*D53+(1-Retention)*TINew*D53,IF(I53="LeaseUp",TINew*D53,IF(I53="Option",TIRenewal*D53,0)))))+(IF(I53="Vacate",LCNew*H53*D53*(1+GrowthMarketRent)^8,IF(I53="Market",Retention*LCRenewal*H53*D53*(1+GrowthMarketRent)^8+(1-Retention)*LCNew*H53*D53*(1+GrowthMarketRent)^8,IF(I53="LeaseUp",LCNew*H53*D53*(1+GrowthMarketRent)^8,IF(I53="Option",LCRenewal*H53*D53*(1+GrowthMarketRent)^8,0))))),IF(F53="",0,IF(AND(F53&gt;=DATE(2026+8,5,1),F53&lt;=DATE(2027+8,4,30)),(IF(I53="Vacate",TINew*D53,IF(I53="Market",Retention*TIRenewal*D53+(1-Retention)*TINew*D53,IF(I53="LeaseUp",TINew*D53,IF(I53="Option",TIRenewal*D53,0)))))+(IF(I53="Vacate",LCNew*H53*D53*(1+GrowthMarketRent)^8,IF(I53="Market",Retention*LCRenewal*H53*D53*(1+GrowthMarketRent)^8+(1-Retention)*LCNew*H53*D53*(1+GrowthMarketRent)^8,IF(I53="LeaseUp",LCNew*H53*D53*(1+GrowthMarketRent)^8,IF(I53="Option",LCRenewal*H53*D53*(1+GrowthMarketRent)^8,0))))),0))),0)</f>
        <v/>
      </c>
      <c r="AH53" s="14">
        <f>IFERROR(IF(AND(I53="LeaseUp",9=0),(IF(I53="Vacate",TINew*D53,IF(I53="Market",Retention*TIRenewal*D53+(1-Retention)*TINew*D53,IF(I53="LeaseUp",TINew*D53,IF(I53="Option",TIRenewal*D53,0)))))+(IF(I53="Vacate",LCNew*H53*D53*(1+GrowthMarketRent)^9,IF(I53="Market",Retention*LCRenewal*H53*D53*(1+GrowthMarketRent)^9+(1-Retention)*LCNew*H53*D53*(1+GrowthMarketRent)^9,IF(I53="LeaseUp",LCNew*H53*D53*(1+GrowthMarketRent)^9,IF(I53="Option",LCRenewal*H53*D53*(1+GrowthMarketRent)^9,0))))),IF(F53="",0,IF(AND(F53&gt;=DATE(2026+9,5,1),F53&lt;=DATE(2027+9,4,30)),(IF(I53="Vacate",TINew*D53,IF(I53="Market",Retention*TIRenewal*D53+(1-Retention)*TINew*D53,IF(I53="LeaseUp",TINew*D53,IF(I53="Option",TIRenewal*D53,0)))))+(IF(I53="Vacate",LCNew*H53*D53*(1+GrowthMarketRent)^9,IF(I53="Market",Retention*LCRenewal*H53*D53*(1+GrowthMarketRent)^9+(1-Retention)*LCNew*H53*D53*(1+GrowthMarketRent)^9,IF(I53="LeaseUp",LCNew*H53*D53*(1+GrowthMarketRent)^9,IF(I53="Option",LCRenewal*H53*D53*(1+GrowthMarketRent)^9,0))))),0))),0)</f>
        <v/>
      </c>
      <c r="AI53" s="14">
        <f>IFERROR(IF(AND(I53="LeaseUp",10=0),(IF(I53="Vacate",TINew*D53,IF(I53="Market",Retention*TIRenewal*D53+(1-Retention)*TINew*D53,IF(I53="LeaseUp",TINew*D53,IF(I53="Option",TIRenewal*D53,0)))))+(IF(I53="Vacate",LCNew*H53*D53*(1+GrowthMarketRent)^10,IF(I53="Market",Retention*LCRenewal*H53*D53*(1+GrowthMarketRent)^10+(1-Retention)*LCNew*H53*D53*(1+GrowthMarketRent)^10,IF(I53="LeaseUp",LCNew*H53*D53*(1+GrowthMarketRent)^10,IF(I53="Option",LCRenewal*H53*D53*(1+GrowthMarketRent)^10,0))))),IF(F53="",0,IF(AND(F53&gt;=DATE(2026+10,5,1),F53&lt;=DATE(2027+10,4,30)),(IF(I53="Vacate",TINew*D53,IF(I53="Market",Retention*TIRenewal*D53+(1-Retention)*TINew*D53,IF(I53="LeaseUp",TINew*D53,IF(I53="Option",TIRenewal*D53,0)))))+(IF(I53="Vacate",LCNew*H53*D53*(1+GrowthMarketRent)^10,IF(I53="Market",Retention*LCRenewal*H53*D53*(1+GrowthMarketRent)^10+(1-Retention)*LCNew*H53*D53*(1+GrowthMarketRent)^10,IF(I53="LeaseUp",LCNew*H53*D53*(1+GrowthMarketRent)^10,IF(I53="Option",LCRenewal*H53*D53*(1+GrowthMarketRent)^10,0))))),0))),0)</f>
        <v/>
      </c>
    </row>
    <row r="54">
      <c r="A54" t="inlineStr">
        <is>
          <t>Frisco</t>
        </is>
      </c>
      <c r="B54" t="inlineStr">
        <is>
          <t>203</t>
        </is>
      </c>
      <c r="C54" t="inlineStr">
        <is>
          <t>RBM Services Inc.</t>
        </is>
      </c>
      <c r="D54" s="32" t="n">
        <v>2600</v>
      </c>
      <c r="E54" s="33" t="n">
        <v>45809</v>
      </c>
      <c r="F54" s="33" t="n">
        <v>47058</v>
      </c>
      <c r="G54" s="34" t="n">
        <v>19</v>
      </c>
      <c r="H54" s="16">
        <f>VLOOKUP(A54,MLA!$A$5:$L$11,3,FALSE)</f>
        <v/>
      </c>
      <c r="I54" s="11" t="inlineStr">
        <is>
          <t>Market</t>
        </is>
      </c>
      <c r="J54" t="inlineStr">
        <is>
          <t>Shop</t>
        </is>
      </c>
      <c r="K54" t="inlineStr">
        <is>
          <t>Occupied</t>
        </is>
      </c>
      <c r="L54" t="inlineStr"/>
      <c r="M54" s="20">
        <f>IF(E54="",0,(AnalysisStart-E54)/365.25)</f>
        <v/>
      </c>
      <c r="N54" s="14">
        <f>IFERROR(IF(I54="LeaseUp",H54*D54*(1+GrowthMarketRent)^0*IF(0=0,(12-DowntimeNew)/12,1),IF(F54="",0,IF(F54&gt;=DATE(2027+0,4,30),G54*D54*(1+EscalatorInLease)^(0+M54),IF(F54&lt;DATE(2026+0,5,1),IF(I54="Vacate",H54*D54*(1+GrowthMarketRent)^0*IF(INT((DATE(2026+0,10,31)-F54)/365.25)=0,(12-DowntimeNew)/12,1),IF(I54="Option",G54*D54*1.025*(1+EscalatorInLease)^0,IF(I54="Market",Retention*G54*D54*(1+EscalatorInLease)^(0+M54)+(1-Retention)*H54*D54*(1+GrowthMarketRent)^0*IF(INT((DATE(2026+0,10,31)-F54)/365.25)=0,(12-DowntimeNew)/12,1),IF(I54="LeaseUp",H54*D54*(1+GrowthMarketRent)^0*IF(0=0,(12-DowntimeNew)/12,1),0)))),((F54-DATE(2026+0,5,1))/365.25)*G54*D54*(1+EscalatorInLease)^(0+M54)+((DATE(2027+0,4,30)-F54)/365.25)*IF(I54="Vacate",H54*D54*(1+GrowthMarketRent)^0*IF(INT((DATE(2026+0,10,31)-F54)/365.25)=0,(12-DowntimeNew)/12,1),IF(I54="Option",G54*D54*1.025*(1+EscalatorInLease)^0,IF(I54="Market",Retention*G54*D54*(1+EscalatorInLease)^(0+M54)+(1-Retention)*H54*D54*(1+GrowthMarketRent)^0*IF(INT((DATE(2026+0,10,31)-F54)/365.25)=0,(12-DowntimeNew)/12,1),IF(I54="LeaseUp",H54*D54*(1+GrowthMarketRent)^0*IF(0=0,(12-DowntimeNew)/12,1),0)))))))),0)</f>
        <v/>
      </c>
      <c r="O54" s="14">
        <f>IFERROR(IF(I54="LeaseUp",H54*D54*(1+GrowthMarketRent)^1*IF(1=0,(12-DowntimeNew)/12,1),IF(F54="",0,IF(F54&gt;=DATE(2027+1,4,30),G54*D54*(1+EscalatorInLease)^(1+M54),IF(F54&lt;DATE(2026+1,5,1),IF(I54="Vacate",H54*D54*(1+GrowthMarketRent)^1*IF(INT((DATE(2026+1,10,31)-F54)/365.25)=0,(12-DowntimeNew)/12,1),IF(I54="Option",G54*D54*1.025*(1+EscalatorInLease)^1,IF(I54="Market",Retention*G54*D54*(1+EscalatorInLease)^(1+M54)+(1-Retention)*H54*D54*(1+GrowthMarketRent)^1*IF(INT((DATE(2026+1,10,31)-F54)/365.25)=0,(12-DowntimeNew)/12,1),IF(I54="LeaseUp",H54*D54*(1+GrowthMarketRent)^1*IF(1=0,(12-DowntimeNew)/12,1),0)))),((F54-DATE(2026+1,5,1))/365.25)*G54*D54*(1+EscalatorInLease)^(1+M54)+((DATE(2027+1,4,30)-F54)/365.25)*IF(I54="Vacate",H54*D54*(1+GrowthMarketRent)^1*IF(INT((DATE(2026+1,10,31)-F54)/365.25)=0,(12-DowntimeNew)/12,1),IF(I54="Option",G54*D54*1.025*(1+EscalatorInLease)^1,IF(I54="Market",Retention*G54*D54*(1+EscalatorInLease)^(1+M54)+(1-Retention)*H54*D54*(1+GrowthMarketRent)^1*IF(INT((DATE(2026+1,10,31)-F54)/365.25)=0,(12-DowntimeNew)/12,1),IF(I54="LeaseUp",H54*D54*(1+GrowthMarketRent)^1*IF(1=0,(12-DowntimeNew)/12,1),0)))))))),0)</f>
        <v/>
      </c>
      <c r="P54" s="14">
        <f>IFERROR(IF(I54="LeaseUp",H54*D54*(1+GrowthMarketRent)^2*IF(2=0,(12-DowntimeNew)/12,1),IF(F54="",0,IF(F54&gt;=DATE(2027+2,4,30),G54*D54*(1+EscalatorInLease)^(2+M54),IF(F54&lt;DATE(2026+2,5,1),IF(I54="Vacate",H54*D54*(1+GrowthMarketRent)^2*IF(INT((DATE(2026+2,10,31)-F54)/365.25)=0,(12-DowntimeNew)/12,1),IF(I54="Option",G54*D54*1.025*(1+EscalatorInLease)^2,IF(I54="Market",Retention*G54*D54*(1+EscalatorInLease)^(2+M54)+(1-Retention)*H54*D54*(1+GrowthMarketRent)^2*IF(INT((DATE(2026+2,10,31)-F54)/365.25)=0,(12-DowntimeNew)/12,1),IF(I54="LeaseUp",H54*D54*(1+GrowthMarketRent)^2*IF(2=0,(12-DowntimeNew)/12,1),0)))),((F54-DATE(2026+2,5,1))/365.25)*G54*D54*(1+EscalatorInLease)^(2+M54)+((DATE(2027+2,4,30)-F54)/365.25)*IF(I54="Vacate",H54*D54*(1+GrowthMarketRent)^2*IF(INT((DATE(2026+2,10,31)-F54)/365.25)=0,(12-DowntimeNew)/12,1),IF(I54="Option",G54*D54*1.025*(1+EscalatorInLease)^2,IF(I54="Market",Retention*G54*D54*(1+EscalatorInLease)^(2+M54)+(1-Retention)*H54*D54*(1+GrowthMarketRent)^2*IF(INT((DATE(2026+2,10,31)-F54)/365.25)=0,(12-DowntimeNew)/12,1),IF(I54="LeaseUp",H54*D54*(1+GrowthMarketRent)^2*IF(2=0,(12-DowntimeNew)/12,1),0)))))))),0)</f>
        <v/>
      </c>
      <c r="Q54" s="14">
        <f>IFERROR(IF(I54="LeaseUp",H54*D54*(1+GrowthMarketRent)^3*IF(3=0,(12-DowntimeNew)/12,1),IF(F54="",0,IF(F54&gt;=DATE(2027+3,4,30),G54*D54*(1+EscalatorInLease)^(3+M54),IF(F54&lt;DATE(2026+3,5,1),IF(I54="Vacate",H54*D54*(1+GrowthMarketRent)^3*IF(INT((DATE(2026+3,10,31)-F54)/365.25)=0,(12-DowntimeNew)/12,1),IF(I54="Option",G54*D54*1.025*(1+EscalatorInLease)^3,IF(I54="Market",Retention*G54*D54*(1+EscalatorInLease)^(3+M54)+(1-Retention)*H54*D54*(1+GrowthMarketRent)^3*IF(INT((DATE(2026+3,10,31)-F54)/365.25)=0,(12-DowntimeNew)/12,1),IF(I54="LeaseUp",H54*D54*(1+GrowthMarketRent)^3*IF(3=0,(12-DowntimeNew)/12,1),0)))),((F54-DATE(2026+3,5,1))/365.25)*G54*D54*(1+EscalatorInLease)^(3+M54)+((DATE(2027+3,4,30)-F54)/365.25)*IF(I54="Vacate",H54*D54*(1+GrowthMarketRent)^3*IF(INT((DATE(2026+3,10,31)-F54)/365.25)=0,(12-DowntimeNew)/12,1),IF(I54="Option",G54*D54*1.025*(1+EscalatorInLease)^3,IF(I54="Market",Retention*G54*D54*(1+EscalatorInLease)^(3+M54)+(1-Retention)*H54*D54*(1+GrowthMarketRent)^3*IF(INT((DATE(2026+3,10,31)-F54)/365.25)=0,(12-DowntimeNew)/12,1),IF(I54="LeaseUp",H54*D54*(1+GrowthMarketRent)^3*IF(3=0,(12-DowntimeNew)/12,1),0)))))))),0)</f>
        <v/>
      </c>
      <c r="R54" s="14">
        <f>IFERROR(IF(I54="LeaseUp",H54*D54*(1+GrowthMarketRent)^4*IF(4=0,(12-DowntimeNew)/12,1),IF(F54="",0,IF(F54&gt;=DATE(2027+4,4,30),G54*D54*(1+EscalatorInLease)^(4+M54),IF(F54&lt;DATE(2026+4,5,1),IF(I54="Vacate",H54*D54*(1+GrowthMarketRent)^4*IF(INT((DATE(2026+4,10,31)-F54)/365.25)=0,(12-DowntimeNew)/12,1),IF(I54="Option",G54*D54*1.025*(1+EscalatorInLease)^4,IF(I54="Market",Retention*G54*D54*(1+EscalatorInLease)^(4+M54)+(1-Retention)*H54*D54*(1+GrowthMarketRent)^4*IF(INT((DATE(2026+4,10,31)-F54)/365.25)=0,(12-DowntimeNew)/12,1),IF(I54="LeaseUp",H54*D54*(1+GrowthMarketRent)^4*IF(4=0,(12-DowntimeNew)/12,1),0)))),((F54-DATE(2026+4,5,1))/365.25)*G54*D54*(1+EscalatorInLease)^(4+M54)+((DATE(2027+4,4,30)-F54)/365.25)*IF(I54="Vacate",H54*D54*(1+GrowthMarketRent)^4*IF(INT((DATE(2026+4,10,31)-F54)/365.25)=0,(12-DowntimeNew)/12,1),IF(I54="Option",G54*D54*1.025*(1+EscalatorInLease)^4,IF(I54="Market",Retention*G54*D54*(1+EscalatorInLease)^(4+M54)+(1-Retention)*H54*D54*(1+GrowthMarketRent)^4*IF(INT((DATE(2026+4,10,31)-F54)/365.25)=0,(12-DowntimeNew)/12,1),IF(I54="LeaseUp",H54*D54*(1+GrowthMarketRent)^4*IF(4=0,(12-DowntimeNew)/12,1),0)))))))),0)</f>
        <v/>
      </c>
      <c r="S54" s="14">
        <f>IFERROR(IF(I54="LeaseUp",H54*D54*(1+GrowthMarketRent)^5*IF(5=0,(12-DowntimeNew)/12,1),IF(F54="",0,IF(F54&gt;=DATE(2027+5,4,30),G54*D54*(1+EscalatorInLease)^(5+M54),IF(F54&lt;DATE(2026+5,5,1),IF(I54="Vacate",H54*D54*(1+GrowthMarketRent)^5*IF(INT((DATE(2026+5,10,31)-F54)/365.25)=0,(12-DowntimeNew)/12,1),IF(I54="Option",G54*D54*1.025*(1+EscalatorInLease)^5,IF(I54="Market",Retention*G54*D54*(1+EscalatorInLease)^(5+M54)+(1-Retention)*H54*D54*(1+GrowthMarketRent)^5*IF(INT((DATE(2026+5,10,31)-F54)/365.25)=0,(12-DowntimeNew)/12,1),IF(I54="LeaseUp",H54*D54*(1+GrowthMarketRent)^5*IF(5=0,(12-DowntimeNew)/12,1),0)))),((F54-DATE(2026+5,5,1))/365.25)*G54*D54*(1+EscalatorInLease)^(5+M54)+((DATE(2027+5,4,30)-F54)/365.25)*IF(I54="Vacate",H54*D54*(1+GrowthMarketRent)^5*IF(INT((DATE(2026+5,10,31)-F54)/365.25)=0,(12-DowntimeNew)/12,1),IF(I54="Option",G54*D54*1.025*(1+EscalatorInLease)^5,IF(I54="Market",Retention*G54*D54*(1+EscalatorInLease)^(5+M54)+(1-Retention)*H54*D54*(1+GrowthMarketRent)^5*IF(INT((DATE(2026+5,10,31)-F54)/365.25)=0,(12-DowntimeNew)/12,1),IF(I54="LeaseUp",H54*D54*(1+GrowthMarketRent)^5*IF(5=0,(12-DowntimeNew)/12,1),0)))))))),0)</f>
        <v/>
      </c>
      <c r="T54" s="14">
        <f>IFERROR(IF(I54="LeaseUp",H54*D54*(1+GrowthMarketRent)^6*IF(6=0,(12-DowntimeNew)/12,1),IF(F54="",0,IF(F54&gt;=DATE(2027+6,4,30),G54*D54*(1+EscalatorInLease)^(6+M54),IF(F54&lt;DATE(2026+6,5,1),IF(I54="Vacate",H54*D54*(1+GrowthMarketRent)^6*IF(INT((DATE(2026+6,10,31)-F54)/365.25)=0,(12-DowntimeNew)/12,1),IF(I54="Option",G54*D54*1.025*(1+EscalatorInLease)^6,IF(I54="Market",Retention*G54*D54*(1+EscalatorInLease)^(6+M54)+(1-Retention)*H54*D54*(1+GrowthMarketRent)^6*IF(INT((DATE(2026+6,10,31)-F54)/365.25)=0,(12-DowntimeNew)/12,1),IF(I54="LeaseUp",H54*D54*(1+GrowthMarketRent)^6*IF(6=0,(12-DowntimeNew)/12,1),0)))),((F54-DATE(2026+6,5,1))/365.25)*G54*D54*(1+EscalatorInLease)^(6+M54)+((DATE(2027+6,4,30)-F54)/365.25)*IF(I54="Vacate",H54*D54*(1+GrowthMarketRent)^6*IF(INT((DATE(2026+6,10,31)-F54)/365.25)=0,(12-DowntimeNew)/12,1),IF(I54="Option",G54*D54*1.025*(1+EscalatorInLease)^6,IF(I54="Market",Retention*G54*D54*(1+EscalatorInLease)^(6+M54)+(1-Retention)*H54*D54*(1+GrowthMarketRent)^6*IF(INT((DATE(2026+6,10,31)-F54)/365.25)=0,(12-DowntimeNew)/12,1),IF(I54="LeaseUp",H54*D54*(1+GrowthMarketRent)^6*IF(6=0,(12-DowntimeNew)/12,1),0)))))))),0)</f>
        <v/>
      </c>
      <c r="U54" s="14">
        <f>IFERROR(IF(I54="LeaseUp",H54*D54*(1+GrowthMarketRent)^7*IF(7=0,(12-DowntimeNew)/12,1),IF(F54="",0,IF(F54&gt;=DATE(2027+7,4,30),G54*D54*(1+EscalatorInLease)^(7+M54),IF(F54&lt;DATE(2026+7,5,1),IF(I54="Vacate",H54*D54*(1+GrowthMarketRent)^7*IF(INT((DATE(2026+7,10,31)-F54)/365.25)=0,(12-DowntimeNew)/12,1),IF(I54="Option",G54*D54*1.025*(1+EscalatorInLease)^7,IF(I54="Market",Retention*G54*D54*(1+EscalatorInLease)^(7+M54)+(1-Retention)*H54*D54*(1+GrowthMarketRent)^7*IF(INT((DATE(2026+7,10,31)-F54)/365.25)=0,(12-DowntimeNew)/12,1),IF(I54="LeaseUp",H54*D54*(1+GrowthMarketRent)^7*IF(7=0,(12-DowntimeNew)/12,1),0)))),((F54-DATE(2026+7,5,1))/365.25)*G54*D54*(1+EscalatorInLease)^(7+M54)+((DATE(2027+7,4,30)-F54)/365.25)*IF(I54="Vacate",H54*D54*(1+GrowthMarketRent)^7*IF(INT((DATE(2026+7,10,31)-F54)/365.25)=0,(12-DowntimeNew)/12,1),IF(I54="Option",G54*D54*1.025*(1+EscalatorInLease)^7,IF(I54="Market",Retention*G54*D54*(1+EscalatorInLease)^(7+M54)+(1-Retention)*H54*D54*(1+GrowthMarketRent)^7*IF(INT((DATE(2026+7,10,31)-F54)/365.25)=0,(12-DowntimeNew)/12,1),IF(I54="LeaseUp",H54*D54*(1+GrowthMarketRent)^7*IF(7=0,(12-DowntimeNew)/12,1),0)))))))),0)</f>
        <v/>
      </c>
      <c r="V54" s="14">
        <f>IFERROR(IF(I54="LeaseUp",H54*D54*(1+GrowthMarketRent)^8*IF(8=0,(12-DowntimeNew)/12,1),IF(F54="",0,IF(F54&gt;=DATE(2027+8,4,30),G54*D54*(1+EscalatorInLease)^(8+M54),IF(F54&lt;DATE(2026+8,5,1),IF(I54="Vacate",H54*D54*(1+GrowthMarketRent)^8*IF(INT((DATE(2026+8,10,31)-F54)/365.25)=0,(12-DowntimeNew)/12,1),IF(I54="Option",G54*D54*1.025*(1+EscalatorInLease)^8,IF(I54="Market",Retention*G54*D54*(1+EscalatorInLease)^(8+M54)+(1-Retention)*H54*D54*(1+GrowthMarketRent)^8*IF(INT((DATE(2026+8,10,31)-F54)/365.25)=0,(12-DowntimeNew)/12,1),IF(I54="LeaseUp",H54*D54*(1+GrowthMarketRent)^8*IF(8=0,(12-DowntimeNew)/12,1),0)))),((F54-DATE(2026+8,5,1))/365.25)*G54*D54*(1+EscalatorInLease)^(8+M54)+((DATE(2027+8,4,30)-F54)/365.25)*IF(I54="Vacate",H54*D54*(1+GrowthMarketRent)^8*IF(INT((DATE(2026+8,10,31)-F54)/365.25)=0,(12-DowntimeNew)/12,1),IF(I54="Option",G54*D54*1.025*(1+EscalatorInLease)^8,IF(I54="Market",Retention*G54*D54*(1+EscalatorInLease)^(8+M54)+(1-Retention)*H54*D54*(1+GrowthMarketRent)^8*IF(INT((DATE(2026+8,10,31)-F54)/365.25)=0,(12-DowntimeNew)/12,1),IF(I54="LeaseUp",H54*D54*(1+GrowthMarketRent)^8*IF(8=0,(12-DowntimeNew)/12,1),0)))))))),0)</f>
        <v/>
      </c>
      <c r="W54" s="14">
        <f>IFERROR(IF(I54="LeaseUp",H54*D54*(1+GrowthMarketRent)^9*IF(9=0,(12-DowntimeNew)/12,1),IF(F54="",0,IF(F54&gt;=DATE(2027+9,4,30),G54*D54*(1+EscalatorInLease)^(9+M54),IF(F54&lt;DATE(2026+9,5,1),IF(I54="Vacate",H54*D54*(1+GrowthMarketRent)^9*IF(INT((DATE(2026+9,10,31)-F54)/365.25)=0,(12-DowntimeNew)/12,1),IF(I54="Option",G54*D54*1.025*(1+EscalatorInLease)^9,IF(I54="Market",Retention*G54*D54*(1+EscalatorInLease)^(9+M54)+(1-Retention)*H54*D54*(1+GrowthMarketRent)^9*IF(INT((DATE(2026+9,10,31)-F54)/365.25)=0,(12-DowntimeNew)/12,1),IF(I54="LeaseUp",H54*D54*(1+GrowthMarketRent)^9*IF(9=0,(12-DowntimeNew)/12,1),0)))),((F54-DATE(2026+9,5,1))/365.25)*G54*D54*(1+EscalatorInLease)^(9+M54)+((DATE(2027+9,4,30)-F54)/365.25)*IF(I54="Vacate",H54*D54*(1+GrowthMarketRent)^9*IF(INT((DATE(2026+9,10,31)-F54)/365.25)=0,(12-DowntimeNew)/12,1),IF(I54="Option",G54*D54*1.025*(1+EscalatorInLease)^9,IF(I54="Market",Retention*G54*D54*(1+EscalatorInLease)^(9+M54)+(1-Retention)*H54*D54*(1+GrowthMarketRent)^9*IF(INT((DATE(2026+9,10,31)-F54)/365.25)=0,(12-DowntimeNew)/12,1),IF(I54="LeaseUp",H54*D54*(1+GrowthMarketRent)^9*IF(9=0,(12-DowntimeNew)/12,1),0)))))))),0)</f>
        <v/>
      </c>
      <c r="X54" s="14">
        <f>IFERROR(IF(I54="LeaseUp",H54*D54*(1+GrowthMarketRent)^10*IF(10=0,(12-DowntimeNew)/12,1),IF(F54="",0,IF(F54&gt;=DATE(2027+10,4,30),G54*D54*(1+EscalatorInLease)^(10+M54),IF(F54&lt;DATE(2026+10,5,1),IF(I54="Vacate",H54*D54*(1+GrowthMarketRent)^10*IF(INT((DATE(2026+10,10,31)-F54)/365.25)=0,(12-DowntimeNew)/12,1),IF(I54="Option",G54*D54*1.025*(1+EscalatorInLease)^10,IF(I54="Market",Retention*G54*D54*(1+EscalatorInLease)^(10+M54)+(1-Retention)*H54*D54*(1+GrowthMarketRent)^10*IF(INT((DATE(2026+10,10,31)-F54)/365.25)=0,(12-DowntimeNew)/12,1),IF(I54="LeaseUp",H54*D54*(1+GrowthMarketRent)^10*IF(10=0,(12-DowntimeNew)/12,1),0)))),((F54-DATE(2026+10,5,1))/365.25)*G54*D54*(1+EscalatorInLease)^(10+M54)+((DATE(2027+10,4,30)-F54)/365.25)*IF(I54="Vacate",H54*D54*(1+GrowthMarketRent)^10*IF(INT((DATE(2026+10,10,31)-F54)/365.25)=0,(12-DowntimeNew)/12,1),IF(I54="Option",G54*D54*1.025*(1+EscalatorInLease)^10,IF(I54="Market",Retention*G54*D54*(1+EscalatorInLease)^(10+M54)+(1-Retention)*H54*D54*(1+GrowthMarketRent)^10*IF(INT((DATE(2026+10,10,31)-F54)/365.25)=0,(12-DowntimeNew)/12,1),IF(I54="LeaseUp",H54*D54*(1+GrowthMarketRent)^10*IF(10=0,(12-DowntimeNew)/12,1),0)))))))),0)</f>
        <v/>
      </c>
      <c r="Y54" s="14">
        <f>IFERROR(IF(AND(I54="LeaseUp",0=0),(IF(I54="Vacate",TINew*D54,IF(I54="Market",Retention*TIRenewal*D54+(1-Retention)*TINew*D54,IF(I54="LeaseUp",TINew*D54,IF(I54="Option",TIRenewal*D54,0)))))+(IF(I54="Vacate",LCNew*H54*D54*(1+GrowthMarketRent)^0,IF(I54="Market",Retention*LCRenewal*H54*D54*(1+GrowthMarketRent)^0+(1-Retention)*LCNew*H54*D54*(1+GrowthMarketRent)^0,IF(I54="LeaseUp",LCNew*H54*D54*(1+GrowthMarketRent)^0,IF(I54="Option",LCRenewal*H54*D54*(1+GrowthMarketRent)^0,0))))),IF(F54="",0,IF(AND(F54&gt;=DATE(2026+0,5,1),F54&lt;=DATE(2027+0,4,30)),(IF(I54="Vacate",TINew*D54,IF(I54="Market",Retention*TIRenewal*D54+(1-Retention)*TINew*D54,IF(I54="LeaseUp",TINew*D54,IF(I54="Option",TIRenewal*D54,0)))))+(IF(I54="Vacate",LCNew*H54*D54*(1+GrowthMarketRent)^0,IF(I54="Market",Retention*LCRenewal*H54*D54*(1+GrowthMarketRent)^0+(1-Retention)*LCNew*H54*D54*(1+GrowthMarketRent)^0,IF(I54="LeaseUp",LCNew*H54*D54*(1+GrowthMarketRent)^0,IF(I54="Option",LCRenewal*H54*D54*(1+GrowthMarketRent)^0,0))))),0))),0)</f>
        <v/>
      </c>
      <c r="Z54" s="14">
        <f>IFERROR(IF(AND(I54="LeaseUp",1=0),(IF(I54="Vacate",TINew*D54,IF(I54="Market",Retention*TIRenewal*D54+(1-Retention)*TINew*D54,IF(I54="LeaseUp",TINew*D54,IF(I54="Option",TIRenewal*D54,0)))))+(IF(I54="Vacate",LCNew*H54*D54*(1+GrowthMarketRent)^1,IF(I54="Market",Retention*LCRenewal*H54*D54*(1+GrowthMarketRent)^1+(1-Retention)*LCNew*H54*D54*(1+GrowthMarketRent)^1,IF(I54="LeaseUp",LCNew*H54*D54*(1+GrowthMarketRent)^1,IF(I54="Option",LCRenewal*H54*D54*(1+GrowthMarketRent)^1,0))))),IF(F54="",0,IF(AND(F54&gt;=DATE(2026+1,5,1),F54&lt;=DATE(2027+1,4,30)),(IF(I54="Vacate",TINew*D54,IF(I54="Market",Retention*TIRenewal*D54+(1-Retention)*TINew*D54,IF(I54="LeaseUp",TINew*D54,IF(I54="Option",TIRenewal*D54,0)))))+(IF(I54="Vacate",LCNew*H54*D54*(1+GrowthMarketRent)^1,IF(I54="Market",Retention*LCRenewal*H54*D54*(1+GrowthMarketRent)^1+(1-Retention)*LCNew*H54*D54*(1+GrowthMarketRent)^1,IF(I54="LeaseUp",LCNew*H54*D54*(1+GrowthMarketRent)^1,IF(I54="Option",LCRenewal*H54*D54*(1+GrowthMarketRent)^1,0))))),0))),0)</f>
        <v/>
      </c>
      <c r="AA54" s="14">
        <f>IFERROR(IF(AND(I54="LeaseUp",2=0),(IF(I54="Vacate",TINew*D54,IF(I54="Market",Retention*TIRenewal*D54+(1-Retention)*TINew*D54,IF(I54="LeaseUp",TINew*D54,IF(I54="Option",TIRenewal*D54,0)))))+(IF(I54="Vacate",LCNew*H54*D54*(1+GrowthMarketRent)^2,IF(I54="Market",Retention*LCRenewal*H54*D54*(1+GrowthMarketRent)^2+(1-Retention)*LCNew*H54*D54*(1+GrowthMarketRent)^2,IF(I54="LeaseUp",LCNew*H54*D54*(1+GrowthMarketRent)^2,IF(I54="Option",LCRenewal*H54*D54*(1+GrowthMarketRent)^2,0))))),IF(F54="",0,IF(AND(F54&gt;=DATE(2026+2,5,1),F54&lt;=DATE(2027+2,4,30)),(IF(I54="Vacate",TINew*D54,IF(I54="Market",Retention*TIRenewal*D54+(1-Retention)*TINew*D54,IF(I54="LeaseUp",TINew*D54,IF(I54="Option",TIRenewal*D54,0)))))+(IF(I54="Vacate",LCNew*H54*D54*(1+GrowthMarketRent)^2,IF(I54="Market",Retention*LCRenewal*H54*D54*(1+GrowthMarketRent)^2+(1-Retention)*LCNew*H54*D54*(1+GrowthMarketRent)^2,IF(I54="LeaseUp",LCNew*H54*D54*(1+GrowthMarketRent)^2,IF(I54="Option",LCRenewal*H54*D54*(1+GrowthMarketRent)^2,0))))),0))),0)</f>
        <v/>
      </c>
      <c r="AB54" s="14">
        <f>IFERROR(IF(AND(I54="LeaseUp",3=0),(IF(I54="Vacate",TINew*D54,IF(I54="Market",Retention*TIRenewal*D54+(1-Retention)*TINew*D54,IF(I54="LeaseUp",TINew*D54,IF(I54="Option",TIRenewal*D54,0)))))+(IF(I54="Vacate",LCNew*H54*D54*(1+GrowthMarketRent)^3,IF(I54="Market",Retention*LCRenewal*H54*D54*(1+GrowthMarketRent)^3+(1-Retention)*LCNew*H54*D54*(1+GrowthMarketRent)^3,IF(I54="LeaseUp",LCNew*H54*D54*(1+GrowthMarketRent)^3,IF(I54="Option",LCRenewal*H54*D54*(1+GrowthMarketRent)^3,0))))),IF(F54="",0,IF(AND(F54&gt;=DATE(2026+3,5,1),F54&lt;=DATE(2027+3,4,30)),(IF(I54="Vacate",TINew*D54,IF(I54="Market",Retention*TIRenewal*D54+(1-Retention)*TINew*D54,IF(I54="LeaseUp",TINew*D54,IF(I54="Option",TIRenewal*D54,0)))))+(IF(I54="Vacate",LCNew*H54*D54*(1+GrowthMarketRent)^3,IF(I54="Market",Retention*LCRenewal*H54*D54*(1+GrowthMarketRent)^3+(1-Retention)*LCNew*H54*D54*(1+GrowthMarketRent)^3,IF(I54="LeaseUp",LCNew*H54*D54*(1+GrowthMarketRent)^3,IF(I54="Option",LCRenewal*H54*D54*(1+GrowthMarketRent)^3,0))))),0))),0)</f>
        <v/>
      </c>
      <c r="AC54" s="14">
        <f>IFERROR(IF(AND(I54="LeaseUp",4=0),(IF(I54="Vacate",TINew*D54,IF(I54="Market",Retention*TIRenewal*D54+(1-Retention)*TINew*D54,IF(I54="LeaseUp",TINew*D54,IF(I54="Option",TIRenewal*D54,0)))))+(IF(I54="Vacate",LCNew*H54*D54*(1+GrowthMarketRent)^4,IF(I54="Market",Retention*LCRenewal*H54*D54*(1+GrowthMarketRent)^4+(1-Retention)*LCNew*H54*D54*(1+GrowthMarketRent)^4,IF(I54="LeaseUp",LCNew*H54*D54*(1+GrowthMarketRent)^4,IF(I54="Option",LCRenewal*H54*D54*(1+GrowthMarketRent)^4,0))))),IF(F54="",0,IF(AND(F54&gt;=DATE(2026+4,5,1),F54&lt;=DATE(2027+4,4,30)),(IF(I54="Vacate",TINew*D54,IF(I54="Market",Retention*TIRenewal*D54+(1-Retention)*TINew*D54,IF(I54="LeaseUp",TINew*D54,IF(I54="Option",TIRenewal*D54,0)))))+(IF(I54="Vacate",LCNew*H54*D54*(1+GrowthMarketRent)^4,IF(I54="Market",Retention*LCRenewal*H54*D54*(1+GrowthMarketRent)^4+(1-Retention)*LCNew*H54*D54*(1+GrowthMarketRent)^4,IF(I54="LeaseUp",LCNew*H54*D54*(1+GrowthMarketRent)^4,IF(I54="Option",LCRenewal*H54*D54*(1+GrowthMarketRent)^4,0))))),0))),0)</f>
        <v/>
      </c>
      <c r="AD54" s="14">
        <f>IFERROR(IF(AND(I54="LeaseUp",5=0),(IF(I54="Vacate",TINew*D54,IF(I54="Market",Retention*TIRenewal*D54+(1-Retention)*TINew*D54,IF(I54="LeaseUp",TINew*D54,IF(I54="Option",TIRenewal*D54,0)))))+(IF(I54="Vacate",LCNew*H54*D54*(1+GrowthMarketRent)^5,IF(I54="Market",Retention*LCRenewal*H54*D54*(1+GrowthMarketRent)^5+(1-Retention)*LCNew*H54*D54*(1+GrowthMarketRent)^5,IF(I54="LeaseUp",LCNew*H54*D54*(1+GrowthMarketRent)^5,IF(I54="Option",LCRenewal*H54*D54*(1+GrowthMarketRent)^5,0))))),IF(F54="",0,IF(AND(F54&gt;=DATE(2026+5,5,1),F54&lt;=DATE(2027+5,4,30)),(IF(I54="Vacate",TINew*D54,IF(I54="Market",Retention*TIRenewal*D54+(1-Retention)*TINew*D54,IF(I54="LeaseUp",TINew*D54,IF(I54="Option",TIRenewal*D54,0)))))+(IF(I54="Vacate",LCNew*H54*D54*(1+GrowthMarketRent)^5,IF(I54="Market",Retention*LCRenewal*H54*D54*(1+GrowthMarketRent)^5+(1-Retention)*LCNew*H54*D54*(1+GrowthMarketRent)^5,IF(I54="LeaseUp",LCNew*H54*D54*(1+GrowthMarketRent)^5,IF(I54="Option",LCRenewal*H54*D54*(1+GrowthMarketRent)^5,0))))),0))),0)</f>
        <v/>
      </c>
      <c r="AE54" s="14">
        <f>IFERROR(IF(AND(I54="LeaseUp",6=0),(IF(I54="Vacate",TINew*D54,IF(I54="Market",Retention*TIRenewal*D54+(1-Retention)*TINew*D54,IF(I54="LeaseUp",TINew*D54,IF(I54="Option",TIRenewal*D54,0)))))+(IF(I54="Vacate",LCNew*H54*D54*(1+GrowthMarketRent)^6,IF(I54="Market",Retention*LCRenewal*H54*D54*(1+GrowthMarketRent)^6+(1-Retention)*LCNew*H54*D54*(1+GrowthMarketRent)^6,IF(I54="LeaseUp",LCNew*H54*D54*(1+GrowthMarketRent)^6,IF(I54="Option",LCRenewal*H54*D54*(1+GrowthMarketRent)^6,0))))),IF(F54="",0,IF(AND(F54&gt;=DATE(2026+6,5,1),F54&lt;=DATE(2027+6,4,30)),(IF(I54="Vacate",TINew*D54,IF(I54="Market",Retention*TIRenewal*D54+(1-Retention)*TINew*D54,IF(I54="LeaseUp",TINew*D54,IF(I54="Option",TIRenewal*D54,0)))))+(IF(I54="Vacate",LCNew*H54*D54*(1+GrowthMarketRent)^6,IF(I54="Market",Retention*LCRenewal*H54*D54*(1+GrowthMarketRent)^6+(1-Retention)*LCNew*H54*D54*(1+GrowthMarketRent)^6,IF(I54="LeaseUp",LCNew*H54*D54*(1+GrowthMarketRent)^6,IF(I54="Option",LCRenewal*H54*D54*(1+GrowthMarketRent)^6,0))))),0))),0)</f>
        <v/>
      </c>
      <c r="AF54" s="14">
        <f>IFERROR(IF(AND(I54="LeaseUp",7=0),(IF(I54="Vacate",TINew*D54,IF(I54="Market",Retention*TIRenewal*D54+(1-Retention)*TINew*D54,IF(I54="LeaseUp",TINew*D54,IF(I54="Option",TIRenewal*D54,0)))))+(IF(I54="Vacate",LCNew*H54*D54*(1+GrowthMarketRent)^7,IF(I54="Market",Retention*LCRenewal*H54*D54*(1+GrowthMarketRent)^7+(1-Retention)*LCNew*H54*D54*(1+GrowthMarketRent)^7,IF(I54="LeaseUp",LCNew*H54*D54*(1+GrowthMarketRent)^7,IF(I54="Option",LCRenewal*H54*D54*(1+GrowthMarketRent)^7,0))))),IF(F54="",0,IF(AND(F54&gt;=DATE(2026+7,5,1),F54&lt;=DATE(2027+7,4,30)),(IF(I54="Vacate",TINew*D54,IF(I54="Market",Retention*TIRenewal*D54+(1-Retention)*TINew*D54,IF(I54="LeaseUp",TINew*D54,IF(I54="Option",TIRenewal*D54,0)))))+(IF(I54="Vacate",LCNew*H54*D54*(1+GrowthMarketRent)^7,IF(I54="Market",Retention*LCRenewal*H54*D54*(1+GrowthMarketRent)^7+(1-Retention)*LCNew*H54*D54*(1+GrowthMarketRent)^7,IF(I54="LeaseUp",LCNew*H54*D54*(1+GrowthMarketRent)^7,IF(I54="Option",LCRenewal*H54*D54*(1+GrowthMarketRent)^7,0))))),0))),0)</f>
        <v/>
      </c>
      <c r="AG54" s="14">
        <f>IFERROR(IF(AND(I54="LeaseUp",8=0),(IF(I54="Vacate",TINew*D54,IF(I54="Market",Retention*TIRenewal*D54+(1-Retention)*TINew*D54,IF(I54="LeaseUp",TINew*D54,IF(I54="Option",TIRenewal*D54,0)))))+(IF(I54="Vacate",LCNew*H54*D54*(1+GrowthMarketRent)^8,IF(I54="Market",Retention*LCRenewal*H54*D54*(1+GrowthMarketRent)^8+(1-Retention)*LCNew*H54*D54*(1+GrowthMarketRent)^8,IF(I54="LeaseUp",LCNew*H54*D54*(1+GrowthMarketRent)^8,IF(I54="Option",LCRenewal*H54*D54*(1+GrowthMarketRent)^8,0))))),IF(F54="",0,IF(AND(F54&gt;=DATE(2026+8,5,1),F54&lt;=DATE(2027+8,4,30)),(IF(I54="Vacate",TINew*D54,IF(I54="Market",Retention*TIRenewal*D54+(1-Retention)*TINew*D54,IF(I54="LeaseUp",TINew*D54,IF(I54="Option",TIRenewal*D54,0)))))+(IF(I54="Vacate",LCNew*H54*D54*(1+GrowthMarketRent)^8,IF(I54="Market",Retention*LCRenewal*H54*D54*(1+GrowthMarketRent)^8+(1-Retention)*LCNew*H54*D54*(1+GrowthMarketRent)^8,IF(I54="LeaseUp",LCNew*H54*D54*(1+GrowthMarketRent)^8,IF(I54="Option",LCRenewal*H54*D54*(1+GrowthMarketRent)^8,0))))),0))),0)</f>
        <v/>
      </c>
      <c r="AH54" s="14">
        <f>IFERROR(IF(AND(I54="LeaseUp",9=0),(IF(I54="Vacate",TINew*D54,IF(I54="Market",Retention*TIRenewal*D54+(1-Retention)*TINew*D54,IF(I54="LeaseUp",TINew*D54,IF(I54="Option",TIRenewal*D54,0)))))+(IF(I54="Vacate",LCNew*H54*D54*(1+GrowthMarketRent)^9,IF(I54="Market",Retention*LCRenewal*H54*D54*(1+GrowthMarketRent)^9+(1-Retention)*LCNew*H54*D54*(1+GrowthMarketRent)^9,IF(I54="LeaseUp",LCNew*H54*D54*(1+GrowthMarketRent)^9,IF(I54="Option",LCRenewal*H54*D54*(1+GrowthMarketRent)^9,0))))),IF(F54="",0,IF(AND(F54&gt;=DATE(2026+9,5,1),F54&lt;=DATE(2027+9,4,30)),(IF(I54="Vacate",TINew*D54,IF(I54="Market",Retention*TIRenewal*D54+(1-Retention)*TINew*D54,IF(I54="LeaseUp",TINew*D54,IF(I54="Option",TIRenewal*D54,0)))))+(IF(I54="Vacate",LCNew*H54*D54*(1+GrowthMarketRent)^9,IF(I54="Market",Retention*LCRenewal*H54*D54*(1+GrowthMarketRent)^9+(1-Retention)*LCNew*H54*D54*(1+GrowthMarketRent)^9,IF(I54="LeaseUp",LCNew*H54*D54*(1+GrowthMarketRent)^9,IF(I54="Option",LCRenewal*H54*D54*(1+GrowthMarketRent)^9,0))))),0))),0)</f>
        <v/>
      </c>
      <c r="AI54" s="14">
        <f>IFERROR(IF(AND(I54="LeaseUp",10=0),(IF(I54="Vacate",TINew*D54,IF(I54="Market",Retention*TIRenewal*D54+(1-Retention)*TINew*D54,IF(I54="LeaseUp",TINew*D54,IF(I54="Option",TIRenewal*D54,0)))))+(IF(I54="Vacate",LCNew*H54*D54*(1+GrowthMarketRent)^10,IF(I54="Market",Retention*LCRenewal*H54*D54*(1+GrowthMarketRent)^10+(1-Retention)*LCNew*H54*D54*(1+GrowthMarketRent)^10,IF(I54="LeaseUp",LCNew*H54*D54*(1+GrowthMarketRent)^10,IF(I54="Option",LCRenewal*H54*D54*(1+GrowthMarketRent)^10,0))))),IF(F54="",0,IF(AND(F54&gt;=DATE(2026+10,5,1),F54&lt;=DATE(2027+10,4,30)),(IF(I54="Vacate",TINew*D54,IF(I54="Market",Retention*TIRenewal*D54+(1-Retention)*TINew*D54,IF(I54="LeaseUp",TINew*D54,IF(I54="Option",TIRenewal*D54,0)))))+(IF(I54="Vacate",LCNew*H54*D54*(1+GrowthMarketRent)^10,IF(I54="Market",Retention*LCRenewal*H54*D54*(1+GrowthMarketRent)^10+(1-Retention)*LCNew*H54*D54*(1+GrowthMarketRent)^10,IF(I54="LeaseUp",LCNew*H54*D54*(1+GrowthMarketRent)^10,IF(I54="Option",LCRenewal*H54*D54*(1+GrowthMarketRent)^10,0))))),0))),0)</f>
        <v/>
      </c>
    </row>
    <row r="55">
      <c r="A55" t="inlineStr">
        <is>
          <t>Frisco</t>
        </is>
      </c>
      <c r="B55" t="inlineStr">
        <is>
          <t>204</t>
        </is>
      </c>
      <c r="C55" t="inlineStr">
        <is>
          <t>La Dotta Coffee &amp; Tea Inc.</t>
        </is>
      </c>
      <c r="D55" s="32" t="n">
        <v>2600</v>
      </c>
      <c r="E55" s="33" t="n">
        <v>45748</v>
      </c>
      <c r="F55" s="33" t="n">
        <v>46997</v>
      </c>
      <c r="G55" s="34" t="n">
        <v>18.45</v>
      </c>
      <c r="H55" s="16">
        <f>VLOOKUP(A55,MLA!$A$5:$L$11,3,FALSE)</f>
        <v/>
      </c>
      <c r="I55" s="11" t="inlineStr">
        <is>
          <t>Market</t>
        </is>
      </c>
      <c r="J55" t="inlineStr">
        <is>
          <t>Shop</t>
        </is>
      </c>
      <c r="K55" t="inlineStr">
        <is>
          <t>Occupied</t>
        </is>
      </c>
      <c r="L55" t="inlineStr"/>
      <c r="M55" s="20">
        <f>IF(E55="",0,(AnalysisStart-E55)/365.25)</f>
        <v/>
      </c>
      <c r="N55" s="14">
        <f>IFERROR(IF(I55="LeaseUp",H55*D55*(1+GrowthMarketRent)^0*IF(0=0,(12-DowntimeNew)/12,1),IF(F55="",0,IF(F55&gt;=DATE(2027+0,4,30),G55*D55*(1+EscalatorInLease)^(0+M55),IF(F55&lt;DATE(2026+0,5,1),IF(I55="Vacate",H55*D55*(1+GrowthMarketRent)^0*IF(INT((DATE(2026+0,10,31)-F55)/365.25)=0,(12-DowntimeNew)/12,1),IF(I55="Option",G55*D55*1.025*(1+EscalatorInLease)^0,IF(I55="Market",Retention*G55*D55*(1+EscalatorInLease)^(0+M55)+(1-Retention)*H55*D55*(1+GrowthMarketRent)^0*IF(INT((DATE(2026+0,10,31)-F55)/365.25)=0,(12-DowntimeNew)/12,1),IF(I55="LeaseUp",H55*D55*(1+GrowthMarketRent)^0*IF(0=0,(12-DowntimeNew)/12,1),0)))),((F55-DATE(2026+0,5,1))/365.25)*G55*D55*(1+EscalatorInLease)^(0+M55)+((DATE(2027+0,4,30)-F55)/365.25)*IF(I55="Vacate",H55*D55*(1+GrowthMarketRent)^0*IF(INT((DATE(2026+0,10,31)-F55)/365.25)=0,(12-DowntimeNew)/12,1),IF(I55="Option",G55*D55*1.025*(1+EscalatorInLease)^0,IF(I55="Market",Retention*G55*D55*(1+EscalatorInLease)^(0+M55)+(1-Retention)*H55*D55*(1+GrowthMarketRent)^0*IF(INT((DATE(2026+0,10,31)-F55)/365.25)=0,(12-DowntimeNew)/12,1),IF(I55="LeaseUp",H55*D55*(1+GrowthMarketRent)^0*IF(0=0,(12-DowntimeNew)/12,1),0)))))))),0)</f>
        <v/>
      </c>
      <c r="O55" s="14">
        <f>IFERROR(IF(I55="LeaseUp",H55*D55*(1+GrowthMarketRent)^1*IF(1=0,(12-DowntimeNew)/12,1),IF(F55="",0,IF(F55&gt;=DATE(2027+1,4,30),G55*D55*(1+EscalatorInLease)^(1+M55),IF(F55&lt;DATE(2026+1,5,1),IF(I55="Vacate",H55*D55*(1+GrowthMarketRent)^1*IF(INT((DATE(2026+1,10,31)-F55)/365.25)=0,(12-DowntimeNew)/12,1),IF(I55="Option",G55*D55*1.025*(1+EscalatorInLease)^1,IF(I55="Market",Retention*G55*D55*(1+EscalatorInLease)^(1+M55)+(1-Retention)*H55*D55*(1+GrowthMarketRent)^1*IF(INT((DATE(2026+1,10,31)-F55)/365.25)=0,(12-DowntimeNew)/12,1),IF(I55="LeaseUp",H55*D55*(1+GrowthMarketRent)^1*IF(1=0,(12-DowntimeNew)/12,1),0)))),((F55-DATE(2026+1,5,1))/365.25)*G55*D55*(1+EscalatorInLease)^(1+M55)+((DATE(2027+1,4,30)-F55)/365.25)*IF(I55="Vacate",H55*D55*(1+GrowthMarketRent)^1*IF(INT((DATE(2026+1,10,31)-F55)/365.25)=0,(12-DowntimeNew)/12,1),IF(I55="Option",G55*D55*1.025*(1+EscalatorInLease)^1,IF(I55="Market",Retention*G55*D55*(1+EscalatorInLease)^(1+M55)+(1-Retention)*H55*D55*(1+GrowthMarketRent)^1*IF(INT((DATE(2026+1,10,31)-F55)/365.25)=0,(12-DowntimeNew)/12,1),IF(I55="LeaseUp",H55*D55*(1+GrowthMarketRent)^1*IF(1=0,(12-DowntimeNew)/12,1),0)))))))),0)</f>
        <v/>
      </c>
      <c r="P55" s="14">
        <f>IFERROR(IF(I55="LeaseUp",H55*D55*(1+GrowthMarketRent)^2*IF(2=0,(12-DowntimeNew)/12,1),IF(F55="",0,IF(F55&gt;=DATE(2027+2,4,30),G55*D55*(1+EscalatorInLease)^(2+M55),IF(F55&lt;DATE(2026+2,5,1),IF(I55="Vacate",H55*D55*(1+GrowthMarketRent)^2*IF(INT((DATE(2026+2,10,31)-F55)/365.25)=0,(12-DowntimeNew)/12,1),IF(I55="Option",G55*D55*1.025*(1+EscalatorInLease)^2,IF(I55="Market",Retention*G55*D55*(1+EscalatorInLease)^(2+M55)+(1-Retention)*H55*D55*(1+GrowthMarketRent)^2*IF(INT((DATE(2026+2,10,31)-F55)/365.25)=0,(12-DowntimeNew)/12,1),IF(I55="LeaseUp",H55*D55*(1+GrowthMarketRent)^2*IF(2=0,(12-DowntimeNew)/12,1),0)))),((F55-DATE(2026+2,5,1))/365.25)*G55*D55*(1+EscalatorInLease)^(2+M55)+((DATE(2027+2,4,30)-F55)/365.25)*IF(I55="Vacate",H55*D55*(1+GrowthMarketRent)^2*IF(INT((DATE(2026+2,10,31)-F55)/365.25)=0,(12-DowntimeNew)/12,1),IF(I55="Option",G55*D55*1.025*(1+EscalatorInLease)^2,IF(I55="Market",Retention*G55*D55*(1+EscalatorInLease)^(2+M55)+(1-Retention)*H55*D55*(1+GrowthMarketRent)^2*IF(INT((DATE(2026+2,10,31)-F55)/365.25)=0,(12-DowntimeNew)/12,1),IF(I55="LeaseUp",H55*D55*(1+GrowthMarketRent)^2*IF(2=0,(12-DowntimeNew)/12,1),0)))))))),0)</f>
        <v/>
      </c>
      <c r="Q55" s="14">
        <f>IFERROR(IF(I55="LeaseUp",H55*D55*(1+GrowthMarketRent)^3*IF(3=0,(12-DowntimeNew)/12,1),IF(F55="",0,IF(F55&gt;=DATE(2027+3,4,30),G55*D55*(1+EscalatorInLease)^(3+M55),IF(F55&lt;DATE(2026+3,5,1),IF(I55="Vacate",H55*D55*(1+GrowthMarketRent)^3*IF(INT((DATE(2026+3,10,31)-F55)/365.25)=0,(12-DowntimeNew)/12,1),IF(I55="Option",G55*D55*1.025*(1+EscalatorInLease)^3,IF(I55="Market",Retention*G55*D55*(1+EscalatorInLease)^(3+M55)+(1-Retention)*H55*D55*(1+GrowthMarketRent)^3*IF(INT((DATE(2026+3,10,31)-F55)/365.25)=0,(12-DowntimeNew)/12,1),IF(I55="LeaseUp",H55*D55*(1+GrowthMarketRent)^3*IF(3=0,(12-DowntimeNew)/12,1),0)))),((F55-DATE(2026+3,5,1))/365.25)*G55*D55*(1+EscalatorInLease)^(3+M55)+((DATE(2027+3,4,30)-F55)/365.25)*IF(I55="Vacate",H55*D55*(1+GrowthMarketRent)^3*IF(INT((DATE(2026+3,10,31)-F55)/365.25)=0,(12-DowntimeNew)/12,1),IF(I55="Option",G55*D55*1.025*(1+EscalatorInLease)^3,IF(I55="Market",Retention*G55*D55*(1+EscalatorInLease)^(3+M55)+(1-Retention)*H55*D55*(1+GrowthMarketRent)^3*IF(INT((DATE(2026+3,10,31)-F55)/365.25)=0,(12-DowntimeNew)/12,1),IF(I55="LeaseUp",H55*D55*(1+GrowthMarketRent)^3*IF(3=0,(12-DowntimeNew)/12,1),0)))))))),0)</f>
        <v/>
      </c>
      <c r="R55" s="14">
        <f>IFERROR(IF(I55="LeaseUp",H55*D55*(1+GrowthMarketRent)^4*IF(4=0,(12-DowntimeNew)/12,1),IF(F55="",0,IF(F55&gt;=DATE(2027+4,4,30),G55*D55*(1+EscalatorInLease)^(4+M55),IF(F55&lt;DATE(2026+4,5,1),IF(I55="Vacate",H55*D55*(1+GrowthMarketRent)^4*IF(INT((DATE(2026+4,10,31)-F55)/365.25)=0,(12-DowntimeNew)/12,1),IF(I55="Option",G55*D55*1.025*(1+EscalatorInLease)^4,IF(I55="Market",Retention*G55*D55*(1+EscalatorInLease)^(4+M55)+(1-Retention)*H55*D55*(1+GrowthMarketRent)^4*IF(INT((DATE(2026+4,10,31)-F55)/365.25)=0,(12-DowntimeNew)/12,1),IF(I55="LeaseUp",H55*D55*(1+GrowthMarketRent)^4*IF(4=0,(12-DowntimeNew)/12,1),0)))),((F55-DATE(2026+4,5,1))/365.25)*G55*D55*(1+EscalatorInLease)^(4+M55)+((DATE(2027+4,4,30)-F55)/365.25)*IF(I55="Vacate",H55*D55*(1+GrowthMarketRent)^4*IF(INT((DATE(2026+4,10,31)-F55)/365.25)=0,(12-DowntimeNew)/12,1),IF(I55="Option",G55*D55*1.025*(1+EscalatorInLease)^4,IF(I55="Market",Retention*G55*D55*(1+EscalatorInLease)^(4+M55)+(1-Retention)*H55*D55*(1+GrowthMarketRent)^4*IF(INT((DATE(2026+4,10,31)-F55)/365.25)=0,(12-DowntimeNew)/12,1),IF(I55="LeaseUp",H55*D55*(1+GrowthMarketRent)^4*IF(4=0,(12-DowntimeNew)/12,1),0)))))))),0)</f>
        <v/>
      </c>
      <c r="S55" s="14">
        <f>IFERROR(IF(I55="LeaseUp",H55*D55*(1+GrowthMarketRent)^5*IF(5=0,(12-DowntimeNew)/12,1),IF(F55="",0,IF(F55&gt;=DATE(2027+5,4,30),G55*D55*(1+EscalatorInLease)^(5+M55),IF(F55&lt;DATE(2026+5,5,1),IF(I55="Vacate",H55*D55*(1+GrowthMarketRent)^5*IF(INT((DATE(2026+5,10,31)-F55)/365.25)=0,(12-DowntimeNew)/12,1),IF(I55="Option",G55*D55*1.025*(1+EscalatorInLease)^5,IF(I55="Market",Retention*G55*D55*(1+EscalatorInLease)^(5+M55)+(1-Retention)*H55*D55*(1+GrowthMarketRent)^5*IF(INT((DATE(2026+5,10,31)-F55)/365.25)=0,(12-DowntimeNew)/12,1),IF(I55="LeaseUp",H55*D55*(1+GrowthMarketRent)^5*IF(5=0,(12-DowntimeNew)/12,1),0)))),((F55-DATE(2026+5,5,1))/365.25)*G55*D55*(1+EscalatorInLease)^(5+M55)+((DATE(2027+5,4,30)-F55)/365.25)*IF(I55="Vacate",H55*D55*(1+GrowthMarketRent)^5*IF(INT((DATE(2026+5,10,31)-F55)/365.25)=0,(12-DowntimeNew)/12,1),IF(I55="Option",G55*D55*1.025*(1+EscalatorInLease)^5,IF(I55="Market",Retention*G55*D55*(1+EscalatorInLease)^(5+M55)+(1-Retention)*H55*D55*(1+GrowthMarketRent)^5*IF(INT((DATE(2026+5,10,31)-F55)/365.25)=0,(12-DowntimeNew)/12,1),IF(I55="LeaseUp",H55*D55*(1+GrowthMarketRent)^5*IF(5=0,(12-DowntimeNew)/12,1),0)))))))),0)</f>
        <v/>
      </c>
      <c r="T55" s="14">
        <f>IFERROR(IF(I55="LeaseUp",H55*D55*(1+GrowthMarketRent)^6*IF(6=0,(12-DowntimeNew)/12,1),IF(F55="",0,IF(F55&gt;=DATE(2027+6,4,30),G55*D55*(1+EscalatorInLease)^(6+M55),IF(F55&lt;DATE(2026+6,5,1),IF(I55="Vacate",H55*D55*(1+GrowthMarketRent)^6*IF(INT((DATE(2026+6,10,31)-F55)/365.25)=0,(12-DowntimeNew)/12,1),IF(I55="Option",G55*D55*1.025*(1+EscalatorInLease)^6,IF(I55="Market",Retention*G55*D55*(1+EscalatorInLease)^(6+M55)+(1-Retention)*H55*D55*(1+GrowthMarketRent)^6*IF(INT((DATE(2026+6,10,31)-F55)/365.25)=0,(12-DowntimeNew)/12,1),IF(I55="LeaseUp",H55*D55*(1+GrowthMarketRent)^6*IF(6=0,(12-DowntimeNew)/12,1),0)))),((F55-DATE(2026+6,5,1))/365.25)*G55*D55*(1+EscalatorInLease)^(6+M55)+((DATE(2027+6,4,30)-F55)/365.25)*IF(I55="Vacate",H55*D55*(1+GrowthMarketRent)^6*IF(INT((DATE(2026+6,10,31)-F55)/365.25)=0,(12-DowntimeNew)/12,1),IF(I55="Option",G55*D55*1.025*(1+EscalatorInLease)^6,IF(I55="Market",Retention*G55*D55*(1+EscalatorInLease)^(6+M55)+(1-Retention)*H55*D55*(1+GrowthMarketRent)^6*IF(INT((DATE(2026+6,10,31)-F55)/365.25)=0,(12-DowntimeNew)/12,1),IF(I55="LeaseUp",H55*D55*(1+GrowthMarketRent)^6*IF(6=0,(12-DowntimeNew)/12,1),0)))))))),0)</f>
        <v/>
      </c>
      <c r="U55" s="14">
        <f>IFERROR(IF(I55="LeaseUp",H55*D55*(1+GrowthMarketRent)^7*IF(7=0,(12-DowntimeNew)/12,1),IF(F55="",0,IF(F55&gt;=DATE(2027+7,4,30),G55*D55*(1+EscalatorInLease)^(7+M55),IF(F55&lt;DATE(2026+7,5,1),IF(I55="Vacate",H55*D55*(1+GrowthMarketRent)^7*IF(INT((DATE(2026+7,10,31)-F55)/365.25)=0,(12-DowntimeNew)/12,1),IF(I55="Option",G55*D55*1.025*(1+EscalatorInLease)^7,IF(I55="Market",Retention*G55*D55*(1+EscalatorInLease)^(7+M55)+(1-Retention)*H55*D55*(1+GrowthMarketRent)^7*IF(INT((DATE(2026+7,10,31)-F55)/365.25)=0,(12-DowntimeNew)/12,1),IF(I55="LeaseUp",H55*D55*(1+GrowthMarketRent)^7*IF(7=0,(12-DowntimeNew)/12,1),0)))),((F55-DATE(2026+7,5,1))/365.25)*G55*D55*(1+EscalatorInLease)^(7+M55)+((DATE(2027+7,4,30)-F55)/365.25)*IF(I55="Vacate",H55*D55*(1+GrowthMarketRent)^7*IF(INT((DATE(2026+7,10,31)-F55)/365.25)=0,(12-DowntimeNew)/12,1),IF(I55="Option",G55*D55*1.025*(1+EscalatorInLease)^7,IF(I55="Market",Retention*G55*D55*(1+EscalatorInLease)^(7+M55)+(1-Retention)*H55*D55*(1+GrowthMarketRent)^7*IF(INT((DATE(2026+7,10,31)-F55)/365.25)=0,(12-DowntimeNew)/12,1),IF(I55="LeaseUp",H55*D55*(1+GrowthMarketRent)^7*IF(7=0,(12-DowntimeNew)/12,1),0)))))))),0)</f>
        <v/>
      </c>
      <c r="V55" s="14">
        <f>IFERROR(IF(I55="LeaseUp",H55*D55*(1+GrowthMarketRent)^8*IF(8=0,(12-DowntimeNew)/12,1),IF(F55="",0,IF(F55&gt;=DATE(2027+8,4,30),G55*D55*(1+EscalatorInLease)^(8+M55),IF(F55&lt;DATE(2026+8,5,1),IF(I55="Vacate",H55*D55*(1+GrowthMarketRent)^8*IF(INT((DATE(2026+8,10,31)-F55)/365.25)=0,(12-DowntimeNew)/12,1),IF(I55="Option",G55*D55*1.025*(1+EscalatorInLease)^8,IF(I55="Market",Retention*G55*D55*(1+EscalatorInLease)^(8+M55)+(1-Retention)*H55*D55*(1+GrowthMarketRent)^8*IF(INT((DATE(2026+8,10,31)-F55)/365.25)=0,(12-DowntimeNew)/12,1),IF(I55="LeaseUp",H55*D55*(1+GrowthMarketRent)^8*IF(8=0,(12-DowntimeNew)/12,1),0)))),((F55-DATE(2026+8,5,1))/365.25)*G55*D55*(1+EscalatorInLease)^(8+M55)+((DATE(2027+8,4,30)-F55)/365.25)*IF(I55="Vacate",H55*D55*(1+GrowthMarketRent)^8*IF(INT((DATE(2026+8,10,31)-F55)/365.25)=0,(12-DowntimeNew)/12,1),IF(I55="Option",G55*D55*1.025*(1+EscalatorInLease)^8,IF(I55="Market",Retention*G55*D55*(1+EscalatorInLease)^(8+M55)+(1-Retention)*H55*D55*(1+GrowthMarketRent)^8*IF(INT((DATE(2026+8,10,31)-F55)/365.25)=0,(12-DowntimeNew)/12,1),IF(I55="LeaseUp",H55*D55*(1+GrowthMarketRent)^8*IF(8=0,(12-DowntimeNew)/12,1),0)))))))),0)</f>
        <v/>
      </c>
      <c r="W55" s="14">
        <f>IFERROR(IF(I55="LeaseUp",H55*D55*(1+GrowthMarketRent)^9*IF(9=0,(12-DowntimeNew)/12,1),IF(F55="",0,IF(F55&gt;=DATE(2027+9,4,30),G55*D55*(1+EscalatorInLease)^(9+M55),IF(F55&lt;DATE(2026+9,5,1),IF(I55="Vacate",H55*D55*(1+GrowthMarketRent)^9*IF(INT((DATE(2026+9,10,31)-F55)/365.25)=0,(12-DowntimeNew)/12,1),IF(I55="Option",G55*D55*1.025*(1+EscalatorInLease)^9,IF(I55="Market",Retention*G55*D55*(1+EscalatorInLease)^(9+M55)+(1-Retention)*H55*D55*(1+GrowthMarketRent)^9*IF(INT((DATE(2026+9,10,31)-F55)/365.25)=0,(12-DowntimeNew)/12,1),IF(I55="LeaseUp",H55*D55*(1+GrowthMarketRent)^9*IF(9=0,(12-DowntimeNew)/12,1),0)))),((F55-DATE(2026+9,5,1))/365.25)*G55*D55*(1+EscalatorInLease)^(9+M55)+((DATE(2027+9,4,30)-F55)/365.25)*IF(I55="Vacate",H55*D55*(1+GrowthMarketRent)^9*IF(INT((DATE(2026+9,10,31)-F55)/365.25)=0,(12-DowntimeNew)/12,1),IF(I55="Option",G55*D55*1.025*(1+EscalatorInLease)^9,IF(I55="Market",Retention*G55*D55*(1+EscalatorInLease)^(9+M55)+(1-Retention)*H55*D55*(1+GrowthMarketRent)^9*IF(INT((DATE(2026+9,10,31)-F55)/365.25)=0,(12-DowntimeNew)/12,1),IF(I55="LeaseUp",H55*D55*(1+GrowthMarketRent)^9*IF(9=0,(12-DowntimeNew)/12,1),0)))))))),0)</f>
        <v/>
      </c>
      <c r="X55" s="14">
        <f>IFERROR(IF(I55="LeaseUp",H55*D55*(1+GrowthMarketRent)^10*IF(10=0,(12-DowntimeNew)/12,1),IF(F55="",0,IF(F55&gt;=DATE(2027+10,4,30),G55*D55*(1+EscalatorInLease)^(10+M55),IF(F55&lt;DATE(2026+10,5,1),IF(I55="Vacate",H55*D55*(1+GrowthMarketRent)^10*IF(INT((DATE(2026+10,10,31)-F55)/365.25)=0,(12-DowntimeNew)/12,1),IF(I55="Option",G55*D55*1.025*(1+EscalatorInLease)^10,IF(I55="Market",Retention*G55*D55*(1+EscalatorInLease)^(10+M55)+(1-Retention)*H55*D55*(1+GrowthMarketRent)^10*IF(INT((DATE(2026+10,10,31)-F55)/365.25)=0,(12-DowntimeNew)/12,1),IF(I55="LeaseUp",H55*D55*(1+GrowthMarketRent)^10*IF(10=0,(12-DowntimeNew)/12,1),0)))),((F55-DATE(2026+10,5,1))/365.25)*G55*D55*(1+EscalatorInLease)^(10+M55)+((DATE(2027+10,4,30)-F55)/365.25)*IF(I55="Vacate",H55*D55*(1+GrowthMarketRent)^10*IF(INT((DATE(2026+10,10,31)-F55)/365.25)=0,(12-DowntimeNew)/12,1),IF(I55="Option",G55*D55*1.025*(1+EscalatorInLease)^10,IF(I55="Market",Retention*G55*D55*(1+EscalatorInLease)^(10+M55)+(1-Retention)*H55*D55*(1+GrowthMarketRent)^10*IF(INT((DATE(2026+10,10,31)-F55)/365.25)=0,(12-DowntimeNew)/12,1),IF(I55="LeaseUp",H55*D55*(1+GrowthMarketRent)^10*IF(10=0,(12-DowntimeNew)/12,1),0)))))))),0)</f>
        <v/>
      </c>
      <c r="Y55" s="14">
        <f>IFERROR(IF(AND(I55="LeaseUp",0=0),(IF(I55="Vacate",TINew*D55,IF(I55="Market",Retention*TIRenewal*D55+(1-Retention)*TINew*D55,IF(I55="LeaseUp",TINew*D55,IF(I55="Option",TIRenewal*D55,0)))))+(IF(I55="Vacate",LCNew*H55*D55*(1+GrowthMarketRent)^0,IF(I55="Market",Retention*LCRenewal*H55*D55*(1+GrowthMarketRent)^0+(1-Retention)*LCNew*H55*D55*(1+GrowthMarketRent)^0,IF(I55="LeaseUp",LCNew*H55*D55*(1+GrowthMarketRent)^0,IF(I55="Option",LCRenewal*H55*D55*(1+GrowthMarketRent)^0,0))))),IF(F55="",0,IF(AND(F55&gt;=DATE(2026+0,5,1),F55&lt;=DATE(2027+0,4,30)),(IF(I55="Vacate",TINew*D55,IF(I55="Market",Retention*TIRenewal*D55+(1-Retention)*TINew*D55,IF(I55="LeaseUp",TINew*D55,IF(I55="Option",TIRenewal*D55,0)))))+(IF(I55="Vacate",LCNew*H55*D55*(1+GrowthMarketRent)^0,IF(I55="Market",Retention*LCRenewal*H55*D55*(1+GrowthMarketRent)^0+(1-Retention)*LCNew*H55*D55*(1+GrowthMarketRent)^0,IF(I55="LeaseUp",LCNew*H55*D55*(1+GrowthMarketRent)^0,IF(I55="Option",LCRenewal*H55*D55*(1+GrowthMarketRent)^0,0))))),0))),0)</f>
        <v/>
      </c>
      <c r="Z55" s="14">
        <f>IFERROR(IF(AND(I55="LeaseUp",1=0),(IF(I55="Vacate",TINew*D55,IF(I55="Market",Retention*TIRenewal*D55+(1-Retention)*TINew*D55,IF(I55="LeaseUp",TINew*D55,IF(I55="Option",TIRenewal*D55,0)))))+(IF(I55="Vacate",LCNew*H55*D55*(1+GrowthMarketRent)^1,IF(I55="Market",Retention*LCRenewal*H55*D55*(1+GrowthMarketRent)^1+(1-Retention)*LCNew*H55*D55*(1+GrowthMarketRent)^1,IF(I55="LeaseUp",LCNew*H55*D55*(1+GrowthMarketRent)^1,IF(I55="Option",LCRenewal*H55*D55*(1+GrowthMarketRent)^1,0))))),IF(F55="",0,IF(AND(F55&gt;=DATE(2026+1,5,1),F55&lt;=DATE(2027+1,4,30)),(IF(I55="Vacate",TINew*D55,IF(I55="Market",Retention*TIRenewal*D55+(1-Retention)*TINew*D55,IF(I55="LeaseUp",TINew*D55,IF(I55="Option",TIRenewal*D55,0)))))+(IF(I55="Vacate",LCNew*H55*D55*(1+GrowthMarketRent)^1,IF(I55="Market",Retention*LCRenewal*H55*D55*(1+GrowthMarketRent)^1+(1-Retention)*LCNew*H55*D55*(1+GrowthMarketRent)^1,IF(I55="LeaseUp",LCNew*H55*D55*(1+GrowthMarketRent)^1,IF(I55="Option",LCRenewal*H55*D55*(1+GrowthMarketRent)^1,0))))),0))),0)</f>
        <v/>
      </c>
      <c r="AA55" s="14">
        <f>IFERROR(IF(AND(I55="LeaseUp",2=0),(IF(I55="Vacate",TINew*D55,IF(I55="Market",Retention*TIRenewal*D55+(1-Retention)*TINew*D55,IF(I55="LeaseUp",TINew*D55,IF(I55="Option",TIRenewal*D55,0)))))+(IF(I55="Vacate",LCNew*H55*D55*(1+GrowthMarketRent)^2,IF(I55="Market",Retention*LCRenewal*H55*D55*(1+GrowthMarketRent)^2+(1-Retention)*LCNew*H55*D55*(1+GrowthMarketRent)^2,IF(I55="LeaseUp",LCNew*H55*D55*(1+GrowthMarketRent)^2,IF(I55="Option",LCRenewal*H55*D55*(1+GrowthMarketRent)^2,0))))),IF(F55="",0,IF(AND(F55&gt;=DATE(2026+2,5,1),F55&lt;=DATE(2027+2,4,30)),(IF(I55="Vacate",TINew*D55,IF(I55="Market",Retention*TIRenewal*D55+(1-Retention)*TINew*D55,IF(I55="LeaseUp",TINew*D55,IF(I55="Option",TIRenewal*D55,0)))))+(IF(I55="Vacate",LCNew*H55*D55*(1+GrowthMarketRent)^2,IF(I55="Market",Retention*LCRenewal*H55*D55*(1+GrowthMarketRent)^2+(1-Retention)*LCNew*H55*D55*(1+GrowthMarketRent)^2,IF(I55="LeaseUp",LCNew*H55*D55*(1+GrowthMarketRent)^2,IF(I55="Option",LCRenewal*H55*D55*(1+GrowthMarketRent)^2,0))))),0))),0)</f>
        <v/>
      </c>
      <c r="AB55" s="14">
        <f>IFERROR(IF(AND(I55="LeaseUp",3=0),(IF(I55="Vacate",TINew*D55,IF(I55="Market",Retention*TIRenewal*D55+(1-Retention)*TINew*D55,IF(I55="LeaseUp",TINew*D55,IF(I55="Option",TIRenewal*D55,0)))))+(IF(I55="Vacate",LCNew*H55*D55*(1+GrowthMarketRent)^3,IF(I55="Market",Retention*LCRenewal*H55*D55*(1+GrowthMarketRent)^3+(1-Retention)*LCNew*H55*D55*(1+GrowthMarketRent)^3,IF(I55="LeaseUp",LCNew*H55*D55*(1+GrowthMarketRent)^3,IF(I55="Option",LCRenewal*H55*D55*(1+GrowthMarketRent)^3,0))))),IF(F55="",0,IF(AND(F55&gt;=DATE(2026+3,5,1),F55&lt;=DATE(2027+3,4,30)),(IF(I55="Vacate",TINew*D55,IF(I55="Market",Retention*TIRenewal*D55+(1-Retention)*TINew*D55,IF(I55="LeaseUp",TINew*D55,IF(I55="Option",TIRenewal*D55,0)))))+(IF(I55="Vacate",LCNew*H55*D55*(1+GrowthMarketRent)^3,IF(I55="Market",Retention*LCRenewal*H55*D55*(1+GrowthMarketRent)^3+(1-Retention)*LCNew*H55*D55*(1+GrowthMarketRent)^3,IF(I55="LeaseUp",LCNew*H55*D55*(1+GrowthMarketRent)^3,IF(I55="Option",LCRenewal*H55*D55*(1+GrowthMarketRent)^3,0))))),0))),0)</f>
        <v/>
      </c>
      <c r="AC55" s="14">
        <f>IFERROR(IF(AND(I55="LeaseUp",4=0),(IF(I55="Vacate",TINew*D55,IF(I55="Market",Retention*TIRenewal*D55+(1-Retention)*TINew*D55,IF(I55="LeaseUp",TINew*D55,IF(I55="Option",TIRenewal*D55,0)))))+(IF(I55="Vacate",LCNew*H55*D55*(1+GrowthMarketRent)^4,IF(I55="Market",Retention*LCRenewal*H55*D55*(1+GrowthMarketRent)^4+(1-Retention)*LCNew*H55*D55*(1+GrowthMarketRent)^4,IF(I55="LeaseUp",LCNew*H55*D55*(1+GrowthMarketRent)^4,IF(I55="Option",LCRenewal*H55*D55*(1+GrowthMarketRent)^4,0))))),IF(F55="",0,IF(AND(F55&gt;=DATE(2026+4,5,1),F55&lt;=DATE(2027+4,4,30)),(IF(I55="Vacate",TINew*D55,IF(I55="Market",Retention*TIRenewal*D55+(1-Retention)*TINew*D55,IF(I55="LeaseUp",TINew*D55,IF(I55="Option",TIRenewal*D55,0)))))+(IF(I55="Vacate",LCNew*H55*D55*(1+GrowthMarketRent)^4,IF(I55="Market",Retention*LCRenewal*H55*D55*(1+GrowthMarketRent)^4+(1-Retention)*LCNew*H55*D55*(1+GrowthMarketRent)^4,IF(I55="LeaseUp",LCNew*H55*D55*(1+GrowthMarketRent)^4,IF(I55="Option",LCRenewal*H55*D55*(1+GrowthMarketRent)^4,0))))),0))),0)</f>
        <v/>
      </c>
      <c r="AD55" s="14">
        <f>IFERROR(IF(AND(I55="LeaseUp",5=0),(IF(I55="Vacate",TINew*D55,IF(I55="Market",Retention*TIRenewal*D55+(1-Retention)*TINew*D55,IF(I55="LeaseUp",TINew*D55,IF(I55="Option",TIRenewal*D55,0)))))+(IF(I55="Vacate",LCNew*H55*D55*(1+GrowthMarketRent)^5,IF(I55="Market",Retention*LCRenewal*H55*D55*(1+GrowthMarketRent)^5+(1-Retention)*LCNew*H55*D55*(1+GrowthMarketRent)^5,IF(I55="LeaseUp",LCNew*H55*D55*(1+GrowthMarketRent)^5,IF(I55="Option",LCRenewal*H55*D55*(1+GrowthMarketRent)^5,0))))),IF(F55="",0,IF(AND(F55&gt;=DATE(2026+5,5,1),F55&lt;=DATE(2027+5,4,30)),(IF(I55="Vacate",TINew*D55,IF(I55="Market",Retention*TIRenewal*D55+(1-Retention)*TINew*D55,IF(I55="LeaseUp",TINew*D55,IF(I55="Option",TIRenewal*D55,0)))))+(IF(I55="Vacate",LCNew*H55*D55*(1+GrowthMarketRent)^5,IF(I55="Market",Retention*LCRenewal*H55*D55*(1+GrowthMarketRent)^5+(1-Retention)*LCNew*H55*D55*(1+GrowthMarketRent)^5,IF(I55="LeaseUp",LCNew*H55*D55*(1+GrowthMarketRent)^5,IF(I55="Option",LCRenewal*H55*D55*(1+GrowthMarketRent)^5,0))))),0))),0)</f>
        <v/>
      </c>
      <c r="AE55" s="14">
        <f>IFERROR(IF(AND(I55="LeaseUp",6=0),(IF(I55="Vacate",TINew*D55,IF(I55="Market",Retention*TIRenewal*D55+(1-Retention)*TINew*D55,IF(I55="LeaseUp",TINew*D55,IF(I55="Option",TIRenewal*D55,0)))))+(IF(I55="Vacate",LCNew*H55*D55*(1+GrowthMarketRent)^6,IF(I55="Market",Retention*LCRenewal*H55*D55*(1+GrowthMarketRent)^6+(1-Retention)*LCNew*H55*D55*(1+GrowthMarketRent)^6,IF(I55="LeaseUp",LCNew*H55*D55*(1+GrowthMarketRent)^6,IF(I55="Option",LCRenewal*H55*D55*(1+GrowthMarketRent)^6,0))))),IF(F55="",0,IF(AND(F55&gt;=DATE(2026+6,5,1),F55&lt;=DATE(2027+6,4,30)),(IF(I55="Vacate",TINew*D55,IF(I55="Market",Retention*TIRenewal*D55+(1-Retention)*TINew*D55,IF(I55="LeaseUp",TINew*D55,IF(I55="Option",TIRenewal*D55,0)))))+(IF(I55="Vacate",LCNew*H55*D55*(1+GrowthMarketRent)^6,IF(I55="Market",Retention*LCRenewal*H55*D55*(1+GrowthMarketRent)^6+(1-Retention)*LCNew*H55*D55*(1+GrowthMarketRent)^6,IF(I55="LeaseUp",LCNew*H55*D55*(1+GrowthMarketRent)^6,IF(I55="Option",LCRenewal*H55*D55*(1+GrowthMarketRent)^6,0))))),0))),0)</f>
        <v/>
      </c>
      <c r="AF55" s="14">
        <f>IFERROR(IF(AND(I55="LeaseUp",7=0),(IF(I55="Vacate",TINew*D55,IF(I55="Market",Retention*TIRenewal*D55+(1-Retention)*TINew*D55,IF(I55="LeaseUp",TINew*D55,IF(I55="Option",TIRenewal*D55,0)))))+(IF(I55="Vacate",LCNew*H55*D55*(1+GrowthMarketRent)^7,IF(I55="Market",Retention*LCRenewal*H55*D55*(1+GrowthMarketRent)^7+(1-Retention)*LCNew*H55*D55*(1+GrowthMarketRent)^7,IF(I55="LeaseUp",LCNew*H55*D55*(1+GrowthMarketRent)^7,IF(I55="Option",LCRenewal*H55*D55*(1+GrowthMarketRent)^7,0))))),IF(F55="",0,IF(AND(F55&gt;=DATE(2026+7,5,1),F55&lt;=DATE(2027+7,4,30)),(IF(I55="Vacate",TINew*D55,IF(I55="Market",Retention*TIRenewal*D55+(1-Retention)*TINew*D55,IF(I55="LeaseUp",TINew*D55,IF(I55="Option",TIRenewal*D55,0)))))+(IF(I55="Vacate",LCNew*H55*D55*(1+GrowthMarketRent)^7,IF(I55="Market",Retention*LCRenewal*H55*D55*(1+GrowthMarketRent)^7+(1-Retention)*LCNew*H55*D55*(1+GrowthMarketRent)^7,IF(I55="LeaseUp",LCNew*H55*D55*(1+GrowthMarketRent)^7,IF(I55="Option",LCRenewal*H55*D55*(1+GrowthMarketRent)^7,0))))),0))),0)</f>
        <v/>
      </c>
      <c r="AG55" s="14">
        <f>IFERROR(IF(AND(I55="LeaseUp",8=0),(IF(I55="Vacate",TINew*D55,IF(I55="Market",Retention*TIRenewal*D55+(1-Retention)*TINew*D55,IF(I55="LeaseUp",TINew*D55,IF(I55="Option",TIRenewal*D55,0)))))+(IF(I55="Vacate",LCNew*H55*D55*(1+GrowthMarketRent)^8,IF(I55="Market",Retention*LCRenewal*H55*D55*(1+GrowthMarketRent)^8+(1-Retention)*LCNew*H55*D55*(1+GrowthMarketRent)^8,IF(I55="LeaseUp",LCNew*H55*D55*(1+GrowthMarketRent)^8,IF(I55="Option",LCRenewal*H55*D55*(1+GrowthMarketRent)^8,0))))),IF(F55="",0,IF(AND(F55&gt;=DATE(2026+8,5,1),F55&lt;=DATE(2027+8,4,30)),(IF(I55="Vacate",TINew*D55,IF(I55="Market",Retention*TIRenewal*D55+(1-Retention)*TINew*D55,IF(I55="LeaseUp",TINew*D55,IF(I55="Option",TIRenewal*D55,0)))))+(IF(I55="Vacate",LCNew*H55*D55*(1+GrowthMarketRent)^8,IF(I55="Market",Retention*LCRenewal*H55*D55*(1+GrowthMarketRent)^8+(1-Retention)*LCNew*H55*D55*(1+GrowthMarketRent)^8,IF(I55="LeaseUp",LCNew*H55*D55*(1+GrowthMarketRent)^8,IF(I55="Option",LCRenewal*H55*D55*(1+GrowthMarketRent)^8,0))))),0))),0)</f>
        <v/>
      </c>
      <c r="AH55" s="14">
        <f>IFERROR(IF(AND(I55="LeaseUp",9=0),(IF(I55="Vacate",TINew*D55,IF(I55="Market",Retention*TIRenewal*D55+(1-Retention)*TINew*D55,IF(I55="LeaseUp",TINew*D55,IF(I55="Option",TIRenewal*D55,0)))))+(IF(I55="Vacate",LCNew*H55*D55*(1+GrowthMarketRent)^9,IF(I55="Market",Retention*LCRenewal*H55*D55*(1+GrowthMarketRent)^9+(1-Retention)*LCNew*H55*D55*(1+GrowthMarketRent)^9,IF(I55="LeaseUp",LCNew*H55*D55*(1+GrowthMarketRent)^9,IF(I55="Option",LCRenewal*H55*D55*(1+GrowthMarketRent)^9,0))))),IF(F55="",0,IF(AND(F55&gt;=DATE(2026+9,5,1),F55&lt;=DATE(2027+9,4,30)),(IF(I55="Vacate",TINew*D55,IF(I55="Market",Retention*TIRenewal*D55+(1-Retention)*TINew*D55,IF(I55="LeaseUp",TINew*D55,IF(I55="Option",TIRenewal*D55,0)))))+(IF(I55="Vacate",LCNew*H55*D55*(1+GrowthMarketRent)^9,IF(I55="Market",Retention*LCRenewal*H55*D55*(1+GrowthMarketRent)^9+(1-Retention)*LCNew*H55*D55*(1+GrowthMarketRent)^9,IF(I55="LeaseUp",LCNew*H55*D55*(1+GrowthMarketRent)^9,IF(I55="Option",LCRenewal*H55*D55*(1+GrowthMarketRent)^9,0))))),0))),0)</f>
        <v/>
      </c>
      <c r="AI55" s="14">
        <f>IFERROR(IF(AND(I55="LeaseUp",10=0),(IF(I55="Vacate",TINew*D55,IF(I55="Market",Retention*TIRenewal*D55+(1-Retention)*TINew*D55,IF(I55="LeaseUp",TINew*D55,IF(I55="Option",TIRenewal*D55,0)))))+(IF(I55="Vacate",LCNew*H55*D55*(1+GrowthMarketRent)^10,IF(I55="Market",Retention*LCRenewal*H55*D55*(1+GrowthMarketRent)^10+(1-Retention)*LCNew*H55*D55*(1+GrowthMarketRent)^10,IF(I55="LeaseUp",LCNew*H55*D55*(1+GrowthMarketRent)^10,IF(I55="Option",LCRenewal*H55*D55*(1+GrowthMarketRent)^10,0))))),IF(F55="",0,IF(AND(F55&gt;=DATE(2026+10,5,1),F55&lt;=DATE(2027+10,4,30)),(IF(I55="Vacate",TINew*D55,IF(I55="Market",Retention*TIRenewal*D55+(1-Retention)*TINew*D55,IF(I55="LeaseUp",TINew*D55,IF(I55="Option",TIRenewal*D55,0)))))+(IF(I55="Vacate",LCNew*H55*D55*(1+GrowthMarketRent)^10,IF(I55="Market",Retention*LCRenewal*H55*D55*(1+GrowthMarketRent)^10+(1-Retention)*LCNew*H55*D55*(1+GrowthMarketRent)^10,IF(I55="LeaseUp",LCNew*H55*D55*(1+GrowthMarketRent)^10,IF(I55="Option",LCRenewal*H55*D55*(1+GrowthMarketRent)^10,0))))),0))),0)</f>
        <v/>
      </c>
    </row>
    <row r="56">
      <c r="A56" t="inlineStr">
        <is>
          <t>Frisco</t>
        </is>
      </c>
      <c r="B56" t="inlineStr">
        <is>
          <t>205</t>
        </is>
      </c>
      <c r="C56" t="inlineStr">
        <is>
          <t>Top Hids Inc.</t>
        </is>
      </c>
      <c r="D56" s="32" t="n">
        <v>2600</v>
      </c>
      <c r="E56" s="33" t="n">
        <v>45748</v>
      </c>
      <c r="F56" s="33" t="n">
        <v>46997</v>
      </c>
      <c r="G56" s="34" t="n">
        <v>17.425</v>
      </c>
      <c r="H56" s="16">
        <f>VLOOKUP(A56,MLA!$A$5:$L$11,3,FALSE)</f>
        <v/>
      </c>
      <c r="I56" s="11" t="inlineStr">
        <is>
          <t>Market</t>
        </is>
      </c>
      <c r="J56" t="inlineStr">
        <is>
          <t>Shop</t>
        </is>
      </c>
      <c r="K56" t="inlineStr">
        <is>
          <t>Occupied</t>
        </is>
      </c>
      <c r="L56" t="inlineStr">
        <is>
          <t>Guarantor: Dr. Robert Koukol</t>
        </is>
      </c>
      <c r="M56" s="20">
        <f>IF(E56="",0,(AnalysisStart-E56)/365.25)</f>
        <v/>
      </c>
      <c r="N56" s="14">
        <f>IFERROR(IF(I56="LeaseUp",H56*D56*(1+GrowthMarketRent)^0*IF(0=0,(12-DowntimeNew)/12,1),IF(F56="",0,IF(F56&gt;=DATE(2027+0,4,30),G56*D56*(1+EscalatorInLease)^(0+M56),IF(F56&lt;DATE(2026+0,5,1),IF(I56="Vacate",H56*D56*(1+GrowthMarketRent)^0*IF(INT((DATE(2026+0,10,31)-F56)/365.25)=0,(12-DowntimeNew)/12,1),IF(I56="Option",G56*D56*1.025*(1+EscalatorInLease)^0,IF(I56="Market",Retention*G56*D56*(1+EscalatorInLease)^(0+M56)+(1-Retention)*H56*D56*(1+GrowthMarketRent)^0*IF(INT((DATE(2026+0,10,31)-F56)/365.25)=0,(12-DowntimeNew)/12,1),IF(I56="LeaseUp",H56*D56*(1+GrowthMarketRent)^0*IF(0=0,(12-DowntimeNew)/12,1),0)))),((F56-DATE(2026+0,5,1))/365.25)*G56*D56*(1+EscalatorInLease)^(0+M56)+((DATE(2027+0,4,30)-F56)/365.25)*IF(I56="Vacate",H56*D56*(1+GrowthMarketRent)^0*IF(INT((DATE(2026+0,10,31)-F56)/365.25)=0,(12-DowntimeNew)/12,1),IF(I56="Option",G56*D56*1.025*(1+EscalatorInLease)^0,IF(I56="Market",Retention*G56*D56*(1+EscalatorInLease)^(0+M56)+(1-Retention)*H56*D56*(1+GrowthMarketRent)^0*IF(INT((DATE(2026+0,10,31)-F56)/365.25)=0,(12-DowntimeNew)/12,1),IF(I56="LeaseUp",H56*D56*(1+GrowthMarketRent)^0*IF(0=0,(12-DowntimeNew)/12,1),0)))))))),0)</f>
        <v/>
      </c>
      <c r="O56" s="14">
        <f>IFERROR(IF(I56="LeaseUp",H56*D56*(1+GrowthMarketRent)^1*IF(1=0,(12-DowntimeNew)/12,1),IF(F56="",0,IF(F56&gt;=DATE(2027+1,4,30),G56*D56*(1+EscalatorInLease)^(1+M56),IF(F56&lt;DATE(2026+1,5,1),IF(I56="Vacate",H56*D56*(1+GrowthMarketRent)^1*IF(INT((DATE(2026+1,10,31)-F56)/365.25)=0,(12-DowntimeNew)/12,1),IF(I56="Option",G56*D56*1.025*(1+EscalatorInLease)^1,IF(I56="Market",Retention*G56*D56*(1+EscalatorInLease)^(1+M56)+(1-Retention)*H56*D56*(1+GrowthMarketRent)^1*IF(INT((DATE(2026+1,10,31)-F56)/365.25)=0,(12-DowntimeNew)/12,1),IF(I56="LeaseUp",H56*D56*(1+GrowthMarketRent)^1*IF(1=0,(12-DowntimeNew)/12,1),0)))),((F56-DATE(2026+1,5,1))/365.25)*G56*D56*(1+EscalatorInLease)^(1+M56)+((DATE(2027+1,4,30)-F56)/365.25)*IF(I56="Vacate",H56*D56*(1+GrowthMarketRent)^1*IF(INT((DATE(2026+1,10,31)-F56)/365.25)=0,(12-DowntimeNew)/12,1),IF(I56="Option",G56*D56*1.025*(1+EscalatorInLease)^1,IF(I56="Market",Retention*G56*D56*(1+EscalatorInLease)^(1+M56)+(1-Retention)*H56*D56*(1+GrowthMarketRent)^1*IF(INT((DATE(2026+1,10,31)-F56)/365.25)=0,(12-DowntimeNew)/12,1),IF(I56="LeaseUp",H56*D56*(1+GrowthMarketRent)^1*IF(1=0,(12-DowntimeNew)/12,1),0)))))))),0)</f>
        <v/>
      </c>
      <c r="P56" s="14">
        <f>IFERROR(IF(I56="LeaseUp",H56*D56*(1+GrowthMarketRent)^2*IF(2=0,(12-DowntimeNew)/12,1),IF(F56="",0,IF(F56&gt;=DATE(2027+2,4,30),G56*D56*(1+EscalatorInLease)^(2+M56),IF(F56&lt;DATE(2026+2,5,1),IF(I56="Vacate",H56*D56*(1+GrowthMarketRent)^2*IF(INT((DATE(2026+2,10,31)-F56)/365.25)=0,(12-DowntimeNew)/12,1),IF(I56="Option",G56*D56*1.025*(1+EscalatorInLease)^2,IF(I56="Market",Retention*G56*D56*(1+EscalatorInLease)^(2+M56)+(1-Retention)*H56*D56*(1+GrowthMarketRent)^2*IF(INT((DATE(2026+2,10,31)-F56)/365.25)=0,(12-DowntimeNew)/12,1),IF(I56="LeaseUp",H56*D56*(1+GrowthMarketRent)^2*IF(2=0,(12-DowntimeNew)/12,1),0)))),((F56-DATE(2026+2,5,1))/365.25)*G56*D56*(1+EscalatorInLease)^(2+M56)+((DATE(2027+2,4,30)-F56)/365.25)*IF(I56="Vacate",H56*D56*(1+GrowthMarketRent)^2*IF(INT((DATE(2026+2,10,31)-F56)/365.25)=0,(12-DowntimeNew)/12,1),IF(I56="Option",G56*D56*1.025*(1+EscalatorInLease)^2,IF(I56="Market",Retention*G56*D56*(1+EscalatorInLease)^(2+M56)+(1-Retention)*H56*D56*(1+GrowthMarketRent)^2*IF(INT((DATE(2026+2,10,31)-F56)/365.25)=0,(12-DowntimeNew)/12,1),IF(I56="LeaseUp",H56*D56*(1+GrowthMarketRent)^2*IF(2=0,(12-DowntimeNew)/12,1),0)))))))),0)</f>
        <v/>
      </c>
      <c r="Q56" s="14">
        <f>IFERROR(IF(I56="LeaseUp",H56*D56*(1+GrowthMarketRent)^3*IF(3=0,(12-DowntimeNew)/12,1),IF(F56="",0,IF(F56&gt;=DATE(2027+3,4,30),G56*D56*(1+EscalatorInLease)^(3+M56),IF(F56&lt;DATE(2026+3,5,1),IF(I56="Vacate",H56*D56*(1+GrowthMarketRent)^3*IF(INT((DATE(2026+3,10,31)-F56)/365.25)=0,(12-DowntimeNew)/12,1),IF(I56="Option",G56*D56*1.025*(1+EscalatorInLease)^3,IF(I56="Market",Retention*G56*D56*(1+EscalatorInLease)^(3+M56)+(1-Retention)*H56*D56*(1+GrowthMarketRent)^3*IF(INT((DATE(2026+3,10,31)-F56)/365.25)=0,(12-DowntimeNew)/12,1),IF(I56="LeaseUp",H56*D56*(1+GrowthMarketRent)^3*IF(3=0,(12-DowntimeNew)/12,1),0)))),((F56-DATE(2026+3,5,1))/365.25)*G56*D56*(1+EscalatorInLease)^(3+M56)+((DATE(2027+3,4,30)-F56)/365.25)*IF(I56="Vacate",H56*D56*(1+GrowthMarketRent)^3*IF(INT((DATE(2026+3,10,31)-F56)/365.25)=0,(12-DowntimeNew)/12,1),IF(I56="Option",G56*D56*1.025*(1+EscalatorInLease)^3,IF(I56="Market",Retention*G56*D56*(1+EscalatorInLease)^(3+M56)+(1-Retention)*H56*D56*(1+GrowthMarketRent)^3*IF(INT((DATE(2026+3,10,31)-F56)/365.25)=0,(12-DowntimeNew)/12,1),IF(I56="LeaseUp",H56*D56*(1+GrowthMarketRent)^3*IF(3=0,(12-DowntimeNew)/12,1),0)))))))),0)</f>
        <v/>
      </c>
      <c r="R56" s="14">
        <f>IFERROR(IF(I56="LeaseUp",H56*D56*(1+GrowthMarketRent)^4*IF(4=0,(12-DowntimeNew)/12,1),IF(F56="",0,IF(F56&gt;=DATE(2027+4,4,30),G56*D56*(1+EscalatorInLease)^(4+M56),IF(F56&lt;DATE(2026+4,5,1),IF(I56="Vacate",H56*D56*(1+GrowthMarketRent)^4*IF(INT((DATE(2026+4,10,31)-F56)/365.25)=0,(12-DowntimeNew)/12,1),IF(I56="Option",G56*D56*1.025*(1+EscalatorInLease)^4,IF(I56="Market",Retention*G56*D56*(1+EscalatorInLease)^(4+M56)+(1-Retention)*H56*D56*(1+GrowthMarketRent)^4*IF(INT((DATE(2026+4,10,31)-F56)/365.25)=0,(12-DowntimeNew)/12,1),IF(I56="LeaseUp",H56*D56*(1+GrowthMarketRent)^4*IF(4=0,(12-DowntimeNew)/12,1),0)))),((F56-DATE(2026+4,5,1))/365.25)*G56*D56*(1+EscalatorInLease)^(4+M56)+((DATE(2027+4,4,30)-F56)/365.25)*IF(I56="Vacate",H56*D56*(1+GrowthMarketRent)^4*IF(INT((DATE(2026+4,10,31)-F56)/365.25)=0,(12-DowntimeNew)/12,1),IF(I56="Option",G56*D56*1.025*(1+EscalatorInLease)^4,IF(I56="Market",Retention*G56*D56*(1+EscalatorInLease)^(4+M56)+(1-Retention)*H56*D56*(1+GrowthMarketRent)^4*IF(INT((DATE(2026+4,10,31)-F56)/365.25)=0,(12-DowntimeNew)/12,1),IF(I56="LeaseUp",H56*D56*(1+GrowthMarketRent)^4*IF(4=0,(12-DowntimeNew)/12,1),0)))))))),0)</f>
        <v/>
      </c>
      <c r="S56" s="14">
        <f>IFERROR(IF(I56="LeaseUp",H56*D56*(1+GrowthMarketRent)^5*IF(5=0,(12-DowntimeNew)/12,1),IF(F56="",0,IF(F56&gt;=DATE(2027+5,4,30),G56*D56*(1+EscalatorInLease)^(5+M56),IF(F56&lt;DATE(2026+5,5,1),IF(I56="Vacate",H56*D56*(1+GrowthMarketRent)^5*IF(INT((DATE(2026+5,10,31)-F56)/365.25)=0,(12-DowntimeNew)/12,1),IF(I56="Option",G56*D56*1.025*(1+EscalatorInLease)^5,IF(I56="Market",Retention*G56*D56*(1+EscalatorInLease)^(5+M56)+(1-Retention)*H56*D56*(1+GrowthMarketRent)^5*IF(INT((DATE(2026+5,10,31)-F56)/365.25)=0,(12-DowntimeNew)/12,1),IF(I56="LeaseUp",H56*D56*(1+GrowthMarketRent)^5*IF(5=0,(12-DowntimeNew)/12,1),0)))),((F56-DATE(2026+5,5,1))/365.25)*G56*D56*(1+EscalatorInLease)^(5+M56)+((DATE(2027+5,4,30)-F56)/365.25)*IF(I56="Vacate",H56*D56*(1+GrowthMarketRent)^5*IF(INT((DATE(2026+5,10,31)-F56)/365.25)=0,(12-DowntimeNew)/12,1),IF(I56="Option",G56*D56*1.025*(1+EscalatorInLease)^5,IF(I56="Market",Retention*G56*D56*(1+EscalatorInLease)^(5+M56)+(1-Retention)*H56*D56*(1+GrowthMarketRent)^5*IF(INT((DATE(2026+5,10,31)-F56)/365.25)=0,(12-DowntimeNew)/12,1),IF(I56="LeaseUp",H56*D56*(1+GrowthMarketRent)^5*IF(5=0,(12-DowntimeNew)/12,1),0)))))))),0)</f>
        <v/>
      </c>
      <c r="T56" s="14">
        <f>IFERROR(IF(I56="LeaseUp",H56*D56*(1+GrowthMarketRent)^6*IF(6=0,(12-DowntimeNew)/12,1),IF(F56="",0,IF(F56&gt;=DATE(2027+6,4,30),G56*D56*(1+EscalatorInLease)^(6+M56),IF(F56&lt;DATE(2026+6,5,1),IF(I56="Vacate",H56*D56*(1+GrowthMarketRent)^6*IF(INT((DATE(2026+6,10,31)-F56)/365.25)=0,(12-DowntimeNew)/12,1),IF(I56="Option",G56*D56*1.025*(1+EscalatorInLease)^6,IF(I56="Market",Retention*G56*D56*(1+EscalatorInLease)^(6+M56)+(1-Retention)*H56*D56*(1+GrowthMarketRent)^6*IF(INT((DATE(2026+6,10,31)-F56)/365.25)=0,(12-DowntimeNew)/12,1),IF(I56="LeaseUp",H56*D56*(1+GrowthMarketRent)^6*IF(6=0,(12-DowntimeNew)/12,1),0)))),((F56-DATE(2026+6,5,1))/365.25)*G56*D56*(1+EscalatorInLease)^(6+M56)+((DATE(2027+6,4,30)-F56)/365.25)*IF(I56="Vacate",H56*D56*(1+GrowthMarketRent)^6*IF(INT((DATE(2026+6,10,31)-F56)/365.25)=0,(12-DowntimeNew)/12,1),IF(I56="Option",G56*D56*1.025*(1+EscalatorInLease)^6,IF(I56="Market",Retention*G56*D56*(1+EscalatorInLease)^(6+M56)+(1-Retention)*H56*D56*(1+GrowthMarketRent)^6*IF(INT((DATE(2026+6,10,31)-F56)/365.25)=0,(12-DowntimeNew)/12,1),IF(I56="LeaseUp",H56*D56*(1+GrowthMarketRent)^6*IF(6=0,(12-DowntimeNew)/12,1),0)))))))),0)</f>
        <v/>
      </c>
      <c r="U56" s="14">
        <f>IFERROR(IF(I56="LeaseUp",H56*D56*(1+GrowthMarketRent)^7*IF(7=0,(12-DowntimeNew)/12,1),IF(F56="",0,IF(F56&gt;=DATE(2027+7,4,30),G56*D56*(1+EscalatorInLease)^(7+M56),IF(F56&lt;DATE(2026+7,5,1),IF(I56="Vacate",H56*D56*(1+GrowthMarketRent)^7*IF(INT((DATE(2026+7,10,31)-F56)/365.25)=0,(12-DowntimeNew)/12,1),IF(I56="Option",G56*D56*1.025*(1+EscalatorInLease)^7,IF(I56="Market",Retention*G56*D56*(1+EscalatorInLease)^(7+M56)+(1-Retention)*H56*D56*(1+GrowthMarketRent)^7*IF(INT((DATE(2026+7,10,31)-F56)/365.25)=0,(12-DowntimeNew)/12,1),IF(I56="LeaseUp",H56*D56*(1+GrowthMarketRent)^7*IF(7=0,(12-DowntimeNew)/12,1),0)))),((F56-DATE(2026+7,5,1))/365.25)*G56*D56*(1+EscalatorInLease)^(7+M56)+((DATE(2027+7,4,30)-F56)/365.25)*IF(I56="Vacate",H56*D56*(1+GrowthMarketRent)^7*IF(INT((DATE(2026+7,10,31)-F56)/365.25)=0,(12-DowntimeNew)/12,1),IF(I56="Option",G56*D56*1.025*(1+EscalatorInLease)^7,IF(I56="Market",Retention*G56*D56*(1+EscalatorInLease)^(7+M56)+(1-Retention)*H56*D56*(1+GrowthMarketRent)^7*IF(INT((DATE(2026+7,10,31)-F56)/365.25)=0,(12-DowntimeNew)/12,1),IF(I56="LeaseUp",H56*D56*(1+GrowthMarketRent)^7*IF(7=0,(12-DowntimeNew)/12,1),0)))))))),0)</f>
        <v/>
      </c>
      <c r="V56" s="14">
        <f>IFERROR(IF(I56="LeaseUp",H56*D56*(1+GrowthMarketRent)^8*IF(8=0,(12-DowntimeNew)/12,1),IF(F56="",0,IF(F56&gt;=DATE(2027+8,4,30),G56*D56*(1+EscalatorInLease)^(8+M56),IF(F56&lt;DATE(2026+8,5,1),IF(I56="Vacate",H56*D56*(1+GrowthMarketRent)^8*IF(INT((DATE(2026+8,10,31)-F56)/365.25)=0,(12-DowntimeNew)/12,1),IF(I56="Option",G56*D56*1.025*(1+EscalatorInLease)^8,IF(I56="Market",Retention*G56*D56*(1+EscalatorInLease)^(8+M56)+(1-Retention)*H56*D56*(1+GrowthMarketRent)^8*IF(INT((DATE(2026+8,10,31)-F56)/365.25)=0,(12-DowntimeNew)/12,1),IF(I56="LeaseUp",H56*D56*(1+GrowthMarketRent)^8*IF(8=0,(12-DowntimeNew)/12,1),0)))),((F56-DATE(2026+8,5,1))/365.25)*G56*D56*(1+EscalatorInLease)^(8+M56)+((DATE(2027+8,4,30)-F56)/365.25)*IF(I56="Vacate",H56*D56*(1+GrowthMarketRent)^8*IF(INT((DATE(2026+8,10,31)-F56)/365.25)=0,(12-DowntimeNew)/12,1),IF(I56="Option",G56*D56*1.025*(1+EscalatorInLease)^8,IF(I56="Market",Retention*G56*D56*(1+EscalatorInLease)^(8+M56)+(1-Retention)*H56*D56*(1+GrowthMarketRent)^8*IF(INT((DATE(2026+8,10,31)-F56)/365.25)=0,(12-DowntimeNew)/12,1),IF(I56="LeaseUp",H56*D56*(1+GrowthMarketRent)^8*IF(8=0,(12-DowntimeNew)/12,1),0)))))))),0)</f>
        <v/>
      </c>
      <c r="W56" s="14">
        <f>IFERROR(IF(I56="LeaseUp",H56*D56*(1+GrowthMarketRent)^9*IF(9=0,(12-DowntimeNew)/12,1),IF(F56="",0,IF(F56&gt;=DATE(2027+9,4,30),G56*D56*(1+EscalatorInLease)^(9+M56),IF(F56&lt;DATE(2026+9,5,1),IF(I56="Vacate",H56*D56*(1+GrowthMarketRent)^9*IF(INT((DATE(2026+9,10,31)-F56)/365.25)=0,(12-DowntimeNew)/12,1),IF(I56="Option",G56*D56*1.025*(1+EscalatorInLease)^9,IF(I56="Market",Retention*G56*D56*(1+EscalatorInLease)^(9+M56)+(1-Retention)*H56*D56*(1+GrowthMarketRent)^9*IF(INT((DATE(2026+9,10,31)-F56)/365.25)=0,(12-DowntimeNew)/12,1),IF(I56="LeaseUp",H56*D56*(1+GrowthMarketRent)^9*IF(9=0,(12-DowntimeNew)/12,1),0)))),((F56-DATE(2026+9,5,1))/365.25)*G56*D56*(1+EscalatorInLease)^(9+M56)+((DATE(2027+9,4,30)-F56)/365.25)*IF(I56="Vacate",H56*D56*(1+GrowthMarketRent)^9*IF(INT((DATE(2026+9,10,31)-F56)/365.25)=0,(12-DowntimeNew)/12,1),IF(I56="Option",G56*D56*1.025*(1+EscalatorInLease)^9,IF(I56="Market",Retention*G56*D56*(1+EscalatorInLease)^(9+M56)+(1-Retention)*H56*D56*(1+GrowthMarketRent)^9*IF(INT((DATE(2026+9,10,31)-F56)/365.25)=0,(12-DowntimeNew)/12,1),IF(I56="LeaseUp",H56*D56*(1+GrowthMarketRent)^9*IF(9=0,(12-DowntimeNew)/12,1),0)))))))),0)</f>
        <v/>
      </c>
      <c r="X56" s="14">
        <f>IFERROR(IF(I56="LeaseUp",H56*D56*(1+GrowthMarketRent)^10*IF(10=0,(12-DowntimeNew)/12,1),IF(F56="",0,IF(F56&gt;=DATE(2027+10,4,30),G56*D56*(1+EscalatorInLease)^(10+M56),IF(F56&lt;DATE(2026+10,5,1),IF(I56="Vacate",H56*D56*(1+GrowthMarketRent)^10*IF(INT((DATE(2026+10,10,31)-F56)/365.25)=0,(12-DowntimeNew)/12,1),IF(I56="Option",G56*D56*1.025*(1+EscalatorInLease)^10,IF(I56="Market",Retention*G56*D56*(1+EscalatorInLease)^(10+M56)+(1-Retention)*H56*D56*(1+GrowthMarketRent)^10*IF(INT((DATE(2026+10,10,31)-F56)/365.25)=0,(12-DowntimeNew)/12,1),IF(I56="LeaseUp",H56*D56*(1+GrowthMarketRent)^10*IF(10=0,(12-DowntimeNew)/12,1),0)))),((F56-DATE(2026+10,5,1))/365.25)*G56*D56*(1+EscalatorInLease)^(10+M56)+((DATE(2027+10,4,30)-F56)/365.25)*IF(I56="Vacate",H56*D56*(1+GrowthMarketRent)^10*IF(INT((DATE(2026+10,10,31)-F56)/365.25)=0,(12-DowntimeNew)/12,1),IF(I56="Option",G56*D56*1.025*(1+EscalatorInLease)^10,IF(I56="Market",Retention*G56*D56*(1+EscalatorInLease)^(10+M56)+(1-Retention)*H56*D56*(1+GrowthMarketRent)^10*IF(INT((DATE(2026+10,10,31)-F56)/365.25)=0,(12-DowntimeNew)/12,1),IF(I56="LeaseUp",H56*D56*(1+GrowthMarketRent)^10*IF(10=0,(12-DowntimeNew)/12,1),0)))))))),0)</f>
        <v/>
      </c>
      <c r="Y56" s="14">
        <f>IFERROR(IF(AND(I56="LeaseUp",0=0),(IF(I56="Vacate",TINew*D56,IF(I56="Market",Retention*TIRenewal*D56+(1-Retention)*TINew*D56,IF(I56="LeaseUp",TINew*D56,IF(I56="Option",TIRenewal*D56,0)))))+(IF(I56="Vacate",LCNew*H56*D56*(1+GrowthMarketRent)^0,IF(I56="Market",Retention*LCRenewal*H56*D56*(1+GrowthMarketRent)^0+(1-Retention)*LCNew*H56*D56*(1+GrowthMarketRent)^0,IF(I56="LeaseUp",LCNew*H56*D56*(1+GrowthMarketRent)^0,IF(I56="Option",LCRenewal*H56*D56*(1+GrowthMarketRent)^0,0))))),IF(F56="",0,IF(AND(F56&gt;=DATE(2026+0,5,1),F56&lt;=DATE(2027+0,4,30)),(IF(I56="Vacate",TINew*D56,IF(I56="Market",Retention*TIRenewal*D56+(1-Retention)*TINew*D56,IF(I56="LeaseUp",TINew*D56,IF(I56="Option",TIRenewal*D56,0)))))+(IF(I56="Vacate",LCNew*H56*D56*(1+GrowthMarketRent)^0,IF(I56="Market",Retention*LCRenewal*H56*D56*(1+GrowthMarketRent)^0+(1-Retention)*LCNew*H56*D56*(1+GrowthMarketRent)^0,IF(I56="LeaseUp",LCNew*H56*D56*(1+GrowthMarketRent)^0,IF(I56="Option",LCRenewal*H56*D56*(1+GrowthMarketRent)^0,0))))),0))),0)</f>
        <v/>
      </c>
      <c r="Z56" s="14">
        <f>IFERROR(IF(AND(I56="LeaseUp",1=0),(IF(I56="Vacate",TINew*D56,IF(I56="Market",Retention*TIRenewal*D56+(1-Retention)*TINew*D56,IF(I56="LeaseUp",TINew*D56,IF(I56="Option",TIRenewal*D56,0)))))+(IF(I56="Vacate",LCNew*H56*D56*(1+GrowthMarketRent)^1,IF(I56="Market",Retention*LCRenewal*H56*D56*(1+GrowthMarketRent)^1+(1-Retention)*LCNew*H56*D56*(1+GrowthMarketRent)^1,IF(I56="LeaseUp",LCNew*H56*D56*(1+GrowthMarketRent)^1,IF(I56="Option",LCRenewal*H56*D56*(1+GrowthMarketRent)^1,0))))),IF(F56="",0,IF(AND(F56&gt;=DATE(2026+1,5,1),F56&lt;=DATE(2027+1,4,30)),(IF(I56="Vacate",TINew*D56,IF(I56="Market",Retention*TIRenewal*D56+(1-Retention)*TINew*D56,IF(I56="LeaseUp",TINew*D56,IF(I56="Option",TIRenewal*D56,0)))))+(IF(I56="Vacate",LCNew*H56*D56*(1+GrowthMarketRent)^1,IF(I56="Market",Retention*LCRenewal*H56*D56*(1+GrowthMarketRent)^1+(1-Retention)*LCNew*H56*D56*(1+GrowthMarketRent)^1,IF(I56="LeaseUp",LCNew*H56*D56*(1+GrowthMarketRent)^1,IF(I56="Option",LCRenewal*H56*D56*(1+GrowthMarketRent)^1,0))))),0))),0)</f>
        <v/>
      </c>
      <c r="AA56" s="14">
        <f>IFERROR(IF(AND(I56="LeaseUp",2=0),(IF(I56="Vacate",TINew*D56,IF(I56="Market",Retention*TIRenewal*D56+(1-Retention)*TINew*D56,IF(I56="LeaseUp",TINew*D56,IF(I56="Option",TIRenewal*D56,0)))))+(IF(I56="Vacate",LCNew*H56*D56*(1+GrowthMarketRent)^2,IF(I56="Market",Retention*LCRenewal*H56*D56*(1+GrowthMarketRent)^2+(1-Retention)*LCNew*H56*D56*(1+GrowthMarketRent)^2,IF(I56="LeaseUp",LCNew*H56*D56*(1+GrowthMarketRent)^2,IF(I56="Option",LCRenewal*H56*D56*(1+GrowthMarketRent)^2,0))))),IF(F56="",0,IF(AND(F56&gt;=DATE(2026+2,5,1),F56&lt;=DATE(2027+2,4,30)),(IF(I56="Vacate",TINew*D56,IF(I56="Market",Retention*TIRenewal*D56+(1-Retention)*TINew*D56,IF(I56="LeaseUp",TINew*D56,IF(I56="Option",TIRenewal*D56,0)))))+(IF(I56="Vacate",LCNew*H56*D56*(1+GrowthMarketRent)^2,IF(I56="Market",Retention*LCRenewal*H56*D56*(1+GrowthMarketRent)^2+(1-Retention)*LCNew*H56*D56*(1+GrowthMarketRent)^2,IF(I56="LeaseUp",LCNew*H56*D56*(1+GrowthMarketRent)^2,IF(I56="Option",LCRenewal*H56*D56*(1+GrowthMarketRent)^2,0))))),0))),0)</f>
        <v/>
      </c>
      <c r="AB56" s="14">
        <f>IFERROR(IF(AND(I56="LeaseUp",3=0),(IF(I56="Vacate",TINew*D56,IF(I56="Market",Retention*TIRenewal*D56+(1-Retention)*TINew*D56,IF(I56="LeaseUp",TINew*D56,IF(I56="Option",TIRenewal*D56,0)))))+(IF(I56="Vacate",LCNew*H56*D56*(1+GrowthMarketRent)^3,IF(I56="Market",Retention*LCRenewal*H56*D56*(1+GrowthMarketRent)^3+(1-Retention)*LCNew*H56*D56*(1+GrowthMarketRent)^3,IF(I56="LeaseUp",LCNew*H56*D56*(1+GrowthMarketRent)^3,IF(I56="Option",LCRenewal*H56*D56*(1+GrowthMarketRent)^3,0))))),IF(F56="",0,IF(AND(F56&gt;=DATE(2026+3,5,1),F56&lt;=DATE(2027+3,4,30)),(IF(I56="Vacate",TINew*D56,IF(I56="Market",Retention*TIRenewal*D56+(1-Retention)*TINew*D56,IF(I56="LeaseUp",TINew*D56,IF(I56="Option",TIRenewal*D56,0)))))+(IF(I56="Vacate",LCNew*H56*D56*(1+GrowthMarketRent)^3,IF(I56="Market",Retention*LCRenewal*H56*D56*(1+GrowthMarketRent)^3+(1-Retention)*LCNew*H56*D56*(1+GrowthMarketRent)^3,IF(I56="LeaseUp",LCNew*H56*D56*(1+GrowthMarketRent)^3,IF(I56="Option",LCRenewal*H56*D56*(1+GrowthMarketRent)^3,0))))),0))),0)</f>
        <v/>
      </c>
      <c r="AC56" s="14">
        <f>IFERROR(IF(AND(I56="LeaseUp",4=0),(IF(I56="Vacate",TINew*D56,IF(I56="Market",Retention*TIRenewal*D56+(1-Retention)*TINew*D56,IF(I56="LeaseUp",TINew*D56,IF(I56="Option",TIRenewal*D56,0)))))+(IF(I56="Vacate",LCNew*H56*D56*(1+GrowthMarketRent)^4,IF(I56="Market",Retention*LCRenewal*H56*D56*(1+GrowthMarketRent)^4+(1-Retention)*LCNew*H56*D56*(1+GrowthMarketRent)^4,IF(I56="LeaseUp",LCNew*H56*D56*(1+GrowthMarketRent)^4,IF(I56="Option",LCRenewal*H56*D56*(1+GrowthMarketRent)^4,0))))),IF(F56="",0,IF(AND(F56&gt;=DATE(2026+4,5,1),F56&lt;=DATE(2027+4,4,30)),(IF(I56="Vacate",TINew*D56,IF(I56="Market",Retention*TIRenewal*D56+(1-Retention)*TINew*D56,IF(I56="LeaseUp",TINew*D56,IF(I56="Option",TIRenewal*D56,0)))))+(IF(I56="Vacate",LCNew*H56*D56*(1+GrowthMarketRent)^4,IF(I56="Market",Retention*LCRenewal*H56*D56*(1+GrowthMarketRent)^4+(1-Retention)*LCNew*H56*D56*(1+GrowthMarketRent)^4,IF(I56="LeaseUp",LCNew*H56*D56*(1+GrowthMarketRent)^4,IF(I56="Option",LCRenewal*H56*D56*(1+GrowthMarketRent)^4,0))))),0))),0)</f>
        <v/>
      </c>
      <c r="AD56" s="14">
        <f>IFERROR(IF(AND(I56="LeaseUp",5=0),(IF(I56="Vacate",TINew*D56,IF(I56="Market",Retention*TIRenewal*D56+(1-Retention)*TINew*D56,IF(I56="LeaseUp",TINew*D56,IF(I56="Option",TIRenewal*D56,0)))))+(IF(I56="Vacate",LCNew*H56*D56*(1+GrowthMarketRent)^5,IF(I56="Market",Retention*LCRenewal*H56*D56*(1+GrowthMarketRent)^5+(1-Retention)*LCNew*H56*D56*(1+GrowthMarketRent)^5,IF(I56="LeaseUp",LCNew*H56*D56*(1+GrowthMarketRent)^5,IF(I56="Option",LCRenewal*H56*D56*(1+GrowthMarketRent)^5,0))))),IF(F56="",0,IF(AND(F56&gt;=DATE(2026+5,5,1),F56&lt;=DATE(2027+5,4,30)),(IF(I56="Vacate",TINew*D56,IF(I56="Market",Retention*TIRenewal*D56+(1-Retention)*TINew*D56,IF(I56="LeaseUp",TINew*D56,IF(I56="Option",TIRenewal*D56,0)))))+(IF(I56="Vacate",LCNew*H56*D56*(1+GrowthMarketRent)^5,IF(I56="Market",Retention*LCRenewal*H56*D56*(1+GrowthMarketRent)^5+(1-Retention)*LCNew*H56*D56*(1+GrowthMarketRent)^5,IF(I56="LeaseUp",LCNew*H56*D56*(1+GrowthMarketRent)^5,IF(I56="Option",LCRenewal*H56*D56*(1+GrowthMarketRent)^5,0))))),0))),0)</f>
        <v/>
      </c>
      <c r="AE56" s="14">
        <f>IFERROR(IF(AND(I56="LeaseUp",6=0),(IF(I56="Vacate",TINew*D56,IF(I56="Market",Retention*TIRenewal*D56+(1-Retention)*TINew*D56,IF(I56="LeaseUp",TINew*D56,IF(I56="Option",TIRenewal*D56,0)))))+(IF(I56="Vacate",LCNew*H56*D56*(1+GrowthMarketRent)^6,IF(I56="Market",Retention*LCRenewal*H56*D56*(1+GrowthMarketRent)^6+(1-Retention)*LCNew*H56*D56*(1+GrowthMarketRent)^6,IF(I56="LeaseUp",LCNew*H56*D56*(1+GrowthMarketRent)^6,IF(I56="Option",LCRenewal*H56*D56*(1+GrowthMarketRent)^6,0))))),IF(F56="",0,IF(AND(F56&gt;=DATE(2026+6,5,1),F56&lt;=DATE(2027+6,4,30)),(IF(I56="Vacate",TINew*D56,IF(I56="Market",Retention*TIRenewal*D56+(1-Retention)*TINew*D56,IF(I56="LeaseUp",TINew*D56,IF(I56="Option",TIRenewal*D56,0)))))+(IF(I56="Vacate",LCNew*H56*D56*(1+GrowthMarketRent)^6,IF(I56="Market",Retention*LCRenewal*H56*D56*(1+GrowthMarketRent)^6+(1-Retention)*LCNew*H56*D56*(1+GrowthMarketRent)^6,IF(I56="LeaseUp",LCNew*H56*D56*(1+GrowthMarketRent)^6,IF(I56="Option",LCRenewal*H56*D56*(1+GrowthMarketRent)^6,0))))),0))),0)</f>
        <v/>
      </c>
      <c r="AF56" s="14">
        <f>IFERROR(IF(AND(I56="LeaseUp",7=0),(IF(I56="Vacate",TINew*D56,IF(I56="Market",Retention*TIRenewal*D56+(1-Retention)*TINew*D56,IF(I56="LeaseUp",TINew*D56,IF(I56="Option",TIRenewal*D56,0)))))+(IF(I56="Vacate",LCNew*H56*D56*(1+GrowthMarketRent)^7,IF(I56="Market",Retention*LCRenewal*H56*D56*(1+GrowthMarketRent)^7+(1-Retention)*LCNew*H56*D56*(1+GrowthMarketRent)^7,IF(I56="LeaseUp",LCNew*H56*D56*(1+GrowthMarketRent)^7,IF(I56="Option",LCRenewal*H56*D56*(1+GrowthMarketRent)^7,0))))),IF(F56="",0,IF(AND(F56&gt;=DATE(2026+7,5,1),F56&lt;=DATE(2027+7,4,30)),(IF(I56="Vacate",TINew*D56,IF(I56="Market",Retention*TIRenewal*D56+(1-Retention)*TINew*D56,IF(I56="LeaseUp",TINew*D56,IF(I56="Option",TIRenewal*D56,0)))))+(IF(I56="Vacate",LCNew*H56*D56*(1+GrowthMarketRent)^7,IF(I56="Market",Retention*LCRenewal*H56*D56*(1+GrowthMarketRent)^7+(1-Retention)*LCNew*H56*D56*(1+GrowthMarketRent)^7,IF(I56="LeaseUp",LCNew*H56*D56*(1+GrowthMarketRent)^7,IF(I56="Option",LCRenewal*H56*D56*(1+GrowthMarketRent)^7,0))))),0))),0)</f>
        <v/>
      </c>
      <c r="AG56" s="14">
        <f>IFERROR(IF(AND(I56="LeaseUp",8=0),(IF(I56="Vacate",TINew*D56,IF(I56="Market",Retention*TIRenewal*D56+(1-Retention)*TINew*D56,IF(I56="LeaseUp",TINew*D56,IF(I56="Option",TIRenewal*D56,0)))))+(IF(I56="Vacate",LCNew*H56*D56*(1+GrowthMarketRent)^8,IF(I56="Market",Retention*LCRenewal*H56*D56*(1+GrowthMarketRent)^8+(1-Retention)*LCNew*H56*D56*(1+GrowthMarketRent)^8,IF(I56="LeaseUp",LCNew*H56*D56*(1+GrowthMarketRent)^8,IF(I56="Option",LCRenewal*H56*D56*(1+GrowthMarketRent)^8,0))))),IF(F56="",0,IF(AND(F56&gt;=DATE(2026+8,5,1),F56&lt;=DATE(2027+8,4,30)),(IF(I56="Vacate",TINew*D56,IF(I56="Market",Retention*TIRenewal*D56+(1-Retention)*TINew*D56,IF(I56="LeaseUp",TINew*D56,IF(I56="Option",TIRenewal*D56,0)))))+(IF(I56="Vacate",LCNew*H56*D56*(1+GrowthMarketRent)^8,IF(I56="Market",Retention*LCRenewal*H56*D56*(1+GrowthMarketRent)^8+(1-Retention)*LCNew*H56*D56*(1+GrowthMarketRent)^8,IF(I56="LeaseUp",LCNew*H56*D56*(1+GrowthMarketRent)^8,IF(I56="Option",LCRenewal*H56*D56*(1+GrowthMarketRent)^8,0))))),0))),0)</f>
        <v/>
      </c>
      <c r="AH56" s="14">
        <f>IFERROR(IF(AND(I56="LeaseUp",9=0),(IF(I56="Vacate",TINew*D56,IF(I56="Market",Retention*TIRenewal*D56+(1-Retention)*TINew*D56,IF(I56="LeaseUp",TINew*D56,IF(I56="Option",TIRenewal*D56,0)))))+(IF(I56="Vacate",LCNew*H56*D56*(1+GrowthMarketRent)^9,IF(I56="Market",Retention*LCRenewal*H56*D56*(1+GrowthMarketRent)^9+(1-Retention)*LCNew*H56*D56*(1+GrowthMarketRent)^9,IF(I56="LeaseUp",LCNew*H56*D56*(1+GrowthMarketRent)^9,IF(I56="Option",LCRenewal*H56*D56*(1+GrowthMarketRent)^9,0))))),IF(F56="",0,IF(AND(F56&gt;=DATE(2026+9,5,1),F56&lt;=DATE(2027+9,4,30)),(IF(I56="Vacate",TINew*D56,IF(I56="Market",Retention*TIRenewal*D56+(1-Retention)*TINew*D56,IF(I56="LeaseUp",TINew*D56,IF(I56="Option",TIRenewal*D56,0)))))+(IF(I56="Vacate",LCNew*H56*D56*(1+GrowthMarketRent)^9,IF(I56="Market",Retention*LCRenewal*H56*D56*(1+GrowthMarketRent)^9+(1-Retention)*LCNew*H56*D56*(1+GrowthMarketRent)^9,IF(I56="LeaseUp",LCNew*H56*D56*(1+GrowthMarketRent)^9,IF(I56="Option",LCRenewal*H56*D56*(1+GrowthMarketRent)^9,0))))),0))),0)</f>
        <v/>
      </c>
      <c r="AI56" s="14">
        <f>IFERROR(IF(AND(I56="LeaseUp",10=0),(IF(I56="Vacate",TINew*D56,IF(I56="Market",Retention*TIRenewal*D56+(1-Retention)*TINew*D56,IF(I56="LeaseUp",TINew*D56,IF(I56="Option",TIRenewal*D56,0)))))+(IF(I56="Vacate",LCNew*H56*D56*(1+GrowthMarketRent)^10,IF(I56="Market",Retention*LCRenewal*H56*D56*(1+GrowthMarketRent)^10+(1-Retention)*LCNew*H56*D56*(1+GrowthMarketRent)^10,IF(I56="LeaseUp",LCNew*H56*D56*(1+GrowthMarketRent)^10,IF(I56="Option",LCRenewal*H56*D56*(1+GrowthMarketRent)^10,0))))),IF(F56="",0,IF(AND(F56&gt;=DATE(2026+10,5,1),F56&lt;=DATE(2027+10,4,30)),(IF(I56="Vacate",TINew*D56,IF(I56="Market",Retention*TIRenewal*D56+(1-Retention)*TINew*D56,IF(I56="LeaseUp",TINew*D56,IF(I56="Option",TIRenewal*D56,0)))))+(IF(I56="Vacate",LCNew*H56*D56*(1+GrowthMarketRent)^10,IF(I56="Market",Retention*LCRenewal*H56*D56*(1+GrowthMarketRent)^10+(1-Retention)*LCNew*H56*D56*(1+GrowthMarketRent)^10,IF(I56="LeaseUp",LCNew*H56*D56*(1+GrowthMarketRent)^10,IF(I56="Option",LCRenewal*H56*D56*(1+GrowthMarketRent)^10,0))))),0))),0)</f>
        <v/>
      </c>
    </row>
    <row r="57">
      <c r="A57" t="inlineStr">
        <is>
          <t>Frisco</t>
        </is>
      </c>
      <c r="B57" t="inlineStr">
        <is>
          <t>206</t>
        </is>
      </c>
      <c r="C57" t="inlineStr">
        <is>
          <t>Legacy Luxury Detail</t>
        </is>
      </c>
      <c r="D57" s="32" t="n">
        <v>2600</v>
      </c>
      <c r="E57" s="33" t="n">
        <v>45778</v>
      </c>
      <c r="F57" s="33" t="n">
        <v>47027</v>
      </c>
      <c r="G57" s="34" t="n">
        <v>18.45</v>
      </c>
      <c r="H57" s="16">
        <f>VLOOKUP(A57,MLA!$A$5:$L$11,3,FALSE)</f>
        <v/>
      </c>
      <c r="I57" s="11" t="inlineStr">
        <is>
          <t>Market</t>
        </is>
      </c>
      <c r="J57" t="inlineStr">
        <is>
          <t>Shop</t>
        </is>
      </c>
      <c r="K57" t="inlineStr">
        <is>
          <t>Occupied</t>
        </is>
      </c>
      <c r="L57" t="inlineStr">
        <is>
          <t>Guarantor: Andrew Sawyer</t>
        </is>
      </c>
      <c r="M57" s="20">
        <f>IF(E57="",0,(AnalysisStart-E57)/365.25)</f>
        <v/>
      </c>
      <c r="N57" s="14">
        <f>IFERROR(IF(I57="LeaseUp",H57*D57*(1+GrowthMarketRent)^0*IF(0=0,(12-DowntimeNew)/12,1),IF(F57="",0,IF(F57&gt;=DATE(2027+0,4,30),G57*D57*(1+EscalatorInLease)^(0+M57),IF(F57&lt;DATE(2026+0,5,1),IF(I57="Vacate",H57*D57*(1+GrowthMarketRent)^0*IF(INT((DATE(2026+0,10,31)-F57)/365.25)=0,(12-DowntimeNew)/12,1),IF(I57="Option",G57*D57*1.025*(1+EscalatorInLease)^0,IF(I57="Market",Retention*G57*D57*(1+EscalatorInLease)^(0+M57)+(1-Retention)*H57*D57*(1+GrowthMarketRent)^0*IF(INT((DATE(2026+0,10,31)-F57)/365.25)=0,(12-DowntimeNew)/12,1),IF(I57="LeaseUp",H57*D57*(1+GrowthMarketRent)^0*IF(0=0,(12-DowntimeNew)/12,1),0)))),((F57-DATE(2026+0,5,1))/365.25)*G57*D57*(1+EscalatorInLease)^(0+M57)+((DATE(2027+0,4,30)-F57)/365.25)*IF(I57="Vacate",H57*D57*(1+GrowthMarketRent)^0*IF(INT((DATE(2026+0,10,31)-F57)/365.25)=0,(12-DowntimeNew)/12,1),IF(I57="Option",G57*D57*1.025*(1+EscalatorInLease)^0,IF(I57="Market",Retention*G57*D57*(1+EscalatorInLease)^(0+M57)+(1-Retention)*H57*D57*(1+GrowthMarketRent)^0*IF(INT((DATE(2026+0,10,31)-F57)/365.25)=0,(12-DowntimeNew)/12,1),IF(I57="LeaseUp",H57*D57*(1+GrowthMarketRent)^0*IF(0=0,(12-DowntimeNew)/12,1),0)))))))),0)</f>
        <v/>
      </c>
      <c r="O57" s="14">
        <f>IFERROR(IF(I57="LeaseUp",H57*D57*(1+GrowthMarketRent)^1*IF(1=0,(12-DowntimeNew)/12,1),IF(F57="",0,IF(F57&gt;=DATE(2027+1,4,30),G57*D57*(1+EscalatorInLease)^(1+M57),IF(F57&lt;DATE(2026+1,5,1),IF(I57="Vacate",H57*D57*(1+GrowthMarketRent)^1*IF(INT((DATE(2026+1,10,31)-F57)/365.25)=0,(12-DowntimeNew)/12,1),IF(I57="Option",G57*D57*1.025*(1+EscalatorInLease)^1,IF(I57="Market",Retention*G57*D57*(1+EscalatorInLease)^(1+M57)+(1-Retention)*H57*D57*(1+GrowthMarketRent)^1*IF(INT((DATE(2026+1,10,31)-F57)/365.25)=0,(12-DowntimeNew)/12,1),IF(I57="LeaseUp",H57*D57*(1+GrowthMarketRent)^1*IF(1=0,(12-DowntimeNew)/12,1),0)))),((F57-DATE(2026+1,5,1))/365.25)*G57*D57*(1+EscalatorInLease)^(1+M57)+((DATE(2027+1,4,30)-F57)/365.25)*IF(I57="Vacate",H57*D57*(1+GrowthMarketRent)^1*IF(INT((DATE(2026+1,10,31)-F57)/365.25)=0,(12-DowntimeNew)/12,1),IF(I57="Option",G57*D57*1.025*(1+EscalatorInLease)^1,IF(I57="Market",Retention*G57*D57*(1+EscalatorInLease)^(1+M57)+(1-Retention)*H57*D57*(1+GrowthMarketRent)^1*IF(INT((DATE(2026+1,10,31)-F57)/365.25)=0,(12-DowntimeNew)/12,1),IF(I57="LeaseUp",H57*D57*(1+GrowthMarketRent)^1*IF(1=0,(12-DowntimeNew)/12,1),0)))))))),0)</f>
        <v/>
      </c>
      <c r="P57" s="14">
        <f>IFERROR(IF(I57="LeaseUp",H57*D57*(1+GrowthMarketRent)^2*IF(2=0,(12-DowntimeNew)/12,1),IF(F57="",0,IF(F57&gt;=DATE(2027+2,4,30),G57*D57*(1+EscalatorInLease)^(2+M57),IF(F57&lt;DATE(2026+2,5,1),IF(I57="Vacate",H57*D57*(1+GrowthMarketRent)^2*IF(INT((DATE(2026+2,10,31)-F57)/365.25)=0,(12-DowntimeNew)/12,1),IF(I57="Option",G57*D57*1.025*(1+EscalatorInLease)^2,IF(I57="Market",Retention*G57*D57*(1+EscalatorInLease)^(2+M57)+(1-Retention)*H57*D57*(1+GrowthMarketRent)^2*IF(INT((DATE(2026+2,10,31)-F57)/365.25)=0,(12-DowntimeNew)/12,1),IF(I57="LeaseUp",H57*D57*(1+GrowthMarketRent)^2*IF(2=0,(12-DowntimeNew)/12,1),0)))),((F57-DATE(2026+2,5,1))/365.25)*G57*D57*(1+EscalatorInLease)^(2+M57)+((DATE(2027+2,4,30)-F57)/365.25)*IF(I57="Vacate",H57*D57*(1+GrowthMarketRent)^2*IF(INT((DATE(2026+2,10,31)-F57)/365.25)=0,(12-DowntimeNew)/12,1),IF(I57="Option",G57*D57*1.025*(1+EscalatorInLease)^2,IF(I57="Market",Retention*G57*D57*(1+EscalatorInLease)^(2+M57)+(1-Retention)*H57*D57*(1+GrowthMarketRent)^2*IF(INT((DATE(2026+2,10,31)-F57)/365.25)=0,(12-DowntimeNew)/12,1),IF(I57="LeaseUp",H57*D57*(1+GrowthMarketRent)^2*IF(2=0,(12-DowntimeNew)/12,1),0)))))))),0)</f>
        <v/>
      </c>
      <c r="Q57" s="14">
        <f>IFERROR(IF(I57="LeaseUp",H57*D57*(1+GrowthMarketRent)^3*IF(3=0,(12-DowntimeNew)/12,1),IF(F57="",0,IF(F57&gt;=DATE(2027+3,4,30),G57*D57*(1+EscalatorInLease)^(3+M57),IF(F57&lt;DATE(2026+3,5,1),IF(I57="Vacate",H57*D57*(1+GrowthMarketRent)^3*IF(INT((DATE(2026+3,10,31)-F57)/365.25)=0,(12-DowntimeNew)/12,1),IF(I57="Option",G57*D57*1.025*(1+EscalatorInLease)^3,IF(I57="Market",Retention*G57*D57*(1+EscalatorInLease)^(3+M57)+(1-Retention)*H57*D57*(1+GrowthMarketRent)^3*IF(INT((DATE(2026+3,10,31)-F57)/365.25)=0,(12-DowntimeNew)/12,1),IF(I57="LeaseUp",H57*D57*(1+GrowthMarketRent)^3*IF(3=0,(12-DowntimeNew)/12,1),0)))),((F57-DATE(2026+3,5,1))/365.25)*G57*D57*(1+EscalatorInLease)^(3+M57)+((DATE(2027+3,4,30)-F57)/365.25)*IF(I57="Vacate",H57*D57*(1+GrowthMarketRent)^3*IF(INT((DATE(2026+3,10,31)-F57)/365.25)=0,(12-DowntimeNew)/12,1),IF(I57="Option",G57*D57*1.025*(1+EscalatorInLease)^3,IF(I57="Market",Retention*G57*D57*(1+EscalatorInLease)^(3+M57)+(1-Retention)*H57*D57*(1+GrowthMarketRent)^3*IF(INT((DATE(2026+3,10,31)-F57)/365.25)=0,(12-DowntimeNew)/12,1),IF(I57="LeaseUp",H57*D57*(1+GrowthMarketRent)^3*IF(3=0,(12-DowntimeNew)/12,1),0)))))))),0)</f>
        <v/>
      </c>
      <c r="R57" s="14">
        <f>IFERROR(IF(I57="LeaseUp",H57*D57*(1+GrowthMarketRent)^4*IF(4=0,(12-DowntimeNew)/12,1),IF(F57="",0,IF(F57&gt;=DATE(2027+4,4,30),G57*D57*(1+EscalatorInLease)^(4+M57),IF(F57&lt;DATE(2026+4,5,1),IF(I57="Vacate",H57*D57*(1+GrowthMarketRent)^4*IF(INT((DATE(2026+4,10,31)-F57)/365.25)=0,(12-DowntimeNew)/12,1),IF(I57="Option",G57*D57*1.025*(1+EscalatorInLease)^4,IF(I57="Market",Retention*G57*D57*(1+EscalatorInLease)^(4+M57)+(1-Retention)*H57*D57*(1+GrowthMarketRent)^4*IF(INT((DATE(2026+4,10,31)-F57)/365.25)=0,(12-DowntimeNew)/12,1),IF(I57="LeaseUp",H57*D57*(1+GrowthMarketRent)^4*IF(4=0,(12-DowntimeNew)/12,1),0)))),((F57-DATE(2026+4,5,1))/365.25)*G57*D57*(1+EscalatorInLease)^(4+M57)+((DATE(2027+4,4,30)-F57)/365.25)*IF(I57="Vacate",H57*D57*(1+GrowthMarketRent)^4*IF(INT((DATE(2026+4,10,31)-F57)/365.25)=0,(12-DowntimeNew)/12,1),IF(I57="Option",G57*D57*1.025*(1+EscalatorInLease)^4,IF(I57="Market",Retention*G57*D57*(1+EscalatorInLease)^(4+M57)+(1-Retention)*H57*D57*(1+GrowthMarketRent)^4*IF(INT((DATE(2026+4,10,31)-F57)/365.25)=0,(12-DowntimeNew)/12,1),IF(I57="LeaseUp",H57*D57*(1+GrowthMarketRent)^4*IF(4=0,(12-DowntimeNew)/12,1),0)))))))),0)</f>
        <v/>
      </c>
      <c r="S57" s="14">
        <f>IFERROR(IF(I57="LeaseUp",H57*D57*(1+GrowthMarketRent)^5*IF(5=0,(12-DowntimeNew)/12,1),IF(F57="",0,IF(F57&gt;=DATE(2027+5,4,30),G57*D57*(1+EscalatorInLease)^(5+M57),IF(F57&lt;DATE(2026+5,5,1),IF(I57="Vacate",H57*D57*(1+GrowthMarketRent)^5*IF(INT((DATE(2026+5,10,31)-F57)/365.25)=0,(12-DowntimeNew)/12,1),IF(I57="Option",G57*D57*1.025*(1+EscalatorInLease)^5,IF(I57="Market",Retention*G57*D57*(1+EscalatorInLease)^(5+M57)+(1-Retention)*H57*D57*(1+GrowthMarketRent)^5*IF(INT((DATE(2026+5,10,31)-F57)/365.25)=0,(12-DowntimeNew)/12,1),IF(I57="LeaseUp",H57*D57*(1+GrowthMarketRent)^5*IF(5=0,(12-DowntimeNew)/12,1),0)))),((F57-DATE(2026+5,5,1))/365.25)*G57*D57*(1+EscalatorInLease)^(5+M57)+((DATE(2027+5,4,30)-F57)/365.25)*IF(I57="Vacate",H57*D57*(1+GrowthMarketRent)^5*IF(INT((DATE(2026+5,10,31)-F57)/365.25)=0,(12-DowntimeNew)/12,1),IF(I57="Option",G57*D57*1.025*(1+EscalatorInLease)^5,IF(I57="Market",Retention*G57*D57*(1+EscalatorInLease)^(5+M57)+(1-Retention)*H57*D57*(1+GrowthMarketRent)^5*IF(INT((DATE(2026+5,10,31)-F57)/365.25)=0,(12-DowntimeNew)/12,1),IF(I57="LeaseUp",H57*D57*(1+GrowthMarketRent)^5*IF(5=0,(12-DowntimeNew)/12,1),0)))))))),0)</f>
        <v/>
      </c>
      <c r="T57" s="14">
        <f>IFERROR(IF(I57="LeaseUp",H57*D57*(1+GrowthMarketRent)^6*IF(6=0,(12-DowntimeNew)/12,1),IF(F57="",0,IF(F57&gt;=DATE(2027+6,4,30),G57*D57*(1+EscalatorInLease)^(6+M57),IF(F57&lt;DATE(2026+6,5,1),IF(I57="Vacate",H57*D57*(1+GrowthMarketRent)^6*IF(INT((DATE(2026+6,10,31)-F57)/365.25)=0,(12-DowntimeNew)/12,1),IF(I57="Option",G57*D57*1.025*(1+EscalatorInLease)^6,IF(I57="Market",Retention*G57*D57*(1+EscalatorInLease)^(6+M57)+(1-Retention)*H57*D57*(1+GrowthMarketRent)^6*IF(INT((DATE(2026+6,10,31)-F57)/365.25)=0,(12-DowntimeNew)/12,1),IF(I57="LeaseUp",H57*D57*(1+GrowthMarketRent)^6*IF(6=0,(12-DowntimeNew)/12,1),0)))),((F57-DATE(2026+6,5,1))/365.25)*G57*D57*(1+EscalatorInLease)^(6+M57)+((DATE(2027+6,4,30)-F57)/365.25)*IF(I57="Vacate",H57*D57*(1+GrowthMarketRent)^6*IF(INT((DATE(2026+6,10,31)-F57)/365.25)=0,(12-DowntimeNew)/12,1),IF(I57="Option",G57*D57*1.025*(1+EscalatorInLease)^6,IF(I57="Market",Retention*G57*D57*(1+EscalatorInLease)^(6+M57)+(1-Retention)*H57*D57*(1+GrowthMarketRent)^6*IF(INT((DATE(2026+6,10,31)-F57)/365.25)=0,(12-DowntimeNew)/12,1),IF(I57="LeaseUp",H57*D57*(1+GrowthMarketRent)^6*IF(6=0,(12-DowntimeNew)/12,1),0)))))))),0)</f>
        <v/>
      </c>
      <c r="U57" s="14">
        <f>IFERROR(IF(I57="LeaseUp",H57*D57*(1+GrowthMarketRent)^7*IF(7=0,(12-DowntimeNew)/12,1),IF(F57="",0,IF(F57&gt;=DATE(2027+7,4,30),G57*D57*(1+EscalatorInLease)^(7+M57),IF(F57&lt;DATE(2026+7,5,1),IF(I57="Vacate",H57*D57*(1+GrowthMarketRent)^7*IF(INT((DATE(2026+7,10,31)-F57)/365.25)=0,(12-DowntimeNew)/12,1),IF(I57="Option",G57*D57*1.025*(1+EscalatorInLease)^7,IF(I57="Market",Retention*G57*D57*(1+EscalatorInLease)^(7+M57)+(1-Retention)*H57*D57*(1+GrowthMarketRent)^7*IF(INT((DATE(2026+7,10,31)-F57)/365.25)=0,(12-DowntimeNew)/12,1),IF(I57="LeaseUp",H57*D57*(1+GrowthMarketRent)^7*IF(7=0,(12-DowntimeNew)/12,1),0)))),((F57-DATE(2026+7,5,1))/365.25)*G57*D57*(1+EscalatorInLease)^(7+M57)+((DATE(2027+7,4,30)-F57)/365.25)*IF(I57="Vacate",H57*D57*(1+GrowthMarketRent)^7*IF(INT((DATE(2026+7,10,31)-F57)/365.25)=0,(12-DowntimeNew)/12,1),IF(I57="Option",G57*D57*1.025*(1+EscalatorInLease)^7,IF(I57="Market",Retention*G57*D57*(1+EscalatorInLease)^(7+M57)+(1-Retention)*H57*D57*(1+GrowthMarketRent)^7*IF(INT((DATE(2026+7,10,31)-F57)/365.25)=0,(12-DowntimeNew)/12,1),IF(I57="LeaseUp",H57*D57*(1+GrowthMarketRent)^7*IF(7=0,(12-DowntimeNew)/12,1),0)))))))),0)</f>
        <v/>
      </c>
      <c r="V57" s="14">
        <f>IFERROR(IF(I57="LeaseUp",H57*D57*(1+GrowthMarketRent)^8*IF(8=0,(12-DowntimeNew)/12,1),IF(F57="",0,IF(F57&gt;=DATE(2027+8,4,30),G57*D57*(1+EscalatorInLease)^(8+M57),IF(F57&lt;DATE(2026+8,5,1),IF(I57="Vacate",H57*D57*(1+GrowthMarketRent)^8*IF(INT((DATE(2026+8,10,31)-F57)/365.25)=0,(12-DowntimeNew)/12,1),IF(I57="Option",G57*D57*1.025*(1+EscalatorInLease)^8,IF(I57="Market",Retention*G57*D57*(1+EscalatorInLease)^(8+M57)+(1-Retention)*H57*D57*(1+GrowthMarketRent)^8*IF(INT((DATE(2026+8,10,31)-F57)/365.25)=0,(12-DowntimeNew)/12,1),IF(I57="LeaseUp",H57*D57*(1+GrowthMarketRent)^8*IF(8=0,(12-DowntimeNew)/12,1),0)))),((F57-DATE(2026+8,5,1))/365.25)*G57*D57*(1+EscalatorInLease)^(8+M57)+((DATE(2027+8,4,30)-F57)/365.25)*IF(I57="Vacate",H57*D57*(1+GrowthMarketRent)^8*IF(INT((DATE(2026+8,10,31)-F57)/365.25)=0,(12-DowntimeNew)/12,1),IF(I57="Option",G57*D57*1.025*(1+EscalatorInLease)^8,IF(I57="Market",Retention*G57*D57*(1+EscalatorInLease)^(8+M57)+(1-Retention)*H57*D57*(1+GrowthMarketRent)^8*IF(INT((DATE(2026+8,10,31)-F57)/365.25)=0,(12-DowntimeNew)/12,1),IF(I57="LeaseUp",H57*D57*(1+GrowthMarketRent)^8*IF(8=0,(12-DowntimeNew)/12,1),0)))))))),0)</f>
        <v/>
      </c>
      <c r="W57" s="14">
        <f>IFERROR(IF(I57="LeaseUp",H57*D57*(1+GrowthMarketRent)^9*IF(9=0,(12-DowntimeNew)/12,1),IF(F57="",0,IF(F57&gt;=DATE(2027+9,4,30),G57*D57*(1+EscalatorInLease)^(9+M57),IF(F57&lt;DATE(2026+9,5,1),IF(I57="Vacate",H57*D57*(1+GrowthMarketRent)^9*IF(INT((DATE(2026+9,10,31)-F57)/365.25)=0,(12-DowntimeNew)/12,1),IF(I57="Option",G57*D57*1.025*(1+EscalatorInLease)^9,IF(I57="Market",Retention*G57*D57*(1+EscalatorInLease)^(9+M57)+(1-Retention)*H57*D57*(1+GrowthMarketRent)^9*IF(INT((DATE(2026+9,10,31)-F57)/365.25)=0,(12-DowntimeNew)/12,1),IF(I57="LeaseUp",H57*D57*(1+GrowthMarketRent)^9*IF(9=0,(12-DowntimeNew)/12,1),0)))),((F57-DATE(2026+9,5,1))/365.25)*G57*D57*(1+EscalatorInLease)^(9+M57)+((DATE(2027+9,4,30)-F57)/365.25)*IF(I57="Vacate",H57*D57*(1+GrowthMarketRent)^9*IF(INT((DATE(2026+9,10,31)-F57)/365.25)=0,(12-DowntimeNew)/12,1),IF(I57="Option",G57*D57*1.025*(1+EscalatorInLease)^9,IF(I57="Market",Retention*G57*D57*(1+EscalatorInLease)^(9+M57)+(1-Retention)*H57*D57*(1+GrowthMarketRent)^9*IF(INT((DATE(2026+9,10,31)-F57)/365.25)=0,(12-DowntimeNew)/12,1),IF(I57="LeaseUp",H57*D57*(1+GrowthMarketRent)^9*IF(9=0,(12-DowntimeNew)/12,1),0)))))))),0)</f>
        <v/>
      </c>
      <c r="X57" s="14">
        <f>IFERROR(IF(I57="LeaseUp",H57*D57*(1+GrowthMarketRent)^10*IF(10=0,(12-DowntimeNew)/12,1),IF(F57="",0,IF(F57&gt;=DATE(2027+10,4,30),G57*D57*(1+EscalatorInLease)^(10+M57),IF(F57&lt;DATE(2026+10,5,1),IF(I57="Vacate",H57*D57*(1+GrowthMarketRent)^10*IF(INT((DATE(2026+10,10,31)-F57)/365.25)=0,(12-DowntimeNew)/12,1),IF(I57="Option",G57*D57*1.025*(1+EscalatorInLease)^10,IF(I57="Market",Retention*G57*D57*(1+EscalatorInLease)^(10+M57)+(1-Retention)*H57*D57*(1+GrowthMarketRent)^10*IF(INT((DATE(2026+10,10,31)-F57)/365.25)=0,(12-DowntimeNew)/12,1),IF(I57="LeaseUp",H57*D57*(1+GrowthMarketRent)^10*IF(10=0,(12-DowntimeNew)/12,1),0)))),((F57-DATE(2026+10,5,1))/365.25)*G57*D57*(1+EscalatorInLease)^(10+M57)+((DATE(2027+10,4,30)-F57)/365.25)*IF(I57="Vacate",H57*D57*(1+GrowthMarketRent)^10*IF(INT((DATE(2026+10,10,31)-F57)/365.25)=0,(12-DowntimeNew)/12,1),IF(I57="Option",G57*D57*1.025*(1+EscalatorInLease)^10,IF(I57="Market",Retention*G57*D57*(1+EscalatorInLease)^(10+M57)+(1-Retention)*H57*D57*(1+GrowthMarketRent)^10*IF(INT((DATE(2026+10,10,31)-F57)/365.25)=0,(12-DowntimeNew)/12,1),IF(I57="LeaseUp",H57*D57*(1+GrowthMarketRent)^10*IF(10=0,(12-DowntimeNew)/12,1),0)))))))),0)</f>
        <v/>
      </c>
      <c r="Y57" s="14">
        <f>IFERROR(IF(AND(I57="LeaseUp",0=0),(IF(I57="Vacate",TINew*D57,IF(I57="Market",Retention*TIRenewal*D57+(1-Retention)*TINew*D57,IF(I57="LeaseUp",TINew*D57,IF(I57="Option",TIRenewal*D57,0)))))+(IF(I57="Vacate",LCNew*H57*D57*(1+GrowthMarketRent)^0,IF(I57="Market",Retention*LCRenewal*H57*D57*(1+GrowthMarketRent)^0+(1-Retention)*LCNew*H57*D57*(1+GrowthMarketRent)^0,IF(I57="LeaseUp",LCNew*H57*D57*(1+GrowthMarketRent)^0,IF(I57="Option",LCRenewal*H57*D57*(1+GrowthMarketRent)^0,0))))),IF(F57="",0,IF(AND(F57&gt;=DATE(2026+0,5,1),F57&lt;=DATE(2027+0,4,30)),(IF(I57="Vacate",TINew*D57,IF(I57="Market",Retention*TIRenewal*D57+(1-Retention)*TINew*D57,IF(I57="LeaseUp",TINew*D57,IF(I57="Option",TIRenewal*D57,0)))))+(IF(I57="Vacate",LCNew*H57*D57*(1+GrowthMarketRent)^0,IF(I57="Market",Retention*LCRenewal*H57*D57*(1+GrowthMarketRent)^0+(1-Retention)*LCNew*H57*D57*(1+GrowthMarketRent)^0,IF(I57="LeaseUp",LCNew*H57*D57*(1+GrowthMarketRent)^0,IF(I57="Option",LCRenewal*H57*D57*(1+GrowthMarketRent)^0,0))))),0))),0)</f>
        <v/>
      </c>
      <c r="Z57" s="14">
        <f>IFERROR(IF(AND(I57="LeaseUp",1=0),(IF(I57="Vacate",TINew*D57,IF(I57="Market",Retention*TIRenewal*D57+(1-Retention)*TINew*D57,IF(I57="LeaseUp",TINew*D57,IF(I57="Option",TIRenewal*D57,0)))))+(IF(I57="Vacate",LCNew*H57*D57*(1+GrowthMarketRent)^1,IF(I57="Market",Retention*LCRenewal*H57*D57*(1+GrowthMarketRent)^1+(1-Retention)*LCNew*H57*D57*(1+GrowthMarketRent)^1,IF(I57="LeaseUp",LCNew*H57*D57*(1+GrowthMarketRent)^1,IF(I57="Option",LCRenewal*H57*D57*(1+GrowthMarketRent)^1,0))))),IF(F57="",0,IF(AND(F57&gt;=DATE(2026+1,5,1),F57&lt;=DATE(2027+1,4,30)),(IF(I57="Vacate",TINew*D57,IF(I57="Market",Retention*TIRenewal*D57+(1-Retention)*TINew*D57,IF(I57="LeaseUp",TINew*D57,IF(I57="Option",TIRenewal*D57,0)))))+(IF(I57="Vacate",LCNew*H57*D57*(1+GrowthMarketRent)^1,IF(I57="Market",Retention*LCRenewal*H57*D57*(1+GrowthMarketRent)^1+(1-Retention)*LCNew*H57*D57*(1+GrowthMarketRent)^1,IF(I57="LeaseUp",LCNew*H57*D57*(1+GrowthMarketRent)^1,IF(I57="Option",LCRenewal*H57*D57*(1+GrowthMarketRent)^1,0))))),0))),0)</f>
        <v/>
      </c>
      <c r="AA57" s="14">
        <f>IFERROR(IF(AND(I57="LeaseUp",2=0),(IF(I57="Vacate",TINew*D57,IF(I57="Market",Retention*TIRenewal*D57+(1-Retention)*TINew*D57,IF(I57="LeaseUp",TINew*D57,IF(I57="Option",TIRenewal*D57,0)))))+(IF(I57="Vacate",LCNew*H57*D57*(1+GrowthMarketRent)^2,IF(I57="Market",Retention*LCRenewal*H57*D57*(1+GrowthMarketRent)^2+(1-Retention)*LCNew*H57*D57*(1+GrowthMarketRent)^2,IF(I57="LeaseUp",LCNew*H57*D57*(1+GrowthMarketRent)^2,IF(I57="Option",LCRenewal*H57*D57*(1+GrowthMarketRent)^2,0))))),IF(F57="",0,IF(AND(F57&gt;=DATE(2026+2,5,1),F57&lt;=DATE(2027+2,4,30)),(IF(I57="Vacate",TINew*D57,IF(I57="Market",Retention*TIRenewal*D57+(1-Retention)*TINew*D57,IF(I57="LeaseUp",TINew*D57,IF(I57="Option",TIRenewal*D57,0)))))+(IF(I57="Vacate",LCNew*H57*D57*(1+GrowthMarketRent)^2,IF(I57="Market",Retention*LCRenewal*H57*D57*(1+GrowthMarketRent)^2+(1-Retention)*LCNew*H57*D57*(1+GrowthMarketRent)^2,IF(I57="LeaseUp",LCNew*H57*D57*(1+GrowthMarketRent)^2,IF(I57="Option",LCRenewal*H57*D57*(1+GrowthMarketRent)^2,0))))),0))),0)</f>
        <v/>
      </c>
      <c r="AB57" s="14">
        <f>IFERROR(IF(AND(I57="LeaseUp",3=0),(IF(I57="Vacate",TINew*D57,IF(I57="Market",Retention*TIRenewal*D57+(1-Retention)*TINew*D57,IF(I57="LeaseUp",TINew*D57,IF(I57="Option",TIRenewal*D57,0)))))+(IF(I57="Vacate",LCNew*H57*D57*(1+GrowthMarketRent)^3,IF(I57="Market",Retention*LCRenewal*H57*D57*(1+GrowthMarketRent)^3+(1-Retention)*LCNew*H57*D57*(1+GrowthMarketRent)^3,IF(I57="LeaseUp",LCNew*H57*D57*(1+GrowthMarketRent)^3,IF(I57="Option",LCRenewal*H57*D57*(1+GrowthMarketRent)^3,0))))),IF(F57="",0,IF(AND(F57&gt;=DATE(2026+3,5,1),F57&lt;=DATE(2027+3,4,30)),(IF(I57="Vacate",TINew*D57,IF(I57="Market",Retention*TIRenewal*D57+(1-Retention)*TINew*D57,IF(I57="LeaseUp",TINew*D57,IF(I57="Option",TIRenewal*D57,0)))))+(IF(I57="Vacate",LCNew*H57*D57*(1+GrowthMarketRent)^3,IF(I57="Market",Retention*LCRenewal*H57*D57*(1+GrowthMarketRent)^3+(1-Retention)*LCNew*H57*D57*(1+GrowthMarketRent)^3,IF(I57="LeaseUp",LCNew*H57*D57*(1+GrowthMarketRent)^3,IF(I57="Option",LCRenewal*H57*D57*(1+GrowthMarketRent)^3,0))))),0))),0)</f>
        <v/>
      </c>
      <c r="AC57" s="14">
        <f>IFERROR(IF(AND(I57="LeaseUp",4=0),(IF(I57="Vacate",TINew*D57,IF(I57="Market",Retention*TIRenewal*D57+(1-Retention)*TINew*D57,IF(I57="LeaseUp",TINew*D57,IF(I57="Option",TIRenewal*D57,0)))))+(IF(I57="Vacate",LCNew*H57*D57*(1+GrowthMarketRent)^4,IF(I57="Market",Retention*LCRenewal*H57*D57*(1+GrowthMarketRent)^4+(1-Retention)*LCNew*H57*D57*(1+GrowthMarketRent)^4,IF(I57="LeaseUp",LCNew*H57*D57*(1+GrowthMarketRent)^4,IF(I57="Option",LCRenewal*H57*D57*(1+GrowthMarketRent)^4,0))))),IF(F57="",0,IF(AND(F57&gt;=DATE(2026+4,5,1),F57&lt;=DATE(2027+4,4,30)),(IF(I57="Vacate",TINew*D57,IF(I57="Market",Retention*TIRenewal*D57+(1-Retention)*TINew*D57,IF(I57="LeaseUp",TINew*D57,IF(I57="Option",TIRenewal*D57,0)))))+(IF(I57="Vacate",LCNew*H57*D57*(1+GrowthMarketRent)^4,IF(I57="Market",Retention*LCRenewal*H57*D57*(1+GrowthMarketRent)^4+(1-Retention)*LCNew*H57*D57*(1+GrowthMarketRent)^4,IF(I57="LeaseUp",LCNew*H57*D57*(1+GrowthMarketRent)^4,IF(I57="Option",LCRenewal*H57*D57*(1+GrowthMarketRent)^4,0))))),0))),0)</f>
        <v/>
      </c>
      <c r="AD57" s="14">
        <f>IFERROR(IF(AND(I57="LeaseUp",5=0),(IF(I57="Vacate",TINew*D57,IF(I57="Market",Retention*TIRenewal*D57+(1-Retention)*TINew*D57,IF(I57="LeaseUp",TINew*D57,IF(I57="Option",TIRenewal*D57,0)))))+(IF(I57="Vacate",LCNew*H57*D57*(1+GrowthMarketRent)^5,IF(I57="Market",Retention*LCRenewal*H57*D57*(1+GrowthMarketRent)^5+(1-Retention)*LCNew*H57*D57*(1+GrowthMarketRent)^5,IF(I57="LeaseUp",LCNew*H57*D57*(1+GrowthMarketRent)^5,IF(I57="Option",LCRenewal*H57*D57*(1+GrowthMarketRent)^5,0))))),IF(F57="",0,IF(AND(F57&gt;=DATE(2026+5,5,1),F57&lt;=DATE(2027+5,4,30)),(IF(I57="Vacate",TINew*D57,IF(I57="Market",Retention*TIRenewal*D57+(1-Retention)*TINew*D57,IF(I57="LeaseUp",TINew*D57,IF(I57="Option",TIRenewal*D57,0)))))+(IF(I57="Vacate",LCNew*H57*D57*(1+GrowthMarketRent)^5,IF(I57="Market",Retention*LCRenewal*H57*D57*(1+GrowthMarketRent)^5+(1-Retention)*LCNew*H57*D57*(1+GrowthMarketRent)^5,IF(I57="LeaseUp",LCNew*H57*D57*(1+GrowthMarketRent)^5,IF(I57="Option",LCRenewal*H57*D57*(1+GrowthMarketRent)^5,0))))),0))),0)</f>
        <v/>
      </c>
      <c r="AE57" s="14">
        <f>IFERROR(IF(AND(I57="LeaseUp",6=0),(IF(I57="Vacate",TINew*D57,IF(I57="Market",Retention*TIRenewal*D57+(1-Retention)*TINew*D57,IF(I57="LeaseUp",TINew*D57,IF(I57="Option",TIRenewal*D57,0)))))+(IF(I57="Vacate",LCNew*H57*D57*(1+GrowthMarketRent)^6,IF(I57="Market",Retention*LCRenewal*H57*D57*(1+GrowthMarketRent)^6+(1-Retention)*LCNew*H57*D57*(1+GrowthMarketRent)^6,IF(I57="LeaseUp",LCNew*H57*D57*(1+GrowthMarketRent)^6,IF(I57="Option",LCRenewal*H57*D57*(1+GrowthMarketRent)^6,0))))),IF(F57="",0,IF(AND(F57&gt;=DATE(2026+6,5,1),F57&lt;=DATE(2027+6,4,30)),(IF(I57="Vacate",TINew*D57,IF(I57="Market",Retention*TIRenewal*D57+(1-Retention)*TINew*D57,IF(I57="LeaseUp",TINew*D57,IF(I57="Option",TIRenewal*D57,0)))))+(IF(I57="Vacate",LCNew*H57*D57*(1+GrowthMarketRent)^6,IF(I57="Market",Retention*LCRenewal*H57*D57*(1+GrowthMarketRent)^6+(1-Retention)*LCNew*H57*D57*(1+GrowthMarketRent)^6,IF(I57="LeaseUp",LCNew*H57*D57*(1+GrowthMarketRent)^6,IF(I57="Option",LCRenewal*H57*D57*(1+GrowthMarketRent)^6,0))))),0))),0)</f>
        <v/>
      </c>
      <c r="AF57" s="14">
        <f>IFERROR(IF(AND(I57="LeaseUp",7=0),(IF(I57="Vacate",TINew*D57,IF(I57="Market",Retention*TIRenewal*D57+(1-Retention)*TINew*D57,IF(I57="LeaseUp",TINew*D57,IF(I57="Option",TIRenewal*D57,0)))))+(IF(I57="Vacate",LCNew*H57*D57*(1+GrowthMarketRent)^7,IF(I57="Market",Retention*LCRenewal*H57*D57*(1+GrowthMarketRent)^7+(1-Retention)*LCNew*H57*D57*(1+GrowthMarketRent)^7,IF(I57="LeaseUp",LCNew*H57*D57*(1+GrowthMarketRent)^7,IF(I57="Option",LCRenewal*H57*D57*(1+GrowthMarketRent)^7,0))))),IF(F57="",0,IF(AND(F57&gt;=DATE(2026+7,5,1),F57&lt;=DATE(2027+7,4,30)),(IF(I57="Vacate",TINew*D57,IF(I57="Market",Retention*TIRenewal*D57+(1-Retention)*TINew*D57,IF(I57="LeaseUp",TINew*D57,IF(I57="Option",TIRenewal*D57,0)))))+(IF(I57="Vacate",LCNew*H57*D57*(1+GrowthMarketRent)^7,IF(I57="Market",Retention*LCRenewal*H57*D57*(1+GrowthMarketRent)^7+(1-Retention)*LCNew*H57*D57*(1+GrowthMarketRent)^7,IF(I57="LeaseUp",LCNew*H57*D57*(1+GrowthMarketRent)^7,IF(I57="Option",LCRenewal*H57*D57*(1+GrowthMarketRent)^7,0))))),0))),0)</f>
        <v/>
      </c>
      <c r="AG57" s="14">
        <f>IFERROR(IF(AND(I57="LeaseUp",8=0),(IF(I57="Vacate",TINew*D57,IF(I57="Market",Retention*TIRenewal*D57+(1-Retention)*TINew*D57,IF(I57="LeaseUp",TINew*D57,IF(I57="Option",TIRenewal*D57,0)))))+(IF(I57="Vacate",LCNew*H57*D57*(1+GrowthMarketRent)^8,IF(I57="Market",Retention*LCRenewal*H57*D57*(1+GrowthMarketRent)^8+(1-Retention)*LCNew*H57*D57*(1+GrowthMarketRent)^8,IF(I57="LeaseUp",LCNew*H57*D57*(1+GrowthMarketRent)^8,IF(I57="Option",LCRenewal*H57*D57*(1+GrowthMarketRent)^8,0))))),IF(F57="",0,IF(AND(F57&gt;=DATE(2026+8,5,1),F57&lt;=DATE(2027+8,4,30)),(IF(I57="Vacate",TINew*D57,IF(I57="Market",Retention*TIRenewal*D57+(1-Retention)*TINew*D57,IF(I57="LeaseUp",TINew*D57,IF(I57="Option",TIRenewal*D57,0)))))+(IF(I57="Vacate",LCNew*H57*D57*(1+GrowthMarketRent)^8,IF(I57="Market",Retention*LCRenewal*H57*D57*(1+GrowthMarketRent)^8+(1-Retention)*LCNew*H57*D57*(1+GrowthMarketRent)^8,IF(I57="LeaseUp",LCNew*H57*D57*(1+GrowthMarketRent)^8,IF(I57="Option",LCRenewal*H57*D57*(1+GrowthMarketRent)^8,0))))),0))),0)</f>
        <v/>
      </c>
      <c r="AH57" s="14">
        <f>IFERROR(IF(AND(I57="LeaseUp",9=0),(IF(I57="Vacate",TINew*D57,IF(I57="Market",Retention*TIRenewal*D57+(1-Retention)*TINew*D57,IF(I57="LeaseUp",TINew*D57,IF(I57="Option",TIRenewal*D57,0)))))+(IF(I57="Vacate",LCNew*H57*D57*(1+GrowthMarketRent)^9,IF(I57="Market",Retention*LCRenewal*H57*D57*(1+GrowthMarketRent)^9+(1-Retention)*LCNew*H57*D57*(1+GrowthMarketRent)^9,IF(I57="LeaseUp",LCNew*H57*D57*(1+GrowthMarketRent)^9,IF(I57="Option",LCRenewal*H57*D57*(1+GrowthMarketRent)^9,0))))),IF(F57="",0,IF(AND(F57&gt;=DATE(2026+9,5,1),F57&lt;=DATE(2027+9,4,30)),(IF(I57="Vacate",TINew*D57,IF(I57="Market",Retention*TIRenewal*D57+(1-Retention)*TINew*D57,IF(I57="LeaseUp",TINew*D57,IF(I57="Option",TIRenewal*D57,0)))))+(IF(I57="Vacate",LCNew*H57*D57*(1+GrowthMarketRent)^9,IF(I57="Market",Retention*LCRenewal*H57*D57*(1+GrowthMarketRent)^9+(1-Retention)*LCNew*H57*D57*(1+GrowthMarketRent)^9,IF(I57="LeaseUp",LCNew*H57*D57*(1+GrowthMarketRent)^9,IF(I57="Option",LCRenewal*H57*D57*(1+GrowthMarketRent)^9,0))))),0))),0)</f>
        <v/>
      </c>
      <c r="AI57" s="14">
        <f>IFERROR(IF(AND(I57="LeaseUp",10=0),(IF(I57="Vacate",TINew*D57,IF(I57="Market",Retention*TIRenewal*D57+(1-Retention)*TINew*D57,IF(I57="LeaseUp",TINew*D57,IF(I57="Option",TIRenewal*D57,0)))))+(IF(I57="Vacate",LCNew*H57*D57*(1+GrowthMarketRent)^10,IF(I57="Market",Retention*LCRenewal*H57*D57*(1+GrowthMarketRent)^10+(1-Retention)*LCNew*H57*D57*(1+GrowthMarketRent)^10,IF(I57="LeaseUp",LCNew*H57*D57*(1+GrowthMarketRent)^10,IF(I57="Option",LCRenewal*H57*D57*(1+GrowthMarketRent)^10,0))))),IF(F57="",0,IF(AND(F57&gt;=DATE(2026+10,5,1),F57&lt;=DATE(2027+10,4,30)),(IF(I57="Vacate",TINew*D57,IF(I57="Market",Retention*TIRenewal*D57+(1-Retention)*TINew*D57,IF(I57="LeaseUp",TINew*D57,IF(I57="Option",TIRenewal*D57,0)))))+(IF(I57="Vacate",LCNew*H57*D57*(1+GrowthMarketRent)^10,IF(I57="Market",Retention*LCRenewal*H57*D57*(1+GrowthMarketRent)^10+(1-Retention)*LCNew*H57*D57*(1+GrowthMarketRent)^10,IF(I57="LeaseUp",LCNew*H57*D57*(1+GrowthMarketRent)^10,IF(I57="Option",LCRenewal*H57*D57*(1+GrowthMarketRent)^10,0))))),0))),0)</f>
        <v/>
      </c>
    </row>
    <row r="58">
      <c r="A58" t="inlineStr">
        <is>
          <t>Frisco</t>
        </is>
      </c>
      <c r="B58" t="inlineStr">
        <is>
          <t>207</t>
        </is>
      </c>
      <c r="C58" t="inlineStr">
        <is>
          <t>Centec LLC</t>
        </is>
      </c>
      <c r="D58" s="32" t="n">
        <v>2600</v>
      </c>
      <c r="E58" s="33" t="n">
        <v>45748</v>
      </c>
      <c r="F58" s="33" t="n">
        <v>47543</v>
      </c>
      <c r="G58" s="34" t="n">
        <v>16.9126923076923</v>
      </c>
      <c r="H58" s="16">
        <f>VLOOKUP(A58,MLA!$A$5:$L$11,3,FALSE)</f>
        <v/>
      </c>
      <c r="I58" s="11" t="inlineStr">
        <is>
          <t>Market</t>
        </is>
      </c>
      <c r="J58" t="inlineStr">
        <is>
          <t>Shop</t>
        </is>
      </c>
      <c r="K58" t="inlineStr">
        <is>
          <t>Occupied</t>
        </is>
      </c>
      <c r="L58" t="inlineStr">
        <is>
          <t>Guarantor: Hisham Amir Habra</t>
        </is>
      </c>
      <c r="M58" s="20">
        <f>IF(E58="",0,(AnalysisStart-E58)/365.25)</f>
        <v/>
      </c>
      <c r="N58" s="14">
        <f>IFERROR(IF(I58="LeaseUp",H58*D58*(1+GrowthMarketRent)^0*IF(0=0,(12-DowntimeNew)/12,1),IF(F58="",0,IF(F58&gt;=DATE(2027+0,4,30),G58*D58*(1+EscalatorInLease)^(0+M58),IF(F58&lt;DATE(2026+0,5,1),IF(I58="Vacate",H58*D58*(1+GrowthMarketRent)^0*IF(INT((DATE(2026+0,10,31)-F58)/365.25)=0,(12-DowntimeNew)/12,1),IF(I58="Option",G58*D58*1.025*(1+EscalatorInLease)^0,IF(I58="Market",Retention*G58*D58*(1+EscalatorInLease)^(0+M58)+(1-Retention)*H58*D58*(1+GrowthMarketRent)^0*IF(INT((DATE(2026+0,10,31)-F58)/365.25)=0,(12-DowntimeNew)/12,1),IF(I58="LeaseUp",H58*D58*(1+GrowthMarketRent)^0*IF(0=0,(12-DowntimeNew)/12,1),0)))),((F58-DATE(2026+0,5,1))/365.25)*G58*D58*(1+EscalatorInLease)^(0+M58)+((DATE(2027+0,4,30)-F58)/365.25)*IF(I58="Vacate",H58*D58*(1+GrowthMarketRent)^0*IF(INT((DATE(2026+0,10,31)-F58)/365.25)=0,(12-DowntimeNew)/12,1),IF(I58="Option",G58*D58*1.025*(1+EscalatorInLease)^0,IF(I58="Market",Retention*G58*D58*(1+EscalatorInLease)^(0+M58)+(1-Retention)*H58*D58*(1+GrowthMarketRent)^0*IF(INT((DATE(2026+0,10,31)-F58)/365.25)=0,(12-DowntimeNew)/12,1),IF(I58="LeaseUp",H58*D58*(1+GrowthMarketRent)^0*IF(0=0,(12-DowntimeNew)/12,1),0)))))))),0)</f>
        <v/>
      </c>
      <c r="O58" s="14">
        <f>IFERROR(IF(I58="LeaseUp",H58*D58*(1+GrowthMarketRent)^1*IF(1=0,(12-DowntimeNew)/12,1),IF(F58="",0,IF(F58&gt;=DATE(2027+1,4,30),G58*D58*(1+EscalatorInLease)^(1+M58),IF(F58&lt;DATE(2026+1,5,1),IF(I58="Vacate",H58*D58*(1+GrowthMarketRent)^1*IF(INT((DATE(2026+1,10,31)-F58)/365.25)=0,(12-DowntimeNew)/12,1),IF(I58="Option",G58*D58*1.025*(1+EscalatorInLease)^1,IF(I58="Market",Retention*G58*D58*(1+EscalatorInLease)^(1+M58)+(1-Retention)*H58*D58*(1+GrowthMarketRent)^1*IF(INT((DATE(2026+1,10,31)-F58)/365.25)=0,(12-DowntimeNew)/12,1),IF(I58="LeaseUp",H58*D58*(1+GrowthMarketRent)^1*IF(1=0,(12-DowntimeNew)/12,1),0)))),((F58-DATE(2026+1,5,1))/365.25)*G58*D58*(1+EscalatorInLease)^(1+M58)+((DATE(2027+1,4,30)-F58)/365.25)*IF(I58="Vacate",H58*D58*(1+GrowthMarketRent)^1*IF(INT((DATE(2026+1,10,31)-F58)/365.25)=0,(12-DowntimeNew)/12,1),IF(I58="Option",G58*D58*1.025*(1+EscalatorInLease)^1,IF(I58="Market",Retention*G58*D58*(1+EscalatorInLease)^(1+M58)+(1-Retention)*H58*D58*(1+GrowthMarketRent)^1*IF(INT((DATE(2026+1,10,31)-F58)/365.25)=0,(12-DowntimeNew)/12,1),IF(I58="LeaseUp",H58*D58*(1+GrowthMarketRent)^1*IF(1=0,(12-DowntimeNew)/12,1),0)))))))),0)</f>
        <v/>
      </c>
      <c r="P58" s="14">
        <f>IFERROR(IF(I58="LeaseUp",H58*D58*(1+GrowthMarketRent)^2*IF(2=0,(12-DowntimeNew)/12,1),IF(F58="",0,IF(F58&gt;=DATE(2027+2,4,30),G58*D58*(1+EscalatorInLease)^(2+M58),IF(F58&lt;DATE(2026+2,5,1),IF(I58="Vacate",H58*D58*(1+GrowthMarketRent)^2*IF(INT((DATE(2026+2,10,31)-F58)/365.25)=0,(12-DowntimeNew)/12,1),IF(I58="Option",G58*D58*1.025*(1+EscalatorInLease)^2,IF(I58="Market",Retention*G58*D58*(1+EscalatorInLease)^(2+M58)+(1-Retention)*H58*D58*(1+GrowthMarketRent)^2*IF(INT((DATE(2026+2,10,31)-F58)/365.25)=0,(12-DowntimeNew)/12,1),IF(I58="LeaseUp",H58*D58*(1+GrowthMarketRent)^2*IF(2=0,(12-DowntimeNew)/12,1),0)))),((F58-DATE(2026+2,5,1))/365.25)*G58*D58*(1+EscalatorInLease)^(2+M58)+((DATE(2027+2,4,30)-F58)/365.25)*IF(I58="Vacate",H58*D58*(1+GrowthMarketRent)^2*IF(INT((DATE(2026+2,10,31)-F58)/365.25)=0,(12-DowntimeNew)/12,1),IF(I58="Option",G58*D58*1.025*(1+EscalatorInLease)^2,IF(I58="Market",Retention*G58*D58*(1+EscalatorInLease)^(2+M58)+(1-Retention)*H58*D58*(1+GrowthMarketRent)^2*IF(INT((DATE(2026+2,10,31)-F58)/365.25)=0,(12-DowntimeNew)/12,1),IF(I58="LeaseUp",H58*D58*(1+GrowthMarketRent)^2*IF(2=0,(12-DowntimeNew)/12,1),0)))))))),0)</f>
        <v/>
      </c>
      <c r="Q58" s="14">
        <f>IFERROR(IF(I58="LeaseUp",H58*D58*(1+GrowthMarketRent)^3*IF(3=0,(12-DowntimeNew)/12,1),IF(F58="",0,IF(F58&gt;=DATE(2027+3,4,30),G58*D58*(1+EscalatorInLease)^(3+M58),IF(F58&lt;DATE(2026+3,5,1),IF(I58="Vacate",H58*D58*(1+GrowthMarketRent)^3*IF(INT((DATE(2026+3,10,31)-F58)/365.25)=0,(12-DowntimeNew)/12,1),IF(I58="Option",G58*D58*1.025*(1+EscalatorInLease)^3,IF(I58="Market",Retention*G58*D58*(1+EscalatorInLease)^(3+M58)+(1-Retention)*H58*D58*(1+GrowthMarketRent)^3*IF(INT((DATE(2026+3,10,31)-F58)/365.25)=0,(12-DowntimeNew)/12,1),IF(I58="LeaseUp",H58*D58*(1+GrowthMarketRent)^3*IF(3=0,(12-DowntimeNew)/12,1),0)))),((F58-DATE(2026+3,5,1))/365.25)*G58*D58*(1+EscalatorInLease)^(3+M58)+((DATE(2027+3,4,30)-F58)/365.25)*IF(I58="Vacate",H58*D58*(1+GrowthMarketRent)^3*IF(INT((DATE(2026+3,10,31)-F58)/365.25)=0,(12-DowntimeNew)/12,1),IF(I58="Option",G58*D58*1.025*(1+EscalatorInLease)^3,IF(I58="Market",Retention*G58*D58*(1+EscalatorInLease)^(3+M58)+(1-Retention)*H58*D58*(1+GrowthMarketRent)^3*IF(INT((DATE(2026+3,10,31)-F58)/365.25)=0,(12-DowntimeNew)/12,1),IF(I58="LeaseUp",H58*D58*(1+GrowthMarketRent)^3*IF(3=0,(12-DowntimeNew)/12,1),0)))))))),0)</f>
        <v/>
      </c>
      <c r="R58" s="14">
        <f>IFERROR(IF(I58="LeaseUp",H58*D58*(1+GrowthMarketRent)^4*IF(4=0,(12-DowntimeNew)/12,1),IF(F58="",0,IF(F58&gt;=DATE(2027+4,4,30),G58*D58*(1+EscalatorInLease)^(4+M58),IF(F58&lt;DATE(2026+4,5,1),IF(I58="Vacate",H58*D58*(1+GrowthMarketRent)^4*IF(INT((DATE(2026+4,10,31)-F58)/365.25)=0,(12-DowntimeNew)/12,1),IF(I58="Option",G58*D58*1.025*(1+EscalatorInLease)^4,IF(I58="Market",Retention*G58*D58*(1+EscalatorInLease)^(4+M58)+(1-Retention)*H58*D58*(1+GrowthMarketRent)^4*IF(INT((DATE(2026+4,10,31)-F58)/365.25)=0,(12-DowntimeNew)/12,1),IF(I58="LeaseUp",H58*D58*(1+GrowthMarketRent)^4*IF(4=0,(12-DowntimeNew)/12,1),0)))),((F58-DATE(2026+4,5,1))/365.25)*G58*D58*(1+EscalatorInLease)^(4+M58)+((DATE(2027+4,4,30)-F58)/365.25)*IF(I58="Vacate",H58*D58*(1+GrowthMarketRent)^4*IF(INT((DATE(2026+4,10,31)-F58)/365.25)=0,(12-DowntimeNew)/12,1),IF(I58="Option",G58*D58*1.025*(1+EscalatorInLease)^4,IF(I58="Market",Retention*G58*D58*(1+EscalatorInLease)^(4+M58)+(1-Retention)*H58*D58*(1+GrowthMarketRent)^4*IF(INT((DATE(2026+4,10,31)-F58)/365.25)=0,(12-DowntimeNew)/12,1),IF(I58="LeaseUp",H58*D58*(1+GrowthMarketRent)^4*IF(4=0,(12-DowntimeNew)/12,1),0)))))))),0)</f>
        <v/>
      </c>
      <c r="S58" s="14">
        <f>IFERROR(IF(I58="LeaseUp",H58*D58*(1+GrowthMarketRent)^5*IF(5=0,(12-DowntimeNew)/12,1),IF(F58="",0,IF(F58&gt;=DATE(2027+5,4,30),G58*D58*(1+EscalatorInLease)^(5+M58),IF(F58&lt;DATE(2026+5,5,1),IF(I58="Vacate",H58*D58*(1+GrowthMarketRent)^5*IF(INT((DATE(2026+5,10,31)-F58)/365.25)=0,(12-DowntimeNew)/12,1),IF(I58="Option",G58*D58*1.025*(1+EscalatorInLease)^5,IF(I58="Market",Retention*G58*D58*(1+EscalatorInLease)^(5+M58)+(1-Retention)*H58*D58*(1+GrowthMarketRent)^5*IF(INT((DATE(2026+5,10,31)-F58)/365.25)=0,(12-DowntimeNew)/12,1),IF(I58="LeaseUp",H58*D58*(1+GrowthMarketRent)^5*IF(5=0,(12-DowntimeNew)/12,1),0)))),((F58-DATE(2026+5,5,1))/365.25)*G58*D58*(1+EscalatorInLease)^(5+M58)+((DATE(2027+5,4,30)-F58)/365.25)*IF(I58="Vacate",H58*D58*(1+GrowthMarketRent)^5*IF(INT((DATE(2026+5,10,31)-F58)/365.25)=0,(12-DowntimeNew)/12,1),IF(I58="Option",G58*D58*1.025*(1+EscalatorInLease)^5,IF(I58="Market",Retention*G58*D58*(1+EscalatorInLease)^(5+M58)+(1-Retention)*H58*D58*(1+GrowthMarketRent)^5*IF(INT((DATE(2026+5,10,31)-F58)/365.25)=0,(12-DowntimeNew)/12,1),IF(I58="LeaseUp",H58*D58*(1+GrowthMarketRent)^5*IF(5=0,(12-DowntimeNew)/12,1),0)))))))),0)</f>
        <v/>
      </c>
      <c r="T58" s="14">
        <f>IFERROR(IF(I58="LeaseUp",H58*D58*(1+GrowthMarketRent)^6*IF(6=0,(12-DowntimeNew)/12,1),IF(F58="",0,IF(F58&gt;=DATE(2027+6,4,30),G58*D58*(1+EscalatorInLease)^(6+M58),IF(F58&lt;DATE(2026+6,5,1),IF(I58="Vacate",H58*D58*(1+GrowthMarketRent)^6*IF(INT((DATE(2026+6,10,31)-F58)/365.25)=0,(12-DowntimeNew)/12,1),IF(I58="Option",G58*D58*1.025*(1+EscalatorInLease)^6,IF(I58="Market",Retention*G58*D58*(1+EscalatorInLease)^(6+M58)+(1-Retention)*H58*D58*(1+GrowthMarketRent)^6*IF(INT((DATE(2026+6,10,31)-F58)/365.25)=0,(12-DowntimeNew)/12,1),IF(I58="LeaseUp",H58*D58*(1+GrowthMarketRent)^6*IF(6=0,(12-DowntimeNew)/12,1),0)))),((F58-DATE(2026+6,5,1))/365.25)*G58*D58*(1+EscalatorInLease)^(6+M58)+((DATE(2027+6,4,30)-F58)/365.25)*IF(I58="Vacate",H58*D58*(1+GrowthMarketRent)^6*IF(INT((DATE(2026+6,10,31)-F58)/365.25)=0,(12-DowntimeNew)/12,1),IF(I58="Option",G58*D58*1.025*(1+EscalatorInLease)^6,IF(I58="Market",Retention*G58*D58*(1+EscalatorInLease)^(6+M58)+(1-Retention)*H58*D58*(1+GrowthMarketRent)^6*IF(INT((DATE(2026+6,10,31)-F58)/365.25)=0,(12-DowntimeNew)/12,1),IF(I58="LeaseUp",H58*D58*(1+GrowthMarketRent)^6*IF(6=0,(12-DowntimeNew)/12,1),0)))))))),0)</f>
        <v/>
      </c>
      <c r="U58" s="14">
        <f>IFERROR(IF(I58="LeaseUp",H58*D58*(1+GrowthMarketRent)^7*IF(7=0,(12-DowntimeNew)/12,1),IF(F58="",0,IF(F58&gt;=DATE(2027+7,4,30),G58*D58*(1+EscalatorInLease)^(7+M58),IF(F58&lt;DATE(2026+7,5,1),IF(I58="Vacate",H58*D58*(1+GrowthMarketRent)^7*IF(INT((DATE(2026+7,10,31)-F58)/365.25)=0,(12-DowntimeNew)/12,1),IF(I58="Option",G58*D58*1.025*(1+EscalatorInLease)^7,IF(I58="Market",Retention*G58*D58*(1+EscalatorInLease)^(7+M58)+(1-Retention)*H58*D58*(1+GrowthMarketRent)^7*IF(INT((DATE(2026+7,10,31)-F58)/365.25)=0,(12-DowntimeNew)/12,1),IF(I58="LeaseUp",H58*D58*(1+GrowthMarketRent)^7*IF(7=0,(12-DowntimeNew)/12,1),0)))),((F58-DATE(2026+7,5,1))/365.25)*G58*D58*(1+EscalatorInLease)^(7+M58)+((DATE(2027+7,4,30)-F58)/365.25)*IF(I58="Vacate",H58*D58*(1+GrowthMarketRent)^7*IF(INT((DATE(2026+7,10,31)-F58)/365.25)=0,(12-DowntimeNew)/12,1),IF(I58="Option",G58*D58*1.025*(1+EscalatorInLease)^7,IF(I58="Market",Retention*G58*D58*(1+EscalatorInLease)^(7+M58)+(1-Retention)*H58*D58*(1+GrowthMarketRent)^7*IF(INT((DATE(2026+7,10,31)-F58)/365.25)=0,(12-DowntimeNew)/12,1),IF(I58="LeaseUp",H58*D58*(1+GrowthMarketRent)^7*IF(7=0,(12-DowntimeNew)/12,1),0)))))))),0)</f>
        <v/>
      </c>
      <c r="V58" s="14">
        <f>IFERROR(IF(I58="LeaseUp",H58*D58*(1+GrowthMarketRent)^8*IF(8=0,(12-DowntimeNew)/12,1),IF(F58="",0,IF(F58&gt;=DATE(2027+8,4,30),G58*D58*(1+EscalatorInLease)^(8+M58),IF(F58&lt;DATE(2026+8,5,1),IF(I58="Vacate",H58*D58*(1+GrowthMarketRent)^8*IF(INT((DATE(2026+8,10,31)-F58)/365.25)=0,(12-DowntimeNew)/12,1),IF(I58="Option",G58*D58*1.025*(1+EscalatorInLease)^8,IF(I58="Market",Retention*G58*D58*(1+EscalatorInLease)^(8+M58)+(1-Retention)*H58*D58*(1+GrowthMarketRent)^8*IF(INT((DATE(2026+8,10,31)-F58)/365.25)=0,(12-DowntimeNew)/12,1),IF(I58="LeaseUp",H58*D58*(1+GrowthMarketRent)^8*IF(8=0,(12-DowntimeNew)/12,1),0)))),((F58-DATE(2026+8,5,1))/365.25)*G58*D58*(1+EscalatorInLease)^(8+M58)+((DATE(2027+8,4,30)-F58)/365.25)*IF(I58="Vacate",H58*D58*(1+GrowthMarketRent)^8*IF(INT((DATE(2026+8,10,31)-F58)/365.25)=0,(12-DowntimeNew)/12,1),IF(I58="Option",G58*D58*1.025*(1+EscalatorInLease)^8,IF(I58="Market",Retention*G58*D58*(1+EscalatorInLease)^(8+M58)+(1-Retention)*H58*D58*(1+GrowthMarketRent)^8*IF(INT((DATE(2026+8,10,31)-F58)/365.25)=0,(12-DowntimeNew)/12,1),IF(I58="LeaseUp",H58*D58*(1+GrowthMarketRent)^8*IF(8=0,(12-DowntimeNew)/12,1),0)))))))),0)</f>
        <v/>
      </c>
      <c r="W58" s="14">
        <f>IFERROR(IF(I58="LeaseUp",H58*D58*(1+GrowthMarketRent)^9*IF(9=0,(12-DowntimeNew)/12,1),IF(F58="",0,IF(F58&gt;=DATE(2027+9,4,30),G58*D58*(1+EscalatorInLease)^(9+M58),IF(F58&lt;DATE(2026+9,5,1),IF(I58="Vacate",H58*D58*(1+GrowthMarketRent)^9*IF(INT((DATE(2026+9,10,31)-F58)/365.25)=0,(12-DowntimeNew)/12,1),IF(I58="Option",G58*D58*1.025*(1+EscalatorInLease)^9,IF(I58="Market",Retention*G58*D58*(1+EscalatorInLease)^(9+M58)+(1-Retention)*H58*D58*(1+GrowthMarketRent)^9*IF(INT((DATE(2026+9,10,31)-F58)/365.25)=0,(12-DowntimeNew)/12,1),IF(I58="LeaseUp",H58*D58*(1+GrowthMarketRent)^9*IF(9=0,(12-DowntimeNew)/12,1),0)))),((F58-DATE(2026+9,5,1))/365.25)*G58*D58*(1+EscalatorInLease)^(9+M58)+((DATE(2027+9,4,30)-F58)/365.25)*IF(I58="Vacate",H58*D58*(1+GrowthMarketRent)^9*IF(INT((DATE(2026+9,10,31)-F58)/365.25)=0,(12-DowntimeNew)/12,1),IF(I58="Option",G58*D58*1.025*(1+EscalatorInLease)^9,IF(I58="Market",Retention*G58*D58*(1+EscalatorInLease)^(9+M58)+(1-Retention)*H58*D58*(1+GrowthMarketRent)^9*IF(INT((DATE(2026+9,10,31)-F58)/365.25)=0,(12-DowntimeNew)/12,1),IF(I58="LeaseUp",H58*D58*(1+GrowthMarketRent)^9*IF(9=0,(12-DowntimeNew)/12,1),0)))))))),0)</f>
        <v/>
      </c>
      <c r="X58" s="14">
        <f>IFERROR(IF(I58="LeaseUp",H58*D58*(1+GrowthMarketRent)^10*IF(10=0,(12-DowntimeNew)/12,1),IF(F58="",0,IF(F58&gt;=DATE(2027+10,4,30),G58*D58*(1+EscalatorInLease)^(10+M58),IF(F58&lt;DATE(2026+10,5,1),IF(I58="Vacate",H58*D58*(1+GrowthMarketRent)^10*IF(INT((DATE(2026+10,10,31)-F58)/365.25)=0,(12-DowntimeNew)/12,1),IF(I58="Option",G58*D58*1.025*(1+EscalatorInLease)^10,IF(I58="Market",Retention*G58*D58*(1+EscalatorInLease)^(10+M58)+(1-Retention)*H58*D58*(1+GrowthMarketRent)^10*IF(INT((DATE(2026+10,10,31)-F58)/365.25)=0,(12-DowntimeNew)/12,1),IF(I58="LeaseUp",H58*D58*(1+GrowthMarketRent)^10*IF(10=0,(12-DowntimeNew)/12,1),0)))),((F58-DATE(2026+10,5,1))/365.25)*G58*D58*(1+EscalatorInLease)^(10+M58)+((DATE(2027+10,4,30)-F58)/365.25)*IF(I58="Vacate",H58*D58*(1+GrowthMarketRent)^10*IF(INT((DATE(2026+10,10,31)-F58)/365.25)=0,(12-DowntimeNew)/12,1),IF(I58="Option",G58*D58*1.025*(1+EscalatorInLease)^10,IF(I58="Market",Retention*G58*D58*(1+EscalatorInLease)^(10+M58)+(1-Retention)*H58*D58*(1+GrowthMarketRent)^10*IF(INT((DATE(2026+10,10,31)-F58)/365.25)=0,(12-DowntimeNew)/12,1),IF(I58="LeaseUp",H58*D58*(1+GrowthMarketRent)^10*IF(10=0,(12-DowntimeNew)/12,1),0)))))))),0)</f>
        <v/>
      </c>
      <c r="Y58" s="14">
        <f>IFERROR(IF(AND(I58="LeaseUp",0=0),(IF(I58="Vacate",TINew*D58,IF(I58="Market",Retention*TIRenewal*D58+(1-Retention)*TINew*D58,IF(I58="LeaseUp",TINew*D58,IF(I58="Option",TIRenewal*D58,0)))))+(IF(I58="Vacate",LCNew*H58*D58*(1+GrowthMarketRent)^0,IF(I58="Market",Retention*LCRenewal*H58*D58*(1+GrowthMarketRent)^0+(1-Retention)*LCNew*H58*D58*(1+GrowthMarketRent)^0,IF(I58="LeaseUp",LCNew*H58*D58*(1+GrowthMarketRent)^0,IF(I58="Option",LCRenewal*H58*D58*(1+GrowthMarketRent)^0,0))))),IF(F58="",0,IF(AND(F58&gt;=DATE(2026+0,5,1),F58&lt;=DATE(2027+0,4,30)),(IF(I58="Vacate",TINew*D58,IF(I58="Market",Retention*TIRenewal*D58+(1-Retention)*TINew*D58,IF(I58="LeaseUp",TINew*D58,IF(I58="Option",TIRenewal*D58,0)))))+(IF(I58="Vacate",LCNew*H58*D58*(1+GrowthMarketRent)^0,IF(I58="Market",Retention*LCRenewal*H58*D58*(1+GrowthMarketRent)^0+(1-Retention)*LCNew*H58*D58*(1+GrowthMarketRent)^0,IF(I58="LeaseUp",LCNew*H58*D58*(1+GrowthMarketRent)^0,IF(I58="Option",LCRenewal*H58*D58*(1+GrowthMarketRent)^0,0))))),0))),0)</f>
        <v/>
      </c>
      <c r="Z58" s="14">
        <f>IFERROR(IF(AND(I58="LeaseUp",1=0),(IF(I58="Vacate",TINew*D58,IF(I58="Market",Retention*TIRenewal*D58+(1-Retention)*TINew*D58,IF(I58="LeaseUp",TINew*D58,IF(I58="Option",TIRenewal*D58,0)))))+(IF(I58="Vacate",LCNew*H58*D58*(1+GrowthMarketRent)^1,IF(I58="Market",Retention*LCRenewal*H58*D58*(1+GrowthMarketRent)^1+(1-Retention)*LCNew*H58*D58*(1+GrowthMarketRent)^1,IF(I58="LeaseUp",LCNew*H58*D58*(1+GrowthMarketRent)^1,IF(I58="Option",LCRenewal*H58*D58*(1+GrowthMarketRent)^1,0))))),IF(F58="",0,IF(AND(F58&gt;=DATE(2026+1,5,1),F58&lt;=DATE(2027+1,4,30)),(IF(I58="Vacate",TINew*D58,IF(I58="Market",Retention*TIRenewal*D58+(1-Retention)*TINew*D58,IF(I58="LeaseUp",TINew*D58,IF(I58="Option",TIRenewal*D58,0)))))+(IF(I58="Vacate",LCNew*H58*D58*(1+GrowthMarketRent)^1,IF(I58="Market",Retention*LCRenewal*H58*D58*(1+GrowthMarketRent)^1+(1-Retention)*LCNew*H58*D58*(1+GrowthMarketRent)^1,IF(I58="LeaseUp",LCNew*H58*D58*(1+GrowthMarketRent)^1,IF(I58="Option",LCRenewal*H58*D58*(1+GrowthMarketRent)^1,0))))),0))),0)</f>
        <v/>
      </c>
      <c r="AA58" s="14">
        <f>IFERROR(IF(AND(I58="LeaseUp",2=0),(IF(I58="Vacate",TINew*D58,IF(I58="Market",Retention*TIRenewal*D58+(1-Retention)*TINew*D58,IF(I58="LeaseUp",TINew*D58,IF(I58="Option",TIRenewal*D58,0)))))+(IF(I58="Vacate",LCNew*H58*D58*(1+GrowthMarketRent)^2,IF(I58="Market",Retention*LCRenewal*H58*D58*(1+GrowthMarketRent)^2+(1-Retention)*LCNew*H58*D58*(1+GrowthMarketRent)^2,IF(I58="LeaseUp",LCNew*H58*D58*(1+GrowthMarketRent)^2,IF(I58="Option",LCRenewal*H58*D58*(1+GrowthMarketRent)^2,0))))),IF(F58="",0,IF(AND(F58&gt;=DATE(2026+2,5,1),F58&lt;=DATE(2027+2,4,30)),(IF(I58="Vacate",TINew*D58,IF(I58="Market",Retention*TIRenewal*D58+(1-Retention)*TINew*D58,IF(I58="LeaseUp",TINew*D58,IF(I58="Option",TIRenewal*D58,0)))))+(IF(I58="Vacate",LCNew*H58*D58*(1+GrowthMarketRent)^2,IF(I58="Market",Retention*LCRenewal*H58*D58*(1+GrowthMarketRent)^2+(1-Retention)*LCNew*H58*D58*(1+GrowthMarketRent)^2,IF(I58="LeaseUp",LCNew*H58*D58*(1+GrowthMarketRent)^2,IF(I58="Option",LCRenewal*H58*D58*(1+GrowthMarketRent)^2,0))))),0))),0)</f>
        <v/>
      </c>
      <c r="AB58" s="14">
        <f>IFERROR(IF(AND(I58="LeaseUp",3=0),(IF(I58="Vacate",TINew*D58,IF(I58="Market",Retention*TIRenewal*D58+(1-Retention)*TINew*D58,IF(I58="LeaseUp",TINew*D58,IF(I58="Option",TIRenewal*D58,0)))))+(IF(I58="Vacate",LCNew*H58*D58*(1+GrowthMarketRent)^3,IF(I58="Market",Retention*LCRenewal*H58*D58*(1+GrowthMarketRent)^3+(1-Retention)*LCNew*H58*D58*(1+GrowthMarketRent)^3,IF(I58="LeaseUp",LCNew*H58*D58*(1+GrowthMarketRent)^3,IF(I58="Option",LCRenewal*H58*D58*(1+GrowthMarketRent)^3,0))))),IF(F58="",0,IF(AND(F58&gt;=DATE(2026+3,5,1),F58&lt;=DATE(2027+3,4,30)),(IF(I58="Vacate",TINew*D58,IF(I58="Market",Retention*TIRenewal*D58+(1-Retention)*TINew*D58,IF(I58="LeaseUp",TINew*D58,IF(I58="Option",TIRenewal*D58,0)))))+(IF(I58="Vacate",LCNew*H58*D58*(1+GrowthMarketRent)^3,IF(I58="Market",Retention*LCRenewal*H58*D58*(1+GrowthMarketRent)^3+(1-Retention)*LCNew*H58*D58*(1+GrowthMarketRent)^3,IF(I58="LeaseUp",LCNew*H58*D58*(1+GrowthMarketRent)^3,IF(I58="Option",LCRenewal*H58*D58*(1+GrowthMarketRent)^3,0))))),0))),0)</f>
        <v/>
      </c>
      <c r="AC58" s="14">
        <f>IFERROR(IF(AND(I58="LeaseUp",4=0),(IF(I58="Vacate",TINew*D58,IF(I58="Market",Retention*TIRenewal*D58+(1-Retention)*TINew*D58,IF(I58="LeaseUp",TINew*D58,IF(I58="Option",TIRenewal*D58,0)))))+(IF(I58="Vacate",LCNew*H58*D58*(1+GrowthMarketRent)^4,IF(I58="Market",Retention*LCRenewal*H58*D58*(1+GrowthMarketRent)^4+(1-Retention)*LCNew*H58*D58*(1+GrowthMarketRent)^4,IF(I58="LeaseUp",LCNew*H58*D58*(1+GrowthMarketRent)^4,IF(I58="Option",LCRenewal*H58*D58*(1+GrowthMarketRent)^4,0))))),IF(F58="",0,IF(AND(F58&gt;=DATE(2026+4,5,1),F58&lt;=DATE(2027+4,4,30)),(IF(I58="Vacate",TINew*D58,IF(I58="Market",Retention*TIRenewal*D58+(1-Retention)*TINew*D58,IF(I58="LeaseUp",TINew*D58,IF(I58="Option",TIRenewal*D58,0)))))+(IF(I58="Vacate",LCNew*H58*D58*(1+GrowthMarketRent)^4,IF(I58="Market",Retention*LCRenewal*H58*D58*(1+GrowthMarketRent)^4+(1-Retention)*LCNew*H58*D58*(1+GrowthMarketRent)^4,IF(I58="LeaseUp",LCNew*H58*D58*(1+GrowthMarketRent)^4,IF(I58="Option",LCRenewal*H58*D58*(1+GrowthMarketRent)^4,0))))),0))),0)</f>
        <v/>
      </c>
      <c r="AD58" s="14">
        <f>IFERROR(IF(AND(I58="LeaseUp",5=0),(IF(I58="Vacate",TINew*D58,IF(I58="Market",Retention*TIRenewal*D58+(1-Retention)*TINew*D58,IF(I58="LeaseUp",TINew*D58,IF(I58="Option",TIRenewal*D58,0)))))+(IF(I58="Vacate",LCNew*H58*D58*(1+GrowthMarketRent)^5,IF(I58="Market",Retention*LCRenewal*H58*D58*(1+GrowthMarketRent)^5+(1-Retention)*LCNew*H58*D58*(1+GrowthMarketRent)^5,IF(I58="LeaseUp",LCNew*H58*D58*(1+GrowthMarketRent)^5,IF(I58="Option",LCRenewal*H58*D58*(1+GrowthMarketRent)^5,0))))),IF(F58="",0,IF(AND(F58&gt;=DATE(2026+5,5,1),F58&lt;=DATE(2027+5,4,30)),(IF(I58="Vacate",TINew*D58,IF(I58="Market",Retention*TIRenewal*D58+(1-Retention)*TINew*D58,IF(I58="LeaseUp",TINew*D58,IF(I58="Option",TIRenewal*D58,0)))))+(IF(I58="Vacate",LCNew*H58*D58*(1+GrowthMarketRent)^5,IF(I58="Market",Retention*LCRenewal*H58*D58*(1+GrowthMarketRent)^5+(1-Retention)*LCNew*H58*D58*(1+GrowthMarketRent)^5,IF(I58="LeaseUp",LCNew*H58*D58*(1+GrowthMarketRent)^5,IF(I58="Option",LCRenewal*H58*D58*(1+GrowthMarketRent)^5,0))))),0))),0)</f>
        <v/>
      </c>
      <c r="AE58" s="14">
        <f>IFERROR(IF(AND(I58="LeaseUp",6=0),(IF(I58="Vacate",TINew*D58,IF(I58="Market",Retention*TIRenewal*D58+(1-Retention)*TINew*D58,IF(I58="LeaseUp",TINew*D58,IF(I58="Option",TIRenewal*D58,0)))))+(IF(I58="Vacate",LCNew*H58*D58*(1+GrowthMarketRent)^6,IF(I58="Market",Retention*LCRenewal*H58*D58*(1+GrowthMarketRent)^6+(1-Retention)*LCNew*H58*D58*(1+GrowthMarketRent)^6,IF(I58="LeaseUp",LCNew*H58*D58*(1+GrowthMarketRent)^6,IF(I58="Option",LCRenewal*H58*D58*(1+GrowthMarketRent)^6,0))))),IF(F58="",0,IF(AND(F58&gt;=DATE(2026+6,5,1),F58&lt;=DATE(2027+6,4,30)),(IF(I58="Vacate",TINew*D58,IF(I58="Market",Retention*TIRenewal*D58+(1-Retention)*TINew*D58,IF(I58="LeaseUp",TINew*D58,IF(I58="Option",TIRenewal*D58,0)))))+(IF(I58="Vacate",LCNew*H58*D58*(1+GrowthMarketRent)^6,IF(I58="Market",Retention*LCRenewal*H58*D58*(1+GrowthMarketRent)^6+(1-Retention)*LCNew*H58*D58*(1+GrowthMarketRent)^6,IF(I58="LeaseUp",LCNew*H58*D58*(1+GrowthMarketRent)^6,IF(I58="Option",LCRenewal*H58*D58*(1+GrowthMarketRent)^6,0))))),0))),0)</f>
        <v/>
      </c>
      <c r="AF58" s="14">
        <f>IFERROR(IF(AND(I58="LeaseUp",7=0),(IF(I58="Vacate",TINew*D58,IF(I58="Market",Retention*TIRenewal*D58+(1-Retention)*TINew*D58,IF(I58="LeaseUp",TINew*D58,IF(I58="Option",TIRenewal*D58,0)))))+(IF(I58="Vacate",LCNew*H58*D58*(1+GrowthMarketRent)^7,IF(I58="Market",Retention*LCRenewal*H58*D58*(1+GrowthMarketRent)^7+(1-Retention)*LCNew*H58*D58*(1+GrowthMarketRent)^7,IF(I58="LeaseUp",LCNew*H58*D58*(1+GrowthMarketRent)^7,IF(I58="Option",LCRenewal*H58*D58*(1+GrowthMarketRent)^7,0))))),IF(F58="",0,IF(AND(F58&gt;=DATE(2026+7,5,1),F58&lt;=DATE(2027+7,4,30)),(IF(I58="Vacate",TINew*D58,IF(I58="Market",Retention*TIRenewal*D58+(1-Retention)*TINew*D58,IF(I58="LeaseUp",TINew*D58,IF(I58="Option",TIRenewal*D58,0)))))+(IF(I58="Vacate",LCNew*H58*D58*(1+GrowthMarketRent)^7,IF(I58="Market",Retention*LCRenewal*H58*D58*(1+GrowthMarketRent)^7+(1-Retention)*LCNew*H58*D58*(1+GrowthMarketRent)^7,IF(I58="LeaseUp",LCNew*H58*D58*(1+GrowthMarketRent)^7,IF(I58="Option",LCRenewal*H58*D58*(1+GrowthMarketRent)^7,0))))),0))),0)</f>
        <v/>
      </c>
      <c r="AG58" s="14">
        <f>IFERROR(IF(AND(I58="LeaseUp",8=0),(IF(I58="Vacate",TINew*D58,IF(I58="Market",Retention*TIRenewal*D58+(1-Retention)*TINew*D58,IF(I58="LeaseUp",TINew*D58,IF(I58="Option",TIRenewal*D58,0)))))+(IF(I58="Vacate",LCNew*H58*D58*(1+GrowthMarketRent)^8,IF(I58="Market",Retention*LCRenewal*H58*D58*(1+GrowthMarketRent)^8+(1-Retention)*LCNew*H58*D58*(1+GrowthMarketRent)^8,IF(I58="LeaseUp",LCNew*H58*D58*(1+GrowthMarketRent)^8,IF(I58="Option",LCRenewal*H58*D58*(1+GrowthMarketRent)^8,0))))),IF(F58="",0,IF(AND(F58&gt;=DATE(2026+8,5,1),F58&lt;=DATE(2027+8,4,30)),(IF(I58="Vacate",TINew*D58,IF(I58="Market",Retention*TIRenewal*D58+(1-Retention)*TINew*D58,IF(I58="LeaseUp",TINew*D58,IF(I58="Option",TIRenewal*D58,0)))))+(IF(I58="Vacate",LCNew*H58*D58*(1+GrowthMarketRent)^8,IF(I58="Market",Retention*LCRenewal*H58*D58*(1+GrowthMarketRent)^8+(1-Retention)*LCNew*H58*D58*(1+GrowthMarketRent)^8,IF(I58="LeaseUp",LCNew*H58*D58*(1+GrowthMarketRent)^8,IF(I58="Option",LCRenewal*H58*D58*(1+GrowthMarketRent)^8,0))))),0))),0)</f>
        <v/>
      </c>
      <c r="AH58" s="14">
        <f>IFERROR(IF(AND(I58="LeaseUp",9=0),(IF(I58="Vacate",TINew*D58,IF(I58="Market",Retention*TIRenewal*D58+(1-Retention)*TINew*D58,IF(I58="LeaseUp",TINew*D58,IF(I58="Option",TIRenewal*D58,0)))))+(IF(I58="Vacate",LCNew*H58*D58*(1+GrowthMarketRent)^9,IF(I58="Market",Retention*LCRenewal*H58*D58*(1+GrowthMarketRent)^9+(1-Retention)*LCNew*H58*D58*(1+GrowthMarketRent)^9,IF(I58="LeaseUp",LCNew*H58*D58*(1+GrowthMarketRent)^9,IF(I58="Option",LCRenewal*H58*D58*(1+GrowthMarketRent)^9,0))))),IF(F58="",0,IF(AND(F58&gt;=DATE(2026+9,5,1),F58&lt;=DATE(2027+9,4,30)),(IF(I58="Vacate",TINew*D58,IF(I58="Market",Retention*TIRenewal*D58+(1-Retention)*TINew*D58,IF(I58="LeaseUp",TINew*D58,IF(I58="Option",TIRenewal*D58,0)))))+(IF(I58="Vacate",LCNew*H58*D58*(1+GrowthMarketRent)^9,IF(I58="Market",Retention*LCRenewal*H58*D58*(1+GrowthMarketRent)^9+(1-Retention)*LCNew*H58*D58*(1+GrowthMarketRent)^9,IF(I58="LeaseUp",LCNew*H58*D58*(1+GrowthMarketRent)^9,IF(I58="Option",LCRenewal*H58*D58*(1+GrowthMarketRent)^9,0))))),0))),0)</f>
        <v/>
      </c>
      <c r="AI58" s="14">
        <f>IFERROR(IF(AND(I58="LeaseUp",10=0),(IF(I58="Vacate",TINew*D58,IF(I58="Market",Retention*TIRenewal*D58+(1-Retention)*TINew*D58,IF(I58="LeaseUp",TINew*D58,IF(I58="Option",TIRenewal*D58,0)))))+(IF(I58="Vacate",LCNew*H58*D58*(1+GrowthMarketRent)^10,IF(I58="Market",Retention*LCRenewal*H58*D58*(1+GrowthMarketRent)^10+(1-Retention)*LCNew*H58*D58*(1+GrowthMarketRent)^10,IF(I58="LeaseUp",LCNew*H58*D58*(1+GrowthMarketRent)^10,IF(I58="Option",LCRenewal*H58*D58*(1+GrowthMarketRent)^10,0))))),IF(F58="",0,IF(AND(F58&gt;=DATE(2026+10,5,1),F58&lt;=DATE(2027+10,4,30)),(IF(I58="Vacate",TINew*D58,IF(I58="Market",Retention*TIRenewal*D58+(1-Retention)*TINew*D58,IF(I58="LeaseUp",TINew*D58,IF(I58="Option",TIRenewal*D58,0)))))+(IF(I58="Vacate",LCNew*H58*D58*(1+GrowthMarketRent)^10,IF(I58="Market",Retention*LCRenewal*H58*D58*(1+GrowthMarketRent)^10+(1-Retention)*LCNew*H58*D58*(1+GrowthMarketRent)^10,IF(I58="LeaseUp",LCNew*H58*D58*(1+GrowthMarketRent)^10,IF(I58="Option",LCRenewal*H58*D58*(1+GrowthMarketRent)^10,0))))),0))),0)</f>
        <v/>
      </c>
    </row>
    <row r="59">
      <c r="A59" t="inlineStr">
        <is>
          <t>Frisco</t>
        </is>
      </c>
      <c r="B59" t="inlineStr">
        <is>
          <t>208</t>
        </is>
      </c>
      <c r="C59" t="inlineStr">
        <is>
          <t>Bridging Biosciences LLC</t>
        </is>
      </c>
      <c r="D59" s="32" t="n">
        <v>2600</v>
      </c>
      <c r="E59" s="33" t="n">
        <v>45748</v>
      </c>
      <c r="F59" s="33" t="n">
        <v>46997</v>
      </c>
      <c r="G59" s="34" t="n">
        <v>16.9126923076923</v>
      </c>
      <c r="H59" s="16">
        <f>VLOOKUP(A59,MLA!$A$5:$L$11,3,FALSE)</f>
        <v/>
      </c>
      <c r="I59" s="11" t="inlineStr">
        <is>
          <t>Market</t>
        </is>
      </c>
      <c r="J59" t="inlineStr">
        <is>
          <t>Shop</t>
        </is>
      </c>
      <c r="K59" t="inlineStr">
        <is>
          <t>Occupied</t>
        </is>
      </c>
      <c r="L59" t="inlineStr">
        <is>
          <t>Guarantor: Erica Strakh</t>
        </is>
      </c>
      <c r="M59" s="20">
        <f>IF(E59="",0,(AnalysisStart-E59)/365.25)</f>
        <v/>
      </c>
      <c r="N59" s="14">
        <f>IFERROR(IF(I59="LeaseUp",H59*D59*(1+GrowthMarketRent)^0*IF(0=0,(12-DowntimeNew)/12,1),IF(F59="",0,IF(F59&gt;=DATE(2027+0,4,30),G59*D59*(1+EscalatorInLease)^(0+M59),IF(F59&lt;DATE(2026+0,5,1),IF(I59="Vacate",H59*D59*(1+GrowthMarketRent)^0*IF(INT((DATE(2026+0,10,31)-F59)/365.25)=0,(12-DowntimeNew)/12,1),IF(I59="Option",G59*D59*1.025*(1+EscalatorInLease)^0,IF(I59="Market",Retention*G59*D59*(1+EscalatorInLease)^(0+M59)+(1-Retention)*H59*D59*(1+GrowthMarketRent)^0*IF(INT((DATE(2026+0,10,31)-F59)/365.25)=0,(12-DowntimeNew)/12,1),IF(I59="LeaseUp",H59*D59*(1+GrowthMarketRent)^0*IF(0=0,(12-DowntimeNew)/12,1),0)))),((F59-DATE(2026+0,5,1))/365.25)*G59*D59*(1+EscalatorInLease)^(0+M59)+((DATE(2027+0,4,30)-F59)/365.25)*IF(I59="Vacate",H59*D59*(1+GrowthMarketRent)^0*IF(INT((DATE(2026+0,10,31)-F59)/365.25)=0,(12-DowntimeNew)/12,1),IF(I59="Option",G59*D59*1.025*(1+EscalatorInLease)^0,IF(I59="Market",Retention*G59*D59*(1+EscalatorInLease)^(0+M59)+(1-Retention)*H59*D59*(1+GrowthMarketRent)^0*IF(INT((DATE(2026+0,10,31)-F59)/365.25)=0,(12-DowntimeNew)/12,1),IF(I59="LeaseUp",H59*D59*(1+GrowthMarketRent)^0*IF(0=0,(12-DowntimeNew)/12,1),0)))))))),0)</f>
        <v/>
      </c>
      <c r="O59" s="14">
        <f>IFERROR(IF(I59="LeaseUp",H59*D59*(1+GrowthMarketRent)^1*IF(1=0,(12-DowntimeNew)/12,1),IF(F59="",0,IF(F59&gt;=DATE(2027+1,4,30),G59*D59*(1+EscalatorInLease)^(1+M59),IF(F59&lt;DATE(2026+1,5,1),IF(I59="Vacate",H59*D59*(1+GrowthMarketRent)^1*IF(INT((DATE(2026+1,10,31)-F59)/365.25)=0,(12-DowntimeNew)/12,1),IF(I59="Option",G59*D59*1.025*(1+EscalatorInLease)^1,IF(I59="Market",Retention*G59*D59*(1+EscalatorInLease)^(1+M59)+(1-Retention)*H59*D59*(1+GrowthMarketRent)^1*IF(INT((DATE(2026+1,10,31)-F59)/365.25)=0,(12-DowntimeNew)/12,1),IF(I59="LeaseUp",H59*D59*(1+GrowthMarketRent)^1*IF(1=0,(12-DowntimeNew)/12,1),0)))),((F59-DATE(2026+1,5,1))/365.25)*G59*D59*(1+EscalatorInLease)^(1+M59)+((DATE(2027+1,4,30)-F59)/365.25)*IF(I59="Vacate",H59*D59*(1+GrowthMarketRent)^1*IF(INT((DATE(2026+1,10,31)-F59)/365.25)=0,(12-DowntimeNew)/12,1),IF(I59="Option",G59*D59*1.025*(1+EscalatorInLease)^1,IF(I59="Market",Retention*G59*D59*(1+EscalatorInLease)^(1+M59)+(1-Retention)*H59*D59*(1+GrowthMarketRent)^1*IF(INT((DATE(2026+1,10,31)-F59)/365.25)=0,(12-DowntimeNew)/12,1),IF(I59="LeaseUp",H59*D59*(1+GrowthMarketRent)^1*IF(1=0,(12-DowntimeNew)/12,1),0)))))))),0)</f>
        <v/>
      </c>
      <c r="P59" s="14">
        <f>IFERROR(IF(I59="LeaseUp",H59*D59*(1+GrowthMarketRent)^2*IF(2=0,(12-DowntimeNew)/12,1),IF(F59="",0,IF(F59&gt;=DATE(2027+2,4,30),G59*D59*(1+EscalatorInLease)^(2+M59),IF(F59&lt;DATE(2026+2,5,1),IF(I59="Vacate",H59*D59*(1+GrowthMarketRent)^2*IF(INT((DATE(2026+2,10,31)-F59)/365.25)=0,(12-DowntimeNew)/12,1),IF(I59="Option",G59*D59*1.025*(1+EscalatorInLease)^2,IF(I59="Market",Retention*G59*D59*(1+EscalatorInLease)^(2+M59)+(1-Retention)*H59*D59*(1+GrowthMarketRent)^2*IF(INT((DATE(2026+2,10,31)-F59)/365.25)=0,(12-DowntimeNew)/12,1),IF(I59="LeaseUp",H59*D59*(1+GrowthMarketRent)^2*IF(2=0,(12-DowntimeNew)/12,1),0)))),((F59-DATE(2026+2,5,1))/365.25)*G59*D59*(1+EscalatorInLease)^(2+M59)+((DATE(2027+2,4,30)-F59)/365.25)*IF(I59="Vacate",H59*D59*(1+GrowthMarketRent)^2*IF(INT((DATE(2026+2,10,31)-F59)/365.25)=0,(12-DowntimeNew)/12,1),IF(I59="Option",G59*D59*1.025*(1+EscalatorInLease)^2,IF(I59="Market",Retention*G59*D59*(1+EscalatorInLease)^(2+M59)+(1-Retention)*H59*D59*(1+GrowthMarketRent)^2*IF(INT((DATE(2026+2,10,31)-F59)/365.25)=0,(12-DowntimeNew)/12,1),IF(I59="LeaseUp",H59*D59*(1+GrowthMarketRent)^2*IF(2=0,(12-DowntimeNew)/12,1),0)))))))),0)</f>
        <v/>
      </c>
      <c r="Q59" s="14">
        <f>IFERROR(IF(I59="LeaseUp",H59*D59*(1+GrowthMarketRent)^3*IF(3=0,(12-DowntimeNew)/12,1),IF(F59="",0,IF(F59&gt;=DATE(2027+3,4,30),G59*D59*(1+EscalatorInLease)^(3+M59),IF(F59&lt;DATE(2026+3,5,1),IF(I59="Vacate",H59*D59*(1+GrowthMarketRent)^3*IF(INT((DATE(2026+3,10,31)-F59)/365.25)=0,(12-DowntimeNew)/12,1),IF(I59="Option",G59*D59*1.025*(1+EscalatorInLease)^3,IF(I59="Market",Retention*G59*D59*(1+EscalatorInLease)^(3+M59)+(1-Retention)*H59*D59*(1+GrowthMarketRent)^3*IF(INT((DATE(2026+3,10,31)-F59)/365.25)=0,(12-DowntimeNew)/12,1),IF(I59="LeaseUp",H59*D59*(1+GrowthMarketRent)^3*IF(3=0,(12-DowntimeNew)/12,1),0)))),((F59-DATE(2026+3,5,1))/365.25)*G59*D59*(1+EscalatorInLease)^(3+M59)+((DATE(2027+3,4,30)-F59)/365.25)*IF(I59="Vacate",H59*D59*(1+GrowthMarketRent)^3*IF(INT((DATE(2026+3,10,31)-F59)/365.25)=0,(12-DowntimeNew)/12,1),IF(I59="Option",G59*D59*1.025*(1+EscalatorInLease)^3,IF(I59="Market",Retention*G59*D59*(1+EscalatorInLease)^(3+M59)+(1-Retention)*H59*D59*(1+GrowthMarketRent)^3*IF(INT((DATE(2026+3,10,31)-F59)/365.25)=0,(12-DowntimeNew)/12,1),IF(I59="LeaseUp",H59*D59*(1+GrowthMarketRent)^3*IF(3=0,(12-DowntimeNew)/12,1),0)))))))),0)</f>
        <v/>
      </c>
      <c r="R59" s="14">
        <f>IFERROR(IF(I59="LeaseUp",H59*D59*(1+GrowthMarketRent)^4*IF(4=0,(12-DowntimeNew)/12,1),IF(F59="",0,IF(F59&gt;=DATE(2027+4,4,30),G59*D59*(1+EscalatorInLease)^(4+M59),IF(F59&lt;DATE(2026+4,5,1),IF(I59="Vacate",H59*D59*(1+GrowthMarketRent)^4*IF(INT((DATE(2026+4,10,31)-F59)/365.25)=0,(12-DowntimeNew)/12,1),IF(I59="Option",G59*D59*1.025*(1+EscalatorInLease)^4,IF(I59="Market",Retention*G59*D59*(1+EscalatorInLease)^(4+M59)+(1-Retention)*H59*D59*(1+GrowthMarketRent)^4*IF(INT((DATE(2026+4,10,31)-F59)/365.25)=0,(12-DowntimeNew)/12,1),IF(I59="LeaseUp",H59*D59*(1+GrowthMarketRent)^4*IF(4=0,(12-DowntimeNew)/12,1),0)))),((F59-DATE(2026+4,5,1))/365.25)*G59*D59*(1+EscalatorInLease)^(4+M59)+((DATE(2027+4,4,30)-F59)/365.25)*IF(I59="Vacate",H59*D59*(1+GrowthMarketRent)^4*IF(INT((DATE(2026+4,10,31)-F59)/365.25)=0,(12-DowntimeNew)/12,1),IF(I59="Option",G59*D59*1.025*(1+EscalatorInLease)^4,IF(I59="Market",Retention*G59*D59*(1+EscalatorInLease)^(4+M59)+(1-Retention)*H59*D59*(1+GrowthMarketRent)^4*IF(INT((DATE(2026+4,10,31)-F59)/365.25)=0,(12-DowntimeNew)/12,1),IF(I59="LeaseUp",H59*D59*(1+GrowthMarketRent)^4*IF(4=0,(12-DowntimeNew)/12,1),0)))))))),0)</f>
        <v/>
      </c>
      <c r="S59" s="14">
        <f>IFERROR(IF(I59="LeaseUp",H59*D59*(1+GrowthMarketRent)^5*IF(5=0,(12-DowntimeNew)/12,1),IF(F59="",0,IF(F59&gt;=DATE(2027+5,4,30),G59*D59*(1+EscalatorInLease)^(5+M59),IF(F59&lt;DATE(2026+5,5,1),IF(I59="Vacate",H59*D59*(1+GrowthMarketRent)^5*IF(INT((DATE(2026+5,10,31)-F59)/365.25)=0,(12-DowntimeNew)/12,1),IF(I59="Option",G59*D59*1.025*(1+EscalatorInLease)^5,IF(I59="Market",Retention*G59*D59*(1+EscalatorInLease)^(5+M59)+(1-Retention)*H59*D59*(1+GrowthMarketRent)^5*IF(INT((DATE(2026+5,10,31)-F59)/365.25)=0,(12-DowntimeNew)/12,1),IF(I59="LeaseUp",H59*D59*(1+GrowthMarketRent)^5*IF(5=0,(12-DowntimeNew)/12,1),0)))),((F59-DATE(2026+5,5,1))/365.25)*G59*D59*(1+EscalatorInLease)^(5+M59)+((DATE(2027+5,4,30)-F59)/365.25)*IF(I59="Vacate",H59*D59*(1+GrowthMarketRent)^5*IF(INT((DATE(2026+5,10,31)-F59)/365.25)=0,(12-DowntimeNew)/12,1),IF(I59="Option",G59*D59*1.025*(1+EscalatorInLease)^5,IF(I59="Market",Retention*G59*D59*(1+EscalatorInLease)^(5+M59)+(1-Retention)*H59*D59*(1+GrowthMarketRent)^5*IF(INT((DATE(2026+5,10,31)-F59)/365.25)=0,(12-DowntimeNew)/12,1),IF(I59="LeaseUp",H59*D59*(1+GrowthMarketRent)^5*IF(5=0,(12-DowntimeNew)/12,1),0)))))))),0)</f>
        <v/>
      </c>
      <c r="T59" s="14">
        <f>IFERROR(IF(I59="LeaseUp",H59*D59*(1+GrowthMarketRent)^6*IF(6=0,(12-DowntimeNew)/12,1),IF(F59="",0,IF(F59&gt;=DATE(2027+6,4,30),G59*D59*(1+EscalatorInLease)^(6+M59),IF(F59&lt;DATE(2026+6,5,1),IF(I59="Vacate",H59*D59*(1+GrowthMarketRent)^6*IF(INT((DATE(2026+6,10,31)-F59)/365.25)=0,(12-DowntimeNew)/12,1),IF(I59="Option",G59*D59*1.025*(1+EscalatorInLease)^6,IF(I59="Market",Retention*G59*D59*(1+EscalatorInLease)^(6+M59)+(1-Retention)*H59*D59*(1+GrowthMarketRent)^6*IF(INT((DATE(2026+6,10,31)-F59)/365.25)=0,(12-DowntimeNew)/12,1),IF(I59="LeaseUp",H59*D59*(1+GrowthMarketRent)^6*IF(6=0,(12-DowntimeNew)/12,1),0)))),((F59-DATE(2026+6,5,1))/365.25)*G59*D59*(1+EscalatorInLease)^(6+M59)+((DATE(2027+6,4,30)-F59)/365.25)*IF(I59="Vacate",H59*D59*(1+GrowthMarketRent)^6*IF(INT((DATE(2026+6,10,31)-F59)/365.25)=0,(12-DowntimeNew)/12,1),IF(I59="Option",G59*D59*1.025*(1+EscalatorInLease)^6,IF(I59="Market",Retention*G59*D59*(1+EscalatorInLease)^(6+M59)+(1-Retention)*H59*D59*(1+GrowthMarketRent)^6*IF(INT((DATE(2026+6,10,31)-F59)/365.25)=0,(12-DowntimeNew)/12,1),IF(I59="LeaseUp",H59*D59*(1+GrowthMarketRent)^6*IF(6=0,(12-DowntimeNew)/12,1),0)))))))),0)</f>
        <v/>
      </c>
      <c r="U59" s="14">
        <f>IFERROR(IF(I59="LeaseUp",H59*D59*(1+GrowthMarketRent)^7*IF(7=0,(12-DowntimeNew)/12,1),IF(F59="",0,IF(F59&gt;=DATE(2027+7,4,30),G59*D59*(1+EscalatorInLease)^(7+M59),IF(F59&lt;DATE(2026+7,5,1),IF(I59="Vacate",H59*D59*(1+GrowthMarketRent)^7*IF(INT((DATE(2026+7,10,31)-F59)/365.25)=0,(12-DowntimeNew)/12,1),IF(I59="Option",G59*D59*1.025*(1+EscalatorInLease)^7,IF(I59="Market",Retention*G59*D59*(1+EscalatorInLease)^(7+M59)+(1-Retention)*H59*D59*(1+GrowthMarketRent)^7*IF(INT((DATE(2026+7,10,31)-F59)/365.25)=0,(12-DowntimeNew)/12,1),IF(I59="LeaseUp",H59*D59*(1+GrowthMarketRent)^7*IF(7=0,(12-DowntimeNew)/12,1),0)))),((F59-DATE(2026+7,5,1))/365.25)*G59*D59*(1+EscalatorInLease)^(7+M59)+((DATE(2027+7,4,30)-F59)/365.25)*IF(I59="Vacate",H59*D59*(1+GrowthMarketRent)^7*IF(INT((DATE(2026+7,10,31)-F59)/365.25)=0,(12-DowntimeNew)/12,1),IF(I59="Option",G59*D59*1.025*(1+EscalatorInLease)^7,IF(I59="Market",Retention*G59*D59*(1+EscalatorInLease)^(7+M59)+(1-Retention)*H59*D59*(1+GrowthMarketRent)^7*IF(INT((DATE(2026+7,10,31)-F59)/365.25)=0,(12-DowntimeNew)/12,1),IF(I59="LeaseUp",H59*D59*(1+GrowthMarketRent)^7*IF(7=0,(12-DowntimeNew)/12,1),0)))))))),0)</f>
        <v/>
      </c>
      <c r="V59" s="14">
        <f>IFERROR(IF(I59="LeaseUp",H59*D59*(1+GrowthMarketRent)^8*IF(8=0,(12-DowntimeNew)/12,1),IF(F59="",0,IF(F59&gt;=DATE(2027+8,4,30),G59*D59*(1+EscalatorInLease)^(8+M59),IF(F59&lt;DATE(2026+8,5,1),IF(I59="Vacate",H59*D59*(1+GrowthMarketRent)^8*IF(INT((DATE(2026+8,10,31)-F59)/365.25)=0,(12-DowntimeNew)/12,1),IF(I59="Option",G59*D59*1.025*(1+EscalatorInLease)^8,IF(I59="Market",Retention*G59*D59*(1+EscalatorInLease)^(8+M59)+(1-Retention)*H59*D59*(1+GrowthMarketRent)^8*IF(INT((DATE(2026+8,10,31)-F59)/365.25)=0,(12-DowntimeNew)/12,1),IF(I59="LeaseUp",H59*D59*(1+GrowthMarketRent)^8*IF(8=0,(12-DowntimeNew)/12,1),0)))),((F59-DATE(2026+8,5,1))/365.25)*G59*D59*(1+EscalatorInLease)^(8+M59)+((DATE(2027+8,4,30)-F59)/365.25)*IF(I59="Vacate",H59*D59*(1+GrowthMarketRent)^8*IF(INT((DATE(2026+8,10,31)-F59)/365.25)=0,(12-DowntimeNew)/12,1),IF(I59="Option",G59*D59*1.025*(1+EscalatorInLease)^8,IF(I59="Market",Retention*G59*D59*(1+EscalatorInLease)^(8+M59)+(1-Retention)*H59*D59*(1+GrowthMarketRent)^8*IF(INT((DATE(2026+8,10,31)-F59)/365.25)=0,(12-DowntimeNew)/12,1),IF(I59="LeaseUp",H59*D59*(1+GrowthMarketRent)^8*IF(8=0,(12-DowntimeNew)/12,1),0)))))))),0)</f>
        <v/>
      </c>
      <c r="W59" s="14">
        <f>IFERROR(IF(I59="LeaseUp",H59*D59*(1+GrowthMarketRent)^9*IF(9=0,(12-DowntimeNew)/12,1),IF(F59="",0,IF(F59&gt;=DATE(2027+9,4,30),G59*D59*(1+EscalatorInLease)^(9+M59),IF(F59&lt;DATE(2026+9,5,1),IF(I59="Vacate",H59*D59*(1+GrowthMarketRent)^9*IF(INT((DATE(2026+9,10,31)-F59)/365.25)=0,(12-DowntimeNew)/12,1),IF(I59="Option",G59*D59*1.025*(1+EscalatorInLease)^9,IF(I59="Market",Retention*G59*D59*(1+EscalatorInLease)^(9+M59)+(1-Retention)*H59*D59*(1+GrowthMarketRent)^9*IF(INT((DATE(2026+9,10,31)-F59)/365.25)=0,(12-DowntimeNew)/12,1),IF(I59="LeaseUp",H59*D59*(1+GrowthMarketRent)^9*IF(9=0,(12-DowntimeNew)/12,1),0)))),((F59-DATE(2026+9,5,1))/365.25)*G59*D59*(1+EscalatorInLease)^(9+M59)+((DATE(2027+9,4,30)-F59)/365.25)*IF(I59="Vacate",H59*D59*(1+GrowthMarketRent)^9*IF(INT((DATE(2026+9,10,31)-F59)/365.25)=0,(12-DowntimeNew)/12,1),IF(I59="Option",G59*D59*1.025*(1+EscalatorInLease)^9,IF(I59="Market",Retention*G59*D59*(1+EscalatorInLease)^(9+M59)+(1-Retention)*H59*D59*(1+GrowthMarketRent)^9*IF(INT((DATE(2026+9,10,31)-F59)/365.25)=0,(12-DowntimeNew)/12,1),IF(I59="LeaseUp",H59*D59*(1+GrowthMarketRent)^9*IF(9=0,(12-DowntimeNew)/12,1),0)))))))),0)</f>
        <v/>
      </c>
      <c r="X59" s="14">
        <f>IFERROR(IF(I59="LeaseUp",H59*D59*(1+GrowthMarketRent)^10*IF(10=0,(12-DowntimeNew)/12,1),IF(F59="",0,IF(F59&gt;=DATE(2027+10,4,30),G59*D59*(1+EscalatorInLease)^(10+M59),IF(F59&lt;DATE(2026+10,5,1),IF(I59="Vacate",H59*D59*(1+GrowthMarketRent)^10*IF(INT((DATE(2026+10,10,31)-F59)/365.25)=0,(12-DowntimeNew)/12,1),IF(I59="Option",G59*D59*1.025*(1+EscalatorInLease)^10,IF(I59="Market",Retention*G59*D59*(1+EscalatorInLease)^(10+M59)+(1-Retention)*H59*D59*(1+GrowthMarketRent)^10*IF(INT((DATE(2026+10,10,31)-F59)/365.25)=0,(12-DowntimeNew)/12,1),IF(I59="LeaseUp",H59*D59*(1+GrowthMarketRent)^10*IF(10=0,(12-DowntimeNew)/12,1),0)))),((F59-DATE(2026+10,5,1))/365.25)*G59*D59*(1+EscalatorInLease)^(10+M59)+((DATE(2027+10,4,30)-F59)/365.25)*IF(I59="Vacate",H59*D59*(1+GrowthMarketRent)^10*IF(INT((DATE(2026+10,10,31)-F59)/365.25)=0,(12-DowntimeNew)/12,1),IF(I59="Option",G59*D59*1.025*(1+EscalatorInLease)^10,IF(I59="Market",Retention*G59*D59*(1+EscalatorInLease)^(10+M59)+(1-Retention)*H59*D59*(1+GrowthMarketRent)^10*IF(INT((DATE(2026+10,10,31)-F59)/365.25)=0,(12-DowntimeNew)/12,1),IF(I59="LeaseUp",H59*D59*(1+GrowthMarketRent)^10*IF(10=0,(12-DowntimeNew)/12,1),0)))))))),0)</f>
        <v/>
      </c>
      <c r="Y59" s="14">
        <f>IFERROR(IF(AND(I59="LeaseUp",0=0),(IF(I59="Vacate",TINew*D59,IF(I59="Market",Retention*TIRenewal*D59+(1-Retention)*TINew*D59,IF(I59="LeaseUp",TINew*D59,IF(I59="Option",TIRenewal*D59,0)))))+(IF(I59="Vacate",LCNew*H59*D59*(1+GrowthMarketRent)^0,IF(I59="Market",Retention*LCRenewal*H59*D59*(1+GrowthMarketRent)^0+(1-Retention)*LCNew*H59*D59*(1+GrowthMarketRent)^0,IF(I59="LeaseUp",LCNew*H59*D59*(1+GrowthMarketRent)^0,IF(I59="Option",LCRenewal*H59*D59*(1+GrowthMarketRent)^0,0))))),IF(F59="",0,IF(AND(F59&gt;=DATE(2026+0,5,1),F59&lt;=DATE(2027+0,4,30)),(IF(I59="Vacate",TINew*D59,IF(I59="Market",Retention*TIRenewal*D59+(1-Retention)*TINew*D59,IF(I59="LeaseUp",TINew*D59,IF(I59="Option",TIRenewal*D59,0)))))+(IF(I59="Vacate",LCNew*H59*D59*(1+GrowthMarketRent)^0,IF(I59="Market",Retention*LCRenewal*H59*D59*(1+GrowthMarketRent)^0+(1-Retention)*LCNew*H59*D59*(1+GrowthMarketRent)^0,IF(I59="LeaseUp",LCNew*H59*D59*(1+GrowthMarketRent)^0,IF(I59="Option",LCRenewal*H59*D59*(1+GrowthMarketRent)^0,0))))),0))),0)</f>
        <v/>
      </c>
      <c r="Z59" s="14">
        <f>IFERROR(IF(AND(I59="LeaseUp",1=0),(IF(I59="Vacate",TINew*D59,IF(I59="Market",Retention*TIRenewal*D59+(1-Retention)*TINew*D59,IF(I59="LeaseUp",TINew*D59,IF(I59="Option",TIRenewal*D59,0)))))+(IF(I59="Vacate",LCNew*H59*D59*(1+GrowthMarketRent)^1,IF(I59="Market",Retention*LCRenewal*H59*D59*(1+GrowthMarketRent)^1+(1-Retention)*LCNew*H59*D59*(1+GrowthMarketRent)^1,IF(I59="LeaseUp",LCNew*H59*D59*(1+GrowthMarketRent)^1,IF(I59="Option",LCRenewal*H59*D59*(1+GrowthMarketRent)^1,0))))),IF(F59="",0,IF(AND(F59&gt;=DATE(2026+1,5,1),F59&lt;=DATE(2027+1,4,30)),(IF(I59="Vacate",TINew*D59,IF(I59="Market",Retention*TIRenewal*D59+(1-Retention)*TINew*D59,IF(I59="LeaseUp",TINew*D59,IF(I59="Option",TIRenewal*D59,0)))))+(IF(I59="Vacate",LCNew*H59*D59*(1+GrowthMarketRent)^1,IF(I59="Market",Retention*LCRenewal*H59*D59*(1+GrowthMarketRent)^1+(1-Retention)*LCNew*H59*D59*(1+GrowthMarketRent)^1,IF(I59="LeaseUp",LCNew*H59*D59*(1+GrowthMarketRent)^1,IF(I59="Option",LCRenewal*H59*D59*(1+GrowthMarketRent)^1,0))))),0))),0)</f>
        <v/>
      </c>
      <c r="AA59" s="14">
        <f>IFERROR(IF(AND(I59="LeaseUp",2=0),(IF(I59="Vacate",TINew*D59,IF(I59="Market",Retention*TIRenewal*D59+(1-Retention)*TINew*D59,IF(I59="LeaseUp",TINew*D59,IF(I59="Option",TIRenewal*D59,0)))))+(IF(I59="Vacate",LCNew*H59*D59*(1+GrowthMarketRent)^2,IF(I59="Market",Retention*LCRenewal*H59*D59*(1+GrowthMarketRent)^2+(1-Retention)*LCNew*H59*D59*(1+GrowthMarketRent)^2,IF(I59="LeaseUp",LCNew*H59*D59*(1+GrowthMarketRent)^2,IF(I59="Option",LCRenewal*H59*D59*(1+GrowthMarketRent)^2,0))))),IF(F59="",0,IF(AND(F59&gt;=DATE(2026+2,5,1),F59&lt;=DATE(2027+2,4,30)),(IF(I59="Vacate",TINew*D59,IF(I59="Market",Retention*TIRenewal*D59+(1-Retention)*TINew*D59,IF(I59="LeaseUp",TINew*D59,IF(I59="Option",TIRenewal*D59,0)))))+(IF(I59="Vacate",LCNew*H59*D59*(1+GrowthMarketRent)^2,IF(I59="Market",Retention*LCRenewal*H59*D59*(1+GrowthMarketRent)^2+(1-Retention)*LCNew*H59*D59*(1+GrowthMarketRent)^2,IF(I59="LeaseUp",LCNew*H59*D59*(1+GrowthMarketRent)^2,IF(I59="Option",LCRenewal*H59*D59*(1+GrowthMarketRent)^2,0))))),0))),0)</f>
        <v/>
      </c>
      <c r="AB59" s="14">
        <f>IFERROR(IF(AND(I59="LeaseUp",3=0),(IF(I59="Vacate",TINew*D59,IF(I59="Market",Retention*TIRenewal*D59+(1-Retention)*TINew*D59,IF(I59="LeaseUp",TINew*D59,IF(I59="Option",TIRenewal*D59,0)))))+(IF(I59="Vacate",LCNew*H59*D59*(1+GrowthMarketRent)^3,IF(I59="Market",Retention*LCRenewal*H59*D59*(1+GrowthMarketRent)^3+(1-Retention)*LCNew*H59*D59*(1+GrowthMarketRent)^3,IF(I59="LeaseUp",LCNew*H59*D59*(1+GrowthMarketRent)^3,IF(I59="Option",LCRenewal*H59*D59*(1+GrowthMarketRent)^3,0))))),IF(F59="",0,IF(AND(F59&gt;=DATE(2026+3,5,1),F59&lt;=DATE(2027+3,4,30)),(IF(I59="Vacate",TINew*D59,IF(I59="Market",Retention*TIRenewal*D59+(1-Retention)*TINew*D59,IF(I59="LeaseUp",TINew*D59,IF(I59="Option",TIRenewal*D59,0)))))+(IF(I59="Vacate",LCNew*H59*D59*(1+GrowthMarketRent)^3,IF(I59="Market",Retention*LCRenewal*H59*D59*(1+GrowthMarketRent)^3+(1-Retention)*LCNew*H59*D59*(1+GrowthMarketRent)^3,IF(I59="LeaseUp",LCNew*H59*D59*(1+GrowthMarketRent)^3,IF(I59="Option",LCRenewal*H59*D59*(1+GrowthMarketRent)^3,0))))),0))),0)</f>
        <v/>
      </c>
      <c r="AC59" s="14">
        <f>IFERROR(IF(AND(I59="LeaseUp",4=0),(IF(I59="Vacate",TINew*D59,IF(I59="Market",Retention*TIRenewal*D59+(1-Retention)*TINew*D59,IF(I59="LeaseUp",TINew*D59,IF(I59="Option",TIRenewal*D59,0)))))+(IF(I59="Vacate",LCNew*H59*D59*(1+GrowthMarketRent)^4,IF(I59="Market",Retention*LCRenewal*H59*D59*(1+GrowthMarketRent)^4+(1-Retention)*LCNew*H59*D59*(1+GrowthMarketRent)^4,IF(I59="LeaseUp",LCNew*H59*D59*(1+GrowthMarketRent)^4,IF(I59="Option",LCRenewal*H59*D59*(1+GrowthMarketRent)^4,0))))),IF(F59="",0,IF(AND(F59&gt;=DATE(2026+4,5,1),F59&lt;=DATE(2027+4,4,30)),(IF(I59="Vacate",TINew*D59,IF(I59="Market",Retention*TIRenewal*D59+(1-Retention)*TINew*D59,IF(I59="LeaseUp",TINew*D59,IF(I59="Option",TIRenewal*D59,0)))))+(IF(I59="Vacate",LCNew*H59*D59*(1+GrowthMarketRent)^4,IF(I59="Market",Retention*LCRenewal*H59*D59*(1+GrowthMarketRent)^4+(1-Retention)*LCNew*H59*D59*(1+GrowthMarketRent)^4,IF(I59="LeaseUp",LCNew*H59*D59*(1+GrowthMarketRent)^4,IF(I59="Option",LCRenewal*H59*D59*(1+GrowthMarketRent)^4,0))))),0))),0)</f>
        <v/>
      </c>
      <c r="AD59" s="14">
        <f>IFERROR(IF(AND(I59="LeaseUp",5=0),(IF(I59="Vacate",TINew*D59,IF(I59="Market",Retention*TIRenewal*D59+(1-Retention)*TINew*D59,IF(I59="LeaseUp",TINew*D59,IF(I59="Option",TIRenewal*D59,0)))))+(IF(I59="Vacate",LCNew*H59*D59*(1+GrowthMarketRent)^5,IF(I59="Market",Retention*LCRenewal*H59*D59*(1+GrowthMarketRent)^5+(1-Retention)*LCNew*H59*D59*(1+GrowthMarketRent)^5,IF(I59="LeaseUp",LCNew*H59*D59*(1+GrowthMarketRent)^5,IF(I59="Option",LCRenewal*H59*D59*(1+GrowthMarketRent)^5,0))))),IF(F59="",0,IF(AND(F59&gt;=DATE(2026+5,5,1),F59&lt;=DATE(2027+5,4,30)),(IF(I59="Vacate",TINew*D59,IF(I59="Market",Retention*TIRenewal*D59+(1-Retention)*TINew*D59,IF(I59="LeaseUp",TINew*D59,IF(I59="Option",TIRenewal*D59,0)))))+(IF(I59="Vacate",LCNew*H59*D59*(1+GrowthMarketRent)^5,IF(I59="Market",Retention*LCRenewal*H59*D59*(1+GrowthMarketRent)^5+(1-Retention)*LCNew*H59*D59*(1+GrowthMarketRent)^5,IF(I59="LeaseUp",LCNew*H59*D59*(1+GrowthMarketRent)^5,IF(I59="Option",LCRenewal*H59*D59*(1+GrowthMarketRent)^5,0))))),0))),0)</f>
        <v/>
      </c>
      <c r="AE59" s="14">
        <f>IFERROR(IF(AND(I59="LeaseUp",6=0),(IF(I59="Vacate",TINew*D59,IF(I59="Market",Retention*TIRenewal*D59+(1-Retention)*TINew*D59,IF(I59="LeaseUp",TINew*D59,IF(I59="Option",TIRenewal*D59,0)))))+(IF(I59="Vacate",LCNew*H59*D59*(1+GrowthMarketRent)^6,IF(I59="Market",Retention*LCRenewal*H59*D59*(1+GrowthMarketRent)^6+(1-Retention)*LCNew*H59*D59*(1+GrowthMarketRent)^6,IF(I59="LeaseUp",LCNew*H59*D59*(1+GrowthMarketRent)^6,IF(I59="Option",LCRenewal*H59*D59*(1+GrowthMarketRent)^6,0))))),IF(F59="",0,IF(AND(F59&gt;=DATE(2026+6,5,1),F59&lt;=DATE(2027+6,4,30)),(IF(I59="Vacate",TINew*D59,IF(I59="Market",Retention*TIRenewal*D59+(1-Retention)*TINew*D59,IF(I59="LeaseUp",TINew*D59,IF(I59="Option",TIRenewal*D59,0)))))+(IF(I59="Vacate",LCNew*H59*D59*(1+GrowthMarketRent)^6,IF(I59="Market",Retention*LCRenewal*H59*D59*(1+GrowthMarketRent)^6+(1-Retention)*LCNew*H59*D59*(1+GrowthMarketRent)^6,IF(I59="LeaseUp",LCNew*H59*D59*(1+GrowthMarketRent)^6,IF(I59="Option",LCRenewal*H59*D59*(1+GrowthMarketRent)^6,0))))),0))),0)</f>
        <v/>
      </c>
      <c r="AF59" s="14">
        <f>IFERROR(IF(AND(I59="LeaseUp",7=0),(IF(I59="Vacate",TINew*D59,IF(I59="Market",Retention*TIRenewal*D59+(1-Retention)*TINew*D59,IF(I59="LeaseUp",TINew*D59,IF(I59="Option",TIRenewal*D59,0)))))+(IF(I59="Vacate",LCNew*H59*D59*(1+GrowthMarketRent)^7,IF(I59="Market",Retention*LCRenewal*H59*D59*(1+GrowthMarketRent)^7+(1-Retention)*LCNew*H59*D59*(1+GrowthMarketRent)^7,IF(I59="LeaseUp",LCNew*H59*D59*(1+GrowthMarketRent)^7,IF(I59="Option",LCRenewal*H59*D59*(1+GrowthMarketRent)^7,0))))),IF(F59="",0,IF(AND(F59&gt;=DATE(2026+7,5,1),F59&lt;=DATE(2027+7,4,30)),(IF(I59="Vacate",TINew*D59,IF(I59="Market",Retention*TIRenewal*D59+(1-Retention)*TINew*D59,IF(I59="LeaseUp",TINew*D59,IF(I59="Option",TIRenewal*D59,0)))))+(IF(I59="Vacate",LCNew*H59*D59*(1+GrowthMarketRent)^7,IF(I59="Market",Retention*LCRenewal*H59*D59*(1+GrowthMarketRent)^7+(1-Retention)*LCNew*H59*D59*(1+GrowthMarketRent)^7,IF(I59="LeaseUp",LCNew*H59*D59*(1+GrowthMarketRent)^7,IF(I59="Option",LCRenewal*H59*D59*(1+GrowthMarketRent)^7,0))))),0))),0)</f>
        <v/>
      </c>
      <c r="AG59" s="14">
        <f>IFERROR(IF(AND(I59="LeaseUp",8=0),(IF(I59="Vacate",TINew*D59,IF(I59="Market",Retention*TIRenewal*D59+(1-Retention)*TINew*D59,IF(I59="LeaseUp",TINew*D59,IF(I59="Option",TIRenewal*D59,0)))))+(IF(I59="Vacate",LCNew*H59*D59*(1+GrowthMarketRent)^8,IF(I59="Market",Retention*LCRenewal*H59*D59*(1+GrowthMarketRent)^8+(1-Retention)*LCNew*H59*D59*(1+GrowthMarketRent)^8,IF(I59="LeaseUp",LCNew*H59*D59*(1+GrowthMarketRent)^8,IF(I59="Option",LCRenewal*H59*D59*(1+GrowthMarketRent)^8,0))))),IF(F59="",0,IF(AND(F59&gt;=DATE(2026+8,5,1),F59&lt;=DATE(2027+8,4,30)),(IF(I59="Vacate",TINew*D59,IF(I59="Market",Retention*TIRenewal*D59+(1-Retention)*TINew*D59,IF(I59="LeaseUp",TINew*D59,IF(I59="Option",TIRenewal*D59,0)))))+(IF(I59="Vacate",LCNew*H59*D59*(1+GrowthMarketRent)^8,IF(I59="Market",Retention*LCRenewal*H59*D59*(1+GrowthMarketRent)^8+(1-Retention)*LCNew*H59*D59*(1+GrowthMarketRent)^8,IF(I59="LeaseUp",LCNew*H59*D59*(1+GrowthMarketRent)^8,IF(I59="Option",LCRenewal*H59*D59*(1+GrowthMarketRent)^8,0))))),0))),0)</f>
        <v/>
      </c>
      <c r="AH59" s="14">
        <f>IFERROR(IF(AND(I59="LeaseUp",9=0),(IF(I59="Vacate",TINew*D59,IF(I59="Market",Retention*TIRenewal*D59+(1-Retention)*TINew*D59,IF(I59="LeaseUp",TINew*D59,IF(I59="Option",TIRenewal*D59,0)))))+(IF(I59="Vacate",LCNew*H59*D59*(1+GrowthMarketRent)^9,IF(I59="Market",Retention*LCRenewal*H59*D59*(1+GrowthMarketRent)^9+(1-Retention)*LCNew*H59*D59*(1+GrowthMarketRent)^9,IF(I59="LeaseUp",LCNew*H59*D59*(1+GrowthMarketRent)^9,IF(I59="Option",LCRenewal*H59*D59*(1+GrowthMarketRent)^9,0))))),IF(F59="",0,IF(AND(F59&gt;=DATE(2026+9,5,1),F59&lt;=DATE(2027+9,4,30)),(IF(I59="Vacate",TINew*D59,IF(I59="Market",Retention*TIRenewal*D59+(1-Retention)*TINew*D59,IF(I59="LeaseUp",TINew*D59,IF(I59="Option",TIRenewal*D59,0)))))+(IF(I59="Vacate",LCNew*H59*D59*(1+GrowthMarketRent)^9,IF(I59="Market",Retention*LCRenewal*H59*D59*(1+GrowthMarketRent)^9+(1-Retention)*LCNew*H59*D59*(1+GrowthMarketRent)^9,IF(I59="LeaseUp",LCNew*H59*D59*(1+GrowthMarketRent)^9,IF(I59="Option",LCRenewal*H59*D59*(1+GrowthMarketRent)^9,0))))),0))),0)</f>
        <v/>
      </c>
      <c r="AI59" s="14">
        <f>IFERROR(IF(AND(I59="LeaseUp",10=0),(IF(I59="Vacate",TINew*D59,IF(I59="Market",Retention*TIRenewal*D59+(1-Retention)*TINew*D59,IF(I59="LeaseUp",TINew*D59,IF(I59="Option",TIRenewal*D59,0)))))+(IF(I59="Vacate",LCNew*H59*D59*(1+GrowthMarketRent)^10,IF(I59="Market",Retention*LCRenewal*H59*D59*(1+GrowthMarketRent)^10+(1-Retention)*LCNew*H59*D59*(1+GrowthMarketRent)^10,IF(I59="LeaseUp",LCNew*H59*D59*(1+GrowthMarketRent)^10,IF(I59="Option",LCRenewal*H59*D59*(1+GrowthMarketRent)^10,0))))),IF(F59="",0,IF(AND(F59&gt;=DATE(2026+10,5,1),F59&lt;=DATE(2027+10,4,30)),(IF(I59="Vacate",TINew*D59,IF(I59="Market",Retention*TIRenewal*D59+(1-Retention)*TINew*D59,IF(I59="LeaseUp",TINew*D59,IF(I59="Option",TIRenewal*D59,0)))))+(IF(I59="Vacate",LCNew*H59*D59*(1+GrowthMarketRent)^10,IF(I59="Market",Retention*LCRenewal*H59*D59*(1+GrowthMarketRent)^10+(1-Retention)*LCNew*H59*D59*(1+GrowthMarketRent)^10,IF(I59="LeaseUp",LCNew*H59*D59*(1+GrowthMarketRent)^10,IF(I59="Option",LCRenewal*H59*D59*(1+GrowthMarketRent)^10,0))))),0))),0)</f>
        <v/>
      </c>
    </row>
    <row r="60">
      <c r="A60" t="inlineStr">
        <is>
          <t>Frisco</t>
        </is>
      </c>
      <c r="B60" t="inlineStr">
        <is>
          <t>209</t>
        </is>
      </c>
      <c r="C60" t="inlineStr">
        <is>
          <t>Talent Tree Agency LLC</t>
        </is>
      </c>
      <c r="D60" s="32" t="n">
        <v>2600</v>
      </c>
      <c r="E60" s="33" t="n">
        <v>45748</v>
      </c>
      <c r="F60" s="33" t="n">
        <v>46997</v>
      </c>
      <c r="G60" s="34" t="n">
        <v>18.45</v>
      </c>
      <c r="H60" s="16">
        <f>VLOOKUP(A60,MLA!$A$5:$L$11,3,FALSE)</f>
        <v/>
      </c>
      <c r="I60" s="11" t="inlineStr">
        <is>
          <t>Market</t>
        </is>
      </c>
      <c r="J60" t="inlineStr">
        <is>
          <t>Shop</t>
        </is>
      </c>
      <c r="K60" t="inlineStr">
        <is>
          <t>Occupied</t>
        </is>
      </c>
      <c r="L60" t="inlineStr">
        <is>
          <t>Guarantor: Tapley Holland</t>
        </is>
      </c>
      <c r="M60" s="20">
        <f>IF(E60="",0,(AnalysisStart-E60)/365.25)</f>
        <v/>
      </c>
      <c r="N60" s="14">
        <f>IFERROR(IF(I60="LeaseUp",H60*D60*(1+GrowthMarketRent)^0*IF(0=0,(12-DowntimeNew)/12,1),IF(F60="",0,IF(F60&gt;=DATE(2027+0,4,30),G60*D60*(1+EscalatorInLease)^(0+M60),IF(F60&lt;DATE(2026+0,5,1),IF(I60="Vacate",H60*D60*(1+GrowthMarketRent)^0*IF(INT((DATE(2026+0,10,31)-F60)/365.25)=0,(12-DowntimeNew)/12,1),IF(I60="Option",G60*D60*1.025*(1+EscalatorInLease)^0,IF(I60="Market",Retention*G60*D60*(1+EscalatorInLease)^(0+M60)+(1-Retention)*H60*D60*(1+GrowthMarketRent)^0*IF(INT((DATE(2026+0,10,31)-F60)/365.25)=0,(12-DowntimeNew)/12,1),IF(I60="LeaseUp",H60*D60*(1+GrowthMarketRent)^0*IF(0=0,(12-DowntimeNew)/12,1),0)))),((F60-DATE(2026+0,5,1))/365.25)*G60*D60*(1+EscalatorInLease)^(0+M60)+((DATE(2027+0,4,30)-F60)/365.25)*IF(I60="Vacate",H60*D60*(1+GrowthMarketRent)^0*IF(INT((DATE(2026+0,10,31)-F60)/365.25)=0,(12-DowntimeNew)/12,1),IF(I60="Option",G60*D60*1.025*(1+EscalatorInLease)^0,IF(I60="Market",Retention*G60*D60*(1+EscalatorInLease)^(0+M60)+(1-Retention)*H60*D60*(1+GrowthMarketRent)^0*IF(INT((DATE(2026+0,10,31)-F60)/365.25)=0,(12-DowntimeNew)/12,1),IF(I60="LeaseUp",H60*D60*(1+GrowthMarketRent)^0*IF(0=0,(12-DowntimeNew)/12,1),0)))))))),0)</f>
        <v/>
      </c>
      <c r="O60" s="14">
        <f>IFERROR(IF(I60="LeaseUp",H60*D60*(1+GrowthMarketRent)^1*IF(1=0,(12-DowntimeNew)/12,1),IF(F60="",0,IF(F60&gt;=DATE(2027+1,4,30),G60*D60*(1+EscalatorInLease)^(1+M60),IF(F60&lt;DATE(2026+1,5,1),IF(I60="Vacate",H60*D60*(1+GrowthMarketRent)^1*IF(INT((DATE(2026+1,10,31)-F60)/365.25)=0,(12-DowntimeNew)/12,1),IF(I60="Option",G60*D60*1.025*(1+EscalatorInLease)^1,IF(I60="Market",Retention*G60*D60*(1+EscalatorInLease)^(1+M60)+(1-Retention)*H60*D60*(1+GrowthMarketRent)^1*IF(INT((DATE(2026+1,10,31)-F60)/365.25)=0,(12-DowntimeNew)/12,1),IF(I60="LeaseUp",H60*D60*(1+GrowthMarketRent)^1*IF(1=0,(12-DowntimeNew)/12,1),0)))),((F60-DATE(2026+1,5,1))/365.25)*G60*D60*(1+EscalatorInLease)^(1+M60)+((DATE(2027+1,4,30)-F60)/365.25)*IF(I60="Vacate",H60*D60*(1+GrowthMarketRent)^1*IF(INT((DATE(2026+1,10,31)-F60)/365.25)=0,(12-DowntimeNew)/12,1),IF(I60="Option",G60*D60*1.025*(1+EscalatorInLease)^1,IF(I60="Market",Retention*G60*D60*(1+EscalatorInLease)^(1+M60)+(1-Retention)*H60*D60*(1+GrowthMarketRent)^1*IF(INT((DATE(2026+1,10,31)-F60)/365.25)=0,(12-DowntimeNew)/12,1),IF(I60="LeaseUp",H60*D60*(1+GrowthMarketRent)^1*IF(1=0,(12-DowntimeNew)/12,1),0)))))))),0)</f>
        <v/>
      </c>
      <c r="P60" s="14">
        <f>IFERROR(IF(I60="LeaseUp",H60*D60*(1+GrowthMarketRent)^2*IF(2=0,(12-DowntimeNew)/12,1),IF(F60="",0,IF(F60&gt;=DATE(2027+2,4,30),G60*D60*(1+EscalatorInLease)^(2+M60),IF(F60&lt;DATE(2026+2,5,1),IF(I60="Vacate",H60*D60*(1+GrowthMarketRent)^2*IF(INT((DATE(2026+2,10,31)-F60)/365.25)=0,(12-DowntimeNew)/12,1),IF(I60="Option",G60*D60*1.025*(1+EscalatorInLease)^2,IF(I60="Market",Retention*G60*D60*(1+EscalatorInLease)^(2+M60)+(1-Retention)*H60*D60*(1+GrowthMarketRent)^2*IF(INT((DATE(2026+2,10,31)-F60)/365.25)=0,(12-DowntimeNew)/12,1),IF(I60="LeaseUp",H60*D60*(1+GrowthMarketRent)^2*IF(2=0,(12-DowntimeNew)/12,1),0)))),((F60-DATE(2026+2,5,1))/365.25)*G60*D60*(1+EscalatorInLease)^(2+M60)+((DATE(2027+2,4,30)-F60)/365.25)*IF(I60="Vacate",H60*D60*(1+GrowthMarketRent)^2*IF(INT((DATE(2026+2,10,31)-F60)/365.25)=0,(12-DowntimeNew)/12,1),IF(I60="Option",G60*D60*1.025*(1+EscalatorInLease)^2,IF(I60="Market",Retention*G60*D60*(1+EscalatorInLease)^(2+M60)+(1-Retention)*H60*D60*(1+GrowthMarketRent)^2*IF(INT((DATE(2026+2,10,31)-F60)/365.25)=0,(12-DowntimeNew)/12,1),IF(I60="LeaseUp",H60*D60*(1+GrowthMarketRent)^2*IF(2=0,(12-DowntimeNew)/12,1),0)))))))),0)</f>
        <v/>
      </c>
      <c r="Q60" s="14">
        <f>IFERROR(IF(I60="LeaseUp",H60*D60*(1+GrowthMarketRent)^3*IF(3=0,(12-DowntimeNew)/12,1),IF(F60="",0,IF(F60&gt;=DATE(2027+3,4,30),G60*D60*(1+EscalatorInLease)^(3+M60),IF(F60&lt;DATE(2026+3,5,1),IF(I60="Vacate",H60*D60*(1+GrowthMarketRent)^3*IF(INT((DATE(2026+3,10,31)-F60)/365.25)=0,(12-DowntimeNew)/12,1),IF(I60="Option",G60*D60*1.025*(1+EscalatorInLease)^3,IF(I60="Market",Retention*G60*D60*(1+EscalatorInLease)^(3+M60)+(1-Retention)*H60*D60*(1+GrowthMarketRent)^3*IF(INT((DATE(2026+3,10,31)-F60)/365.25)=0,(12-DowntimeNew)/12,1),IF(I60="LeaseUp",H60*D60*(1+GrowthMarketRent)^3*IF(3=0,(12-DowntimeNew)/12,1),0)))),((F60-DATE(2026+3,5,1))/365.25)*G60*D60*(1+EscalatorInLease)^(3+M60)+((DATE(2027+3,4,30)-F60)/365.25)*IF(I60="Vacate",H60*D60*(1+GrowthMarketRent)^3*IF(INT((DATE(2026+3,10,31)-F60)/365.25)=0,(12-DowntimeNew)/12,1),IF(I60="Option",G60*D60*1.025*(1+EscalatorInLease)^3,IF(I60="Market",Retention*G60*D60*(1+EscalatorInLease)^(3+M60)+(1-Retention)*H60*D60*(1+GrowthMarketRent)^3*IF(INT((DATE(2026+3,10,31)-F60)/365.25)=0,(12-DowntimeNew)/12,1),IF(I60="LeaseUp",H60*D60*(1+GrowthMarketRent)^3*IF(3=0,(12-DowntimeNew)/12,1),0)))))))),0)</f>
        <v/>
      </c>
      <c r="R60" s="14">
        <f>IFERROR(IF(I60="LeaseUp",H60*D60*(1+GrowthMarketRent)^4*IF(4=0,(12-DowntimeNew)/12,1),IF(F60="",0,IF(F60&gt;=DATE(2027+4,4,30),G60*D60*(1+EscalatorInLease)^(4+M60),IF(F60&lt;DATE(2026+4,5,1),IF(I60="Vacate",H60*D60*(1+GrowthMarketRent)^4*IF(INT((DATE(2026+4,10,31)-F60)/365.25)=0,(12-DowntimeNew)/12,1),IF(I60="Option",G60*D60*1.025*(1+EscalatorInLease)^4,IF(I60="Market",Retention*G60*D60*(1+EscalatorInLease)^(4+M60)+(1-Retention)*H60*D60*(1+GrowthMarketRent)^4*IF(INT((DATE(2026+4,10,31)-F60)/365.25)=0,(12-DowntimeNew)/12,1),IF(I60="LeaseUp",H60*D60*(1+GrowthMarketRent)^4*IF(4=0,(12-DowntimeNew)/12,1),0)))),((F60-DATE(2026+4,5,1))/365.25)*G60*D60*(1+EscalatorInLease)^(4+M60)+((DATE(2027+4,4,30)-F60)/365.25)*IF(I60="Vacate",H60*D60*(1+GrowthMarketRent)^4*IF(INT((DATE(2026+4,10,31)-F60)/365.25)=0,(12-DowntimeNew)/12,1),IF(I60="Option",G60*D60*1.025*(1+EscalatorInLease)^4,IF(I60="Market",Retention*G60*D60*(1+EscalatorInLease)^(4+M60)+(1-Retention)*H60*D60*(1+GrowthMarketRent)^4*IF(INT((DATE(2026+4,10,31)-F60)/365.25)=0,(12-DowntimeNew)/12,1),IF(I60="LeaseUp",H60*D60*(1+GrowthMarketRent)^4*IF(4=0,(12-DowntimeNew)/12,1),0)))))))),0)</f>
        <v/>
      </c>
      <c r="S60" s="14">
        <f>IFERROR(IF(I60="LeaseUp",H60*D60*(1+GrowthMarketRent)^5*IF(5=0,(12-DowntimeNew)/12,1),IF(F60="",0,IF(F60&gt;=DATE(2027+5,4,30),G60*D60*(1+EscalatorInLease)^(5+M60),IF(F60&lt;DATE(2026+5,5,1),IF(I60="Vacate",H60*D60*(1+GrowthMarketRent)^5*IF(INT((DATE(2026+5,10,31)-F60)/365.25)=0,(12-DowntimeNew)/12,1),IF(I60="Option",G60*D60*1.025*(1+EscalatorInLease)^5,IF(I60="Market",Retention*G60*D60*(1+EscalatorInLease)^(5+M60)+(1-Retention)*H60*D60*(1+GrowthMarketRent)^5*IF(INT((DATE(2026+5,10,31)-F60)/365.25)=0,(12-DowntimeNew)/12,1),IF(I60="LeaseUp",H60*D60*(1+GrowthMarketRent)^5*IF(5=0,(12-DowntimeNew)/12,1),0)))),((F60-DATE(2026+5,5,1))/365.25)*G60*D60*(1+EscalatorInLease)^(5+M60)+((DATE(2027+5,4,30)-F60)/365.25)*IF(I60="Vacate",H60*D60*(1+GrowthMarketRent)^5*IF(INT((DATE(2026+5,10,31)-F60)/365.25)=0,(12-DowntimeNew)/12,1),IF(I60="Option",G60*D60*1.025*(1+EscalatorInLease)^5,IF(I60="Market",Retention*G60*D60*(1+EscalatorInLease)^(5+M60)+(1-Retention)*H60*D60*(1+GrowthMarketRent)^5*IF(INT((DATE(2026+5,10,31)-F60)/365.25)=0,(12-DowntimeNew)/12,1),IF(I60="LeaseUp",H60*D60*(1+GrowthMarketRent)^5*IF(5=0,(12-DowntimeNew)/12,1),0)))))))),0)</f>
        <v/>
      </c>
      <c r="T60" s="14">
        <f>IFERROR(IF(I60="LeaseUp",H60*D60*(1+GrowthMarketRent)^6*IF(6=0,(12-DowntimeNew)/12,1),IF(F60="",0,IF(F60&gt;=DATE(2027+6,4,30),G60*D60*(1+EscalatorInLease)^(6+M60),IF(F60&lt;DATE(2026+6,5,1),IF(I60="Vacate",H60*D60*(1+GrowthMarketRent)^6*IF(INT((DATE(2026+6,10,31)-F60)/365.25)=0,(12-DowntimeNew)/12,1),IF(I60="Option",G60*D60*1.025*(1+EscalatorInLease)^6,IF(I60="Market",Retention*G60*D60*(1+EscalatorInLease)^(6+M60)+(1-Retention)*H60*D60*(1+GrowthMarketRent)^6*IF(INT((DATE(2026+6,10,31)-F60)/365.25)=0,(12-DowntimeNew)/12,1),IF(I60="LeaseUp",H60*D60*(1+GrowthMarketRent)^6*IF(6=0,(12-DowntimeNew)/12,1),0)))),((F60-DATE(2026+6,5,1))/365.25)*G60*D60*(1+EscalatorInLease)^(6+M60)+((DATE(2027+6,4,30)-F60)/365.25)*IF(I60="Vacate",H60*D60*(1+GrowthMarketRent)^6*IF(INT((DATE(2026+6,10,31)-F60)/365.25)=0,(12-DowntimeNew)/12,1),IF(I60="Option",G60*D60*1.025*(1+EscalatorInLease)^6,IF(I60="Market",Retention*G60*D60*(1+EscalatorInLease)^(6+M60)+(1-Retention)*H60*D60*(1+GrowthMarketRent)^6*IF(INT((DATE(2026+6,10,31)-F60)/365.25)=0,(12-DowntimeNew)/12,1),IF(I60="LeaseUp",H60*D60*(1+GrowthMarketRent)^6*IF(6=0,(12-DowntimeNew)/12,1),0)))))))),0)</f>
        <v/>
      </c>
      <c r="U60" s="14">
        <f>IFERROR(IF(I60="LeaseUp",H60*D60*(1+GrowthMarketRent)^7*IF(7=0,(12-DowntimeNew)/12,1),IF(F60="",0,IF(F60&gt;=DATE(2027+7,4,30),G60*D60*(1+EscalatorInLease)^(7+M60),IF(F60&lt;DATE(2026+7,5,1),IF(I60="Vacate",H60*D60*(1+GrowthMarketRent)^7*IF(INT((DATE(2026+7,10,31)-F60)/365.25)=0,(12-DowntimeNew)/12,1),IF(I60="Option",G60*D60*1.025*(1+EscalatorInLease)^7,IF(I60="Market",Retention*G60*D60*(1+EscalatorInLease)^(7+M60)+(1-Retention)*H60*D60*(1+GrowthMarketRent)^7*IF(INT((DATE(2026+7,10,31)-F60)/365.25)=0,(12-DowntimeNew)/12,1),IF(I60="LeaseUp",H60*D60*(1+GrowthMarketRent)^7*IF(7=0,(12-DowntimeNew)/12,1),0)))),((F60-DATE(2026+7,5,1))/365.25)*G60*D60*(1+EscalatorInLease)^(7+M60)+((DATE(2027+7,4,30)-F60)/365.25)*IF(I60="Vacate",H60*D60*(1+GrowthMarketRent)^7*IF(INT((DATE(2026+7,10,31)-F60)/365.25)=0,(12-DowntimeNew)/12,1),IF(I60="Option",G60*D60*1.025*(1+EscalatorInLease)^7,IF(I60="Market",Retention*G60*D60*(1+EscalatorInLease)^(7+M60)+(1-Retention)*H60*D60*(1+GrowthMarketRent)^7*IF(INT((DATE(2026+7,10,31)-F60)/365.25)=0,(12-DowntimeNew)/12,1),IF(I60="LeaseUp",H60*D60*(1+GrowthMarketRent)^7*IF(7=0,(12-DowntimeNew)/12,1),0)))))))),0)</f>
        <v/>
      </c>
      <c r="V60" s="14">
        <f>IFERROR(IF(I60="LeaseUp",H60*D60*(1+GrowthMarketRent)^8*IF(8=0,(12-DowntimeNew)/12,1),IF(F60="",0,IF(F60&gt;=DATE(2027+8,4,30),G60*D60*(1+EscalatorInLease)^(8+M60),IF(F60&lt;DATE(2026+8,5,1),IF(I60="Vacate",H60*D60*(1+GrowthMarketRent)^8*IF(INT((DATE(2026+8,10,31)-F60)/365.25)=0,(12-DowntimeNew)/12,1),IF(I60="Option",G60*D60*1.025*(1+EscalatorInLease)^8,IF(I60="Market",Retention*G60*D60*(1+EscalatorInLease)^(8+M60)+(1-Retention)*H60*D60*(1+GrowthMarketRent)^8*IF(INT((DATE(2026+8,10,31)-F60)/365.25)=0,(12-DowntimeNew)/12,1),IF(I60="LeaseUp",H60*D60*(1+GrowthMarketRent)^8*IF(8=0,(12-DowntimeNew)/12,1),0)))),((F60-DATE(2026+8,5,1))/365.25)*G60*D60*(1+EscalatorInLease)^(8+M60)+((DATE(2027+8,4,30)-F60)/365.25)*IF(I60="Vacate",H60*D60*(1+GrowthMarketRent)^8*IF(INT((DATE(2026+8,10,31)-F60)/365.25)=0,(12-DowntimeNew)/12,1),IF(I60="Option",G60*D60*1.025*(1+EscalatorInLease)^8,IF(I60="Market",Retention*G60*D60*(1+EscalatorInLease)^(8+M60)+(1-Retention)*H60*D60*(1+GrowthMarketRent)^8*IF(INT((DATE(2026+8,10,31)-F60)/365.25)=0,(12-DowntimeNew)/12,1),IF(I60="LeaseUp",H60*D60*(1+GrowthMarketRent)^8*IF(8=0,(12-DowntimeNew)/12,1),0)))))))),0)</f>
        <v/>
      </c>
      <c r="W60" s="14">
        <f>IFERROR(IF(I60="LeaseUp",H60*D60*(1+GrowthMarketRent)^9*IF(9=0,(12-DowntimeNew)/12,1),IF(F60="",0,IF(F60&gt;=DATE(2027+9,4,30),G60*D60*(1+EscalatorInLease)^(9+M60),IF(F60&lt;DATE(2026+9,5,1),IF(I60="Vacate",H60*D60*(1+GrowthMarketRent)^9*IF(INT((DATE(2026+9,10,31)-F60)/365.25)=0,(12-DowntimeNew)/12,1),IF(I60="Option",G60*D60*1.025*(1+EscalatorInLease)^9,IF(I60="Market",Retention*G60*D60*(1+EscalatorInLease)^(9+M60)+(1-Retention)*H60*D60*(1+GrowthMarketRent)^9*IF(INT((DATE(2026+9,10,31)-F60)/365.25)=0,(12-DowntimeNew)/12,1),IF(I60="LeaseUp",H60*D60*(1+GrowthMarketRent)^9*IF(9=0,(12-DowntimeNew)/12,1),0)))),((F60-DATE(2026+9,5,1))/365.25)*G60*D60*(1+EscalatorInLease)^(9+M60)+((DATE(2027+9,4,30)-F60)/365.25)*IF(I60="Vacate",H60*D60*(1+GrowthMarketRent)^9*IF(INT((DATE(2026+9,10,31)-F60)/365.25)=0,(12-DowntimeNew)/12,1),IF(I60="Option",G60*D60*1.025*(1+EscalatorInLease)^9,IF(I60="Market",Retention*G60*D60*(1+EscalatorInLease)^(9+M60)+(1-Retention)*H60*D60*(1+GrowthMarketRent)^9*IF(INT((DATE(2026+9,10,31)-F60)/365.25)=0,(12-DowntimeNew)/12,1),IF(I60="LeaseUp",H60*D60*(1+GrowthMarketRent)^9*IF(9=0,(12-DowntimeNew)/12,1),0)))))))),0)</f>
        <v/>
      </c>
      <c r="X60" s="14">
        <f>IFERROR(IF(I60="LeaseUp",H60*D60*(1+GrowthMarketRent)^10*IF(10=0,(12-DowntimeNew)/12,1),IF(F60="",0,IF(F60&gt;=DATE(2027+10,4,30),G60*D60*(1+EscalatorInLease)^(10+M60),IF(F60&lt;DATE(2026+10,5,1),IF(I60="Vacate",H60*D60*(1+GrowthMarketRent)^10*IF(INT((DATE(2026+10,10,31)-F60)/365.25)=0,(12-DowntimeNew)/12,1),IF(I60="Option",G60*D60*1.025*(1+EscalatorInLease)^10,IF(I60="Market",Retention*G60*D60*(1+EscalatorInLease)^(10+M60)+(1-Retention)*H60*D60*(1+GrowthMarketRent)^10*IF(INT((DATE(2026+10,10,31)-F60)/365.25)=0,(12-DowntimeNew)/12,1),IF(I60="LeaseUp",H60*D60*(1+GrowthMarketRent)^10*IF(10=0,(12-DowntimeNew)/12,1),0)))),((F60-DATE(2026+10,5,1))/365.25)*G60*D60*(1+EscalatorInLease)^(10+M60)+((DATE(2027+10,4,30)-F60)/365.25)*IF(I60="Vacate",H60*D60*(1+GrowthMarketRent)^10*IF(INT((DATE(2026+10,10,31)-F60)/365.25)=0,(12-DowntimeNew)/12,1),IF(I60="Option",G60*D60*1.025*(1+EscalatorInLease)^10,IF(I60="Market",Retention*G60*D60*(1+EscalatorInLease)^(10+M60)+(1-Retention)*H60*D60*(1+GrowthMarketRent)^10*IF(INT((DATE(2026+10,10,31)-F60)/365.25)=0,(12-DowntimeNew)/12,1),IF(I60="LeaseUp",H60*D60*(1+GrowthMarketRent)^10*IF(10=0,(12-DowntimeNew)/12,1),0)))))))),0)</f>
        <v/>
      </c>
      <c r="Y60" s="14">
        <f>IFERROR(IF(AND(I60="LeaseUp",0=0),(IF(I60="Vacate",TINew*D60,IF(I60="Market",Retention*TIRenewal*D60+(1-Retention)*TINew*D60,IF(I60="LeaseUp",TINew*D60,IF(I60="Option",TIRenewal*D60,0)))))+(IF(I60="Vacate",LCNew*H60*D60*(1+GrowthMarketRent)^0,IF(I60="Market",Retention*LCRenewal*H60*D60*(1+GrowthMarketRent)^0+(1-Retention)*LCNew*H60*D60*(1+GrowthMarketRent)^0,IF(I60="LeaseUp",LCNew*H60*D60*(1+GrowthMarketRent)^0,IF(I60="Option",LCRenewal*H60*D60*(1+GrowthMarketRent)^0,0))))),IF(F60="",0,IF(AND(F60&gt;=DATE(2026+0,5,1),F60&lt;=DATE(2027+0,4,30)),(IF(I60="Vacate",TINew*D60,IF(I60="Market",Retention*TIRenewal*D60+(1-Retention)*TINew*D60,IF(I60="LeaseUp",TINew*D60,IF(I60="Option",TIRenewal*D60,0)))))+(IF(I60="Vacate",LCNew*H60*D60*(1+GrowthMarketRent)^0,IF(I60="Market",Retention*LCRenewal*H60*D60*(1+GrowthMarketRent)^0+(1-Retention)*LCNew*H60*D60*(1+GrowthMarketRent)^0,IF(I60="LeaseUp",LCNew*H60*D60*(1+GrowthMarketRent)^0,IF(I60="Option",LCRenewal*H60*D60*(1+GrowthMarketRent)^0,0))))),0))),0)</f>
        <v/>
      </c>
      <c r="Z60" s="14">
        <f>IFERROR(IF(AND(I60="LeaseUp",1=0),(IF(I60="Vacate",TINew*D60,IF(I60="Market",Retention*TIRenewal*D60+(1-Retention)*TINew*D60,IF(I60="LeaseUp",TINew*D60,IF(I60="Option",TIRenewal*D60,0)))))+(IF(I60="Vacate",LCNew*H60*D60*(1+GrowthMarketRent)^1,IF(I60="Market",Retention*LCRenewal*H60*D60*(1+GrowthMarketRent)^1+(1-Retention)*LCNew*H60*D60*(1+GrowthMarketRent)^1,IF(I60="LeaseUp",LCNew*H60*D60*(1+GrowthMarketRent)^1,IF(I60="Option",LCRenewal*H60*D60*(1+GrowthMarketRent)^1,0))))),IF(F60="",0,IF(AND(F60&gt;=DATE(2026+1,5,1),F60&lt;=DATE(2027+1,4,30)),(IF(I60="Vacate",TINew*D60,IF(I60="Market",Retention*TIRenewal*D60+(1-Retention)*TINew*D60,IF(I60="LeaseUp",TINew*D60,IF(I60="Option",TIRenewal*D60,0)))))+(IF(I60="Vacate",LCNew*H60*D60*(1+GrowthMarketRent)^1,IF(I60="Market",Retention*LCRenewal*H60*D60*(1+GrowthMarketRent)^1+(1-Retention)*LCNew*H60*D60*(1+GrowthMarketRent)^1,IF(I60="LeaseUp",LCNew*H60*D60*(1+GrowthMarketRent)^1,IF(I60="Option",LCRenewal*H60*D60*(1+GrowthMarketRent)^1,0))))),0))),0)</f>
        <v/>
      </c>
      <c r="AA60" s="14">
        <f>IFERROR(IF(AND(I60="LeaseUp",2=0),(IF(I60="Vacate",TINew*D60,IF(I60="Market",Retention*TIRenewal*D60+(1-Retention)*TINew*D60,IF(I60="LeaseUp",TINew*D60,IF(I60="Option",TIRenewal*D60,0)))))+(IF(I60="Vacate",LCNew*H60*D60*(1+GrowthMarketRent)^2,IF(I60="Market",Retention*LCRenewal*H60*D60*(1+GrowthMarketRent)^2+(1-Retention)*LCNew*H60*D60*(1+GrowthMarketRent)^2,IF(I60="LeaseUp",LCNew*H60*D60*(1+GrowthMarketRent)^2,IF(I60="Option",LCRenewal*H60*D60*(1+GrowthMarketRent)^2,0))))),IF(F60="",0,IF(AND(F60&gt;=DATE(2026+2,5,1),F60&lt;=DATE(2027+2,4,30)),(IF(I60="Vacate",TINew*D60,IF(I60="Market",Retention*TIRenewal*D60+(1-Retention)*TINew*D60,IF(I60="LeaseUp",TINew*D60,IF(I60="Option",TIRenewal*D60,0)))))+(IF(I60="Vacate",LCNew*H60*D60*(1+GrowthMarketRent)^2,IF(I60="Market",Retention*LCRenewal*H60*D60*(1+GrowthMarketRent)^2+(1-Retention)*LCNew*H60*D60*(1+GrowthMarketRent)^2,IF(I60="LeaseUp",LCNew*H60*D60*(1+GrowthMarketRent)^2,IF(I60="Option",LCRenewal*H60*D60*(1+GrowthMarketRent)^2,0))))),0))),0)</f>
        <v/>
      </c>
      <c r="AB60" s="14">
        <f>IFERROR(IF(AND(I60="LeaseUp",3=0),(IF(I60="Vacate",TINew*D60,IF(I60="Market",Retention*TIRenewal*D60+(1-Retention)*TINew*D60,IF(I60="LeaseUp",TINew*D60,IF(I60="Option",TIRenewal*D60,0)))))+(IF(I60="Vacate",LCNew*H60*D60*(1+GrowthMarketRent)^3,IF(I60="Market",Retention*LCRenewal*H60*D60*(1+GrowthMarketRent)^3+(1-Retention)*LCNew*H60*D60*(1+GrowthMarketRent)^3,IF(I60="LeaseUp",LCNew*H60*D60*(1+GrowthMarketRent)^3,IF(I60="Option",LCRenewal*H60*D60*(1+GrowthMarketRent)^3,0))))),IF(F60="",0,IF(AND(F60&gt;=DATE(2026+3,5,1),F60&lt;=DATE(2027+3,4,30)),(IF(I60="Vacate",TINew*D60,IF(I60="Market",Retention*TIRenewal*D60+(1-Retention)*TINew*D60,IF(I60="LeaseUp",TINew*D60,IF(I60="Option",TIRenewal*D60,0)))))+(IF(I60="Vacate",LCNew*H60*D60*(1+GrowthMarketRent)^3,IF(I60="Market",Retention*LCRenewal*H60*D60*(1+GrowthMarketRent)^3+(1-Retention)*LCNew*H60*D60*(1+GrowthMarketRent)^3,IF(I60="LeaseUp",LCNew*H60*D60*(1+GrowthMarketRent)^3,IF(I60="Option",LCRenewal*H60*D60*(1+GrowthMarketRent)^3,0))))),0))),0)</f>
        <v/>
      </c>
      <c r="AC60" s="14">
        <f>IFERROR(IF(AND(I60="LeaseUp",4=0),(IF(I60="Vacate",TINew*D60,IF(I60="Market",Retention*TIRenewal*D60+(1-Retention)*TINew*D60,IF(I60="LeaseUp",TINew*D60,IF(I60="Option",TIRenewal*D60,0)))))+(IF(I60="Vacate",LCNew*H60*D60*(1+GrowthMarketRent)^4,IF(I60="Market",Retention*LCRenewal*H60*D60*(1+GrowthMarketRent)^4+(1-Retention)*LCNew*H60*D60*(1+GrowthMarketRent)^4,IF(I60="LeaseUp",LCNew*H60*D60*(1+GrowthMarketRent)^4,IF(I60="Option",LCRenewal*H60*D60*(1+GrowthMarketRent)^4,0))))),IF(F60="",0,IF(AND(F60&gt;=DATE(2026+4,5,1),F60&lt;=DATE(2027+4,4,30)),(IF(I60="Vacate",TINew*D60,IF(I60="Market",Retention*TIRenewal*D60+(1-Retention)*TINew*D60,IF(I60="LeaseUp",TINew*D60,IF(I60="Option",TIRenewal*D60,0)))))+(IF(I60="Vacate",LCNew*H60*D60*(1+GrowthMarketRent)^4,IF(I60="Market",Retention*LCRenewal*H60*D60*(1+GrowthMarketRent)^4+(1-Retention)*LCNew*H60*D60*(1+GrowthMarketRent)^4,IF(I60="LeaseUp",LCNew*H60*D60*(1+GrowthMarketRent)^4,IF(I60="Option",LCRenewal*H60*D60*(1+GrowthMarketRent)^4,0))))),0))),0)</f>
        <v/>
      </c>
      <c r="AD60" s="14">
        <f>IFERROR(IF(AND(I60="LeaseUp",5=0),(IF(I60="Vacate",TINew*D60,IF(I60="Market",Retention*TIRenewal*D60+(1-Retention)*TINew*D60,IF(I60="LeaseUp",TINew*D60,IF(I60="Option",TIRenewal*D60,0)))))+(IF(I60="Vacate",LCNew*H60*D60*(1+GrowthMarketRent)^5,IF(I60="Market",Retention*LCRenewal*H60*D60*(1+GrowthMarketRent)^5+(1-Retention)*LCNew*H60*D60*(1+GrowthMarketRent)^5,IF(I60="LeaseUp",LCNew*H60*D60*(1+GrowthMarketRent)^5,IF(I60="Option",LCRenewal*H60*D60*(1+GrowthMarketRent)^5,0))))),IF(F60="",0,IF(AND(F60&gt;=DATE(2026+5,5,1),F60&lt;=DATE(2027+5,4,30)),(IF(I60="Vacate",TINew*D60,IF(I60="Market",Retention*TIRenewal*D60+(1-Retention)*TINew*D60,IF(I60="LeaseUp",TINew*D60,IF(I60="Option",TIRenewal*D60,0)))))+(IF(I60="Vacate",LCNew*H60*D60*(1+GrowthMarketRent)^5,IF(I60="Market",Retention*LCRenewal*H60*D60*(1+GrowthMarketRent)^5+(1-Retention)*LCNew*H60*D60*(1+GrowthMarketRent)^5,IF(I60="LeaseUp",LCNew*H60*D60*(1+GrowthMarketRent)^5,IF(I60="Option",LCRenewal*H60*D60*(1+GrowthMarketRent)^5,0))))),0))),0)</f>
        <v/>
      </c>
      <c r="AE60" s="14">
        <f>IFERROR(IF(AND(I60="LeaseUp",6=0),(IF(I60="Vacate",TINew*D60,IF(I60="Market",Retention*TIRenewal*D60+(1-Retention)*TINew*D60,IF(I60="LeaseUp",TINew*D60,IF(I60="Option",TIRenewal*D60,0)))))+(IF(I60="Vacate",LCNew*H60*D60*(1+GrowthMarketRent)^6,IF(I60="Market",Retention*LCRenewal*H60*D60*(1+GrowthMarketRent)^6+(1-Retention)*LCNew*H60*D60*(1+GrowthMarketRent)^6,IF(I60="LeaseUp",LCNew*H60*D60*(1+GrowthMarketRent)^6,IF(I60="Option",LCRenewal*H60*D60*(1+GrowthMarketRent)^6,0))))),IF(F60="",0,IF(AND(F60&gt;=DATE(2026+6,5,1),F60&lt;=DATE(2027+6,4,30)),(IF(I60="Vacate",TINew*D60,IF(I60="Market",Retention*TIRenewal*D60+(1-Retention)*TINew*D60,IF(I60="LeaseUp",TINew*D60,IF(I60="Option",TIRenewal*D60,0)))))+(IF(I60="Vacate",LCNew*H60*D60*(1+GrowthMarketRent)^6,IF(I60="Market",Retention*LCRenewal*H60*D60*(1+GrowthMarketRent)^6+(1-Retention)*LCNew*H60*D60*(1+GrowthMarketRent)^6,IF(I60="LeaseUp",LCNew*H60*D60*(1+GrowthMarketRent)^6,IF(I60="Option",LCRenewal*H60*D60*(1+GrowthMarketRent)^6,0))))),0))),0)</f>
        <v/>
      </c>
      <c r="AF60" s="14">
        <f>IFERROR(IF(AND(I60="LeaseUp",7=0),(IF(I60="Vacate",TINew*D60,IF(I60="Market",Retention*TIRenewal*D60+(1-Retention)*TINew*D60,IF(I60="LeaseUp",TINew*D60,IF(I60="Option",TIRenewal*D60,0)))))+(IF(I60="Vacate",LCNew*H60*D60*(1+GrowthMarketRent)^7,IF(I60="Market",Retention*LCRenewal*H60*D60*(1+GrowthMarketRent)^7+(1-Retention)*LCNew*H60*D60*(1+GrowthMarketRent)^7,IF(I60="LeaseUp",LCNew*H60*D60*(1+GrowthMarketRent)^7,IF(I60="Option",LCRenewal*H60*D60*(1+GrowthMarketRent)^7,0))))),IF(F60="",0,IF(AND(F60&gt;=DATE(2026+7,5,1),F60&lt;=DATE(2027+7,4,30)),(IF(I60="Vacate",TINew*D60,IF(I60="Market",Retention*TIRenewal*D60+(1-Retention)*TINew*D60,IF(I60="LeaseUp",TINew*D60,IF(I60="Option",TIRenewal*D60,0)))))+(IF(I60="Vacate",LCNew*H60*D60*(1+GrowthMarketRent)^7,IF(I60="Market",Retention*LCRenewal*H60*D60*(1+GrowthMarketRent)^7+(1-Retention)*LCNew*H60*D60*(1+GrowthMarketRent)^7,IF(I60="LeaseUp",LCNew*H60*D60*(1+GrowthMarketRent)^7,IF(I60="Option",LCRenewal*H60*D60*(1+GrowthMarketRent)^7,0))))),0))),0)</f>
        <v/>
      </c>
      <c r="AG60" s="14">
        <f>IFERROR(IF(AND(I60="LeaseUp",8=0),(IF(I60="Vacate",TINew*D60,IF(I60="Market",Retention*TIRenewal*D60+(1-Retention)*TINew*D60,IF(I60="LeaseUp",TINew*D60,IF(I60="Option",TIRenewal*D60,0)))))+(IF(I60="Vacate",LCNew*H60*D60*(1+GrowthMarketRent)^8,IF(I60="Market",Retention*LCRenewal*H60*D60*(1+GrowthMarketRent)^8+(1-Retention)*LCNew*H60*D60*(1+GrowthMarketRent)^8,IF(I60="LeaseUp",LCNew*H60*D60*(1+GrowthMarketRent)^8,IF(I60="Option",LCRenewal*H60*D60*(1+GrowthMarketRent)^8,0))))),IF(F60="",0,IF(AND(F60&gt;=DATE(2026+8,5,1),F60&lt;=DATE(2027+8,4,30)),(IF(I60="Vacate",TINew*D60,IF(I60="Market",Retention*TIRenewal*D60+(1-Retention)*TINew*D60,IF(I60="LeaseUp",TINew*D60,IF(I60="Option",TIRenewal*D60,0)))))+(IF(I60="Vacate",LCNew*H60*D60*(1+GrowthMarketRent)^8,IF(I60="Market",Retention*LCRenewal*H60*D60*(1+GrowthMarketRent)^8+(1-Retention)*LCNew*H60*D60*(1+GrowthMarketRent)^8,IF(I60="LeaseUp",LCNew*H60*D60*(1+GrowthMarketRent)^8,IF(I60="Option",LCRenewal*H60*D60*(1+GrowthMarketRent)^8,0))))),0))),0)</f>
        <v/>
      </c>
      <c r="AH60" s="14">
        <f>IFERROR(IF(AND(I60="LeaseUp",9=0),(IF(I60="Vacate",TINew*D60,IF(I60="Market",Retention*TIRenewal*D60+(1-Retention)*TINew*D60,IF(I60="LeaseUp",TINew*D60,IF(I60="Option",TIRenewal*D60,0)))))+(IF(I60="Vacate",LCNew*H60*D60*(1+GrowthMarketRent)^9,IF(I60="Market",Retention*LCRenewal*H60*D60*(1+GrowthMarketRent)^9+(1-Retention)*LCNew*H60*D60*(1+GrowthMarketRent)^9,IF(I60="LeaseUp",LCNew*H60*D60*(1+GrowthMarketRent)^9,IF(I60="Option",LCRenewal*H60*D60*(1+GrowthMarketRent)^9,0))))),IF(F60="",0,IF(AND(F60&gt;=DATE(2026+9,5,1),F60&lt;=DATE(2027+9,4,30)),(IF(I60="Vacate",TINew*D60,IF(I60="Market",Retention*TIRenewal*D60+(1-Retention)*TINew*D60,IF(I60="LeaseUp",TINew*D60,IF(I60="Option",TIRenewal*D60,0)))))+(IF(I60="Vacate",LCNew*H60*D60*(1+GrowthMarketRent)^9,IF(I60="Market",Retention*LCRenewal*H60*D60*(1+GrowthMarketRent)^9+(1-Retention)*LCNew*H60*D60*(1+GrowthMarketRent)^9,IF(I60="LeaseUp",LCNew*H60*D60*(1+GrowthMarketRent)^9,IF(I60="Option",LCRenewal*H60*D60*(1+GrowthMarketRent)^9,0))))),0))),0)</f>
        <v/>
      </c>
      <c r="AI60" s="14">
        <f>IFERROR(IF(AND(I60="LeaseUp",10=0),(IF(I60="Vacate",TINew*D60,IF(I60="Market",Retention*TIRenewal*D60+(1-Retention)*TINew*D60,IF(I60="LeaseUp",TINew*D60,IF(I60="Option",TIRenewal*D60,0)))))+(IF(I60="Vacate",LCNew*H60*D60*(1+GrowthMarketRent)^10,IF(I60="Market",Retention*LCRenewal*H60*D60*(1+GrowthMarketRent)^10+(1-Retention)*LCNew*H60*D60*(1+GrowthMarketRent)^10,IF(I60="LeaseUp",LCNew*H60*D60*(1+GrowthMarketRent)^10,IF(I60="Option",LCRenewal*H60*D60*(1+GrowthMarketRent)^10,0))))),IF(F60="",0,IF(AND(F60&gt;=DATE(2026+10,5,1),F60&lt;=DATE(2027+10,4,30)),(IF(I60="Vacate",TINew*D60,IF(I60="Market",Retention*TIRenewal*D60+(1-Retention)*TINew*D60,IF(I60="LeaseUp",TINew*D60,IF(I60="Option",TIRenewal*D60,0)))))+(IF(I60="Vacate",LCNew*H60*D60*(1+GrowthMarketRent)^10,IF(I60="Market",Retention*LCRenewal*H60*D60*(1+GrowthMarketRent)^10+(1-Retention)*LCNew*H60*D60*(1+GrowthMarketRent)^10,IF(I60="LeaseUp",LCNew*H60*D60*(1+GrowthMarketRent)^10,IF(I60="Option",LCRenewal*H60*D60*(1+GrowthMarketRent)^10,0))))),0))),0)</f>
        <v/>
      </c>
    </row>
    <row r="61">
      <c r="A61" t="inlineStr">
        <is>
          <t>Frisco</t>
        </is>
      </c>
      <c r="B61" t="inlineStr">
        <is>
          <t>210</t>
        </is>
      </c>
      <c r="C61" t="inlineStr">
        <is>
          <t>Fore Fathers Apparel LLC</t>
        </is>
      </c>
      <c r="D61" s="32" t="n">
        <v>2600</v>
      </c>
      <c r="E61" s="33" t="n">
        <v>45809</v>
      </c>
      <c r="F61" s="33" t="n">
        <v>47058</v>
      </c>
      <c r="G61" s="34" t="n">
        <v>18</v>
      </c>
      <c r="H61" s="16">
        <f>VLOOKUP(A61,MLA!$A$5:$L$11,3,FALSE)</f>
        <v/>
      </c>
      <c r="I61" s="11" t="inlineStr">
        <is>
          <t>Market</t>
        </is>
      </c>
      <c r="J61" t="inlineStr">
        <is>
          <t>Shop</t>
        </is>
      </c>
      <c r="K61" t="inlineStr">
        <is>
          <t>Occupied</t>
        </is>
      </c>
      <c r="L61" t="inlineStr">
        <is>
          <t>Guarantor: Haley Nosker</t>
        </is>
      </c>
      <c r="M61" s="20">
        <f>IF(E61="",0,(AnalysisStart-E61)/365.25)</f>
        <v/>
      </c>
      <c r="N61" s="14">
        <f>IFERROR(IF(I61="LeaseUp",H61*D61*(1+GrowthMarketRent)^0*IF(0=0,(12-DowntimeNew)/12,1),IF(F61="",0,IF(F61&gt;=DATE(2027+0,4,30),G61*D61*(1+EscalatorInLease)^(0+M61),IF(F61&lt;DATE(2026+0,5,1),IF(I61="Vacate",H61*D61*(1+GrowthMarketRent)^0*IF(INT((DATE(2026+0,10,31)-F61)/365.25)=0,(12-DowntimeNew)/12,1),IF(I61="Option",G61*D61*1.025*(1+EscalatorInLease)^0,IF(I61="Market",Retention*G61*D61*(1+EscalatorInLease)^(0+M61)+(1-Retention)*H61*D61*(1+GrowthMarketRent)^0*IF(INT((DATE(2026+0,10,31)-F61)/365.25)=0,(12-DowntimeNew)/12,1),IF(I61="LeaseUp",H61*D61*(1+GrowthMarketRent)^0*IF(0=0,(12-DowntimeNew)/12,1),0)))),((F61-DATE(2026+0,5,1))/365.25)*G61*D61*(1+EscalatorInLease)^(0+M61)+((DATE(2027+0,4,30)-F61)/365.25)*IF(I61="Vacate",H61*D61*(1+GrowthMarketRent)^0*IF(INT((DATE(2026+0,10,31)-F61)/365.25)=0,(12-DowntimeNew)/12,1),IF(I61="Option",G61*D61*1.025*(1+EscalatorInLease)^0,IF(I61="Market",Retention*G61*D61*(1+EscalatorInLease)^(0+M61)+(1-Retention)*H61*D61*(1+GrowthMarketRent)^0*IF(INT((DATE(2026+0,10,31)-F61)/365.25)=0,(12-DowntimeNew)/12,1),IF(I61="LeaseUp",H61*D61*(1+GrowthMarketRent)^0*IF(0=0,(12-DowntimeNew)/12,1),0)))))))),0)</f>
        <v/>
      </c>
      <c r="O61" s="14">
        <f>IFERROR(IF(I61="LeaseUp",H61*D61*(1+GrowthMarketRent)^1*IF(1=0,(12-DowntimeNew)/12,1),IF(F61="",0,IF(F61&gt;=DATE(2027+1,4,30),G61*D61*(1+EscalatorInLease)^(1+M61),IF(F61&lt;DATE(2026+1,5,1),IF(I61="Vacate",H61*D61*(1+GrowthMarketRent)^1*IF(INT((DATE(2026+1,10,31)-F61)/365.25)=0,(12-DowntimeNew)/12,1),IF(I61="Option",G61*D61*1.025*(1+EscalatorInLease)^1,IF(I61="Market",Retention*G61*D61*(1+EscalatorInLease)^(1+M61)+(1-Retention)*H61*D61*(1+GrowthMarketRent)^1*IF(INT((DATE(2026+1,10,31)-F61)/365.25)=0,(12-DowntimeNew)/12,1),IF(I61="LeaseUp",H61*D61*(1+GrowthMarketRent)^1*IF(1=0,(12-DowntimeNew)/12,1),0)))),((F61-DATE(2026+1,5,1))/365.25)*G61*D61*(1+EscalatorInLease)^(1+M61)+((DATE(2027+1,4,30)-F61)/365.25)*IF(I61="Vacate",H61*D61*(1+GrowthMarketRent)^1*IF(INT((DATE(2026+1,10,31)-F61)/365.25)=0,(12-DowntimeNew)/12,1),IF(I61="Option",G61*D61*1.025*(1+EscalatorInLease)^1,IF(I61="Market",Retention*G61*D61*(1+EscalatorInLease)^(1+M61)+(1-Retention)*H61*D61*(1+GrowthMarketRent)^1*IF(INT((DATE(2026+1,10,31)-F61)/365.25)=0,(12-DowntimeNew)/12,1),IF(I61="LeaseUp",H61*D61*(1+GrowthMarketRent)^1*IF(1=0,(12-DowntimeNew)/12,1),0)))))))),0)</f>
        <v/>
      </c>
      <c r="P61" s="14">
        <f>IFERROR(IF(I61="LeaseUp",H61*D61*(1+GrowthMarketRent)^2*IF(2=0,(12-DowntimeNew)/12,1),IF(F61="",0,IF(F61&gt;=DATE(2027+2,4,30),G61*D61*(1+EscalatorInLease)^(2+M61),IF(F61&lt;DATE(2026+2,5,1),IF(I61="Vacate",H61*D61*(1+GrowthMarketRent)^2*IF(INT((DATE(2026+2,10,31)-F61)/365.25)=0,(12-DowntimeNew)/12,1),IF(I61="Option",G61*D61*1.025*(1+EscalatorInLease)^2,IF(I61="Market",Retention*G61*D61*(1+EscalatorInLease)^(2+M61)+(1-Retention)*H61*D61*(1+GrowthMarketRent)^2*IF(INT((DATE(2026+2,10,31)-F61)/365.25)=0,(12-DowntimeNew)/12,1),IF(I61="LeaseUp",H61*D61*(1+GrowthMarketRent)^2*IF(2=0,(12-DowntimeNew)/12,1),0)))),((F61-DATE(2026+2,5,1))/365.25)*G61*D61*(1+EscalatorInLease)^(2+M61)+((DATE(2027+2,4,30)-F61)/365.25)*IF(I61="Vacate",H61*D61*(1+GrowthMarketRent)^2*IF(INT((DATE(2026+2,10,31)-F61)/365.25)=0,(12-DowntimeNew)/12,1),IF(I61="Option",G61*D61*1.025*(1+EscalatorInLease)^2,IF(I61="Market",Retention*G61*D61*(1+EscalatorInLease)^(2+M61)+(1-Retention)*H61*D61*(1+GrowthMarketRent)^2*IF(INT((DATE(2026+2,10,31)-F61)/365.25)=0,(12-DowntimeNew)/12,1),IF(I61="LeaseUp",H61*D61*(1+GrowthMarketRent)^2*IF(2=0,(12-DowntimeNew)/12,1),0)))))))),0)</f>
        <v/>
      </c>
      <c r="Q61" s="14">
        <f>IFERROR(IF(I61="LeaseUp",H61*D61*(1+GrowthMarketRent)^3*IF(3=0,(12-DowntimeNew)/12,1),IF(F61="",0,IF(F61&gt;=DATE(2027+3,4,30),G61*D61*(1+EscalatorInLease)^(3+M61),IF(F61&lt;DATE(2026+3,5,1),IF(I61="Vacate",H61*D61*(1+GrowthMarketRent)^3*IF(INT((DATE(2026+3,10,31)-F61)/365.25)=0,(12-DowntimeNew)/12,1),IF(I61="Option",G61*D61*1.025*(1+EscalatorInLease)^3,IF(I61="Market",Retention*G61*D61*(1+EscalatorInLease)^(3+M61)+(1-Retention)*H61*D61*(1+GrowthMarketRent)^3*IF(INT((DATE(2026+3,10,31)-F61)/365.25)=0,(12-DowntimeNew)/12,1),IF(I61="LeaseUp",H61*D61*(1+GrowthMarketRent)^3*IF(3=0,(12-DowntimeNew)/12,1),0)))),((F61-DATE(2026+3,5,1))/365.25)*G61*D61*(1+EscalatorInLease)^(3+M61)+((DATE(2027+3,4,30)-F61)/365.25)*IF(I61="Vacate",H61*D61*(1+GrowthMarketRent)^3*IF(INT((DATE(2026+3,10,31)-F61)/365.25)=0,(12-DowntimeNew)/12,1),IF(I61="Option",G61*D61*1.025*(1+EscalatorInLease)^3,IF(I61="Market",Retention*G61*D61*(1+EscalatorInLease)^(3+M61)+(1-Retention)*H61*D61*(1+GrowthMarketRent)^3*IF(INT((DATE(2026+3,10,31)-F61)/365.25)=0,(12-DowntimeNew)/12,1),IF(I61="LeaseUp",H61*D61*(1+GrowthMarketRent)^3*IF(3=0,(12-DowntimeNew)/12,1),0)))))))),0)</f>
        <v/>
      </c>
      <c r="R61" s="14">
        <f>IFERROR(IF(I61="LeaseUp",H61*D61*(1+GrowthMarketRent)^4*IF(4=0,(12-DowntimeNew)/12,1),IF(F61="",0,IF(F61&gt;=DATE(2027+4,4,30),G61*D61*(1+EscalatorInLease)^(4+M61),IF(F61&lt;DATE(2026+4,5,1),IF(I61="Vacate",H61*D61*(1+GrowthMarketRent)^4*IF(INT((DATE(2026+4,10,31)-F61)/365.25)=0,(12-DowntimeNew)/12,1),IF(I61="Option",G61*D61*1.025*(1+EscalatorInLease)^4,IF(I61="Market",Retention*G61*D61*(1+EscalatorInLease)^(4+M61)+(1-Retention)*H61*D61*(1+GrowthMarketRent)^4*IF(INT((DATE(2026+4,10,31)-F61)/365.25)=0,(12-DowntimeNew)/12,1),IF(I61="LeaseUp",H61*D61*(1+GrowthMarketRent)^4*IF(4=0,(12-DowntimeNew)/12,1),0)))),((F61-DATE(2026+4,5,1))/365.25)*G61*D61*(1+EscalatorInLease)^(4+M61)+((DATE(2027+4,4,30)-F61)/365.25)*IF(I61="Vacate",H61*D61*(1+GrowthMarketRent)^4*IF(INT((DATE(2026+4,10,31)-F61)/365.25)=0,(12-DowntimeNew)/12,1),IF(I61="Option",G61*D61*1.025*(1+EscalatorInLease)^4,IF(I61="Market",Retention*G61*D61*(1+EscalatorInLease)^(4+M61)+(1-Retention)*H61*D61*(1+GrowthMarketRent)^4*IF(INT((DATE(2026+4,10,31)-F61)/365.25)=0,(12-DowntimeNew)/12,1),IF(I61="LeaseUp",H61*D61*(1+GrowthMarketRent)^4*IF(4=0,(12-DowntimeNew)/12,1),0)))))))),0)</f>
        <v/>
      </c>
      <c r="S61" s="14">
        <f>IFERROR(IF(I61="LeaseUp",H61*D61*(1+GrowthMarketRent)^5*IF(5=0,(12-DowntimeNew)/12,1),IF(F61="",0,IF(F61&gt;=DATE(2027+5,4,30),G61*D61*(1+EscalatorInLease)^(5+M61),IF(F61&lt;DATE(2026+5,5,1),IF(I61="Vacate",H61*D61*(1+GrowthMarketRent)^5*IF(INT((DATE(2026+5,10,31)-F61)/365.25)=0,(12-DowntimeNew)/12,1),IF(I61="Option",G61*D61*1.025*(1+EscalatorInLease)^5,IF(I61="Market",Retention*G61*D61*(1+EscalatorInLease)^(5+M61)+(1-Retention)*H61*D61*(1+GrowthMarketRent)^5*IF(INT((DATE(2026+5,10,31)-F61)/365.25)=0,(12-DowntimeNew)/12,1),IF(I61="LeaseUp",H61*D61*(1+GrowthMarketRent)^5*IF(5=0,(12-DowntimeNew)/12,1),0)))),((F61-DATE(2026+5,5,1))/365.25)*G61*D61*(1+EscalatorInLease)^(5+M61)+((DATE(2027+5,4,30)-F61)/365.25)*IF(I61="Vacate",H61*D61*(1+GrowthMarketRent)^5*IF(INT((DATE(2026+5,10,31)-F61)/365.25)=0,(12-DowntimeNew)/12,1),IF(I61="Option",G61*D61*1.025*(1+EscalatorInLease)^5,IF(I61="Market",Retention*G61*D61*(1+EscalatorInLease)^(5+M61)+(1-Retention)*H61*D61*(1+GrowthMarketRent)^5*IF(INT((DATE(2026+5,10,31)-F61)/365.25)=0,(12-DowntimeNew)/12,1),IF(I61="LeaseUp",H61*D61*(1+GrowthMarketRent)^5*IF(5=0,(12-DowntimeNew)/12,1),0)))))))),0)</f>
        <v/>
      </c>
      <c r="T61" s="14">
        <f>IFERROR(IF(I61="LeaseUp",H61*D61*(1+GrowthMarketRent)^6*IF(6=0,(12-DowntimeNew)/12,1),IF(F61="",0,IF(F61&gt;=DATE(2027+6,4,30),G61*D61*(1+EscalatorInLease)^(6+M61),IF(F61&lt;DATE(2026+6,5,1),IF(I61="Vacate",H61*D61*(1+GrowthMarketRent)^6*IF(INT((DATE(2026+6,10,31)-F61)/365.25)=0,(12-DowntimeNew)/12,1),IF(I61="Option",G61*D61*1.025*(1+EscalatorInLease)^6,IF(I61="Market",Retention*G61*D61*(1+EscalatorInLease)^(6+M61)+(1-Retention)*H61*D61*(1+GrowthMarketRent)^6*IF(INT((DATE(2026+6,10,31)-F61)/365.25)=0,(12-DowntimeNew)/12,1),IF(I61="LeaseUp",H61*D61*(1+GrowthMarketRent)^6*IF(6=0,(12-DowntimeNew)/12,1),0)))),((F61-DATE(2026+6,5,1))/365.25)*G61*D61*(1+EscalatorInLease)^(6+M61)+((DATE(2027+6,4,30)-F61)/365.25)*IF(I61="Vacate",H61*D61*(1+GrowthMarketRent)^6*IF(INT((DATE(2026+6,10,31)-F61)/365.25)=0,(12-DowntimeNew)/12,1),IF(I61="Option",G61*D61*1.025*(1+EscalatorInLease)^6,IF(I61="Market",Retention*G61*D61*(1+EscalatorInLease)^(6+M61)+(1-Retention)*H61*D61*(1+GrowthMarketRent)^6*IF(INT((DATE(2026+6,10,31)-F61)/365.25)=0,(12-DowntimeNew)/12,1),IF(I61="LeaseUp",H61*D61*(1+GrowthMarketRent)^6*IF(6=0,(12-DowntimeNew)/12,1),0)))))))),0)</f>
        <v/>
      </c>
      <c r="U61" s="14">
        <f>IFERROR(IF(I61="LeaseUp",H61*D61*(1+GrowthMarketRent)^7*IF(7=0,(12-DowntimeNew)/12,1),IF(F61="",0,IF(F61&gt;=DATE(2027+7,4,30),G61*D61*(1+EscalatorInLease)^(7+M61),IF(F61&lt;DATE(2026+7,5,1),IF(I61="Vacate",H61*D61*(1+GrowthMarketRent)^7*IF(INT((DATE(2026+7,10,31)-F61)/365.25)=0,(12-DowntimeNew)/12,1),IF(I61="Option",G61*D61*1.025*(1+EscalatorInLease)^7,IF(I61="Market",Retention*G61*D61*(1+EscalatorInLease)^(7+M61)+(1-Retention)*H61*D61*(1+GrowthMarketRent)^7*IF(INT((DATE(2026+7,10,31)-F61)/365.25)=0,(12-DowntimeNew)/12,1),IF(I61="LeaseUp",H61*D61*(1+GrowthMarketRent)^7*IF(7=0,(12-DowntimeNew)/12,1),0)))),((F61-DATE(2026+7,5,1))/365.25)*G61*D61*(1+EscalatorInLease)^(7+M61)+((DATE(2027+7,4,30)-F61)/365.25)*IF(I61="Vacate",H61*D61*(1+GrowthMarketRent)^7*IF(INT((DATE(2026+7,10,31)-F61)/365.25)=0,(12-DowntimeNew)/12,1),IF(I61="Option",G61*D61*1.025*(1+EscalatorInLease)^7,IF(I61="Market",Retention*G61*D61*(1+EscalatorInLease)^(7+M61)+(1-Retention)*H61*D61*(1+GrowthMarketRent)^7*IF(INT((DATE(2026+7,10,31)-F61)/365.25)=0,(12-DowntimeNew)/12,1),IF(I61="LeaseUp",H61*D61*(1+GrowthMarketRent)^7*IF(7=0,(12-DowntimeNew)/12,1),0)))))))),0)</f>
        <v/>
      </c>
      <c r="V61" s="14">
        <f>IFERROR(IF(I61="LeaseUp",H61*D61*(1+GrowthMarketRent)^8*IF(8=0,(12-DowntimeNew)/12,1),IF(F61="",0,IF(F61&gt;=DATE(2027+8,4,30),G61*D61*(1+EscalatorInLease)^(8+M61),IF(F61&lt;DATE(2026+8,5,1),IF(I61="Vacate",H61*D61*(1+GrowthMarketRent)^8*IF(INT((DATE(2026+8,10,31)-F61)/365.25)=0,(12-DowntimeNew)/12,1),IF(I61="Option",G61*D61*1.025*(1+EscalatorInLease)^8,IF(I61="Market",Retention*G61*D61*(1+EscalatorInLease)^(8+M61)+(1-Retention)*H61*D61*(1+GrowthMarketRent)^8*IF(INT((DATE(2026+8,10,31)-F61)/365.25)=0,(12-DowntimeNew)/12,1),IF(I61="LeaseUp",H61*D61*(1+GrowthMarketRent)^8*IF(8=0,(12-DowntimeNew)/12,1),0)))),((F61-DATE(2026+8,5,1))/365.25)*G61*D61*(1+EscalatorInLease)^(8+M61)+((DATE(2027+8,4,30)-F61)/365.25)*IF(I61="Vacate",H61*D61*(1+GrowthMarketRent)^8*IF(INT((DATE(2026+8,10,31)-F61)/365.25)=0,(12-DowntimeNew)/12,1),IF(I61="Option",G61*D61*1.025*(1+EscalatorInLease)^8,IF(I61="Market",Retention*G61*D61*(1+EscalatorInLease)^(8+M61)+(1-Retention)*H61*D61*(1+GrowthMarketRent)^8*IF(INT((DATE(2026+8,10,31)-F61)/365.25)=0,(12-DowntimeNew)/12,1),IF(I61="LeaseUp",H61*D61*(1+GrowthMarketRent)^8*IF(8=0,(12-DowntimeNew)/12,1),0)))))))),0)</f>
        <v/>
      </c>
      <c r="W61" s="14">
        <f>IFERROR(IF(I61="LeaseUp",H61*D61*(1+GrowthMarketRent)^9*IF(9=0,(12-DowntimeNew)/12,1),IF(F61="",0,IF(F61&gt;=DATE(2027+9,4,30),G61*D61*(1+EscalatorInLease)^(9+M61),IF(F61&lt;DATE(2026+9,5,1),IF(I61="Vacate",H61*D61*(1+GrowthMarketRent)^9*IF(INT((DATE(2026+9,10,31)-F61)/365.25)=0,(12-DowntimeNew)/12,1),IF(I61="Option",G61*D61*1.025*(1+EscalatorInLease)^9,IF(I61="Market",Retention*G61*D61*(1+EscalatorInLease)^(9+M61)+(1-Retention)*H61*D61*(1+GrowthMarketRent)^9*IF(INT((DATE(2026+9,10,31)-F61)/365.25)=0,(12-DowntimeNew)/12,1),IF(I61="LeaseUp",H61*D61*(1+GrowthMarketRent)^9*IF(9=0,(12-DowntimeNew)/12,1),0)))),((F61-DATE(2026+9,5,1))/365.25)*G61*D61*(1+EscalatorInLease)^(9+M61)+((DATE(2027+9,4,30)-F61)/365.25)*IF(I61="Vacate",H61*D61*(1+GrowthMarketRent)^9*IF(INT((DATE(2026+9,10,31)-F61)/365.25)=0,(12-DowntimeNew)/12,1),IF(I61="Option",G61*D61*1.025*(1+EscalatorInLease)^9,IF(I61="Market",Retention*G61*D61*(1+EscalatorInLease)^(9+M61)+(1-Retention)*H61*D61*(1+GrowthMarketRent)^9*IF(INT((DATE(2026+9,10,31)-F61)/365.25)=0,(12-DowntimeNew)/12,1),IF(I61="LeaseUp",H61*D61*(1+GrowthMarketRent)^9*IF(9=0,(12-DowntimeNew)/12,1),0)))))))),0)</f>
        <v/>
      </c>
      <c r="X61" s="14">
        <f>IFERROR(IF(I61="LeaseUp",H61*D61*(1+GrowthMarketRent)^10*IF(10=0,(12-DowntimeNew)/12,1),IF(F61="",0,IF(F61&gt;=DATE(2027+10,4,30),G61*D61*(1+EscalatorInLease)^(10+M61),IF(F61&lt;DATE(2026+10,5,1),IF(I61="Vacate",H61*D61*(1+GrowthMarketRent)^10*IF(INT((DATE(2026+10,10,31)-F61)/365.25)=0,(12-DowntimeNew)/12,1),IF(I61="Option",G61*D61*1.025*(1+EscalatorInLease)^10,IF(I61="Market",Retention*G61*D61*(1+EscalatorInLease)^(10+M61)+(1-Retention)*H61*D61*(1+GrowthMarketRent)^10*IF(INT((DATE(2026+10,10,31)-F61)/365.25)=0,(12-DowntimeNew)/12,1),IF(I61="LeaseUp",H61*D61*(1+GrowthMarketRent)^10*IF(10=0,(12-DowntimeNew)/12,1),0)))),((F61-DATE(2026+10,5,1))/365.25)*G61*D61*(1+EscalatorInLease)^(10+M61)+((DATE(2027+10,4,30)-F61)/365.25)*IF(I61="Vacate",H61*D61*(1+GrowthMarketRent)^10*IF(INT((DATE(2026+10,10,31)-F61)/365.25)=0,(12-DowntimeNew)/12,1),IF(I61="Option",G61*D61*1.025*(1+EscalatorInLease)^10,IF(I61="Market",Retention*G61*D61*(1+EscalatorInLease)^(10+M61)+(1-Retention)*H61*D61*(1+GrowthMarketRent)^10*IF(INT((DATE(2026+10,10,31)-F61)/365.25)=0,(12-DowntimeNew)/12,1),IF(I61="LeaseUp",H61*D61*(1+GrowthMarketRent)^10*IF(10=0,(12-DowntimeNew)/12,1),0)))))))),0)</f>
        <v/>
      </c>
      <c r="Y61" s="14">
        <f>IFERROR(IF(AND(I61="LeaseUp",0=0),(IF(I61="Vacate",TINew*D61,IF(I61="Market",Retention*TIRenewal*D61+(1-Retention)*TINew*D61,IF(I61="LeaseUp",TINew*D61,IF(I61="Option",TIRenewal*D61,0)))))+(IF(I61="Vacate",LCNew*H61*D61*(1+GrowthMarketRent)^0,IF(I61="Market",Retention*LCRenewal*H61*D61*(1+GrowthMarketRent)^0+(1-Retention)*LCNew*H61*D61*(1+GrowthMarketRent)^0,IF(I61="LeaseUp",LCNew*H61*D61*(1+GrowthMarketRent)^0,IF(I61="Option",LCRenewal*H61*D61*(1+GrowthMarketRent)^0,0))))),IF(F61="",0,IF(AND(F61&gt;=DATE(2026+0,5,1),F61&lt;=DATE(2027+0,4,30)),(IF(I61="Vacate",TINew*D61,IF(I61="Market",Retention*TIRenewal*D61+(1-Retention)*TINew*D61,IF(I61="LeaseUp",TINew*D61,IF(I61="Option",TIRenewal*D61,0)))))+(IF(I61="Vacate",LCNew*H61*D61*(1+GrowthMarketRent)^0,IF(I61="Market",Retention*LCRenewal*H61*D61*(1+GrowthMarketRent)^0+(1-Retention)*LCNew*H61*D61*(1+GrowthMarketRent)^0,IF(I61="LeaseUp",LCNew*H61*D61*(1+GrowthMarketRent)^0,IF(I61="Option",LCRenewal*H61*D61*(1+GrowthMarketRent)^0,0))))),0))),0)</f>
        <v/>
      </c>
      <c r="Z61" s="14">
        <f>IFERROR(IF(AND(I61="LeaseUp",1=0),(IF(I61="Vacate",TINew*D61,IF(I61="Market",Retention*TIRenewal*D61+(1-Retention)*TINew*D61,IF(I61="LeaseUp",TINew*D61,IF(I61="Option",TIRenewal*D61,0)))))+(IF(I61="Vacate",LCNew*H61*D61*(1+GrowthMarketRent)^1,IF(I61="Market",Retention*LCRenewal*H61*D61*(1+GrowthMarketRent)^1+(1-Retention)*LCNew*H61*D61*(1+GrowthMarketRent)^1,IF(I61="LeaseUp",LCNew*H61*D61*(1+GrowthMarketRent)^1,IF(I61="Option",LCRenewal*H61*D61*(1+GrowthMarketRent)^1,0))))),IF(F61="",0,IF(AND(F61&gt;=DATE(2026+1,5,1),F61&lt;=DATE(2027+1,4,30)),(IF(I61="Vacate",TINew*D61,IF(I61="Market",Retention*TIRenewal*D61+(1-Retention)*TINew*D61,IF(I61="LeaseUp",TINew*D61,IF(I61="Option",TIRenewal*D61,0)))))+(IF(I61="Vacate",LCNew*H61*D61*(1+GrowthMarketRent)^1,IF(I61="Market",Retention*LCRenewal*H61*D61*(1+GrowthMarketRent)^1+(1-Retention)*LCNew*H61*D61*(1+GrowthMarketRent)^1,IF(I61="LeaseUp",LCNew*H61*D61*(1+GrowthMarketRent)^1,IF(I61="Option",LCRenewal*H61*D61*(1+GrowthMarketRent)^1,0))))),0))),0)</f>
        <v/>
      </c>
      <c r="AA61" s="14">
        <f>IFERROR(IF(AND(I61="LeaseUp",2=0),(IF(I61="Vacate",TINew*D61,IF(I61="Market",Retention*TIRenewal*D61+(1-Retention)*TINew*D61,IF(I61="LeaseUp",TINew*D61,IF(I61="Option",TIRenewal*D61,0)))))+(IF(I61="Vacate",LCNew*H61*D61*(1+GrowthMarketRent)^2,IF(I61="Market",Retention*LCRenewal*H61*D61*(1+GrowthMarketRent)^2+(1-Retention)*LCNew*H61*D61*(1+GrowthMarketRent)^2,IF(I61="LeaseUp",LCNew*H61*D61*(1+GrowthMarketRent)^2,IF(I61="Option",LCRenewal*H61*D61*(1+GrowthMarketRent)^2,0))))),IF(F61="",0,IF(AND(F61&gt;=DATE(2026+2,5,1),F61&lt;=DATE(2027+2,4,30)),(IF(I61="Vacate",TINew*D61,IF(I61="Market",Retention*TIRenewal*D61+(1-Retention)*TINew*D61,IF(I61="LeaseUp",TINew*D61,IF(I61="Option",TIRenewal*D61,0)))))+(IF(I61="Vacate",LCNew*H61*D61*(1+GrowthMarketRent)^2,IF(I61="Market",Retention*LCRenewal*H61*D61*(1+GrowthMarketRent)^2+(1-Retention)*LCNew*H61*D61*(1+GrowthMarketRent)^2,IF(I61="LeaseUp",LCNew*H61*D61*(1+GrowthMarketRent)^2,IF(I61="Option",LCRenewal*H61*D61*(1+GrowthMarketRent)^2,0))))),0))),0)</f>
        <v/>
      </c>
      <c r="AB61" s="14">
        <f>IFERROR(IF(AND(I61="LeaseUp",3=0),(IF(I61="Vacate",TINew*D61,IF(I61="Market",Retention*TIRenewal*D61+(1-Retention)*TINew*D61,IF(I61="LeaseUp",TINew*D61,IF(I61="Option",TIRenewal*D61,0)))))+(IF(I61="Vacate",LCNew*H61*D61*(1+GrowthMarketRent)^3,IF(I61="Market",Retention*LCRenewal*H61*D61*(1+GrowthMarketRent)^3+(1-Retention)*LCNew*H61*D61*(1+GrowthMarketRent)^3,IF(I61="LeaseUp",LCNew*H61*D61*(1+GrowthMarketRent)^3,IF(I61="Option",LCRenewal*H61*D61*(1+GrowthMarketRent)^3,0))))),IF(F61="",0,IF(AND(F61&gt;=DATE(2026+3,5,1),F61&lt;=DATE(2027+3,4,30)),(IF(I61="Vacate",TINew*D61,IF(I61="Market",Retention*TIRenewal*D61+(1-Retention)*TINew*D61,IF(I61="LeaseUp",TINew*D61,IF(I61="Option",TIRenewal*D61,0)))))+(IF(I61="Vacate",LCNew*H61*D61*(1+GrowthMarketRent)^3,IF(I61="Market",Retention*LCRenewal*H61*D61*(1+GrowthMarketRent)^3+(1-Retention)*LCNew*H61*D61*(1+GrowthMarketRent)^3,IF(I61="LeaseUp",LCNew*H61*D61*(1+GrowthMarketRent)^3,IF(I61="Option",LCRenewal*H61*D61*(1+GrowthMarketRent)^3,0))))),0))),0)</f>
        <v/>
      </c>
      <c r="AC61" s="14">
        <f>IFERROR(IF(AND(I61="LeaseUp",4=0),(IF(I61="Vacate",TINew*D61,IF(I61="Market",Retention*TIRenewal*D61+(1-Retention)*TINew*D61,IF(I61="LeaseUp",TINew*D61,IF(I61="Option",TIRenewal*D61,0)))))+(IF(I61="Vacate",LCNew*H61*D61*(1+GrowthMarketRent)^4,IF(I61="Market",Retention*LCRenewal*H61*D61*(1+GrowthMarketRent)^4+(1-Retention)*LCNew*H61*D61*(1+GrowthMarketRent)^4,IF(I61="LeaseUp",LCNew*H61*D61*(1+GrowthMarketRent)^4,IF(I61="Option",LCRenewal*H61*D61*(1+GrowthMarketRent)^4,0))))),IF(F61="",0,IF(AND(F61&gt;=DATE(2026+4,5,1),F61&lt;=DATE(2027+4,4,30)),(IF(I61="Vacate",TINew*D61,IF(I61="Market",Retention*TIRenewal*D61+(1-Retention)*TINew*D61,IF(I61="LeaseUp",TINew*D61,IF(I61="Option",TIRenewal*D61,0)))))+(IF(I61="Vacate",LCNew*H61*D61*(1+GrowthMarketRent)^4,IF(I61="Market",Retention*LCRenewal*H61*D61*(1+GrowthMarketRent)^4+(1-Retention)*LCNew*H61*D61*(1+GrowthMarketRent)^4,IF(I61="LeaseUp",LCNew*H61*D61*(1+GrowthMarketRent)^4,IF(I61="Option",LCRenewal*H61*D61*(1+GrowthMarketRent)^4,0))))),0))),0)</f>
        <v/>
      </c>
      <c r="AD61" s="14">
        <f>IFERROR(IF(AND(I61="LeaseUp",5=0),(IF(I61="Vacate",TINew*D61,IF(I61="Market",Retention*TIRenewal*D61+(1-Retention)*TINew*D61,IF(I61="LeaseUp",TINew*D61,IF(I61="Option",TIRenewal*D61,0)))))+(IF(I61="Vacate",LCNew*H61*D61*(1+GrowthMarketRent)^5,IF(I61="Market",Retention*LCRenewal*H61*D61*(1+GrowthMarketRent)^5+(1-Retention)*LCNew*H61*D61*(1+GrowthMarketRent)^5,IF(I61="LeaseUp",LCNew*H61*D61*(1+GrowthMarketRent)^5,IF(I61="Option",LCRenewal*H61*D61*(1+GrowthMarketRent)^5,0))))),IF(F61="",0,IF(AND(F61&gt;=DATE(2026+5,5,1),F61&lt;=DATE(2027+5,4,30)),(IF(I61="Vacate",TINew*D61,IF(I61="Market",Retention*TIRenewal*D61+(1-Retention)*TINew*D61,IF(I61="LeaseUp",TINew*D61,IF(I61="Option",TIRenewal*D61,0)))))+(IF(I61="Vacate",LCNew*H61*D61*(1+GrowthMarketRent)^5,IF(I61="Market",Retention*LCRenewal*H61*D61*(1+GrowthMarketRent)^5+(1-Retention)*LCNew*H61*D61*(1+GrowthMarketRent)^5,IF(I61="LeaseUp",LCNew*H61*D61*(1+GrowthMarketRent)^5,IF(I61="Option",LCRenewal*H61*D61*(1+GrowthMarketRent)^5,0))))),0))),0)</f>
        <v/>
      </c>
      <c r="AE61" s="14">
        <f>IFERROR(IF(AND(I61="LeaseUp",6=0),(IF(I61="Vacate",TINew*D61,IF(I61="Market",Retention*TIRenewal*D61+(1-Retention)*TINew*D61,IF(I61="LeaseUp",TINew*D61,IF(I61="Option",TIRenewal*D61,0)))))+(IF(I61="Vacate",LCNew*H61*D61*(1+GrowthMarketRent)^6,IF(I61="Market",Retention*LCRenewal*H61*D61*(1+GrowthMarketRent)^6+(1-Retention)*LCNew*H61*D61*(1+GrowthMarketRent)^6,IF(I61="LeaseUp",LCNew*H61*D61*(1+GrowthMarketRent)^6,IF(I61="Option",LCRenewal*H61*D61*(1+GrowthMarketRent)^6,0))))),IF(F61="",0,IF(AND(F61&gt;=DATE(2026+6,5,1),F61&lt;=DATE(2027+6,4,30)),(IF(I61="Vacate",TINew*D61,IF(I61="Market",Retention*TIRenewal*D61+(1-Retention)*TINew*D61,IF(I61="LeaseUp",TINew*D61,IF(I61="Option",TIRenewal*D61,0)))))+(IF(I61="Vacate",LCNew*H61*D61*(1+GrowthMarketRent)^6,IF(I61="Market",Retention*LCRenewal*H61*D61*(1+GrowthMarketRent)^6+(1-Retention)*LCNew*H61*D61*(1+GrowthMarketRent)^6,IF(I61="LeaseUp",LCNew*H61*D61*(1+GrowthMarketRent)^6,IF(I61="Option",LCRenewal*H61*D61*(1+GrowthMarketRent)^6,0))))),0))),0)</f>
        <v/>
      </c>
      <c r="AF61" s="14">
        <f>IFERROR(IF(AND(I61="LeaseUp",7=0),(IF(I61="Vacate",TINew*D61,IF(I61="Market",Retention*TIRenewal*D61+(1-Retention)*TINew*D61,IF(I61="LeaseUp",TINew*D61,IF(I61="Option",TIRenewal*D61,0)))))+(IF(I61="Vacate",LCNew*H61*D61*(1+GrowthMarketRent)^7,IF(I61="Market",Retention*LCRenewal*H61*D61*(1+GrowthMarketRent)^7+(1-Retention)*LCNew*H61*D61*(1+GrowthMarketRent)^7,IF(I61="LeaseUp",LCNew*H61*D61*(1+GrowthMarketRent)^7,IF(I61="Option",LCRenewal*H61*D61*(1+GrowthMarketRent)^7,0))))),IF(F61="",0,IF(AND(F61&gt;=DATE(2026+7,5,1),F61&lt;=DATE(2027+7,4,30)),(IF(I61="Vacate",TINew*D61,IF(I61="Market",Retention*TIRenewal*D61+(1-Retention)*TINew*D61,IF(I61="LeaseUp",TINew*D61,IF(I61="Option",TIRenewal*D61,0)))))+(IF(I61="Vacate",LCNew*H61*D61*(1+GrowthMarketRent)^7,IF(I61="Market",Retention*LCRenewal*H61*D61*(1+GrowthMarketRent)^7+(1-Retention)*LCNew*H61*D61*(1+GrowthMarketRent)^7,IF(I61="LeaseUp",LCNew*H61*D61*(1+GrowthMarketRent)^7,IF(I61="Option",LCRenewal*H61*D61*(1+GrowthMarketRent)^7,0))))),0))),0)</f>
        <v/>
      </c>
      <c r="AG61" s="14">
        <f>IFERROR(IF(AND(I61="LeaseUp",8=0),(IF(I61="Vacate",TINew*D61,IF(I61="Market",Retention*TIRenewal*D61+(1-Retention)*TINew*D61,IF(I61="LeaseUp",TINew*D61,IF(I61="Option",TIRenewal*D61,0)))))+(IF(I61="Vacate",LCNew*H61*D61*(1+GrowthMarketRent)^8,IF(I61="Market",Retention*LCRenewal*H61*D61*(1+GrowthMarketRent)^8+(1-Retention)*LCNew*H61*D61*(1+GrowthMarketRent)^8,IF(I61="LeaseUp",LCNew*H61*D61*(1+GrowthMarketRent)^8,IF(I61="Option",LCRenewal*H61*D61*(1+GrowthMarketRent)^8,0))))),IF(F61="",0,IF(AND(F61&gt;=DATE(2026+8,5,1),F61&lt;=DATE(2027+8,4,30)),(IF(I61="Vacate",TINew*D61,IF(I61="Market",Retention*TIRenewal*D61+(1-Retention)*TINew*D61,IF(I61="LeaseUp",TINew*D61,IF(I61="Option",TIRenewal*D61,0)))))+(IF(I61="Vacate",LCNew*H61*D61*(1+GrowthMarketRent)^8,IF(I61="Market",Retention*LCRenewal*H61*D61*(1+GrowthMarketRent)^8+(1-Retention)*LCNew*H61*D61*(1+GrowthMarketRent)^8,IF(I61="LeaseUp",LCNew*H61*D61*(1+GrowthMarketRent)^8,IF(I61="Option",LCRenewal*H61*D61*(1+GrowthMarketRent)^8,0))))),0))),0)</f>
        <v/>
      </c>
      <c r="AH61" s="14">
        <f>IFERROR(IF(AND(I61="LeaseUp",9=0),(IF(I61="Vacate",TINew*D61,IF(I61="Market",Retention*TIRenewal*D61+(1-Retention)*TINew*D61,IF(I61="LeaseUp",TINew*D61,IF(I61="Option",TIRenewal*D61,0)))))+(IF(I61="Vacate",LCNew*H61*D61*(1+GrowthMarketRent)^9,IF(I61="Market",Retention*LCRenewal*H61*D61*(1+GrowthMarketRent)^9+(1-Retention)*LCNew*H61*D61*(1+GrowthMarketRent)^9,IF(I61="LeaseUp",LCNew*H61*D61*(1+GrowthMarketRent)^9,IF(I61="Option",LCRenewal*H61*D61*(1+GrowthMarketRent)^9,0))))),IF(F61="",0,IF(AND(F61&gt;=DATE(2026+9,5,1),F61&lt;=DATE(2027+9,4,30)),(IF(I61="Vacate",TINew*D61,IF(I61="Market",Retention*TIRenewal*D61+(1-Retention)*TINew*D61,IF(I61="LeaseUp",TINew*D61,IF(I61="Option",TIRenewal*D61,0)))))+(IF(I61="Vacate",LCNew*H61*D61*(1+GrowthMarketRent)^9,IF(I61="Market",Retention*LCRenewal*H61*D61*(1+GrowthMarketRent)^9+(1-Retention)*LCNew*H61*D61*(1+GrowthMarketRent)^9,IF(I61="LeaseUp",LCNew*H61*D61*(1+GrowthMarketRent)^9,IF(I61="Option",LCRenewal*H61*D61*(1+GrowthMarketRent)^9,0))))),0))),0)</f>
        <v/>
      </c>
      <c r="AI61" s="14">
        <f>IFERROR(IF(AND(I61="LeaseUp",10=0),(IF(I61="Vacate",TINew*D61,IF(I61="Market",Retention*TIRenewal*D61+(1-Retention)*TINew*D61,IF(I61="LeaseUp",TINew*D61,IF(I61="Option",TIRenewal*D61,0)))))+(IF(I61="Vacate",LCNew*H61*D61*(1+GrowthMarketRent)^10,IF(I61="Market",Retention*LCRenewal*H61*D61*(1+GrowthMarketRent)^10+(1-Retention)*LCNew*H61*D61*(1+GrowthMarketRent)^10,IF(I61="LeaseUp",LCNew*H61*D61*(1+GrowthMarketRent)^10,IF(I61="Option",LCRenewal*H61*D61*(1+GrowthMarketRent)^10,0))))),IF(F61="",0,IF(AND(F61&gt;=DATE(2026+10,5,1),F61&lt;=DATE(2027+10,4,30)),(IF(I61="Vacate",TINew*D61,IF(I61="Market",Retention*TIRenewal*D61+(1-Retention)*TINew*D61,IF(I61="LeaseUp",TINew*D61,IF(I61="Option",TIRenewal*D61,0)))))+(IF(I61="Vacate",LCNew*H61*D61*(1+GrowthMarketRent)^10,IF(I61="Market",Retention*LCRenewal*H61*D61*(1+GrowthMarketRent)^10+(1-Retention)*LCNew*H61*D61*(1+GrowthMarketRent)^10,IF(I61="LeaseUp",LCNew*H61*D61*(1+GrowthMarketRent)^10,IF(I61="Option",LCRenewal*H61*D61*(1+GrowthMarketRent)^10,0))))),0))),0)</f>
        <v/>
      </c>
    </row>
    <row r="62">
      <c r="A62" t="inlineStr">
        <is>
          <t>Frisco</t>
        </is>
      </c>
      <c r="B62" t="inlineStr">
        <is>
          <t>211</t>
        </is>
      </c>
      <c r="C62" t="inlineStr">
        <is>
          <t>Nosson LLC</t>
        </is>
      </c>
      <c r="D62" s="32" t="n">
        <v>2600</v>
      </c>
      <c r="E62" s="33" t="n">
        <v>45931</v>
      </c>
      <c r="F62" s="33" t="n">
        <v>47178</v>
      </c>
      <c r="G62" s="34" t="n">
        <v>19</v>
      </c>
      <c r="H62" s="16">
        <f>VLOOKUP(A62,MLA!$A$5:$L$11,3,FALSE)</f>
        <v/>
      </c>
      <c r="I62" s="11" t="inlineStr">
        <is>
          <t>Market</t>
        </is>
      </c>
      <c r="J62" t="inlineStr">
        <is>
          <t>Shop</t>
        </is>
      </c>
      <c r="K62" t="inlineStr">
        <is>
          <t>Occupied</t>
        </is>
      </c>
      <c r="L62" t="inlineStr">
        <is>
          <t>Guarantor: Brett Seidl</t>
        </is>
      </c>
      <c r="M62" s="20">
        <f>IF(E62="",0,(AnalysisStart-E62)/365.25)</f>
        <v/>
      </c>
      <c r="N62" s="14">
        <f>IFERROR(IF(I62="LeaseUp",H62*D62*(1+GrowthMarketRent)^0*IF(0=0,(12-DowntimeNew)/12,1),IF(F62="",0,IF(F62&gt;=DATE(2027+0,4,30),G62*D62*(1+EscalatorInLease)^(0+M62),IF(F62&lt;DATE(2026+0,5,1),IF(I62="Vacate",H62*D62*(1+GrowthMarketRent)^0*IF(INT((DATE(2026+0,10,31)-F62)/365.25)=0,(12-DowntimeNew)/12,1),IF(I62="Option",G62*D62*1.025*(1+EscalatorInLease)^0,IF(I62="Market",Retention*G62*D62*(1+EscalatorInLease)^(0+M62)+(1-Retention)*H62*D62*(1+GrowthMarketRent)^0*IF(INT((DATE(2026+0,10,31)-F62)/365.25)=0,(12-DowntimeNew)/12,1),IF(I62="LeaseUp",H62*D62*(1+GrowthMarketRent)^0*IF(0=0,(12-DowntimeNew)/12,1),0)))),((F62-DATE(2026+0,5,1))/365.25)*G62*D62*(1+EscalatorInLease)^(0+M62)+((DATE(2027+0,4,30)-F62)/365.25)*IF(I62="Vacate",H62*D62*(1+GrowthMarketRent)^0*IF(INT((DATE(2026+0,10,31)-F62)/365.25)=0,(12-DowntimeNew)/12,1),IF(I62="Option",G62*D62*1.025*(1+EscalatorInLease)^0,IF(I62="Market",Retention*G62*D62*(1+EscalatorInLease)^(0+M62)+(1-Retention)*H62*D62*(1+GrowthMarketRent)^0*IF(INT((DATE(2026+0,10,31)-F62)/365.25)=0,(12-DowntimeNew)/12,1),IF(I62="LeaseUp",H62*D62*(1+GrowthMarketRent)^0*IF(0=0,(12-DowntimeNew)/12,1),0)))))))),0)</f>
        <v/>
      </c>
      <c r="O62" s="14">
        <f>IFERROR(IF(I62="LeaseUp",H62*D62*(1+GrowthMarketRent)^1*IF(1=0,(12-DowntimeNew)/12,1),IF(F62="",0,IF(F62&gt;=DATE(2027+1,4,30),G62*D62*(1+EscalatorInLease)^(1+M62),IF(F62&lt;DATE(2026+1,5,1),IF(I62="Vacate",H62*D62*(1+GrowthMarketRent)^1*IF(INT((DATE(2026+1,10,31)-F62)/365.25)=0,(12-DowntimeNew)/12,1),IF(I62="Option",G62*D62*1.025*(1+EscalatorInLease)^1,IF(I62="Market",Retention*G62*D62*(1+EscalatorInLease)^(1+M62)+(1-Retention)*H62*D62*(1+GrowthMarketRent)^1*IF(INT((DATE(2026+1,10,31)-F62)/365.25)=0,(12-DowntimeNew)/12,1),IF(I62="LeaseUp",H62*D62*(1+GrowthMarketRent)^1*IF(1=0,(12-DowntimeNew)/12,1),0)))),((F62-DATE(2026+1,5,1))/365.25)*G62*D62*(1+EscalatorInLease)^(1+M62)+((DATE(2027+1,4,30)-F62)/365.25)*IF(I62="Vacate",H62*D62*(1+GrowthMarketRent)^1*IF(INT((DATE(2026+1,10,31)-F62)/365.25)=0,(12-DowntimeNew)/12,1),IF(I62="Option",G62*D62*1.025*(1+EscalatorInLease)^1,IF(I62="Market",Retention*G62*D62*(1+EscalatorInLease)^(1+M62)+(1-Retention)*H62*D62*(1+GrowthMarketRent)^1*IF(INT((DATE(2026+1,10,31)-F62)/365.25)=0,(12-DowntimeNew)/12,1),IF(I62="LeaseUp",H62*D62*(1+GrowthMarketRent)^1*IF(1=0,(12-DowntimeNew)/12,1),0)))))))),0)</f>
        <v/>
      </c>
      <c r="P62" s="14">
        <f>IFERROR(IF(I62="LeaseUp",H62*D62*(1+GrowthMarketRent)^2*IF(2=0,(12-DowntimeNew)/12,1),IF(F62="",0,IF(F62&gt;=DATE(2027+2,4,30),G62*D62*(1+EscalatorInLease)^(2+M62),IF(F62&lt;DATE(2026+2,5,1),IF(I62="Vacate",H62*D62*(1+GrowthMarketRent)^2*IF(INT((DATE(2026+2,10,31)-F62)/365.25)=0,(12-DowntimeNew)/12,1),IF(I62="Option",G62*D62*1.025*(1+EscalatorInLease)^2,IF(I62="Market",Retention*G62*D62*(1+EscalatorInLease)^(2+M62)+(1-Retention)*H62*D62*(1+GrowthMarketRent)^2*IF(INT((DATE(2026+2,10,31)-F62)/365.25)=0,(12-DowntimeNew)/12,1),IF(I62="LeaseUp",H62*D62*(1+GrowthMarketRent)^2*IF(2=0,(12-DowntimeNew)/12,1),0)))),((F62-DATE(2026+2,5,1))/365.25)*G62*D62*(1+EscalatorInLease)^(2+M62)+((DATE(2027+2,4,30)-F62)/365.25)*IF(I62="Vacate",H62*D62*(1+GrowthMarketRent)^2*IF(INT((DATE(2026+2,10,31)-F62)/365.25)=0,(12-DowntimeNew)/12,1),IF(I62="Option",G62*D62*1.025*(1+EscalatorInLease)^2,IF(I62="Market",Retention*G62*D62*(1+EscalatorInLease)^(2+M62)+(1-Retention)*H62*D62*(1+GrowthMarketRent)^2*IF(INT((DATE(2026+2,10,31)-F62)/365.25)=0,(12-DowntimeNew)/12,1),IF(I62="LeaseUp",H62*D62*(1+GrowthMarketRent)^2*IF(2=0,(12-DowntimeNew)/12,1),0)))))))),0)</f>
        <v/>
      </c>
      <c r="Q62" s="14">
        <f>IFERROR(IF(I62="LeaseUp",H62*D62*(1+GrowthMarketRent)^3*IF(3=0,(12-DowntimeNew)/12,1),IF(F62="",0,IF(F62&gt;=DATE(2027+3,4,30),G62*D62*(1+EscalatorInLease)^(3+M62),IF(F62&lt;DATE(2026+3,5,1),IF(I62="Vacate",H62*D62*(1+GrowthMarketRent)^3*IF(INT((DATE(2026+3,10,31)-F62)/365.25)=0,(12-DowntimeNew)/12,1),IF(I62="Option",G62*D62*1.025*(1+EscalatorInLease)^3,IF(I62="Market",Retention*G62*D62*(1+EscalatorInLease)^(3+M62)+(1-Retention)*H62*D62*(1+GrowthMarketRent)^3*IF(INT((DATE(2026+3,10,31)-F62)/365.25)=0,(12-DowntimeNew)/12,1),IF(I62="LeaseUp",H62*D62*(1+GrowthMarketRent)^3*IF(3=0,(12-DowntimeNew)/12,1),0)))),((F62-DATE(2026+3,5,1))/365.25)*G62*D62*(1+EscalatorInLease)^(3+M62)+((DATE(2027+3,4,30)-F62)/365.25)*IF(I62="Vacate",H62*D62*(1+GrowthMarketRent)^3*IF(INT((DATE(2026+3,10,31)-F62)/365.25)=0,(12-DowntimeNew)/12,1),IF(I62="Option",G62*D62*1.025*(1+EscalatorInLease)^3,IF(I62="Market",Retention*G62*D62*(1+EscalatorInLease)^(3+M62)+(1-Retention)*H62*D62*(1+GrowthMarketRent)^3*IF(INT((DATE(2026+3,10,31)-F62)/365.25)=0,(12-DowntimeNew)/12,1),IF(I62="LeaseUp",H62*D62*(1+GrowthMarketRent)^3*IF(3=0,(12-DowntimeNew)/12,1),0)))))))),0)</f>
        <v/>
      </c>
      <c r="R62" s="14">
        <f>IFERROR(IF(I62="LeaseUp",H62*D62*(1+GrowthMarketRent)^4*IF(4=0,(12-DowntimeNew)/12,1),IF(F62="",0,IF(F62&gt;=DATE(2027+4,4,30),G62*D62*(1+EscalatorInLease)^(4+M62),IF(F62&lt;DATE(2026+4,5,1),IF(I62="Vacate",H62*D62*(1+GrowthMarketRent)^4*IF(INT((DATE(2026+4,10,31)-F62)/365.25)=0,(12-DowntimeNew)/12,1),IF(I62="Option",G62*D62*1.025*(1+EscalatorInLease)^4,IF(I62="Market",Retention*G62*D62*(1+EscalatorInLease)^(4+M62)+(1-Retention)*H62*D62*(1+GrowthMarketRent)^4*IF(INT((DATE(2026+4,10,31)-F62)/365.25)=0,(12-DowntimeNew)/12,1),IF(I62="LeaseUp",H62*D62*(1+GrowthMarketRent)^4*IF(4=0,(12-DowntimeNew)/12,1),0)))),((F62-DATE(2026+4,5,1))/365.25)*G62*D62*(1+EscalatorInLease)^(4+M62)+((DATE(2027+4,4,30)-F62)/365.25)*IF(I62="Vacate",H62*D62*(1+GrowthMarketRent)^4*IF(INT((DATE(2026+4,10,31)-F62)/365.25)=0,(12-DowntimeNew)/12,1),IF(I62="Option",G62*D62*1.025*(1+EscalatorInLease)^4,IF(I62="Market",Retention*G62*D62*(1+EscalatorInLease)^(4+M62)+(1-Retention)*H62*D62*(1+GrowthMarketRent)^4*IF(INT((DATE(2026+4,10,31)-F62)/365.25)=0,(12-DowntimeNew)/12,1),IF(I62="LeaseUp",H62*D62*(1+GrowthMarketRent)^4*IF(4=0,(12-DowntimeNew)/12,1),0)))))))),0)</f>
        <v/>
      </c>
      <c r="S62" s="14">
        <f>IFERROR(IF(I62="LeaseUp",H62*D62*(1+GrowthMarketRent)^5*IF(5=0,(12-DowntimeNew)/12,1),IF(F62="",0,IF(F62&gt;=DATE(2027+5,4,30),G62*D62*(1+EscalatorInLease)^(5+M62),IF(F62&lt;DATE(2026+5,5,1),IF(I62="Vacate",H62*D62*(1+GrowthMarketRent)^5*IF(INT((DATE(2026+5,10,31)-F62)/365.25)=0,(12-DowntimeNew)/12,1),IF(I62="Option",G62*D62*1.025*(1+EscalatorInLease)^5,IF(I62="Market",Retention*G62*D62*(1+EscalatorInLease)^(5+M62)+(1-Retention)*H62*D62*(1+GrowthMarketRent)^5*IF(INT((DATE(2026+5,10,31)-F62)/365.25)=0,(12-DowntimeNew)/12,1),IF(I62="LeaseUp",H62*D62*(1+GrowthMarketRent)^5*IF(5=0,(12-DowntimeNew)/12,1),0)))),((F62-DATE(2026+5,5,1))/365.25)*G62*D62*(1+EscalatorInLease)^(5+M62)+((DATE(2027+5,4,30)-F62)/365.25)*IF(I62="Vacate",H62*D62*(1+GrowthMarketRent)^5*IF(INT((DATE(2026+5,10,31)-F62)/365.25)=0,(12-DowntimeNew)/12,1),IF(I62="Option",G62*D62*1.025*(1+EscalatorInLease)^5,IF(I62="Market",Retention*G62*D62*(1+EscalatorInLease)^(5+M62)+(1-Retention)*H62*D62*(1+GrowthMarketRent)^5*IF(INT((DATE(2026+5,10,31)-F62)/365.25)=0,(12-DowntimeNew)/12,1),IF(I62="LeaseUp",H62*D62*(1+GrowthMarketRent)^5*IF(5=0,(12-DowntimeNew)/12,1),0)))))))),0)</f>
        <v/>
      </c>
      <c r="T62" s="14">
        <f>IFERROR(IF(I62="LeaseUp",H62*D62*(1+GrowthMarketRent)^6*IF(6=0,(12-DowntimeNew)/12,1),IF(F62="",0,IF(F62&gt;=DATE(2027+6,4,30),G62*D62*(1+EscalatorInLease)^(6+M62),IF(F62&lt;DATE(2026+6,5,1),IF(I62="Vacate",H62*D62*(1+GrowthMarketRent)^6*IF(INT((DATE(2026+6,10,31)-F62)/365.25)=0,(12-DowntimeNew)/12,1),IF(I62="Option",G62*D62*1.025*(1+EscalatorInLease)^6,IF(I62="Market",Retention*G62*D62*(1+EscalatorInLease)^(6+M62)+(1-Retention)*H62*D62*(1+GrowthMarketRent)^6*IF(INT((DATE(2026+6,10,31)-F62)/365.25)=0,(12-DowntimeNew)/12,1),IF(I62="LeaseUp",H62*D62*(1+GrowthMarketRent)^6*IF(6=0,(12-DowntimeNew)/12,1),0)))),((F62-DATE(2026+6,5,1))/365.25)*G62*D62*(1+EscalatorInLease)^(6+M62)+((DATE(2027+6,4,30)-F62)/365.25)*IF(I62="Vacate",H62*D62*(1+GrowthMarketRent)^6*IF(INT((DATE(2026+6,10,31)-F62)/365.25)=0,(12-DowntimeNew)/12,1),IF(I62="Option",G62*D62*1.025*(1+EscalatorInLease)^6,IF(I62="Market",Retention*G62*D62*(1+EscalatorInLease)^(6+M62)+(1-Retention)*H62*D62*(1+GrowthMarketRent)^6*IF(INT((DATE(2026+6,10,31)-F62)/365.25)=0,(12-DowntimeNew)/12,1),IF(I62="LeaseUp",H62*D62*(1+GrowthMarketRent)^6*IF(6=0,(12-DowntimeNew)/12,1),0)))))))),0)</f>
        <v/>
      </c>
      <c r="U62" s="14">
        <f>IFERROR(IF(I62="LeaseUp",H62*D62*(1+GrowthMarketRent)^7*IF(7=0,(12-DowntimeNew)/12,1),IF(F62="",0,IF(F62&gt;=DATE(2027+7,4,30),G62*D62*(1+EscalatorInLease)^(7+M62),IF(F62&lt;DATE(2026+7,5,1),IF(I62="Vacate",H62*D62*(1+GrowthMarketRent)^7*IF(INT((DATE(2026+7,10,31)-F62)/365.25)=0,(12-DowntimeNew)/12,1),IF(I62="Option",G62*D62*1.025*(1+EscalatorInLease)^7,IF(I62="Market",Retention*G62*D62*(1+EscalatorInLease)^(7+M62)+(1-Retention)*H62*D62*(1+GrowthMarketRent)^7*IF(INT((DATE(2026+7,10,31)-F62)/365.25)=0,(12-DowntimeNew)/12,1),IF(I62="LeaseUp",H62*D62*(1+GrowthMarketRent)^7*IF(7=0,(12-DowntimeNew)/12,1),0)))),((F62-DATE(2026+7,5,1))/365.25)*G62*D62*(1+EscalatorInLease)^(7+M62)+((DATE(2027+7,4,30)-F62)/365.25)*IF(I62="Vacate",H62*D62*(1+GrowthMarketRent)^7*IF(INT((DATE(2026+7,10,31)-F62)/365.25)=0,(12-DowntimeNew)/12,1),IF(I62="Option",G62*D62*1.025*(1+EscalatorInLease)^7,IF(I62="Market",Retention*G62*D62*(1+EscalatorInLease)^(7+M62)+(1-Retention)*H62*D62*(1+GrowthMarketRent)^7*IF(INT((DATE(2026+7,10,31)-F62)/365.25)=0,(12-DowntimeNew)/12,1),IF(I62="LeaseUp",H62*D62*(1+GrowthMarketRent)^7*IF(7=0,(12-DowntimeNew)/12,1),0)))))))),0)</f>
        <v/>
      </c>
      <c r="V62" s="14">
        <f>IFERROR(IF(I62="LeaseUp",H62*D62*(1+GrowthMarketRent)^8*IF(8=0,(12-DowntimeNew)/12,1),IF(F62="",0,IF(F62&gt;=DATE(2027+8,4,30),G62*D62*(1+EscalatorInLease)^(8+M62),IF(F62&lt;DATE(2026+8,5,1),IF(I62="Vacate",H62*D62*(1+GrowthMarketRent)^8*IF(INT((DATE(2026+8,10,31)-F62)/365.25)=0,(12-DowntimeNew)/12,1),IF(I62="Option",G62*D62*1.025*(1+EscalatorInLease)^8,IF(I62="Market",Retention*G62*D62*(1+EscalatorInLease)^(8+M62)+(1-Retention)*H62*D62*(1+GrowthMarketRent)^8*IF(INT((DATE(2026+8,10,31)-F62)/365.25)=0,(12-DowntimeNew)/12,1),IF(I62="LeaseUp",H62*D62*(1+GrowthMarketRent)^8*IF(8=0,(12-DowntimeNew)/12,1),0)))),((F62-DATE(2026+8,5,1))/365.25)*G62*D62*(1+EscalatorInLease)^(8+M62)+((DATE(2027+8,4,30)-F62)/365.25)*IF(I62="Vacate",H62*D62*(1+GrowthMarketRent)^8*IF(INT((DATE(2026+8,10,31)-F62)/365.25)=0,(12-DowntimeNew)/12,1),IF(I62="Option",G62*D62*1.025*(1+EscalatorInLease)^8,IF(I62="Market",Retention*G62*D62*(1+EscalatorInLease)^(8+M62)+(1-Retention)*H62*D62*(1+GrowthMarketRent)^8*IF(INT((DATE(2026+8,10,31)-F62)/365.25)=0,(12-DowntimeNew)/12,1),IF(I62="LeaseUp",H62*D62*(1+GrowthMarketRent)^8*IF(8=0,(12-DowntimeNew)/12,1),0)))))))),0)</f>
        <v/>
      </c>
      <c r="W62" s="14">
        <f>IFERROR(IF(I62="LeaseUp",H62*D62*(1+GrowthMarketRent)^9*IF(9=0,(12-DowntimeNew)/12,1),IF(F62="",0,IF(F62&gt;=DATE(2027+9,4,30),G62*D62*(1+EscalatorInLease)^(9+M62),IF(F62&lt;DATE(2026+9,5,1),IF(I62="Vacate",H62*D62*(1+GrowthMarketRent)^9*IF(INT((DATE(2026+9,10,31)-F62)/365.25)=0,(12-DowntimeNew)/12,1),IF(I62="Option",G62*D62*1.025*(1+EscalatorInLease)^9,IF(I62="Market",Retention*G62*D62*(1+EscalatorInLease)^(9+M62)+(1-Retention)*H62*D62*(1+GrowthMarketRent)^9*IF(INT((DATE(2026+9,10,31)-F62)/365.25)=0,(12-DowntimeNew)/12,1),IF(I62="LeaseUp",H62*D62*(1+GrowthMarketRent)^9*IF(9=0,(12-DowntimeNew)/12,1),0)))),((F62-DATE(2026+9,5,1))/365.25)*G62*D62*(1+EscalatorInLease)^(9+M62)+((DATE(2027+9,4,30)-F62)/365.25)*IF(I62="Vacate",H62*D62*(1+GrowthMarketRent)^9*IF(INT((DATE(2026+9,10,31)-F62)/365.25)=0,(12-DowntimeNew)/12,1),IF(I62="Option",G62*D62*1.025*(1+EscalatorInLease)^9,IF(I62="Market",Retention*G62*D62*(1+EscalatorInLease)^(9+M62)+(1-Retention)*H62*D62*(1+GrowthMarketRent)^9*IF(INT((DATE(2026+9,10,31)-F62)/365.25)=0,(12-DowntimeNew)/12,1),IF(I62="LeaseUp",H62*D62*(1+GrowthMarketRent)^9*IF(9=0,(12-DowntimeNew)/12,1),0)))))))),0)</f>
        <v/>
      </c>
      <c r="X62" s="14">
        <f>IFERROR(IF(I62="LeaseUp",H62*D62*(1+GrowthMarketRent)^10*IF(10=0,(12-DowntimeNew)/12,1),IF(F62="",0,IF(F62&gt;=DATE(2027+10,4,30),G62*D62*(1+EscalatorInLease)^(10+M62),IF(F62&lt;DATE(2026+10,5,1),IF(I62="Vacate",H62*D62*(1+GrowthMarketRent)^10*IF(INT((DATE(2026+10,10,31)-F62)/365.25)=0,(12-DowntimeNew)/12,1),IF(I62="Option",G62*D62*1.025*(1+EscalatorInLease)^10,IF(I62="Market",Retention*G62*D62*(1+EscalatorInLease)^(10+M62)+(1-Retention)*H62*D62*(1+GrowthMarketRent)^10*IF(INT((DATE(2026+10,10,31)-F62)/365.25)=0,(12-DowntimeNew)/12,1),IF(I62="LeaseUp",H62*D62*(1+GrowthMarketRent)^10*IF(10=0,(12-DowntimeNew)/12,1),0)))),((F62-DATE(2026+10,5,1))/365.25)*G62*D62*(1+EscalatorInLease)^(10+M62)+((DATE(2027+10,4,30)-F62)/365.25)*IF(I62="Vacate",H62*D62*(1+GrowthMarketRent)^10*IF(INT((DATE(2026+10,10,31)-F62)/365.25)=0,(12-DowntimeNew)/12,1),IF(I62="Option",G62*D62*1.025*(1+EscalatorInLease)^10,IF(I62="Market",Retention*G62*D62*(1+EscalatorInLease)^(10+M62)+(1-Retention)*H62*D62*(1+GrowthMarketRent)^10*IF(INT((DATE(2026+10,10,31)-F62)/365.25)=0,(12-DowntimeNew)/12,1),IF(I62="LeaseUp",H62*D62*(1+GrowthMarketRent)^10*IF(10=0,(12-DowntimeNew)/12,1),0)))))))),0)</f>
        <v/>
      </c>
      <c r="Y62" s="14">
        <f>IFERROR(IF(AND(I62="LeaseUp",0=0),(IF(I62="Vacate",TINew*D62,IF(I62="Market",Retention*TIRenewal*D62+(1-Retention)*TINew*D62,IF(I62="LeaseUp",TINew*D62,IF(I62="Option",TIRenewal*D62,0)))))+(IF(I62="Vacate",LCNew*H62*D62*(1+GrowthMarketRent)^0,IF(I62="Market",Retention*LCRenewal*H62*D62*(1+GrowthMarketRent)^0+(1-Retention)*LCNew*H62*D62*(1+GrowthMarketRent)^0,IF(I62="LeaseUp",LCNew*H62*D62*(1+GrowthMarketRent)^0,IF(I62="Option",LCRenewal*H62*D62*(1+GrowthMarketRent)^0,0))))),IF(F62="",0,IF(AND(F62&gt;=DATE(2026+0,5,1),F62&lt;=DATE(2027+0,4,30)),(IF(I62="Vacate",TINew*D62,IF(I62="Market",Retention*TIRenewal*D62+(1-Retention)*TINew*D62,IF(I62="LeaseUp",TINew*D62,IF(I62="Option",TIRenewal*D62,0)))))+(IF(I62="Vacate",LCNew*H62*D62*(1+GrowthMarketRent)^0,IF(I62="Market",Retention*LCRenewal*H62*D62*(1+GrowthMarketRent)^0+(1-Retention)*LCNew*H62*D62*(1+GrowthMarketRent)^0,IF(I62="LeaseUp",LCNew*H62*D62*(1+GrowthMarketRent)^0,IF(I62="Option",LCRenewal*H62*D62*(1+GrowthMarketRent)^0,0))))),0))),0)</f>
        <v/>
      </c>
      <c r="Z62" s="14">
        <f>IFERROR(IF(AND(I62="LeaseUp",1=0),(IF(I62="Vacate",TINew*D62,IF(I62="Market",Retention*TIRenewal*D62+(1-Retention)*TINew*D62,IF(I62="LeaseUp",TINew*D62,IF(I62="Option",TIRenewal*D62,0)))))+(IF(I62="Vacate",LCNew*H62*D62*(1+GrowthMarketRent)^1,IF(I62="Market",Retention*LCRenewal*H62*D62*(1+GrowthMarketRent)^1+(1-Retention)*LCNew*H62*D62*(1+GrowthMarketRent)^1,IF(I62="LeaseUp",LCNew*H62*D62*(1+GrowthMarketRent)^1,IF(I62="Option",LCRenewal*H62*D62*(1+GrowthMarketRent)^1,0))))),IF(F62="",0,IF(AND(F62&gt;=DATE(2026+1,5,1),F62&lt;=DATE(2027+1,4,30)),(IF(I62="Vacate",TINew*D62,IF(I62="Market",Retention*TIRenewal*D62+(1-Retention)*TINew*D62,IF(I62="LeaseUp",TINew*D62,IF(I62="Option",TIRenewal*D62,0)))))+(IF(I62="Vacate",LCNew*H62*D62*(1+GrowthMarketRent)^1,IF(I62="Market",Retention*LCRenewal*H62*D62*(1+GrowthMarketRent)^1+(1-Retention)*LCNew*H62*D62*(1+GrowthMarketRent)^1,IF(I62="LeaseUp",LCNew*H62*D62*(1+GrowthMarketRent)^1,IF(I62="Option",LCRenewal*H62*D62*(1+GrowthMarketRent)^1,0))))),0))),0)</f>
        <v/>
      </c>
      <c r="AA62" s="14">
        <f>IFERROR(IF(AND(I62="LeaseUp",2=0),(IF(I62="Vacate",TINew*D62,IF(I62="Market",Retention*TIRenewal*D62+(1-Retention)*TINew*D62,IF(I62="LeaseUp",TINew*D62,IF(I62="Option",TIRenewal*D62,0)))))+(IF(I62="Vacate",LCNew*H62*D62*(1+GrowthMarketRent)^2,IF(I62="Market",Retention*LCRenewal*H62*D62*(1+GrowthMarketRent)^2+(1-Retention)*LCNew*H62*D62*(1+GrowthMarketRent)^2,IF(I62="LeaseUp",LCNew*H62*D62*(1+GrowthMarketRent)^2,IF(I62="Option",LCRenewal*H62*D62*(1+GrowthMarketRent)^2,0))))),IF(F62="",0,IF(AND(F62&gt;=DATE(2026+2,5,1),F62&lt;=DATE(2027+2,4,30)),(IF(I62="Vacate",TINew*D62,IF(I62="Market",Retention*TIRenewal*D62+(1-Retention)*TINew*D62,IF(I62="LeaseUp",TINew*D62,IF(I62="Option",TIRenewal*D62,0)))))+(IF(I62="Vacate",LCNew*H62*D62*(1+GrowthMarketRent)^2,IF(I62="Market",Retention*LCRenewal*H62*D62*(1+GrowthMarketRent)^2+(1-Retention)*LCNew*H62*D62*(1+GrowthMarketRent)^2,IF(I62="LeaseUp",LCNew*H62*D62*(1+GrowthMarketRent)^2,IF(I62="Option",LCRenewal*H62*D62*(1+GrowthMarketRent)^2,0))))),0))),0)</f>
        <v/>
      </c>
      <c r="AB62" s="14">
        <f>IFERROR(IF(AND(I62="LeaseUp",3=0),(IF(I62="Vacate",TINew*D62,IF(I62="Market",Retention*TIRenewal*D62+(1-Retention)*TINew*D62,IF(I62="LeaseUp",TINew*D62,IF(I62="Option",TIRenewal*D62,0)))))+(IF(I62="Vacate",LCNew*H62*D62*(1+GrowthMarketRent)^3,IF(I62="Market",Retention*LCRenewal*H62*D62*(1+GrowthMarketRent)^3+(1-Retention)*LCNew*H62*D62*(1+GrowthMarketRent)^3,IF(I62="LeaseUp",LCNew*H62*D62*(1+GrowthMarketRent)^3,IF(I62="Option",LCRenewal*H62*D62*(1+GrowthMarketRent)^3,0))))),IF(F62="",0,IF(AND(F62&gt;=DATE(2026+3,5,1),F62&lt;=DATE(2027+3,4,30)),(IF(I62="Vacate",TINew*D62,IF(I62="Market",Retention*TIRenewal*D62+(1-Retention)*TINew*D62,IF(I62="LeaseUp",TINew*D62,IF(I62="Option",TIRenewal*D62,0)))))+(IF(I62="Vacate",LCNew*H62*D62*(1+GrowthMarketRent)^3,IF(I62="Market",Retention*LCRenewal*H62*D62*(1+GrowthMarketRent)^3+(1-Retention)*LCNew*H62*D62*(1+GrowthMarketRent)^3,IF(I62="LeaseUp",LCNew*H62*D62*(1+GrowthMarketRent)^3,IF(I62="Option",LCRenewal*H62*D62*(1+GrowthMarketRent)^3,0))))),0))),0)</f>
        <v/>
      </c>
      <c r="AC62" s="14">
        <f>IFERROR(IF(AND(I62="LeaseUp",4=0),(IF(I62="Vacate",TINew*D62,IF(I62="Market",Retention*TIRenewal*D62+(1-Retention)*TINew*D62,IF(I62="LeaseUp",TINew*D62,IF(I62="Option",TIRenewal*D62,0)))))+(IF(I62="Vacate",LCNew*H62*D62*(1+GrowthMarketRent)^4,IF(I62="Market",Retention*LCRenewal*H62*D62*(1+GrowthMarketRent)^4+(1-Retention)*LCNew*H62*D62*(1+GrowthMarketRent)^4,IF(I62="LeaseUp",LCNew*H62*D62*(1+GrowthMarketRent)^4,IF(I62="Option",LCRenewal*H62*D62*(1+GrowthMarketRent)^4,0))))),IF(F62="",0,IF(AND(F62&gt;=DATE(2026+4,5,1),F62&lt;=DATE(2027+4,4,30)),(IF(I62="Vacate",TINew*D62,IF(I62="Market",Retention*TIRenewal*D62+(1-Retention)*TINew*D62,IF(I62="LeaseUp",TINew*D62,IF(I62="Option",TIRenewal*D62,0)))))+(IF(I62="Vacate",LCNew*H62*D62*(1+GrowthMarketRent)^4,IF(I62="Market",Retention*LCRenewal*H62*D62*(1+GrowthMarketRent)^4+(1-Retention)*LCNew*H62*D62*(1+GrowthMarketRent)^4,IF(I62="LeaseUp",LCNew*H62*D62*(1+GrowthMarketRent)^4,IF(I62="Option",LCRenewal*H62*D62*(1+GrowthMarketRent)^4,0))))),0))),0)</f>
        <v/>
      </c>
      <c r="AD62" s="14">
        <f>IFERROR(IF(AND(I62="LeaseUp",5=0),(IF(I62="Vacate",TINew*D62,IF(I62="Market",Retention*TIRenewal*D62+(1-Retention)*TINew*D62,IF(I62="LeaseUp",TINew*D62,IF(I62="Option",TIRenewal*D62,0)))))+(IF(I62="Vacate",LCNew*H62*D62*(1+GrowthMarketRent)^5,IF(I62="Market",Retention*LCRenewal*H62*D62*(1+GrowthMarketRent)^5+(1-Retention)*LCNew*H62*D62*(1+GrowthMarketRent)^5,IF(I62="LeaseUp",LCNew*H62*D62*(1+GrowthMarketRent)^5,IF(I62="Option",LCRenewal*H62*D62*(1+GrowthMarketRent)^5,0))))),IF(F62="",0,IF(AND(F62&gt;=DATE(2026+5,5,1),F62&lt;=DATE(2027+5,4,30)),(IF(I62="Vacate",TINew*D62,IF(I62="Market",Retention*TIRenewal*D62+(1-Retention)*TINew*D62,IF(I62="LeaseUp",TINew*D62,IF(I62="Option",TIRenewal*D62,0)))))+(IF(I62="Vacate",LCNew*H62*D62*(1+GrowthMarketRent)^5,IF(I62="Market",Retention*LCRenewal*H62*D62*(1+GrowthMarketRent)^5+(1-Retention)*LCNew*H62*D62*(1+GrowthMarketRent)^5,IF(I62="LeaseUp",LCNew*H62*D62*(1+GrowthMarketRent)^5,IF(I62="Option",LCRenewal*H62*D62*(1+GrowthMarketRent)^5,0))))),0))),0)</f>
        <v/>
      </c>
      <c r="AE62" s="14">
        <f>IFERROR(IF(AND(I62="LeaseUp",6=0),(IF(I62="Vacate",TINew*D62,IF(I62="Market",Retention*TIRenewal*D62+(1-Retention)*TINew*D62,IF(I62="LeaseUp",TINew*D62,IF(I62="Option",TIRenewal*D62,0)))))+(IF(I62="Vacate",LCNew*H62*D62*(1+GrowthMarketRent)^6,IF(I62="Market",Retention*LCRenewal*H62*D62*(1+GrowthMarketRent)^6+(1-Retention)*LCNew*H62*D62*(1+GrowthMarketRent)^6,IF(I62="LeaseUp",LCNew*H62*D62*(1+GrowthMarketRent)^6,IF(I62="Option",LCRenewal*H62*D62*(1+GrowthMarketRent)^6,0))))),IF(F62="",0,IF(AND(F62&gt;=DATE(2026+6,5,1),F62&lt;=DATE(2027+6,4,30)),(IF(I62="Vacate",TINew*D62,IF(I62="Market",Retention*TIRenewal*D62+(1-Retention)*TINew*D62,IF(I62="LeaseUp",TINew*D62,IF(I62="Option",TIRenewal*D62,0)))))+(IF(I62="Vacate",LCNew*H62*D62*(1+GrowthMarketRent)^6,IF(I62="Market",Retention*LCRenewal*H62*D62*(1+GrowthMarketRent)^6+(1-Retention)*LCNew*H62*D62*(1+GrowthMarketRent)^6,IF(I62="LeaseUp",LCNew*H62*D62*(1+GrowthMarketRent)^6,IF(I62="Option",LCRenewal*H62*D62*(1+GrowthMarketRent)^6,0))))),0))),0)</f>
        <v/>
      </c>
      <c r="AF62" s="14">
        <f>IFERROR(IF(AND(I62="LeaseUp",7=0),(IF(I62="Vacate",TINew*D62,IF(I62="Market",Retention*TIRenewal*D62+(1-Retention)*TINew*D62,IF(I62="LeaseUp",TINew*D62,IF(I62="Option",TIRenewal*D62,0)))))+(IF(I62="Vacate",LCNew*H62*D62*(1+GrowthMarketRent)^7,IF(I62="Market",Retention*LCRenewal*H62*D62*(1+GrowthMarketRent)^7+(1-Retention)*LCNew*H62*D62*(1+GrowthMarketRent)^7,IF(I62="LeaseUp",LCNew*H62*D62*(1+GrowthMarketRent)^7,IF(I62="Option",LCRenewal*H62*D62*(1+GrowthMarketRent)^7,0))))),IF(F62="",0,IF(AND(F62&gt;=DATE(2026+7,5,1),F62&lt;=DATE(2027+7,4,30)),(IF(I62="Vacate",TINew*D62,IF(I62="Market",Retention*TIRenewal*D62+(1-Retention)*TINew*D62,IF(I62="LeaseUp",TINew*D62,IF(I62="Option",TIRenewal*D62,0)))))+(IF(I62="Vacate",LCNew*H62*D62*(1+GrowthMarketRent)^7,IF(I62="Market",Retention*LCRenewal*H62*D62*(1+GrowthMarketRent)^7+(1-Retention)*LCNew*H62*D62*(1+GrowthMarketRent)^7,IF(I62="LeaseUp",LCNew*H62*D62*(1+GrowthMarketRent)^7,IF(I62="Option",LCRenewal*H62*D62*(1+GrowthMarketRent)^7,0))))),0))),0)</f>
        <v/>
      </c>
      <c r="AG62" s="14">
        <f>IFERROR(IF(AND(I62="LeaseUp",8=0),(IF(I62="Vacate",TINew*D62,IF(I62="Market",Retention*TIRenewal*D62+(1-Retention)*TINew*D62,IF(I62="LeaseUp",TINew*D62,IF(I62="Option",TIRenewal*D62,0)))))+(IF(I62="Vacate",LCNew*H62*D62*(1+GrowthMarketRent)^8,IF(I62="Market",Retention*LCRenewal*H62*D62*(1+GrowthMarketRent)^8+(1-Retention)*LCNew*H62*D62*(1+GrowthMarketRent)^8,IF(I62="LeaseUp",LCNew*H62*D62*(1+GrowthMarketRent)^8,IF(I62="Option",LCRenewal*H62*D62*(1+GrowthMarketRent)^8,0))))),IF(F62="",0,IF(AND(F62&gt;=DATE(2026+8,5,1),F62&lt;=DATE(2027+8,4,30)),(IF(I62="Vacate",TINew*D62,IF(I62="Market",Retention*TIRenewal*D62+(1-Retention)*TINew*D62,IF(I62="LeaseUp",TINew*D62,IF(I62="Option",TIRenewal*D62,0)))))+(IF(I62="Vacate",LCNew*H62*D62*(1+GrowthMarketRent)^8,IF(I62="Market",Retention*LCRenewal*H62*D62*(1+GrowthMarketRent)^8+(1-Retention)*LCNew*H62*D62*(1+GrowthMarketRent)^8,IF(I62="LeaseUp",LCNew*H62*D62*(1+GrowthMarketRent)^8,IF(I62="Option",LCRenewal*H62*D62*(1+GrowthMarketRent)^8,0))))),0))),0)</f>
        <v/>
      </c>
      <c r="AH62" s="14">
        <f>IFERROR(IF(AND(I62="LeaseUp",9=0),(IF(I62="Vacate",TINew*D62,IF(I62="Market",Retention*TIRenewal*D62+(1-Retention)*TINew*D62,IF(I62="LeaseUp",TINew*D62,IF(I62="Option",TIRenewal*D62,0)))))+(IF(I62="Vacate",LCNew*H62*D62*(1+GrowthMarketRent)^9,IF(I62="Market",Retention*LCRenewal*H62*D62*(1+GrowthMarketRent)^9+(1-Retention)*LCNew*H62*D62*(1+GrowthMarketRent)^9,IF(I62="LeaseUp",LCNew*H62*D62*(1+GrowthMarketRent)^9,IF(I62="Option",LCRenewal*H62*D62*(1+GrowthMarketRent)^9,0))))),IF(F62="",0,IF(AND(F62&gt;=DATE(2026+9,5,1),F62&lt;=DATE(2027+9,4,30)),(IF(I62="Vacate",TINew*D62,IF(I62="Market",Retention*TIRenewal*D62+(1-Retention)*TINew*D62,IF(I62="LeaseUp",TINew*D62,IF(I62="Option",TIRenewal*D62,0)))))+(IF(I62="Vacate",LCNew*H62*D62*(1+GrowthMarketRent)^9,IF(I62="Market",Retention*LCRenewal*H62*D62*(1+GrowthMarketRent)^9+(1-Retention)*LCNew*H62*D62*(1+GrowthMarketRent)^9,IF(I62="LeaseUp",LCNew*H62*D62*(1+GrowthMarketRent)^9,IF(I62="Option",LCRenewal*H62*D62*(1+GrowthMarketRent)^9,0))))),0))),0)</f>
        <v/>
      </c>
      <c r="AI62" s="14">
        <f>IFERROR(IF(AND(I62="LeaseUp",10=0),(IF(I62="Vacate",TINew*D62,IF(I62="Market",Retention*TIRenewal*D62+(1-Retention)*TINew*D62,IF(I62="LeaseUp",TINew*D62,IF(I62="Option",TIRenewal*D62,0)))))+(IF(I62="Vacate",LCNew*H62*D62*(1+GrowthMarketRent)^10,IF(I62="Market",Retention*LCRenewal*H62*D62*(1+GrowthMarketRent)^10+(1-Retention)*LCNew*H62*D62*(1+GrowthMarketRent)^10,IF(I62="LeaseUp",LCNew*H62*D62*(1+GrowthMarketRent)^10,IF(I62="Option",LCRenewal*H62*D62*(1+GrowthMarketRent)^10,0))))),IF(F62="",0,IF(AND(F62&gt;=DATE(2026+10,5,1),F62&lt;=DATE(2027+10,4,30)),(IF(I62="Vacate",TINew*D62,IF(I62="Market",Retention*TIRenewal*D62+(1-Retention)*TINew*D62,IF(I62="LeaseUp",TINew*D62,IF(I62="Option",TIRenewal*D62,0)))))+(IF(I62="Vacate",LCNew*H62*D62*(1+GrowthMarketRent)^10,IF(I62="Market",Retention*LCRenewal*H62*D62*(1+GrowthMarketRent)^10+(1-Retention)*LCNew*H62*D62*(1+GrowthMarketRent)^10,IF(I62="LeaseUp",LCNew*H62*D62*(1+GrowthMarketRent)^10,IF(I62="Option",LCRenewal*H62*D62*(1+GrowthMarketRent)^10,0))))),0))),0)</f>
        <v/>
      </c>
    </row>
    <row r="63">
      <c r="A63" t="inlineStr">
        <is>
          <t>Frisco</t>
        </is>
      </c>
      <c r="B63" t="inlineStr">
        <is>
          <t>301</t>
        </is>
      </c>
      <c r="C63" t="inlineStr">
        <is>
          <t>Brett Nicole Interiors LLC</t>
        </is>
      </c>
      <c r="D63" s="32" t="n">
        <v>2900</v>
      </c>
      <c r="E63" s="33" t="n">
        <v>46023</v>
      </c>
      <c r="F63" s="33" t="n">
        <v>47300</v>
      </c>
      <c r="G63" s="34" t="n">
        <v>19</v>
      </c>
      <c r="H63" s="16">
        <f>VLOOKUP(A63,MLA!$A$5:$L$11,3,FALSE)</f>
        <v/>
      </c>
      <c r="I63" s="11" t="inlineStr">
        <is>
          <t>Market</t>
        </is>
      </c>
      <c r="J63" t="inlineStr">
        <is>
          <t>Shop</t>
        </is>
      </c>
      <c r="K63" t="inlineStr">
        <is>
          <t>Occupied</t>
        </is>
      </c>
      <c r="L63" t="inlineStr">
        <is>
          <t>Guarantor: Priscilla Moore</t>
        </is>
      </c>
      <c r="M63" s="20">
        <f>IF(E63="",0,(AnalysisStart-E63)/365.25)</f>
        <v/>
      </c>
      <c r="N63" s="14">
        <f>IFERROR(IF(I63="LeaseUp",H63*D63*(1+GrowthMarketRent)^0*IF(0=0,(12-DowntimeNew)/12,1),IF(F63="",0,IF(F63&gt;=DATE(2027+0,4,30),G63*D63*(1+EscalatorInLease)^(0+M63),IF(F63&lt;DATE(2026+0,5,1),IF(I63="Vacate",H63*D63*(1+GrowthMarketRent)^0*IF(INT((DATE(2026+0,10,31)-F63)/365.25)=0,(12-DowntimeNew)/12,1),IF(I63="Option",G63*D63*1.025*(1+EscalatorInLease)^0,IF(I63="Market",Retention*G63*D63*(1+EscalatorInLease)^(0+M63)+(1-Retention)*H63*D63*(1+GrowthMarketRent)^0*IF(INT((DATE(2026+0,10,31)-F63)/365.25)=0,(12-DowntimeNew)/12,1),IF(I63="LeaseUp",H63*D63*(1+GrowthMarketRent)^0*IF(0=0,(12-DowntimeNew)/12,1),0)))),((F63-DATE(2026+0,5,1))/365.25)*G63*D63*(1+EscalatorInLease)^(0+M63)+((DATE(2027+0,4,30)-F63)/365.25)*IF(I63="Vacate",H63*D63*(1+GrowthMarketRent)^0*IF(INT((DATE(2026+0,10,31)-F63)/365.25)=0,(12-DowntimeNew)/12,1),IF(I63="Option",G63*D63*1.025*(1+EscalatorInLease)^0,IF(I63="Market",Retention*G63*D63*(1+EscalatorInLease)^(0+M63)+(1-Retention)*H63*D63*(1+GrowthMarketRent)^0*IF(INT((DATE(2026+0,10,31)-F63)/365.25)=0,(12-DowntimeNew)/12,1),IF(I63="LeaseUp",H63*D63*(1+GrowthMarketRent)^0*IF(0=0,(12-DowntimeNew)/12,1),0)))))))),0)</f>
        <v/>
      </c>
      <c r="O63" s="14">
        <f>IFERROR(IF(I63="LeaseUp",H63*D63*(1+GrowthMarketRent)^1*IF(1=0,(12-DowntimeNew)/12,1),IF(F63="",0,IF(F63&gt;=DATE(2027+1,4,30),G63*D63*(1+EscalatorInLease)^(1+M63),IF(F63&lt;DATE(2026+1,5,1),IF(I63="Vacate",H63*D63*(1+GrowthMarketRent)^1*IF(INT((DATE(2026+1,10,31)-F63)/365.25)=0,(12-DowntimeNew)/12,1),IF(I63="Option",G63*D63*1.025*(1+EscalatorInLease)^1,IF(I63="Market",Retention*G63*D63*(1+EscalatorInLease)^(1+M63)+(1-Retention)*H63*D63*(1+GrowthMarketRent)^1*IF(INT((DATE(2026+1,10,31)-F63)/365.25)=0,(12-DowntimeNew)/12,1),IF(I63="LeaseUp",H63*D63*(1+GrowthMarketRent)^1*IF(1=0,(12-DowntimeNew)/12,1),0)))),((F63-DATE(2026+1,5,1))/365.25)*G63*D63*(1+EscalatorInLease)^(1+M63)+((DATE(2027+1,4,30)-F63)/365.25)*IF(I63="Vacate",H63*D63*(1+GrowthMarketRent)^1*IF(INT((DATE(2026+1,10,31)-F63)/365.25)=0,(12-DowntimeNew)/12,1),IF(I63="Option",G63*D63*1.025*(1+EscalatorInLease)^1,IF(I63="Market",Retention*G63*D63*(1+EscalatorInLease)^(1+M63)+(1-Retention)*H63*D63*(1+GrowthMarketRent)^1*IF(INT((DATE(2026+1,10,31)-F63)/365.25)=0,(12-DowntimeNew)/12,1),IF(I63="LeaseUp",H63*D63*(1+GrowthMarketRent)^1*IF(1=0,(12-DowntimeNew)/12,1),0)))))))),0)</f>
        <v/>
      </c>
      <c r="P63" s="14">
        <f>IFERROR(IF(I63="LeaseUp",H63*D63*(1+GrowthMarketRent)^2*IF(2=0,(12-DowntimeNew)/12,1),IF(F63="",0,IF(F63&gt;=DATE(2027+2,4,30),G63*D63*(1+EscalatorInLease)^(2+M63),IF(F63&lt;DATE(2026+2,5,1),IF(I63="Vacate",H63*D63*(1+GrowthMarketRent)^2*IF(INT((DATE(2026+2,10,31)-F63)/365.25)=0,(12-DowntimeNew)/12,1),IF(I63="Option",G63*D63*1.025*(1+EscalatorInLease)^2,IF(I63="Market",Retention*G63*D63*(1+EscalatorInLease)^(2+M63)+(1-Retention)*H63*D63*(1+GrowthMarketRent)^2*IF(INT((DATE(2026+2,10,31)-F63)/365.25)=0,(12-DowntimeNew)/12,1),IF(I63="LeaseUp",H63*D63*(1+GrowthMarketRent)^2*IF(2=0,(12-DowntimeNew)/12,1),0)))),((F63-DATE(2026+2,5,1))/365.25)*G63*D63*(1+EscalatorInLease)^(2+M63)+((DATE(2027+2,4,30)-F63)/365.25)*IF(I63="Vacate",H63*D63*(1+GrowthMarketRent)^2*IF(INT((DATE(2026+2,10,31)-F63)/365.25)=0,(12-DowntimeNew)/12,1),IF(I63="Option",G63*D63*1.025*(1+EscalatorInLease)^2,IF(I63="Market",Retention*G63*D63*(1+EscalatorInLease)^(2+M63)+(1-Retention)*H63*D63*(1+GrowthMarketRent)^2*IF(INT((DATE(2026+2,10,31)-F63)/365.25)=0,(12-DowntimeNew)/12,1),IF(I63="LeaseUp",H63*D63*(1+GrowthMarketRent)^2*IF(2=0,(12-DowntimeNew)/12,1),0)))))))),0)</f>
        <v/>
      </c>
      <c r="Q63" s="14">
        <f>IFERROR(IF(I63="LeaseUp",H63*D63*(1+GrowthMarketRent)^3*IF(3=0,(12-DowntimeNew)/12,1),IF(F63="",0,IF(F63&gt;=DATE(2027+3,4,30),G63*D63*(1+EscalatorInLease)^(3+M63),IF(F63&lt;DATE(2026+3,5,1),IF(I63="Vacate",H63*D63*(1+GrowthMarketRent)^3*IF(INT((DATE(2026+3,10,31)-F63)/365.25)=0,(12-DowntimeNew)/12,1),IF(I63="Option",G63*D63*1.025*(1+EscalatorInLease)^3,IF(I63="Market",Retention*G63*D63*(1+EscalatorInLease)^(3+M63)+(1-Retention)*H63*D63*(1+GrowthMarketRent)^3*IF(INT((DATE(2026+3,10,31)-F63)/365.25)=0,(12-DowntimeNew)/12,1),IF(I63="LeaseUp",H63*D63*(1+GrowthMarketRent)^3*IF(3=0,(12-DowntimeNew)/12,1),0)))),((F63-DATE(2026+3,5,1))/365.25)*G63*D63*(1+EscalatorInLease)^(3+M63)+((DATE(2027+3,4,30)-F63)/365.25)*IF(I63="Vacate",H63*D63*(1+GrowthMarketRent)^3*IF(INT((DATE(2026+3,10,31)-F63)/365.25)=0,(12-DowntimeNew)/12,1),IF(I63="Option",G63*D63*1.025*(1+EscalatorInLease)^3,IF(I63="Market",Retention*G63*D63*(1+EscalatorInLease)^(3+M63)+(1-Retention)*H63*D63*(1+GrowthMarketRent)^3*IF(INT((DATE(2026+3,10,31)-F63)/365.25)=0,(12-DowntimeNew)/12,1),IF(I63="LeaseUp",H63*D63*(1+GrowthMarketRent)^3*IF(3=0,(12-DowntimeNew)/12,1),0)))))))),0)</f>
        <v/>
      </c>
      <c r="R63" s="14">
        <f>IFERROR(IF(I63="LeaseUp",H63*D63*(1+GrowthMarketRent)^4*IF(4=0,(12-DowntimeNew)/12,1),IF(F63="",0,IF(F63&gt;=DATE(2027+4,4,30),G63*D63*(1+EscalatorInLease)^(4+M63),IF(F63&lt;DATE(2026+4,5,1),IF(I63="Vacate",H63*D63*(1+GrowthMarketRent)^4*IF(INT((DATE(2026+4,10,31)-F63)/365.25)=0,(12-DowntimeNew)/12,1),IF(I63="Option",G63*D63*1.025*(1+EscalatorInLease)^4,IF(I63="Market",Retention*G63*D63*(1+EscalatorInLease)^(4+M63)+(1-Retention)*H63*D63*(1+GrowthMarketRent)^4*IF(INT((DATE(2026+4,10,31)-F63)/365.25)=0,(12-DowntimeNew)/12,1),IF(I63="LeaseUp",H63*D63*(1+GrowthMarketRent)^4*IF(4=0,(12-DowntimeNew)/12,1),0)))),((F63-DATE(2026+4,5,1))/365.25)*G63*D63*(1+EscalatorInLease)^(4+M63)+((DATE(2027+4,4,30)-F63)/365.25)*IF(I63="Vacate",H63*D63*(1+GrowthMarketRent)^4*IF(INT((DATE(2026+4,10,31)-F63)/365.25)=0,(12-DowntimeNew)/12,1),IF(I63="Option",G63*D63*1.025*(1+EscalatorInLease)^4,IF(I63="Market",Retention*G63*D63*(1+EscalatorInLease)^(4+M63)+(1-Retention)*H63*D63*(1+GrowthMarketRent)^4*IF(INT((DATE(2026+4,10,31)-F63)/365.25)=0,(12-DowntimeNew)/12,1),IF(I63="LeaseUp",H63*D63*(1+GrowthMarketRent)^4*IF(4=0,(12-DowntimeNew)/12,1),0)))))))),0)</f>
        <v/>
      </c>
      <c r="S63" s="14">
        <f>IFERROR(IF(I63="LeaseUp",H63*D63*(1+GrowthMarketRent)^5*IF(5=0,(12-DowntimeNew)/12,1),IF(F63="",0,IF(F63&gt;=DATE(2027+5,4,30),G63*D63*(1+EscalatorInLease)^(5+M63),IF(F63&lt;DATE(2026+5,5,1),IF(I63="Vacate",H63*D63*(1+GrowthMarketRent)^5*IF(INT((DATE(2026+5,10,31)-F63)/365.25)=0,(12-DowntimeNew)/12,1),IF(I63="Option",G63*D63*1.025*(1+EscalatorInLease)^5,IF(I63="Market",Retention*G63*D63*(1+EscalatorInLease)^(5+M63)+(1-Retention)*H63*D63*(1+GrowthMarketRent)^5*IF(INT((DATE(2026+5,10,31)-F63)/365.25)=0,(12-DowntimeNew)/12,1),IF(I63="LeaseUp",H63*D63*(1+GrowthMarketRent)^5*IF(5=0,(12-DowntimeNew)/12,1),0)))),((F63-DATE(2026+5,5,1))/365.25)*G63*D63*(1+EscalatorInLease)^(5+M63)+((DATE(2027+5,4,30)-F63)/365.25)*IF(I63="Vacate",H63*D63*(1+GrowthMarketRent)^5*IF(INT((DATE(2026+5,10,31)-F63)/365.25)=0,(12-DowntimeNew)/12,1),IF(I63="Option",G63*D63*1.025*(1+EscalatorInLease)^5,IF(I63="Market",Retention*G63*D63*(1+EscalatorInLease)^(5+M63)+(1-Retention)*H63*D63*(1+GrowthMarketRent)^5*IF(INT((DATE(2026+5,10,31)-F63)/365.25)=0,(12-DowntimeNew)/12,1),IF(I63="LeaseUp",H63*D63*(1+GrowthMarketRent)^5*IF(5=0,(12-DowntimeNew)/12,1),0)))))))),0)</f>
        <v/>
      </c>
      <c r="T63" s="14">
        <f>IFERROR(IF(I63="LeaseUp",H63*D63*(1+GrowthMarketRent)^6*IF(6=0,(12-DowntimeNew)/12,1),IF(F63="",0,IF(F63&gt;=DATE(2027+6,4,30),G63*D63*(1+EscalatorInLease)^(6+M63),IF(F63&lt;DATE(2026+6,5,1),IF(I63="Vacate",H63*D63*(1+GrowthMarketRent)^6*IF(INT((DATE(2026+6,10,31)-F63)/365.25)=0,(12-DowntimeNew)/12,1),IF(I63="Option",G63*D63*1.025*(1+EscalatorInLease)^6,IF(I63="Market",Retention*G63*D63*(1+EscalatorInLease)^(6+M63)+(1-Retention)*H63*D63*(1+GrowthMarketRent)^6*IF(INT((DATE(2026+6,10,31)-F63)/365.25)=0,(12-DowntimeNew)/12,1),IF(I63="LeaseUp",H63*D63*(1+GrowthMarketRent)^6*IF(6=0,(12-DowntimeNew)/12,1),0)))),((F63-DATE(2026+6,5,1))/365.25)*G63*D63*(1+EscalatorInLease)^(6+M63)+((DATE(2027+6,4,30)-F63)/365.25)*IF(I63="Vacate",H63*D63*(1+GrowthMarketRent)^6*IF(INT((DATE(2026+6,10,31)-F63)/365.25)=0,(12-DowntimeNew)/12,1),IF(I63="Option",G63*D63*1.025*(1+EscalatorInLease)^6,IF(I63="Market",Retention*G63*D63*(1+EscalatorInLease)^(6+M63)+(1-Retention)*H63*D63*(1+GrowthMarketRent)^6*IF(INT((DATE(2026+6,10,31)-F63)/365.25)=0,(12-DowntimeNew)/12,1),IF(I63="LeaseUp",H63*D63*(1+GrowthMarketRent)^6*IF(6=0,(12-DowntimeNew)/12,1),0)))))))),0)</f>
        <v/>
      </c>
      <c r="U63" s="14">
        <f>IFERROR(IF(I63="LeaseUp",H63*D63*(1+GrowthMarketRent)^7*IF(7=0,(12-DowntimeNew)/12,1),IF(F63="",0,IF(F63&gt;=DATE(2027+7,4,30),G63*D63*(1+EscalatorInLease)^(7+M63),IF(F63&lt;DATE(2026+7,5,1),IF(I63="Vacate",H63*D63*(1+GrowthMarketRent)^7*IF(INT((DATE(2026+7,10,31)-F63)/365.25)=0,(12-DowntimeNew)/12,1),IF(I63="Option",G63*D63*1.025*(1+EscalatorInLease)^7,IF(I63="Market",Retention*G63*D63*(1+EscalatorInLease)^(7+M63)+(1-Retention)*H63*D63*(1+GrowthMarketRent)^7*IF(INT((DATE(2026+7,10,31)-F63)/365.25)=0,(12-DowntimeNew)/12,1),IF(I63="LeaseUp",H63*D63*(1+GrowthMarketRent)^7*IF(7=0,(12-DowntimeNew)/12,1),0)))),((F63-DATE(2026+7,5,1))/365.25)*G63*D63*(1+EscalatorInLease)^(7+M63)+((DATE(2027+7,4,30)-F63)/365.25)*IF(I63="Vacate",H63*D63*(1+GrowthMarketRent)^7*IF(INT((DATE(2026+7,10,31)-F63)/365.25)=0,(12-DowntimeNew)/12,1),IF(I63="Option",G63*D63*1.025*(1+EscalatorInLease)^7,IF(I63="Market",Retention*G63*D63*(1+EscalatorInLease)^(7+M63)+(1-Retention)*H63*D63*(1+GrowthMarketRent)^7*IF(INT((DATE(2026+7,10,31)-F63)/365.25)=0,(12-DowntimeNew)/12,1),IF(I63="LeaseUp",H63*D63*(1+GrowthMarketRent)^7*IF(7=0,(12-DowntimeNew)/12,1),0)))))))),0)</f>
        <v/>
      </c>
      <c r="V63" s="14">
        <f>IFERROR(IF(I63="LeaseUp",H63*D63*(1+GrowthMarketRent)^8*IF(8=0,(12-DowntimeNew)/12,1),IF(F63="",0,IF(F63&gt;=DATE(2027+8,4,30),G63*D63*(1+EscalatorInLease)^(8+M63),IF(F63&lt;DATE(2026+8,5,1),IF(I63="Vacate",H63*D63*(1+GrowthMarketRent)^8*IF(INT((DATE(2026+8,10,31)-F63)/365.25)=0,(12-DowntimeNew)/12,1),IF(I63="Option",G63*D63*1.025*(1+EscalatorInLease)^8,IF(I63="Market",Retention*G63*D63*(1+EscalatorInLease)^(8+M63)+(1-Retention)*H63*D63*(1+GrowthMarketRent)^8*IF(INT((DATE(2026+8,10,31)-F63)/365.25)=0,(12-DowntimeNew)/12,1),IF(I63="LeaseUp",H63*D63*(1+GrowthMarketRent)^8*IF(8=0,(12-DowntimeNew)/12,1),0)))),((F63-DATE(2026+8,5,1))/365.25)*G63*D63*(1+EscalatorInLease)^(8+M63)+((DATE(2027+8,4,30)-F63)/365.25)*IF(I63="Vacate",H63*D63*(1+GrowthMarketRent)^8*IF(INT((DATE(2026+8,10,31)-F63)/365.25)=0,(12-DowntimeNew)/12,1),IF(I63="Option",G63*D63*1.025*(1+EscalatorInLease)^8,IF(I63="Market",Retention*G63*D63*(1+EscalatorInLease)^(8+M63)+(1-Retention)*H63*D63*(1+GrowthMarketRent)^8*IF(INT((DATE(2026+8,10,31)-F63)/365.25)=0,(12-DowntimeNew)/12,1),IF(I63="LeaseUp",H63*D63*(1+GrowthMarketRent)^8*IF(8=0,(12-DowntimeNew)/12,1),0)))))))),0)</f>
        <v/>
      </c>
      <c r="W63" s="14">
        <f>IFERROR(IF(I63="LeaseUp",H63*D63*(1+GrowthMarketRent)^9*IF(9=0,(12-DowntimeNew)/12,1),IF(F63="",0,IF(F63&gt;=DATE(2027+9,4,30),G63*D63*(1+EscalatorInLease)^(9+M63),IF(F63&lt;DATE(2026+9,5,1),IF(I63="Vacate",H63*D63*(1+GrowthMarketRent)^9*IF(INT((DATE(2026+9,10,31)-F63)/365.25)=0,(12-DowntimeNew)/12,1),IF(I63="Option",G63*D63*1.025*(1+EscalatorInLease)^9,IF(I63="Market",Retention*G63*D63*(1+EscalatorInLease)^(9+M63)+(1-Retention)*H63*D63*(1+GrowthMarketRent)^9*IF(INT((DATE(2026+9,10,31)-F63)/365.25)=0,(12-DowntimeNew)/12,1),IF(I63="LeaseUp",H63*D63*(1+GrowthMarketRent)^9*IF(9=0,(12-DowntimeNew)/12,1),0)))),((F63-DATE(2026+9,5,1))/365.25)*G63*D63*(1+EscalatorInLease)^(9+M63)+((DATE(2027+9,4,30)-F63)/365.25)*IF(I63="Vacate",H63*D63*(1+GrowthMarketRent)^9*IF(INT((DATE(2026+9,10,31)-F63)/365.25)=0,(12-DowntimeNew)/12,1),IF(I63="Option",G63*D63*1.025*(1+EscalatorInLease)^9,IF(I63="Market",Retention*G63*D63*(1+EscalatorInLease)^(9+M63)+(1-Retention)*H63*D63*(1+GrowthMarketRent)^9*IF(INT((DATE(2026+9,10,31)-F63)/365.25)=0,(12-DowntimeNew)/12,1),IF(I63="LeaseUp",H63*D63*(1+GrowthMarketRent)^9*IF(9=0,(12-DowntimeNew)/12,1),0)))))))),0)</f>
        <v/>
      </c>
      <c r="X63" s="14">
        <f>IFERROR(IF(I63="LeaseUp",H63*D63*(1+GrowthMarketRent)^10*IF(10=0,(12-DowntimeNew)/12,1),IF(F63="",0,IF(F63&gt;=DATE(2027+10,4,30),G63*D63*(1+EscalatorInLease)^(10+M63),IF(F63&lt;DATE(2026+10,5,1),IF(I63="Vacate",H63*D63*(1+GrowthMarketRent)^10*IF(INT((DATE(2026+10,10,31)-F63)/365.25)=0,(12-DowntimeNew)/12,1),IF(I63="Option",G63*D63*1.025*(1+EscalatorInLease)^10,IF(I63="Market",Retention*G63*D63*(1+EscalatorInLease)^(10+M63)+(1-Retention)*H63*D63*(1+GrowthMarketRent)^10*IF(INT((DATE(2026+10,10,31)-F63)/365.25)=0,(12-DowntimeNew)/12,1),IF(I63="LeaseUp",H63*D63*(1+GrowthMarketRent)^10*IF(10=0,(12-DowntimeNew)/12,1),0)))),((F63-DATE(2026+10,5,1))/365.25)*G63*D63*(1+EscalatorInLease)^(10+M63)+((DATE(2027+10,4,30)-F63)/365.25)*IF(I63="Vacate",H63*D63*(1+GrowthMarketRent)^10*IF(INT((DATE(2026+10,10,31)-F63)/365.25)=0,(12-DowntimeNew)/12,1),IF(I63="Option",G63*D63*1.025*(1+EscalatorInLease)^10,IF(I63="Market",Retention*G63*D63*(1+EscalatorInLease)^(10+M63)+(1-Retention)*H63*D63*(1+GrowthMarketRent)^10*IF(INT((DATE(2026+10,10,31)-F63)/365.25)=0,(12-DowntimeNew)/12,1),IF(I63="LeaseUp",H63*D63*(1+GrowthMarketRent)^10*IF(10=0,(12-DowntimeNew)/12,1),0)))))))),0)</f>
        <v/>
      </c>
      <c r="Y63" s="14">
        <f>IFERROR(IF(AND(I63="LeaseUp",0=0),(IF(I63="Vacate",TINew*D63,IF(I63="Market",Retention*TIRenewal*D63+(1-Retention)*TINew*D63,IF(I63="LeaseUp",TINew*D63,IF(I63="Option",TIRenewal*D63,0)))))+(IF(I63="Vacate",LCNew*H63*D63*(1+GrowthMarketRent)^0,IF(I63="Market",Retention*LCRenewal*H63*D63*(1+GrowthMarketRent)^0+(1-Retention)*LCNew*H63*D63*(1+GrowthMarketRent)^0,IF(I63="LeaseUp",LCNew*H63*D63*(1+GrowthMarketRent)^0,IF(I63="Option",LCRenewal*H63*D63*(1+GrowthMarketRent)^0,0))))),IF(F63="",0,IF(AND(F63&gt;=DATE(2026+0,5,1),F63&lt;=DATE(2027+0,4,30)),(IF(I63="Vacate",TINew*D63,IF(I63="Market",Retention*TIRenewal*D63+(1-Retention)*TINew*D63,IF(I63="LeaseUp",TINew*D63,IF(I63="Option",TIRenewal*D63,0)))))+(IF(I63="Vacate",LCNew*H63*D63*(1+GrowthMarketRent)^0,IF(I63="Market",Retention*LCRenewal*H63*D63*(1+GrowthMarketRent)^0+(1-Retention)*LCNew*H63*D63*(1+GrowthMarketRent)^0,IF(I63="LeaseUp",LCNew*H63*D63*(1+GrowthMarketRent)^0,IF(I63="Option",LCRenewal*H63*D63*(1+GrowthMarketRent)^0,0))))),0))),0)</f>
        <v/>
      </c>
      <c r="Z63" s="14">
        <f>IFERROR(IF(AND(I63="LeaseUp",1=0),(IF(I63="Vacate",TINew*D63,IF(I63="Market",Retention*TIRenewal*D63+(1-Retention)*TINew*D63,IF(I63="LeaseUp",TINew*D63,IF(I63="Option",TIRenewal*D63,0)))))+(IF(I63="Vacate",LCNew*H63*D63*(1+GrowthMarketRent)^1,IF(I63="Market",Retention*LCRenewal*H63*D63*(1+GrowthMarketRent)^1+(1-Retention)*LCNew*H63*D63*(1+GrowthMarketRent)^1,IF(I63="LeaseUp",LCNew*H63*D63*(1+GrowthMarketRent)^1,IF(I63="Option",LCRenewal*H63*D63*(1+GrowthMarketRent)^1,0))))),IF(F63="",0,IF(AND(F63&gt;=DATE(2026+1,5,1),F63&lt;=DATE(2027+1,4,30)),(IF(I63="Vacate",TINew*D63,IF(I63="Market",Retention*TIRenewal*D63+(1-Retention)*TINew*D63,IF(I63="LeaseUp",TINew*D63,IF(I63="Option",TIRenewal*D63,0)))))+(IF(I63="Vacate",LCNew*H63*D63*(1+GrowthMarketRent)^1,IF(I63="Market",Retention*LCRenewal*H63*D63*(1+GrowthMarketRent)^1+(1-Retention)*LCNew*H63*D63*(1+GrowthMarketRent)^1,IF(I63="LeaseUp",LCNew*H63*D63*(1+GrowthMarketRent)^1,IF(I63="Option",LCRenewal*H63*D63*(1+GrowthMarketRent)^1,0))))),0))),0)</f>
        <v/>
      </c>
      <c r="AA63" s="14">
        <f>IFERROR(IF(AND(I63="LeaseUp",2=0),(IF(I63="Vacate",TINew*D63,IF(I63="Market",Retention*TIRenewal*D63+(1-Retention)*TINew*D63,IF(I63="LeaseUp",TINew*D63,IF(I63="Option",TIRenewal*D63,0)))))+(IF(I63="Vacate",LCNew*H63*D63*(1+GrowthMarketRent)^2,IF(I63="Market",Retention*LCRenewal*H63*D63*(1+GrowthMarketRent)^2+(1-Retention)*LCNew*H63*D63*(1+GrowthMarketRent)^2,IF(I63="LeaseUp",LCNew*H63*D63*(1+GrowthMarketRent)^2,IF(I63="Option",LCRenewal*H63*D63*(1+GrowthMarketRent)^2,0))))),IF(F63="",0,IF(AND(F63&gt;=DATE(2026+2,5,1),F63&lt;=DATE(2027+2,4,30)),(IF(I63="Vacate",TINew*D63,IF(I63="Market",Retention*TIRenewal*D63+(1-Retention)*TINew*D63,IF(I63="LeaseUp",TINew*D63,IF(I63="Option",TIRenewal*D63,0)))))+(IF(I63="Vacate",LCNew*H63*D63*(1+GrowthMarketRent)^2,IF(I63="Market",Retention*LCRenewal*H63*D63*(1+GrowthMarketRent)^2+(1-Retention)*LCNew*H63*D63*(1+GrowthMarketRent)^2,IF(I63="LeaseUp",LCNew*H63*D63*(1+GrowthMarketRent)^2,IF(I63="Option",LCRenewal*H63*D63*(1+GrowthMarketRent)^2,0))))),0))),0)</f>
        <v/>
      </c>
      <c r="AB63" s="14">
        <f>IFERROR(IF(AND(I63="LeaseUp",3=0),(IF(I63="Vacate",TINew*D63,IF(I63="Market",Retention*TIRenewal*D63+(1-Retention)*TINew*D63,IF(I63="LeaseUp",TINew*D63,IF(I63="Option",TIRenewal*D63,0)))))+(IF(I63="Vacate",LCNew*H63*D63*(1+GrowthMarketRent)^3,IF(I63="Market",Retention*LCRenewal*H63*D63*(1+GrowthMarketRent)^3+(1-Retention)*LCNew*H63*D63*(1+GrowthMarketRent)^3,IF(I63="LeaseUp",LCNew*H63*D63*(1+GrowthMarketRent)^3,IF(I63="Option",LCRenewal*H63*D63*(1+GrowthMarketRent)^3,0))))),IF(F63="",0,IF(AND(F63&gt;=DATE(2026+3,5,1),F63&lt;=DATE(2027+3,4,30)),(IF(I63="Vacate",TINew*D63,IF(I63="Market",Retention*TIRenewal*D63+(1-Retention)*TINew*D63,IF(I63="LeaseUp",TINew*D63,IF(I63="Option",TIRenewal*D63,0)))))+(IF(I63="Vacate",LCNew*H63*D63*(1+GrowthMarketRent)^3,IF(I63="Market",Retention*LCRenewal*H63*D63*(1+GrowthMarketRent)^3+(1-Retention)*LCNew*H63*D63*(1+GrowthMarketRent)^3,IF(I63="LeaseUp",LCNew*H63*D63*(1+GrowthMarketRent)^3,IF(I63="Option",LCRenewal*H63*D63*(1+GrowthMarketRent)^3,0))))),0))),0)</f>
        <v/>
      </c>
      <c r="AC63" s="14">
        <f>IFERROR(IF(AND(I63="LeaseUp",4=0),(IF(I63="Vacate",TINew*D63,IF(I63="Market",Retention*TIRenewal*D63+(1-Retention)*TINew*D63,IF(I63="LeaseUp",TINew*D63,IF(I63="Option",TIRenewal*D63,0)))))+(IF(I63="Vacate",LCNew*H63*D63*(1+GrowthMarketRent)^4,IF(I63="Market",Retention*LCRenewal*H63*D63*(1+GrowthMarketRent)^4+(1-Retention)*LCNew*H63*D63*(1+GrowthMarketRent)^4,IF(I63="LeaseUp",LCNew*H63*D63*(1+GrowthMarketRent)^4,IF(I63="Option",LCRenewal*H63*D63*(1+GrowthMarketRent)^4,0))))),IF(F63="",0,IF(AND(F63&gt;=DATE(2026+4,5,1),F63&lt;=DATE(2027+4,4,30)),(IF(I63="Vacate",TINew*D63,IF(I63="Market",Retention*TIRenewal*D63+(1-Retention)*TINew*D63,IF(I63="LeaseUp",TINew*D63,IF(I63="Option",TIRenewal*D63,0)))))+(IF(I63="Vacate",LCNew*H63*D63*(1+GrowthMarketRent)^4,IF(I63="Market",Retention*LCRenewal*H63*D63*(1+GrowthMarketRent)^4+(1-Retention)*LCNew*H63*D63*(1+GrowthMarketRent)^4,IF(I63="LeaseUp",LCNew*H63*D63*(1+GrowthMarketRent)^4,IF(I63="Option",LCRenewal*H63*D63*(1+GrowthMarketRent)^4,0))))),0))),0)</f>
        <v/>
      </c>
      <c r="AD63" s="14">
        <f>IFERROR(IF(AND(I63="LeaseUp",5=0),(IF(I63="Vacate",TINew*D63,IF(I63="Market",Retention*TIRenewal*D63+(1-Retention)*TINew*D63,IF(I63="LeaseUp",TINew*D63,IF(I63="Option",TIRenewal*D63,0)))))+(IF(I63="Vacate",LCNew*H63*D63*(1+GrowthMarketRent)^5,IF(I63="Market",Retention*LCRenewal*H63*D63*(1+GrowthMarketRent)^5+(1-Retention)*LCNew*H63*D63*(1+GrowthMarketRent)^5,IF(I63="LeaseUp",LCNew*H63*D63*(1+GrowthMarketRent)^5,IF(I63="Option",LCRenewal*H63*D63*(1+GrowthMarketRent)^5,0))))),IF(F63="",0,IF(AND(F63&gt;=DATE(2026+5,5,1),F63&lt;=DATE(2027+5,4,30)),(IF(I63="Vacate",TINew*D63,IF(I63="Market",Retention*TIRenewal*D63+(1-Retention)*TINew*D63,IF(I63="LeaseUp",TINew*D63,IF(I63="Option",TIRenewal*D63,0)))))+(IF(I63="Vacate",LCNew*H63*D63*(1+GrowthMarketRent)^5,IF(I63="Market",Retention*LCRenewal*H63*D63*(1+GrowthMarketRent)^5+(1-Retention)*LCNew*H63*D63*(1+GrowthMarketRent)^5,IF(I63="LeaseUp",LCNew*H63*D63*(1+GrowthMarketRent)^5,IF(I63="Option",LCRenewal*H63*D63*(1+GrowthMarketRent)^5,0))))),0))),0)</f>
        <v/>
      </c>
      <c r="AE63" s="14">
        <f>IFERROR(IF(AND(I63="LeaseUp",6=0),(IF(I63="Vacate",TINew*D63,IF(I63="Market",Retention*TIRenewal*D63+(1-Retention)*TINew*D63,IF(I63="LeaseUp",TINew*D63,IF(I63="Option",TIRenewal*D63,0)))))+(IF(I63="Vacate",LCNew*H63*D63*(1+GrowthMarketRent)^6,IF(I63="Market",Retention*LCRenewal*H63*D63*(1+GrowthMarketRent)^6+(1-Retention)*LCNew*H63*D63*(1+GrowthMarketRent)^6,IF(I63="LeaseUp",LCNew*H63*D63*(1+GrowthMarketRent)^6,IF(I63="Option",LCRenewal*H63*D63*(1+GrowthMarketRent)^6,0))))),IF(F63="",0,IF(AND(F63&gt;=DATE(2026+6,5,1),F63&lt;=DATE(2027+6,4,30)),(IF(I63="Vacate",TINew*D63,IF(I63="Market",Retention*TIRenewal*D63+(1-Retention)*TINew*D63,IF(I63="LeaseUp",TINew*D63,IF(I63="Option",TIRenewal*D63,0)))))+(IF(I63="Vacate",LCNew*H63*D63*(1+GrowthMarketRent)^6,IF(I63="Market",Retention*LCRenewal*H63*D63*(1+GrowthMarketRent)^6+(1-Retention)*LCNew*H63*D63*(1+GrowthMarketRent)^6,IF(I63="LeaseUp",LCNew*H63*D63*(1+GrowthMarketRent)^6,IF(I63="Option",LCRenewal*H63*D63*(1+GrowthMarketRent)^6,0))))),0))),0)</f>
        <v/>
      </c>
      <c r="AF63" s="14">
        <f>IFERROR(IF(AND(I63="LeaseUp",7=0),(IF(I63="Vacate",TINew*D63,IF(I63="Market",Retention*TIRenewal*D63+(1-Retention)*TINew*D63,IF(I63="LeaseUp",TINew*D63,IF(I63="Option",TIRenewal*D63,0)))))+(IF(I63="Vacate",LCNew*H63*D63*(1+GrowthMarketRent)^7,IF(I63="Market",Retention*LCRenewal*H63*D63*(1+GrowthMarketRent)^7+(1-Retention)*LCNew*H63*D63*(1+GrowthMarketRent)^7,IF(I63="LeaseUp",LCNew*H63*D63*(1+GrowthMarketRent)^7,IF(I63="Option",LCRenewal*H63*D63*(1+GrowthMarketRent)^7,0))))),IF(F63="",0,IF(AND(F63&gt;=DATE(2026+7,5,1),F63&lt;=DATE(2027+7,4,30)),(IF(I63="Vacate",TINew*D63,IF(I63="Market",Retention*TIRenewal*D63+(1-Retention)*TINew*D63,IF(I63="LeaseUp",TINew*D63,IF(I63="Option",TIRenewal*D63,0)))))+(IF(I63="Vacate",LCNew*H63*D63*(1+GrowthMarketRent)^7,IF(I63="Market",Retention*LCRenewal*H63*D63*(1+GrowthMarketRent)^7+(1-Retention)*LCNew*H63*D63*(1+GrowthMarketRent)^7,IF(I63="LeaseUp",LCNew*H63*D63*(1+GrowthMarketRent)^7,IF(I63="Option",LCRenewal*H63*D63*(1+GrowthMarketRent)^7,0))))),0))),0)</f>
        <v/>
      </c>
      <c r="AG63" s="14">
        <f>IFERROR(IF(AND(I63="LeaseUp",8=0),(IF(I63="Vacate",TINew*D63,IF(I63="Market",Retention*TIRenewal*D63+(1-Retention)*TINew*D63,IF(I63="LeaseUp",TINew*D63,IF(I63="Option",TIRenewal*D63,0)))))+(IF(I63="Vacate",LCNew*H63*D63*(1+GrowthMarketRent)^8,IF(I63="Market",Retention*LCRenewal*H63*D63*(1+GrowthMarketRent)^8+(1-Retention)*LCNew*H63*D63*(1+GrowthMarketRent)^8,IF(I63="LeaseUp",LCNew*H63*D63*(1+GrowthMarketRent)^8,IF(I63="Option",LCRenewal*H63*D63*(1+GrowthMarketRent)^8,0))))),IF(F63="",0,IF(AND(F63&gt;=DATE(2026+8,5,1),F63&lt;=DATE(2027+8,4,30)),(IF(I63="Vacate",TINew*D63,IF(I63="Market",Retention*TIRenewal*D63+(1-Retention)*TINew*D63,IF(I63="LeaseUp",TINew*D63,IF(I63="Option",TIRenewal*D63,0)))))+(IF(I63="Vacate",LCNew*H63*D63*(1+GrowthMarketRent)^8,IF(I63="Market",Retention*LCRenewal*H63*D63*(1+GrowthMarketRent)^8+(1-Retention)*LCNew*H63*D63*(1+GrowthMarketRent)^8,IF(I63="LeaseUp",LCNew*H63*D63*(1+GrowthMarketRent)^8,IF(I63="Option",LCRenewal*H63*D63*(1+GrowthMarketRent)^8,0))))),0))),0)</f>
        <v/>
      </c>
      <c r="AH63" s="14">
        <f>IFERROR(IF(AND(I63="LeaseUp",9=0),(IF(I63="Vacate",TINew*D63,IF(I63="Market",Retention*TIRenewal*D63+(1-Retention)*TINew*D63,IF(I63="LeaseUp",TINew*D63,IF(I63="Option",TIRenewal*D63,0)))))+(IF(I63="Vacate",LCNew*H63*D63*(1+GrowthMarketRent)^9,IF(I63="Market",Retention*LCRenewal*H63*D63*(1+GrowthMarketRent)^9+(1-Retention)*LCNew*H63*D63*(1+GrowthMarketRent)^9,IF(I63="LeaseUp",LCNew*H63*D63*(1+GrowthMarketRent)^9,IF(I63="Option",LCRenewal*H63*D63*(1+GrowthMarketRent)^9,0))))),IF(F63="",0,IF(AND(F63&gt;=DATE(2026+9,5,1),F63&lt;=DATE(2027+9,4,30)),(IF(I63="Vacate",TINew*D63,IF(I63="Market",Retention*TIRenewal*D63+(1-Retention)*TINew*D63,IF(I63="LeaseUp",TINew*D63,IF(I63="Option",TIRenewal*D63,0)))))+(IF(I63="Vacate",LCNew*H63*D63*(1+GrowthMarketRent)^9,IF(I63="Market",Retention*LCRenewal*H63*D63*(1+GrowthMarketRent)^9+(1-Retention)*LCNew*H63*D63*(1+GrowthMarketRent)^9,IF(I63="LeaseUp",LCNew*H63*D63*(1+GrowthMarketRent)^9,IF(I63="Option",LCRenewal*H63*D63*(1+GrowthMarketRent)^9,0))))),0))),0)</f>
        <v/>
      </c>
      <c r="AI63" s="14">
        <f>IFERROR(IF(AND(I63="LeaseUp",10=0),(IF(I63="Vacate",TINew*D63,IF(I63="Market",Retention*TIRenewal*D63+(1-Retention)*TINew*D63,IF(I63="LeaseUp",TINew*D63,IF(I63="Option",TIRenewal*D63,0)))))+(IF(I63="Vacate",LCNew*H63*D63*(1+GrowthMarketRent)^10,IF(I63="Market",Retention*LCRenewal*H63*D63*(1+GrowthMarketRent)^10+(1-Retention)*LCNew*H63*D63*(1+GrowthMarketRent)^10,IF(I63="LeaseUp",LCNew*H63*D63*(1+GrowthMarketRent)^10,IF(I63="Option",LCRenewal*H63*D63*(1+GrowthMarketRent)^10,0))))),IF(F63="",0,IF(AND(F63&gt;=DATE(2026+10,5,1),F63&lt;=DATE(2027+10,4,30)),(IF(I63="Vacate",TINew*D63,IF(I63="Market",Retention*TIRenewal*D63+(1-Retention)*TINew*D63,IF(I63="LeaseUp",TINew*D63,IF(I63="Option",TIRenewal*D63,0)))))+(IF(I63="Vacate",LCNew*H63*D63*(1+GrowthMarketRent)^10,IF(I63="Market",Retention*LCRenewal*H63*D63*(1+GrowthMarketRent)^10+(1-Retention)*LCNew*H63*D63*(1+GrowthMarketRent)^10,IF(I63="LeaseUp",LCNew*H63*D63*(1+GrowthMarketRent)^10,IF(I63="Option",LCRenewal*H63*D63*(1+GrowthMarketRent)^10,0))))),0))),0)</f>
        <v/>
      </c>
    </row>
    <row r="64">
      <c r="A64" t="inlineStr">
        <is>
          <t>Frisco</t>
        </is>
      </c>
      <c r="B64" t="inlineStr">
        <is>
          <t>302</t>
        </is>
      </c>
      <c r="C64" t="inlineStr">
        <is>
          <t>Ineapple Corp.</t>
        </is>
      </c>
      <c r="D64" s="32" t="n">
        <v>2900</v>
      </c>
      <c r="E64" s="33" t="n">
        <v>45748</v>
      </c>
      <c r="F64" s="33" t="n">
        <v>46997</v>
      </c>
      <c r="G64" s="34" t="n">
        <v>18.45</v>
      </c>
      <c r="H64" s="16">
        <f>VLOOKUP(A64,MLA!$A$5:$L$11,3,FALSE)</f>
        <v/>
      </c>
      <c r="I64" s="11" t="inlineStr">
        <is>
          <t>Market</t>
        </is>
      </c>
      <c r="J64" t="inlineStr">
        <is>
          <t>Shop</t>
        </is>
      </c>
      <c r="K64" t="inlineStr">
        <is>
          <t>Occupied</t>
        </is>
      </c>
      <c r="L64" t="inlineStr"/>
      <c r="M64" s="20">
        <f>IF(E64="",0,(AnalysisStart-E64)/365.25)</f>
        <v/>
      </c>
      <c r="N64" s="14">
        <f>IFERROR(IF(I64="LeaseUp",H64*D64*(1+GrowthMarketRent)^0*IF(0=0,(12-DowntimeNew)/12,1),IF(F64="",0,IF(F64&gt;=DATE(2027+0,4,30),G64*D64*(1+EscalatorInLease)^(0+M64),IF(F64&lt;DATE(2026+0,5,1),IF(I64="Vacate",H64*D64*(1+GrowthMarketRent)^0*IF(INT((DATE(2026+0,10,31)-F64)/365.25)=0,(12-DowntimeNew)/12,1),IF(I64="Option",G64*D64*1.025*(1+EscalatorInLease)^0,IF(I64="Market",Retention*G64*D64*(1+EscalatorInLease)^(0+M64)+(1-Retention)*H64*D64*(1+GrowthMarketRent)^0*IF(INT((DATE(2026+0,10,31)-F64)/365.25)=0,(12-DowntimeNew)/12,1),IF(I64="LeaseUp",H64*D64*(1+GrowthMarketRent)^0*IF(0=0,(12-DowntimeNew)/12,1),0)))),((F64-DATE(2026+0,5,1))/365.25)*G64*D64*(1+EscalatorInLease)^(0+M64)+((DATE(2027+0,4,30)-F64)/365.25)*IF(I64="Vacate",H64*D64*(1+GrowthMarketRent)^0*IF(INT((DATE(2026+0,10,31)-F64)/365.25)=0,(12-DowntimeNew)/12,1),IF(I64="Option",G64*D64*1.025*(1+EscalatorInLease)^0,IF(I64="Market",Retention*G64*D64*(1+EscalatorInLease)^(0+M64)+(1-Retention)*H64*D64*(1+GrowthMarketRent)^0*IF(INT((DATE(2026+0,10,31)-F64)/365.25)=0,(12-DowntimeNew)/12,1),IF(I64="LeaseUp",H64*D64*(1+GrowthMarketRent)^0*IF(0=0,(12-DowntimeNew)/12,1),0)))))))),0)</f>
        <v/>
      </c>
      <c r="O64" s="14">
        <f>IFERROR(IF(I64="LeaseUp",H64*D64*(1+GrowthMarketRent)^1*IF(1=0,(12-DowntimeNew)/12,1),IF(F64="",0,IF(F64&gt;=DATE(2027+1,4,30),G64*D64*(1+EscalatorInLease)^(1+M64),IF(F64&lt;DATE(2026+1,5,1),IF(I64="Vacate",H64*D64*(1+GrowthMarketRent)^1*IF(INT((DATE(2026+1,10,31)-F64)/365.25)=0,(12-DowntimeNew)/12,1),IF(I64="Option",G64*D64*1.025*(1+EscalatorInLease)^1,IF(I64="Market",Retention*G64*D64*(1+EscalatorInLease)^(1+M64)+(1-Retention)*H64*D64*(1+GrowthMarketRent)^1*IF(INT((DATE(2026+1,10,31)-F64)/365.25)=0,(12-DowntimeNew)/12,1),IF(I64="LeaseUp",H64*D64*(1+GrowthMarketRent)^1*IF(1=0,(12-DowntimeNew)/12,1),0)))),((F64-DATE(2026+1,5,1))/365.25)*G64*D64*(1+EscalatorInLease)^(1+M64)+((DATE(2027+1,4,30)-F64)/365.25)*IF(I64="Vacate",H64*D64*(1+GrowthMarketRent)^1*IF(INT((DATE(2026+1,10,31)-F64)/365.25)=0,(12-DowntimeNew)/12,1),IF(I64="Option",G64*D64*1.025*(1+EscalatorInLease)^1,IF(I64="Market",Retention*G64*D64*(1+EscalatorInLease)^(1+M64)+(1-Retention)*H64*D64*(1+GrowthMarketRent)^1*IF(INT((DATE(2026+1,10,31)-F64)/365.25)=0,(12-DowntimeNew)/12,1),IF(I64="LeaseUp",H64*D64*(1+GrowthMarketRent)^1*IF(1=0,(12-DowntimeNew)/12,1),0)))))))),0)</f>
        <v/>
      </c>
      <c r="P64" s="14">
        <f>IFERROR(IF(I64="LeaseUp",H64*D64*(1+GrowthMarketRent)^2*IF(2=0,(12-DowntimeNew)/12,1),IF(F64="",0,IF(F64&gt;=DATE(2027+2,4,30),G64*D64*(1+EscalatorInLease)^(2+M64),IF(F64&lt;DATE(2026+2,5,1),IF(I64="Vacate",H64*D64*(1+GrowthMarketRent)^2*IF(INT((DATE(2026+2,10,31)-F64)/365.25)=0,(12-DowntimeNew)/12,1),IF(I64="Option",G64*D64*1.025*(1+EscalatorInLease)^2,IF(I64="Market",Retention*G64*D64*(1+EscalatorInLease)^(2+M64)+(1-Retention)*H64*D64*(1+GrowthMarketRent)^2*IF(INT((DATE(2026+2,10,31)-F64)/365.25)=0,(12-DowntimeNew)/12,1),IF(I64="LeaseUp",H64*D64*(1+GrowthMarketRent)^2*IF(2=0,(12-DowntimeNew)/12,1),0)))),((F64-DATE(2026+2,5,1))/365.25)*G64*D64*(1+EscalatorInLease)^(2+M64)+((DATE(2027+2,4,30)-F64)/365.25)*IF(I64="Vacate",H64*D64*(1+GrowthMarketRent)^2*IF(INT((DATE(2026+2,10,31)-F64)/365.25)=0,(12-DowntimeNew)/12,1),IF(I64="Option",G64*D64*1.025*(1+EscalatorInLease)^2,IF(I64="Market",Retention*G64*D64*(1+EscalatorInLease)^(2+M64)+(1-Retention)*H64*D64*(1+GrowthMarketRent)^2*IF(INT((DATE(2026+2,10,31)-F64)/365.25)=0,(12-DowntimeNew)/12,1),IF(I64="LeaseUp",H64*D64*(1+GrowthMarketRent)^2*IF(2=0,(12-DowntimeNew)/12,1),0)))))))),0)</f>
        <v/>
      </c>
      <c r="Q64" s="14">
        <f>IFERROR(IF(I64="LeaseUp",H64*D64*(1+GrowthMarketRent)^3*IF(3=0,(12-DowntimeNew)/12,1),IF(F64="",0,IF(F64&gt;=DATE(2027+3,4,30),G64*D64*(1+EscalatorInLease)^(3+M64),IF(F64&lt;DATE(2026+3,5,1),IF(I64="Vacate",H64*D64*(1+GrowthMarketRent)^3*IF(INT((DATE(2026+3,10,31)-F64)/365.25)=0,(12-DowntimeNew)/12,1),IF(I64="Option",G64*D64*1.025*(1+EscalatorInLease)^3,IF(I64="Market",Retention*G64*D64*(1+EscalatorInLease)^(3+M64)+(1-Retention)*H64*D64*(1+GrowthMarketRent)^3*IF(INT((DATE(2026+3,10,31)-F64)/365.25)=0,(12-DowntimeNew)/12,1),IF(I64="LeaseUp",H64*D64*(1+GrowthMarketRent)^3*IF(3=0,(12-DowntimeNew)/12,1),0)))),((F64-DATE(2026+3,5,1))/365.25)*G64*D64*(1+EscalatorInLease)^(3+M64)+((DATE(2027+3,4,30)-F64)/365.25)*IF(I64="Vacate",H64*D64*(1+GrowthMarketRent)^3*IF(INT((DATE(2026+3,10,31)-F64)/365.25)=0,(12-DowntimeNew)/12,1),IF(I64="Option",G64*D64*1.025*(1+EscalatorInLease)^3,IF(I64="Market",Retention*G64*D64*(1+EscalatorInLease)^(3+M64)+(1-Retention)*H64*D64*(1+GrowthMarketRent)^3*IF(INT((DATE(2026+3,10,31)-F64)/365.25)=0,(12-DowntimeNew)/12,1),IF(I64="LeaseUp",H64*D64*(1+GrowthMarketRent)^3*IF(3=0,(12-DowntimeNew)/12,1),0)))))))),0)</f>
        <v/>
      </c>
      <c r="R64" s="14">
        <f>IFERROR(IF(I64="LeaseUp",H64*D64*(1+GrowthMarketRent)^4*IF(4=0,(12-DowntimeNew)/12,1),IF(F64="",0,IF(F64&gt;=DATE(2027+4,4,30),G64*D64*(1+EscalatorInLease)^(4+M64),IF(F64&lt;DATE(2026+4,5,1),IF(I64="Vacate",H64*D64*(1+GrowthMarketRent)^4*IF(INT((DATE(2026+4,10,31)-F64)/365.25)=0,(12-DowntimeNew)/12,1),IF(I64="Option",G64*D64*1.025*(1+EscalatorInLease)^4,IF(I64="Market",Retention*G64*D64*(1+EscalatorInLease)^(4+M64)+(1-Retention)*H64*D64*(1+GrowthMarketRent)^4*IF(INT((DATE(2026+4,10,31)-F64)/365.25)=0,(12-DowntimeNew)/12,1),IF(I64="LeaseUp",H64*D64*(1+GrowthMarketRent)^4*IF(4=0,(12-DowntimeNew)/12,1),0)))),((F64-DATE(2026+4,5,1))/365.25)*G64*D64*(1+EscalatorInLease)^(4+M64)+((DATE(2027+4,4,30)-F64)/365.25)*IF(I64="Vacate",H64*D64*(1+GrowthMarketRent)^4*IF(INT((DATE(2026+4,10,31)-F64)/365.25)=0,(12-DowntimeNew)/12,1),IF(I64="Option",G64*D64*1.025*(1+EscalatorInLease)^4,IF(I64="Market",Retention*G64*D64*(1+EscalatorInLease)^(4+M64)+(1-Retention)*H64*D64*(1+GrowthMarketRent)^4*IF(INT((DATE(2026+4,10,31)-F64)/365.25)=0,(12-DowntimeNew)/12,1),IF(I64="LeaseUp",H64*D64*(1+GrowthMarketRent)^4*IF(4=0,(12-DowntimeNew)/12,1),0)))))))),0)</f>
        <v/>
      </c>
      <c r="S64" s="14">
        <f>IFERROR(IF(I64="LeaseUp",H64*D64*(1+GrowthMarketRent)^5*IF(5=0,(12-DowntimeNew)/12,1),IF(F64="",0,IF(F64&gt;=DATE(2027+5,4,30),G64*D64*(1+EscalatorInLease)^(5+M64),IF(F64&lt;DATE(2026+5,5,1),IF(I64="Vacate",H64*D64*(1+GrowthMarketRent)^5*IF(INT((DATE(2026+5,10,31)-F64)/365.25)=0,(12-DowntimeNew)/12,1),IF(I64="Option",G64*D64*1.025*(1+EscalatorInLease)^5,IF(I64="Market",Retention*G64*D64*(1+EscalatorInLease)^(5+M64)+(1-Retention)*H64*D64*(1+GrowthMarketRent)^5*IF(INT((DATE(2026+5,10,31)-F64)/365.25)=0,(12-DowntimeNew)/12,1),IF(I64="LeaseUp",H64*D64*(1+GrowthMarketRent)^5*IF(5=0,(12-DowntimeNew)/12,1),0)))),((F64-DATE(2026+5,5,1))/365.25)*G64*D64*(1+EscalatorInLease)^(5+M64)+((DATE(2027+5,4,30)-F64)/365.25)*IF(I64="Vacate",H64*D64*(1+GrowthMarketRent)^5*IF(INT((DATE(2026+5,10,31)-F64)/365.25)=0,(12-DowntimeNew)/12,1),IF(I64="Option",G64*D64*1.025*(1+EscalatorInLease)^5,IF(I64="Market",Retention*G64*D64*(1+EscalatorInLease)^(5+M64)+(1-Retention)*H64*D64*(1+GrowthMarketRent)^5*IF(INT((DATE(2026+5,10,31)-F64)/365.25)=0,(12-DowntimeNew)/12,1),IF(I64="LeaseUp",H64*D64*(1+GrowthMarketRent)^5*IF(5=0,(12-DowntimeNew)/12,1),0)))))))),0)</f>
        <v/>
      </c>
      <c r="T64" s="14">
        <f>IFERROR(IF(I64="LeaseUp",H64*D64*(1+GrowthMarketRent)^6*IF(6=0,(12-DowntimeNew)/12,1),IF(F64="",0,IF(F64&gt;=DATE(2027+6,4,30),G64*D64*(1+EscalatorInLease)^(6+M64),IF(F64&lt;DATE(2026+6,5,1),IF(I64="Vacate",H64*D64*(1+GrowthMarketRent)^6*IF(INT((DATE(2026+6,10,31)-F64)/365.25)=0,(12-DowntimeNew)/12,1),IF(I64="Option",G64*D64*1.025*(1+EscalatorInLease)^6,IF(I64="Market",Retention*G64*D64*(1+EscalatorInLease)^(6+M64)+(1-Retention)*H64*D64*(1+GrowthMarketRent)^6*IF(INT((DATE(2026+6,10,31)-F64)/365.25)=0,(12-DowntimeNew)/12,1),IF(I64="LeaseUp",H64*D64*(1+GrowthMarketRent)^6*IF(6=0,(12-DowntimeNew)/12,1),0)))),((F64-DATE(2026+6,5,1))/365.25)*G64*D64*(1+EscalatorInLease)^(6+M64)+((DATE(2027+6,4,30)-F64)/365.25)*IF(I64="Vacate",H64*D64*(1+GrowthMarketRent)^6*IF(INT((DATE(2026+6,10,31)-F64)/365.25)=0,(12-DowntimeNew)/12,1),IF(I64="Option",G64*D64*1.025*(1+EscalatorInLease)^6,IF(I64="Market",Retention*G64*D64*(1+EscalatorInLease)^(6+M64)+(1-Retention)*H64*D64*(1+GrowthMarketRent)^6*IF(INT((DATE(2026+6,10,31)-F64)/365.25)=0,(12-DowntimeNew)/12,1),IF(I64="LeaseUp",H64*D64*(1+GrowthMarketRent)^6*IF(6=0,(12-DowntimeNew)/12,1),0)))))))),0)</f>
        <v/>
      </c>
      <c r="U64" s="14">
        <f>IFERROR(IF(I64="LeaseUp",H64*D64*(1+GrowthMarketRent)^7*IF(7=0,(12-DowntimeNew)/12,1),IF(F64="",0,IF(F64&gt;=DATE(2027+7,4,30),G64*D64*(1+EscalatorInLease)^(7+M64),IF(F64&lt;DATE(2026+7,5,1),IF(I64="Vacate",H64*D64*(1+GrowthMarketRent)^7*IF(INT((DATE(2026+7,10,31)-F64)/365.25)=0,(12-DowntimeNew)/12,1),IF(I64="Option",G64*D64*1.025*(1+EscalatorInLease)^7,IF(I64="Market",Retention*G64*D64*(1+EscalatorInLease)^(7+M64)+(1-Retention)*H64*D64*(1+GrowthMarketRent)^7*IF(INT((DATE(2026+7,10,31)-F64)/365.25)=0,(12-DowntimeNew)/12,1),IF(I64="LeaseUp",H64*D64*(1+GrowthMarketRent)^7*IF(7=0,(12-DowntimeNew)/12,1),0)))),((F64-DATE(2026+7,5,1))/365.25)*G64*D64*(1+EscalatorInLease)^(7+M64)+((DATE(2027+7,4,30)-F64)/365.25)*IF(I64="Vacate",H64*D64*(1+GrowthMarketRent)^7*IF(INT((DATE(2026+7,10,31)-F64)/365.25)=0,(12-DowntimeNew)/12,1),IF(I64="Option",G64*D64*1.025*(1+EscalatorInLease)^7,IF(I64="Market",Retention*G64*D64*(1+EscalatorInLease)^(7+M64)+(1-Retention)*H64*D64*(1+GrowthMarketRent)^7*IF(INT((DATE(2026+7,10,31)-F64)/365.25)=0,(12-DowntimeNew)/12,1),IF(I64="LeaseUp",H64*D64*(1+GrowthMarketRent)^7*IF(7=0,(12-DowntimeNew)/12,1),0)))))))),0)</f>
        <v/>
      </c>
      <c r="V64" s="14">
        <f>IFERROR(IF(I64="LeaseUp",H64*D64*(1+GrowthMarketRent)^8*IF(8=0,(12-DowntimeNew)/12,1),IF(F64="",0,IF(F64&gt;=DATE(2027+8,4,30),G64*D64*(1+EscalatorInLease)^(8+M64),IF(F64&lt;DATE(2026+8,5,1),IF(I64="Vacate",H64*D64*(1+GrowthMarketRent)^8*IF(INT((DATE(2026+8,10,31)-F64)/365.25)=0,(12-DowntimeNew)/12,1),IF(I64="Option",G64*D64*1.025*(1+EscalatorInLease)^8,IF(I64="Market",Retention*G64*D64*(1+EscalatorInLease)^(8+M64)+(1-Retention)*H64*D64*(1+GrowthMarketRent)^8*IF(INT((DATE(2026+8,10,31)-F64)/365.25)=0,(12-DowntimeNew)/12,1),IF(I64="LeaseUp",H64*D64*(1+GrowthMarketRent)^8*IF(8=0,(12-DowntimeNew)/12,1),0)))),((F64-DATE(2026+8,5,1))/365.25)*G64*D64*(1+EscalatorInLease)^(8+M64)+((DATE(2027+8,4,30)-F64)/365.25)*IF(I64="Vacate",H64*D64*(1+GrowthMarketRent)^8*IF(INT((DATE(2026+8,10,31)-F64)/365.25)=0,(12-DowntimeNew)/12,1),IF(I64="Option",G64*D64*1.025*(1+EscalatorInLease)^8,IF(I64="Market",Retention*G64*D64*(1+EscalatorInLease)^(8+M64)+(1-Retention)*H64*D64*(1+GrowthMarketRent)^8*IF(INT((DATE(2026+8,10,31)-F64)/365.25)=0,(12-DowntimeNew)/12,1),IF(I64="LeaseUp",H64*D64*(1+GrowthMarketRent)^8*IF(8=0,(12-DowntimeNew)/12,1),0)))))))),0)</f>
        <v/>
      </c>
      <c r="W64" s="14">
        <f>IFERROR(IF(I64="LeaseUp",H64*D64*(1+GrowthMarketRent)^9*IF(9=0,(12-DowntimeNew)/12,1),IF(F64="",0,IF(F64&gt;=DATE(2027+9,4,30),G64*D64*(1+EscalatorInLease)^(9+M64),IF(F64&lt;DATE(2026+9,5,1),IF(I64="Vacate",H64*D64*(1+GrowthMarketRent)^9*IF(INT((DATE(2026+9,10,31)-F64)/365.25)=0,(12-DowntimeNew)/12,1),IF(I64="Option",G64*D64*1.025*(1+EscalatorInLease)^9,IF(I64="Market",Retention*G64*D64*(1+EscalatorInLease)^(9+M64)+(1-Retention)*H64*D64*(1+GrowthMarketRent)^9*IF(INT((DATE(2026+9,10,31)-F64)/365.25)=0,(12-DowntimeNew)/12,1),IF(I64="LeaseUp",H64*D64*(1+GrowthMarketRent)^9*IF(9=0,(12-DowntimeNew)/12,1),0)))),((F64-DATE(2026+9,5,1))/365.25)*G64*D64*(1+EscalatorInLease)^(9+M64)+((DATE(2027+9,4,30)-F64)/365.25)*IF(I64="Vacate",H64*D64*(1+GrowthMarketRent)^9*IF(INT((DATE(2026+9,10,31)-F64)/365.25)=0,(12-DowntimeNew)/12,1),IF(I64="Option",G64*D64*1.025*(1+EscalatorInLease)^9,IF(I64="Market",Retention*G64*D64*(1+EscalatorInLease)^(9+M64)+(1-Retention)*H64*D64*(1+GrowthMarketRent)^9*IF(INT((DATE(2026+9,10,31)-F64)/365.25)=0,(12-DowntimeNew)/12,1),IF(I64="LeaseUp",H64*D64*(1+GrowthMarketRent)^9*IF(9=0,(12-DowntimeNew)/12,1),0)))))))),0)</f>
        <v/>
      </c>
      <c r="X64" s="14">
        <f>IFERROR(IF(I64="LeaseUp",H64*D64*(1+GrowthMarketRent)^10*IF(10=0,(12-DowntimeNew)/12,1),IF(F64="",0,IF(F64&gt;=DATE(2027+10,4,30),G64*D64*(1+EscalatorInLease)^(10+M64),IF(F64&lt;DATE(2026+10,5,1),IF(I64="Vacate",H64*D64*(1+GrowthMarketRent)^10*IF(INT((DATE(2026+10,10,31)-F64)/365.25)=0,(12-DowntimeNew)/12,1),IF(I64="Option",G64*D64*1.025*(1+EscalatorInLease)^10,IF(I64="Market",Retention*G64*D64*(1+EscalatorInLease)^(10+M64)+(1-Retention)*H64*D64*(1+GrowthMarketRent)^10*IF(INT((DATE(2026+10,10,31)-F64)/365.25)=0,(12-DowntimeNew)/12,1),IF(I64="LeaseUp",H64*D64*(1+GrowthMarketRent)^10*IF(10=0,(12-DowntimeNew)/12,1),0)))),((F64-DATE(2026+10,5,1))/365.25)*G64*D64*(1+EscalatorInLease)^(10+M64)+((DATE(2027+10,4,30)-F64)/365.25)*IF(I64="Vacate",H64*D64*(1+GrowthMarketRent)^10*IF(INT((DATE(2026+10,10,31)-F64)/365.25)=0,(12-DowntimeNew)/12,1),IF(I64="Option",G64*D64*1.025*(1+EscalatorInLease)^10,IF(I64="Market",Retention*G64*D64*(1+EscalatorInLease)^(10+M64)+(1-Retention)*H64*D64*(1+GrowthMarketRent)^10*IF(INT((DATE(2026+10,10,31)-F64)/365.25)=0,(12-DowntimeNew)/12,1),IF(I64="LeaseUp",H64*D64*(1+GrowthMarketRent)^10*IF(10=0,(12-DowntimeNew)/12,1),0)))))))),0)</f>
        <v/>
      </c>
      <c r="Y64" s="14">
        <f>IFERROR(IF(AND(I64="LeaseUp",0=0),(IF(I64="Vacate",TINew*D64,IF(I64="Market",Retention*TIRenewal*D64+(1-Retention)*TINew*D64,IF(I64="LeaseUp",TINew*D64,IF(I64="Option",TIRenewal*D64,0)))))+(IF(I64="Vacate",LCNew*H64*D64*(1+GrowthMarketRent)^0,IF(I64="Market",Retention*LCRenewal*H64*D64*(1+GrowthMarketRent)^0+(1-Retention)*LCNew*H64*D64*(1+GrowthMarketRent)^0,IF(I64="LeaseUp",LCNew*H64*D64*(1+GrowthMarketRent)^0,IF(I64="Option",LCRenewal*H64*D64*(1+GrowthMarketRent)^0,0))))),IF(F64="",0,IF(AND(F64&gt;=DATE(2026+0,5,1),F64&lt;=DATE(2027+0,4,30)),(IF(I64="Vacate",TINew*D64,IF(I64="Market",Retention*TIRenewal*D64+(1-Retention)*TINew*D64,IF(I64="LeaseUp",TINew*D64,IF(I64="Option",TIRenewal*D64,0)))))+(IF(I64="Vacate",LCNew*H64*D64*(1+GrowthMarketRent)^0,IF(I64="Market",Retention*LCRenewal*H64*D64*(1+GrowthMarketRent)^0+(1-Retention)*LCNew*H64*D64*(1+GrowthMarketRent)^0,IF(I64="LeaseUp",LCNew*H64*D64*(1+GrowthMarketRent)^0,IF(I64="Option",LCRenewal*H64*D64*(1+GrowthMarketRent)^0,0))))),0))),0)</f>
        <v/>
      </c>
      <c r="Z64" s="14">
        <f>IFERROR(IF(AND(I64="LeaseUp",1=0),(IF(I64="Vacate",TINew*D64,IF(I64="Market",Retention*TIRenewal*D64+(1-Retention)*TINew*D64,IF(I64="LeaseUp",TINew*D64,IF(I64="Option",TIRenewal*D64,0)))))+(IF(I64="Vacate",LCNew*H64*D64*(1+GrowthMarketRent)^1,IF(I64="Market",Retention*LCRenewal*H64*D64*(1+GrowthMarketRent)^1+(1-Retention)*LCNew*H64*D64*(1+GrowthMarketRent)^1,IF(I64="LeaseUp",LCNew*H64*D64*(1+GrowthMarketRent)^1,IF(I64="Option",LCRenewal*H64*D64*(1+GrowthMarketRent)^1,0))))),IF(F64="",0,IF(AND(F64&gt;=DATE(2026+1,5,1),F64&lt;=DATE(2027+1,4,30)),(IF(I64="Vacate",TINew*D64,IF(I64="Market",Retention*TIRenewal*D64+(1-Retention)*TINew*D64,IF(I64="LeaseUp",TINew*D64,IF(I64="Option",TIRenewal*D64,0)))))+(IF(I64="Vacate",LCNew*H64*D64*(1+GrowthMarketRent)^1,IF(I64="Market",Retention*LCRenewal*H64*D64*(1+GrowthMarketRent)^1+(1-Retention)*LCNew*H64*D64*(1+GrowthMarketRent)^1,IF(I64="LeaseUp",LCNew*H64*D64*(1+GrowthMarketRent)^1,IF(I64="Option",LCRenewal*H64*D64*(1+GrowthMarketRent)^1,0))))),0))),0)</f>
        <v/>
      </c>
      <c r="AA64" s="14">
        <f>IFERROR(IF(AND(I64="LeaseUp",2=0),(IF(I64="Vacate",TINew*D64,IF(I64="Market",Retention*TIRenewal*D64+(1-Retention)*TINew*D64,IF(I64="LeaseUp",TINew*D64,IF(I64="Option",TIRenewal*D64,0)))))+(IF(I64="Vacate",LCNew*H64*D64*(1+GrowthMarketRent)^2,IF(I64="Market",Retention*LCRenewal*H64*D64*(1+GrowthMarketRent)^2+(1-Retention)*LCNew*H64*D64*(1+GrowthMarketRent)^2,IF(I64="LeaseUp",LCNew*H64*D64*(1+GrowthMarketRent)^2,IF(I64="Option",LCRenewal*H64*D64*(1+GrowthMarketRent)^2,0))))),IF(F64="",0,IF(AND(F64&gt;=DATE(2026+2,5,1),F64&lt;=DATE(2027+2,4,30)),(IF(I64="Vacate",TINew*D64,IF(I64="Market",Retention*TIRenewal*D64+(1-Retention)*TINew*D64,IF(I64="LeaseUp",TINew*D64,IF(I64="Option",TIRenewal*D64,0)))))+(IF(I64="Vacate",LCNew*H64*D64*(1+GrowthMarketRent)^2,IF(I64="Market",Retention*LCRenewal*H64*D64*(1+GrowthMarketRent)^2+(1-Retention)*LCNew*H64*D64*(1+GrowthMarketRent)^2,IF(I64="LeaseUp",LCNew*H64*D64*(1+GrowthMarketRent)^2,IF(I64="Option",LCRenewal*H64*D64*(1+GrowthMarketRent)^2,0))))),0))),0)</f>
        <v/>
      </c>
      <c r="AB64" s="14">
        <f>IFERROR(IF(AND(I64="LeaseUp",3=0),(IF(I64="Vacate",TINew*D64,IF(I64="Market",Retention*TIRenewal*D64+(1-Retention)*TINew*D64,IF(I64="LeaseUp",TINew*D64,IF(I64="Option",TIRenewal*D64,0)))))+(IF(I64="Vacate",LCNew*H64*D64*(1+GrowthMarketRent)^3,IF(I64="Market",Retention*LCRenewal*H64*D64*(1+GrowthMarketRent)^3+(1-Retention)*LCNew*H64*D64*(1+GrowthMarketRent)^3,IF(I64="LeaseUp",LCNew*H64*D64*(1+GrowthMarketRent)^3,IF(I64="Option",LCRenewal*H64*D64*(1+GrowthMarketRent)^3,0))))),IF(F64="",0,IF(AND(F64&gt;=DATE(2026+3,5,1),F64&lt;=DATE(2027+3,4,30)),(IF(I64="Vacate",TINew*D64,IF(I64="Market",Retention*TIRenewal*D64+(1-Retention)*TINew*D64,IF(I64="LeaseUp",TINew*D64,IF(I64="Option",TIRenewal*D64,0)))))+(IF(I64="Vacate",LCNew*H64*D64*(1+GrowthMarketRent)^3,IF(I64="Market",Retention*LCRenewal*H64*D64*(1+GrowthMarketRent)^3+(1-Retention)*LCNew*H64*D64*(1+GrowthMarketRent)^3,IF(I64="LeaseUp",LCNew*H64*D64*(1+GrowthMarketRent)^3,IF(I64="Option",LCRenewal*H64*D64*(1+GrowthMarketRent)^3,0))))),0))),0)</f>
        <v/>
      </c>
      <c r="AC64" s="14">
        <f>IFERROR(IF(AND(I64="LeaseUp",4=0),(IF(I64="Vacate",TINew*D64,IF(I64="Market",Retention*TIRenewal*D64+(1-Retention)*TINew*D64,IF(I64="LeaseUp",TINew*D64,IF(I64="Option",TIRenewal*D64,0)))))+(IF(I64="Vacate",LCNew*H64*D64*(1+GrowthMarketRent)^4,IF(I64="Market",Retention*LCRenewal*H64*D64*(1+GrowthMarketRent)^4+(1-Retention)*LCNew*H64*D64*(1+GrowthMarketRent)^4,IF(I64="LeaseUp",LCNew*H64*D64*(1+GrowthMarketRent)^4,IF(I64="Option",LCRenewal*H64*D64*(1+GrowthMarketRent)^4,0))))),IF(F64="",0,IF(AND(F64&gt;=DATE(2026+4,5,1),F64&lt;=DATE(2027+4,4,30)),(IF(I64="Vacate",TINew*D64,IF(I64="Market",Retention*TIRenewal*D64+(1-Retention)*TINew*D64,IF(I64="LeaseUp",TINew*D64,IF(I64="Option",TIRenewal*D64,0)))))+(IF(I64="Vacate",LCNew*H64*D64*(1+GrowthMarketRent)^4,IF(I64="Market",Retention*LCRenewal*H64*D64*(1+GrowthMarketRent)^4+(1-Retention)*LCNew*H64*D64*(1+GrowthMarketRent)^4,IF(I64="LeaseUp",LCNew*H64*D64*(1+GrowthMarketRent)^4,IF(I64="Option",LCRenewal*H64*D64*(1+GrowthMarketRent)^4,0))))),0))),0)</f>
        <v/>
      </c>
      <c r="AD64" s="14">
        <f>IFERROR(IF(AND(I64="LeaseUp",5=0),(IF(I64="Vacate",TINew*D64,IF(I64="Market",Retention*TIRenewal*D64+(1-Retention)*TINew*D64,IF(I64="LeaseUp",TINew*D64,IF(I64="Option",TIRenewal*D64,0)))))+(IF(I64="Vacate",LCNew*H64*D64*(1+GrowthMarketRent)^5,IF(I64="Market",Retention*LCRenewal*H64*D64*(1+GrowthMarketRent)^5+(1-Retention)*LCNew*H64*D64*(1+GrowthMarketRent)^5,IF(I64="LeaseUp",LCNew*H64*D64*(1+GrowthMarketRent)^5,IF(I64="Option",LCRenewal*H64*D64*(1+GrowthMarketRent)^5,0))))),IF(F64="",0,IF(AND(F64&gt;=DATE(2026+5,5,1),F64&lt;=DATE(2027+5,4,30)),(IF(I64="Vacate",TINew*D64,IF(I64="Market",Retention*TIRenewal*D64+(1-Retention)*TINew*D64,IF(I64="LeaseUp",TINew*D64,IF(I64="Option",TIRenewal*D64,0)))))+(IF(I64="Vacate",LCNew*H64*D64*(1+GrowthMarketRent)^5,IF(I64="Market",Retention*LCRenewal*H64*D64*(1+GrowthMarketRent)^5+(1-Retention)*LCNew*H64*D64*(1+GrowthMarketRent)^5,IF(I64="LeaseUp",LCNew*H64*D64*(1+GrowthMarketRent)^5,IF(I64="Option",LCRenewal*H64*D64*(1+GrowthMarketRent)^5,0))))),0))),0)</f>
        <v/>
      </c>
      <c r="AE64" s="14">
        <f>IFERROR(IF(AND(I64="LeaseUp",6=0),(IF(I64="Vacate",TINew*D64,IF(I64="Market",Retention*TIRenewal*D64+(1-Retention)*TINew*D64,IF(I64="LeaseUp",TINew*D64,IF(I64="Option",TIRenewal*D64,0)))))+(IF(I64="Vacate",LCNew*H64*D64*(1+GrowthMarketRent)^6,IF(I64="Market",Retention*LCRenewal*H64*D64*(1+GrowthMarketRent)^6+(1-Retention)*LCNew*H64*D64*(1+GrowthMarketRent)^6,IF(I64="LeaseUp",LCNew*H64*D64*(1+GrowthMarketRent)^6,IF(I64="Option",LCRenewal*H64*D64*(1+GrowthMarketRent)^6,0))))),IF(F64="",0,IF(AND(F64&gt;=DATE(2026+6,5,1),F64&lt;=DATE(2027+6,4,30)),(IF(I64="Vacate",TINew*D64,IF(I64="Market",Retention*TIRenewal*D64+(1-Retention)*TINew*D64,IF(I64="LeaseUp",TINew*D64,IF(I64="Option",TIRenewal*D64,0)))))+(IF(I64="Vacate",LCNew*H64*D64*(1+GrowthMarketRent)^6,IF(I64="Market",Retention*LCRenewal*H64*D64*(1+GrowthMarketRent)^6+(1-Retention)*LCNew*H64*D64*(1+GrowthMarketRent)^6,IF(I64="LeaseUp",LCNew*H64*D64*(1+GrowthMarketRent)^6,IF(I64="Option",LCRenewal*H64*D64*(1+GrowthMarketRent)^6,0))))),0))),0)</f>
        <v/>
      </c>
      <c r="AF64" s="14">
        <f>IFERROR(IF(AND(I64="LeaseUp",7=0),(IF(I64="Vacate",TINew*D64,IF(I64="Market",Retention*TIRenewal*D64+(1-Retention)*TINew*D64,IF(I64="LeaseUp",TINew*D64,IF(I64="Option",TIRenewal*D64,0)))))+(IF(I64="Vacate",LCNew*H64*D64*(1+GrowthMarketRent)^7,IF(I64="Market",Retention*LCRenewal*H64*D64*(1+GrowthMarketRent)^7+(1-Retention)*LCNew*H64*D64*(1+GrowthMarketRent)^7,IF(I64="LeaseUp",LCNew*H64*D64*(1+GrowthMarketRent)^7,IF(I64="Option",LCRenewal*H64*D64*(1+GrowthMarketRent)^7,0))))),IF(F64="",0,IF(AND(F64&gt;=DATE(2026+7,5,1),F64&lt;=DATE(2027+7,4,30)),(IF(I64="Vacate",TINew*D64,IF(I64="Market",Retention*TIRenewal*D64+(1-Retention)*TINew*D64,IF(I64="LeaseUp",TINew*D64,IF(I64="Option",TIRenewal*D64,0)))))+(IF(I64="Vacate",LCNew*H64*D64*(1+GrowthMarketRent)^7,IF(I64="Market",Retention*LCRenewal*H64*D64*(1+GrowthMarketRent)^7+(1-Retention)*LCNew*H64*D64*(1+GrowthMarketRent)^7,IF(I64="LeaseUp",LCNew*H64*D64*(1+GrowthMarketRent)^7,IF(I64="Option",LCRenewal*H64*D64*(1+GrowthMarketRent)^7,0))))),0))),0)</f>
        <v/>
      </c>
      <c r="AG64" s="14">
        <f>IFERROR(IF(AND(I64="LeaseUp",8=0),(IF(I64="Vacate",TINew*D64,IF(I64="Market",Retention*TIRenewal*D64+(1-Retention)*TINew*D64,IF(I64="LeaseUp",TINew*D64,IF(I64="Option",TIRenewal*D64,0)))))+(IF(I64="Vacate",LCNew*H64*D64*(1+GrowthMarketRent)^8,IF(I64="Market",Retention*LCRenewal*H64*D64*(1+GrowthMarketRent)^8+(1-Retention)*LCNew*H64*D64*(1+GrowthMarketRent)^8,IF(I64="LeaseUp",LCNew*H64*D64*(1+GrowthMarketRent)^8,IF(I64="Option",LCRenewal*H64*D64*(1+GrowthMarketRent)^8,0))))),IF(F64="",0,IF(AND(F64&gt;=DATE(2026+8,5,1),F64&lt;=DATE(2027+8,4,30)),(IF(I64="Vacate",TINew*D64,IF(I64="Market",Retention*TIRenewal*D64+(1-Retention)*TINew*D64,IF(I64="LeaseUp",TINew*D64,IF(I64="Option",TIRenewal*D64,0)))))+(IF(I64="Vacate",LCNew*H64*D64*(1+GrowthMarketRent)^8,IF(I64="Market",Retention*LCRenewal*H64*D64*(1+GrowthMarketRent)^8+(1-Retention)*LCNew*H64*D64*(1+GrowthMarketRent)^8,IF(I64="LeaseUp",LCNew*H64*D64*(1+GrowthMarketRent)^8,IF(I64="Option",LCRenewal*H64*D64*(1+GrowthMarketRent)^8,0))))),0))),0)</f>
        <v/>
      </c>
      <c r="AH64" s="14">
        <f>IFERROR(IF(AND(I64="LeaseUp",9=0),(IF(I64="Vacate",TINew*D64,IF(I64="Market",Retention*TIRenewal*D64+(1-Retention)*TINew*D64,IF(I64="LeaseUp",TINew*D64,IF(I64="Option",TIRenewal*D64,0)))))+(IF(I64="Vacate",LCNew*H64*D64*(1+GrowthMarketRent)^9,IF(I64="Market",Retention*LCRenewal*H64*D64*(1+GrowthMarketRent)^9+(1-Retention)*LCNew*H64*D64*(1+GrowthMarketRent)^9,IF(I64="LeaseUp",LCNew*H64*D64*(1+GrowthMarketRent)^9,IF(I64="Option",LCRenewal*H64*D64*(1+GrowthMarketRent)^9,0))))),IF(F64="",0,IF(AND(F64&gt;=DATE(2026+9,5,1),F64&lt;=DATE(2027+9,4,30)),(IF(I64="Vacate",TINew*D64,IF(I64="Market",Retention*TIRenewal*D64+(1-Retention)*TINew*D64,IF(I64="LeaseUp",TINew*D64,IF(I64="Option",TIRenewal*D64,0)))))+(IF(I64="Vacate",LCNew*H64*D64*(1+GrowthMarketRent)^9,IF(I64="Market",Retention*LCRenewal*H64*D64*(1+GrowthMarketRent)^9+(1-Retention)*LCNew*H64*D64*(1+GrowthMarketRent)^9,IF(I64="LeaseUp",LCNew*H64*D64*(1+GrowthMarketRent)^9,IF(I64="Option",LCRenewal*H64*D64*(1+GrowthMarketRent)^9,0))))),0))),0)</f>
        <v/>
      </c>
      <c r="AI64" s="14">
        <f>IFERROR(IF(AND(I64="LeaseUp",10=0),(IF(I64="Vacate",TINew*D64,IF(I64="Market",Retention*TIRenewal*D64+(1-Retention)*TINew*D64,IF(I64="LeaseUp",TINew*D64,IF(I64="Option",TIRenewal*D64,0)))))+(IF(I64="Vacate",LCNew*H64*D64*(1+GrowthMarketRent)^10,IF(I64="Market",Retention*LCRenewal*H64*D64*(1+GrowthMarketRent)^10+(1-Retention)*LCNew*H64*D64*(1+GrowthMarketRent)^10,IF(I64="LeaseUp",LCNew*H64*D64*(1+GrowthMarketRent)^10,IF(I64="Option",LCRenewal*H64*D64*(1+GrowthMarketRent)^10,0))))),IF(F64="",0,IF(AND(F64&gt;=DATE(2026+10,5,1),F64&lt;=DATE(2027+10,4,30)),(IF(I64="Vacate",TINew*D64,IF(I64="Market",Retention*TIRenewal*D64+(1-Retention)*TINew*D64,IF(I64="LeaseUp",TINew*D64,IF(I64="Option",TIRenewal*D64,0)))))+(IF(I64="Vacate",LCNew*H64*D64*(1+GrowthMarketRent)^10,IF(I64="Market",Retention*LCRenewal*H64*D64*(1+GrowthMarketRent)^10+(1-Retention)*LCNew*H64*D64*(1+GrowthMarketRent)^10,IF(I64="LeaseUp",LCNew*H64*D64*(1+GrowthMarketRent)^10,IF(I64="Option",LCRenewal*H64*D64*(1+GrowthMarketRent)^10,0))))),0))),0)</f>
        <v/>
      </c>
    </row>
    <row r="65">
      <c r="A65" t="inlineStr">
        <is>
          <t>Frisco</t>
        </is>
      </c>
      <c r="B65" t="inlineStr">
        <is>
          <t>303</t>
        </is>
      </c>
      <c r="C65" t="inlineStr">
        <is>
          <t>Me Ra Koh Photography Inc.</t>
        </is>
      </c>
      <c r="D65" s="32" t="n">
        <v>2900</v>
      </c>
      <c r="E65" s="33" t="n">
        <v>45901</v>
      </c>
      <c r="F65" s="33" t="n">
        <v>47696</v>
      </c>
      <c r="G65" s="34" t="n">
        <v>16.5</v>
      </c>
      <c r="H65" s="16">
        <f>VLOOKUP(A65,MLA!$A$5:$L$11,3,FALSE)</f>
        <v/>
      </c>
      <c r="I65" s="11" t="inlineStr">
        <is>
          <t>Market</t>
        </is>
      </c>
      <c r="J65" t="inlineStr">
        <is>
          <t>Shop</t>
        </is>
      </c>
      <c r="K65" t="inlineStr">
        <is>
          <t>Occupied</t>
        </is>
      </c>
      <c r="L65" t="inlineStr">
        <is>
          <t>Guarantor: Brian / Me Ra Tausend</t>
        </is>
      </c>
      <c r="M65" s="20">
        <f>IF(E65="",0,(AnalysisStart-E65)/365.25)</f>
        <v/>
      </c>
      <c r="N65" s="14">
        <f>IFERROR(IF(I65="LeaseUp",H65*D65*(1+GrowthMarketRent)^0*IF(0=0,(12-DowntimeNew)/12,1),IF(F65="",0,IF(F65&gt;=DATE(2027+0,4,30),G65*D65*(1+EscalatorInLease)^(0+M65),IF(F65&lt;DATE(2026+0,5,1),IF(I65="Vacate",H65*D65*(1+GrowthMarketRent)^0*IF(INT((DATE(2026+0,10,31)-F65)/365.25)=0,(12-DowntimeNew)/12,1),IF(I65="Option",G65*D65*1.025*(1+EscalatorInLease)^0,IF(I65="Market",Retention*G65*D65*(1+EscalatorInLease)^(0+M65)+(1-Retention)*H65*D65*(1+GrowthMarketRent)^0*IF(INT((DATE(2026+0,10,31)-F65)/365.25)=0,(12-DowntimeNew)/12,1),IF(I65="LeaseUp",H65*D65*(1+GrowthMarketRent)^0*IF(0=0,(12-DowntimeNew)/12,1),0)))),((F65-DATE(2026+0,5,1))/365.25)*G65*D65*(1+EscalatorInLease)^(0+M65)+((DATE(2027+0,4,30)-F65)/365.25)*IF(I65="Vacate",H65*D65*(1+GrowthMarketRent)^0*IF(INT((DATE(2026+0,10,31)-F65)/365.25)=0,(12-DowntimeNew)/12,1),IF(I65="Option",G65*D65*1.025*(1+EscalatorInLease)^0,IF(I65="Market",Retention*G65*D65*(1+EscalatorInLease)^(0+M65)+(1-Retention)*H65*D65*(1+GrowthMarketRent)^0*IF(INT((DATE(2026+0,10,31)-F65)/365.25)=0,(12-DowntimeNew)/12,1),IF(I65="LeaseUp",H65*D65*(1+GrowthMarketRent)^0*IF(0=0,(12-DowntimeNew)/12,1),0)))))))),0)</f>
        <v/>
      </c>
      <c r="O65" s="14">
        <f>IFERROR(IF(I65="LeaseUp",H65*D65*(1+GrowthMarketRent)^1*IF(1=0,(12-DowntimeNew)/12,1),IF(F65="",0,IF(F65&gt;=DATE(2027+1,4,30),G65*D65*(1+EscalatorInLease)^(1+M65),IF(F65&lt;DATE(2026+1,5,1),IF(I65="Vacate",H65*D65*(1+GrowthMarketRent)^1*IF(INT((DATE(2026+1,10,31)-F65)/365.25)=0,(12-DowntimeNew)/12,1),IF(I65="Option",G65*D65*1.025*(1+EscalatorInLease)^1,IF(I65="Market",Retention*G65*D65*(1+EscalatorInLease)^(1+M65)+(1-Retention)*H65*D65*(1+GrowthMarketRent)^1*IF(INT((DATE(2026+1,10,31)-F65)/365.25)=0,(12-DowntimeNew)/12,1),IF(I65="LeaseUp",H65*D65*(1+GrowthMarketRent)^1*IF(1=0,(12-DowntimeNew)/12,1),0)))),((F65-DATE(2026+1,5,1))/365.25)*G65*D65*(1+EscalatorInLease)^(1+M65)+((DATE(2027+1,4,30)-F65)/365.25)*IF(I65="Vacate",H65*D65*(1+GrowthMarketRent)^1*IF(INT((DATE(2026+1,10,31)-F65)/365.25)=0,(12-DowntimeNew)/12,1),IF(I65="Option",G65*D65*1.025*(1+EscalatorInLease)^1,IF(I65="Market",Retention*G65*D65*(1+EscalatorInLease)^(1+M65)+(1-Retention)*H65*D65*(1+GrowthMarketRent)^1*IF(INT((DATE(2026+1,10,31)-F65)/365.25)=0,(12-DowntimeNew)/12,1),IF(I65="LeaseUp",H65*D65*(1+GrowthMarketRent)^1*IF(1=0,(12-DowntimeNew)/12,1),0)))))))),0)</f>
        <v/>
      </c>
      <c r="P65" s="14">
        <f>IFERROR(IF(I65="LeaseUp",H65*D65*(1+GrowthMarketRent)^2*IF(2=0,(12-DowntimeNew)/12,1),IF(F65="",0,IF(F65&gt;=DATE(2027+2,4,30),G65*D65*(1+EscalatorInLease)^(2+M65),IF(F65&lt;DATE(2026+2,5,1),IF(I65="Vacate",H65*D65*(1+GrowthMarketRent)^2*IF(INT((DATE(2026+2,10,31)-F65)/365.25)=0,(12-DowntimeNew)/12,1),IF(I65="Option",G65*D65*1.025*(1+EscalatorInLease)^2,IF(I65="Market",Retention*G65*D65*(1+EscalatorInLease)^(2+M65)+(1-Retention)*H65*D65*(1+GrowthMarketRent)^2*IF(INT((DATE(2026+2,10,31)-F65)/365.25)=0,(12-DowntimeNew)/12,1),IF(I65="LeaseUp",H65*D65*(1+GrowthMarketRent)^2*IF(2=0,(12-DowntimeNew)/12,1),0)))),((F65-DATE(2026+2,5,1))/365.25)*G65*D65*(1+EscalatorInLease)^(2+M65)+((DATE(2027+2,4,30)-F65)/365.25)*IF(I65="Vacate",H65*D65*(1+GrowthMarketRent)^2*IF(INT((DATE(2026+2,10,31)-F65)/365.25)=0,(12-DowntimeNew)/12,1),IF(I65="Option",G65*D65*1.025*(1+EscalatorInLease)^2,IF(I65="Market",Retention*G65*D65*(1+EscalatorInLease)^(2+M65)+(1-Retention)*H65*D65*(1+GrowthMarketRent)^2*IF(INT((DATE(2026+2,10,31)-F65)/365.25)=0,(12-DowntimeNew)/12,1),IF(I65="LeaseUp",H65*D65*(1+GrowthMarketRent)^2*IF(2=0,(12-DowntimeNew)/12,1),0)))))))),0)</f>
        <v/>
      </c>
      <c r="Q65" s="14">
        <f>IFERROR(IF(I65="LeaseUp",H65*D65*(1+GrowthMarketRent)^3*IF(3=0,(12-DowntimeNew)/12,1),IF(F65="",0,IF(F65&gt;=DATE(2027+3,4,30),G65*D65*(1+EscalatorInLease)^(3+M65),IF(F65&lt;DATE(2026+3,5,1),IF(I65="Vacate",H65*D65*(1+GrowthMarketRent)^3*IF(INT((DATE(2026+3,10,31)-F65)/365.25)=0,(12-DowntimeNew)/12,1),IF(I65="Option",G65*D65*1.025*(1+EscalatorInLease)^3,IF(I65="Market",Retention*G65*D65*(1+EscalatorInLease)^(3+M65)+(1-Retention)*H65*D65*(1+GrowthMarketRent)^3*IF(INT((DATE(2026+3,10,31)-F65)/365.25)=0,(12-DowntimeNew)/12,1),IF(I65="LeaseUp",H65*D65*(1+GrowthMarketRent)^3*IF(3=0,(12-DowntimeNew)/12,1),0)))),((F65-DATE(2026+3,5,1))/365.25)*G65*D65*(1+EscalatorInLease)^(3+M65)+((DATE(2027+3,4,30)-F65)/365.25)*IF(I65="Vacate",H65*D65*(1+GrowthMarketRent)^3*IF(INT((DATE(2026+3,10,31)-F65)/365.25)=0,(12-DowntimeNew)/12,1),IF(I65="Option",G65*D65*1.025*(1+EscalatorInLease)^3,IF(I65="Market",Retention*G65*D65*(1+EscalatorInLease)^(3+M65)+(1-Retention)*H65*D65*(1+GrowthMarketRent)^3*IF(INT((DATE(2026+3,10,31)-F65)/365.25)=0,(12-DowntimeNew)/12,1),IF(I65="LeaseUp",H65*D65*(1+GrowthMarketRent)^3*IF(3=0,(12-DowntimeNew)/12,1),0)))))))),0)</f>
        <v/>
      </c>
      <c r="R65" s="14">
        <f>IFERROR(IF(I65="LeaseUp",H65*D65*(1+GrowthMarketRent)^4*IF(4=0,(12-DowntimeNew)/12,1),IF(F65="",0,IF(F65&gt;=DATE(2027+4,4,30),G65*D65*(1+EscalatorInLease)^(4+M65),IF(F65&lt;DATE(2026+4,5,1),IF(I65="Vacate",H65*D65*(1+GrowthMarketRent)^4*IF(INT((DATE(2026+4,10,31)-F65)/365.25)=0,(12-DowntimeNew)/12,1),IF(I65="Option",G65*D65*1.025*(1+EscalatorInLease)^4,IF(I65="Market",Retention*G65*D65*(1+EscalatorInLease)^(4+M65)+(1-Retention)*H65*D65*(1+GrowthMarketRent)^4*IF(INT((DATE(2026+4,10,31)-F65)/365.25)=0,(12-DowntimeNew)/12,1),IF(I65="LeaseUp",H65*D65*(1+GrowthMarketRent)^4*IF(4=0,(12-DowntimeNew)/12,1),0)))),((F65-DATE(2026+4,5,1))/365.25)*G65*D65*(1+EscalatorInLease)^(4+M65)+((DATE(2027+4,4,30)-F65)/365.25)*IF(I65="Vacate",H65*D65*(1+GrowthMarketRent)^4*IF(INT((DATE(2026+4,10,31)-F65)/365.25)=0,(12-DowntimeNew)/12,1),IF(I65="Option",G65*D65*1.025*(1+EscalatorInLease)^4,IF(I65="Market",Retention*G65*D65*(1+EscalatorInLease)^(4+M65)+(1-Retention)*H65*D65*(1+GrowthMarketRent)^4*IF(INT((DATE(2026+4,10,31)-F65)/365.25)=0,(12-DowntimeNew)/12,1),IF(I65="LeaseUp",H65*D65*(1+GrowthMarketRent)^4*IF(4=0,(12-DowntimeNew)/12,1),0)))))))),0)</f>
        <v/>
      </c>
      <c r="S65" s="14">
        <f>IFERROR(IF(I65="LeaseUp",H65*D65*(1+GrowthMarketRent)^5*IF(5=0,(12-DowntimeNew)/12,1),IF(F65="",0,IF(F65&gt;=DATE(2027+5,4,30),G65*D65*(1+EscalatorInLease)^(5+M65),IF(F65&lt;DATE(2026+5,5,1),IF(I65="Vacate",H65*D65*(1+GrowthMarketRent)^5*IF(INT((DATE(2026+5,10,31)-F65)/365.25)=0,(12-DowntimeNew)/12,1),IF(I65="Option",G65*D65*1.025*(1+EscalatorInLease)^5,IF(I65="Market",Retention*G65*D65*(1+EscalatorInLease)^(5+M65)+(1-Retention)*H65*D65*(1+GrowthMarketRent)^5*IF(INT((DATE(2026+5,10,31)-F65)/365.25)=0,(12-DowntimeNew)/12,1),IF(I65="LeaseUp",H65*D65*(1+GrowthMarketRent)^5*IF(5=0,(12-DowntimeNew)/12,1),0)))),((F65-DATE(2026+5,5,1))/365.25)*G65*D65*(1+EscalatorInLease)^(5+M65)+((DATE(2027+5,4,30)-F65)/365.25)*IF(I65="Vacate",H65*D65*(1+GrowthMarketRent)^5*IF(INT((DATE(2026+5,10,31)-F65)/365.25)=0,(12-DowntimeNew)/12,1),IF(I65="Option",G65*D65*1.025*(1+EscalatorInLease)^5,IF(I65="Market",Retention*G65*D65*(1+EscalatorInLease)^(5+M65)+(1-Retention)*H65*D65*(1+GrowthMarketRent)^5*IF(INT((DATE(2026+5,10,31)-F65)/365.25)=0,(12-DowntimeNew)/12,1),IF(I65="LeaseUp",H65*D65*(1+GrowthMarketRent)^5*IF(5=0,(12-DowntimeNew)/12,1),0)))))))),0)</f>
        <v/>
      </c>
      <c r="T65" s="14">
        <f>IFERROR(IF(I65="LeaseUp",H65*D65*(1+GrowthMarketRent)^6*IF(6=0,(12-DowntimeNew)/12,1),IF(F65="",0,IF(F65&gt;=DATE(2027+6,4,30),G65*D65*(1+EscalatorInLease)^(6+M65),IF(F65&lt;DATE(2026+6,5,1),IF(I65="Vacate",H65*D65*(1+GrowthMarketRent)^6*IF(INT((DATE(2026+6,10,31)-F65)/365.25)=0,(12-DowntimeNew)/12,1),IF(I65="Option",G65*D65*1.025*(1+EscalatorInLease)^6,IF(I65="Market",Retention*G65*D65*(1+EscalatorInLease)^(6+M65)+(1-Retention)*H65*D65*(1+GrowthMarketRent)^6*IF(INT((DATE(2026+6,10,31)-F65)/365.25)=0,(12-DowntimeNew)/12,1),IF(I65="LeaseUp",H65*D65*(1+GrowthMarketRent)^6*IF(6=0,(12-DowntimeNew)/12,1),0)))),((F65-DATE(2026+6,5,1))/365.25)*G65*D65*(1+EscalatorInLease)^(6+M65)+((DATE(2027+6,4,30)-F65)/365.25)*IF(I65="Vacate",H65*D65*(1+GrowthMarketRent)^6*IF(INT((DATE(2026+6,10,31)-F65)/365.25)=0,(12-DowntimeNew)/12,1),IF(I65="Option",G65*D65*1.025*(1+EscalatorInLease)^6,IF(I65="Market",Retention*G65*D65*(1+EscalatorInLease)^(6+M65)+(1-Retention)*H65*D65*(1+GrowthMarketRent)^6*IF(INT((DATE(2026+6,10,31)-F65)/365.25)=0,(12-DowntimeNew)/12,1),IF(I65="LeaseUp",H65*D65*(1+GrowthMarketRent)^6*IF(6=0,(12-DowntimeNew)/12,1),0)))))))),0)</f>
        <v/>
      </c>
      <c r="U65" s="14">
        <f>IFERROR(IF(I65="LeaseUp",H65*D65*(1+GrowthMarketRent)^7*IF(7=0,(12-DowntimeNew)/12,1),IF(F65="",0,IF(F65&gt;=DATE(2027+7,4,30),G65*D65*(1+EscalatorInLease)^(7+M65),IF(F65&lt;DATE(2026+7,5,1),IF(I65="Vacate",H65*D65*(1+GrowthMarketRent)^7*IF(INT((DATE(2026+7,10,31)-F65)/365.25)=0,(12-DowntimeNew)/12,1),IF(I65="Option",G65*D65*1.025*(1+EscalatorInLease)^7,IF(I65="Market",Retention*G65*D65*(1+EscalatorInLease)^(7+M65)+(1-Retention)*H65*D65*(1+GrowthMarketRent)^7*IF(INT((DATE(2026+7,10,31)-F65)/365.25)=0,(12-DowntimeNew)/12,1),IF(I65="LeaseUp",H65*D65*(1+GrowthMarketRent)^7*IF(7=0,(12-DowntimeNew)/12,1),0)))),((F65-DATE(2026+7,5,1))/365.25)*G65*D65*(1+EscalatorInLease)^(7+M65)+((DATE(2027+7,4,30)-F65)/365.25)*IF(I65="Vacate",H65*D65*(1+GrowthMarketRent)^7*IF(INT((DATE(2026+7,10,31)-F65)/365.25)=0,(12-DowntimeNew)/12,1),IF(I65="Option",G65*D65*1.025*(1+EscalatorInLease)^7,IF(I65="Market",Retention*G65*D65*(1+EscalatorInLease)^(7+M65)+(1-Retention)*H65*D65*(1+GrowthMarketRent)^7*IF(INT((DATE(2026+7,10,31)-F65)/365.25)=0,(12-DowntimeNew)/12,1),IF(I65="LeaseUp",H65*D65*(1+GrowthMarketRent)^7*IF(7=0,(12-DowntimeNew)/12,1),0)))))))),0)</f>
        <v/>
      </c>
      <c r="V65" s="14">
        <f>IFERROR(IF(I65="LeaseUp",H65*D65*(1+GrowthMarketRent)^8*IF(8=0,(12-DowntimeNew)/12,1),IF(F65="",0,IF(F65&gt;=DATE(2027+8,4,30),G65*D65*(1+EscalatorInLease)^(8+M65),IF(F65&lt;DATE(2026+8,5,1),IF(I65="Vacate",H65*D65*(1+GrowthMarketRent)^8*IF(INT((DATE(2026+8,10,31)-F65)/365.25)=0,(12-DowntimeNew)/12,1),IF(I65="Option",G65*D65*1.025*(1+EscalatorInLease)^8,IF(I65="Market",Retention*G65*D65*(1+EscalatorInLease)^(8+M65)+(1-Retention)*H65*D65*(1+GrowthMarketRent)^8*IF(INT((DATE(2026+8,10,31)-F65)/365.25)=0,(12-DowntimeNew)/12,1),IF(I65="LeaseUp",H65*D65*(1+GrowthMarketRent)^8*IF(8=0,(12-DowntimeNew)/12,1),0)))),((F65-DATE(2026+8,5,1))/365.25)*G65*D65*(1+EscalatorInLease)^(8+M65)+((DATE(2027+8,4,30)-F65)/365.25)*IF(I65="Vacate",H65*D65*(1+GrowthMarketRent)^8*IF(INT((DATE(2026+8,10,31)-F65)/365.25)=0,(12-DowntimeNew)/12,1),IF(I65="Option",G65*D65*1.025*(1+EscalatorInLease)^8,IF(I65="Market",Retention*G65*D65*(1+EscalatorInLease)^(8+M65)+(1-Retention)*H65*D65*(1+GrowthMarketRent)^8*IF(INT((DATE(2026+8,10,31)-F65)/365.25)=0,(12-DowntimeNew)/12,1),IF(I65="LeaseUp",H65*D65*(1+GrowthMarketRent)^8*IF(8=0,(12-DowntimeNew)/12,1),0)))))))),0)</f>
        <v/>
      </c>
      <c r="W65" s="14">
        <f>IFERROR(IF(I65="LeaseUp",H65*D65*(1+GrowthMarketRent)^9*IF(9=0,(12-DowntimeNew)/12,1),IF(F65="",0,IF(F65&gt;=DATE(2027+9,4,30),G65*D65*(1+EscalatorInLease)^(9+M65),IF(F65&lt;DATE(2026+9,5,1),IF(I65="Vacate",H65*D65*(1+GrowthMarketRent)^9*IF(INT((DATE(2026+9,10,31)-F65)/365.25)=0,(12-DowntimeNew)/12,1),IF(I65="Option",G65*D65*1.025*(1+EscalatorInLease)^9,IF(I65="Market",Retention*G65*D65*(1+EscalatorInLease)^(9+M65)+(1-Retention)*H65*D65*(1+GrowthMarketRent)^9*IF(INT((DATE(2026+9,10,31)-F65)/365.25)=0,(12-DowntimeNew)/12,1),IF(I65="LeaseUp",H65*D65*(1+GrowthMarketRent)^9*IF(9=0,(12-DowntimeNew)/12,1),0)))),((F65-DATE(2026+9,5,1))/365.25)*G65*D65*(1+EscalatorInLease)^(9+M65)+((DATE(2027+9,4,30)-F65)/365.25)*IF(I65="Vacate",H65*D65*(1+GrowthMarketRent)^9*IF(INT((DATE(2026+9,10,31)-F65)/365.25)=0,(12-DowntimeNew)/12,1),IF(I65="Option",G65*D65*1.025*(1+EscalatorInLease)^9,IF(I65="Market",Retention*G65*D65*(1+EscalatorInLease)^(9+M65)+(1-Retention)*H65*D65*(1+GrowthMarketRent)^9*IF(INT((DATE(2026+9,10,31)-F65)/365.25)=0,(12-DowntimeNew)/12,1),IF(I65="LeaseUp",H65*D65*(1+GrowthMarketRent)^9*IF(9=0,(12-DowntimeNew)/12,1),0)))))))),0)</f>
        <v/>
      </c>
      <c r="X65" s="14">
        <f>IFERROR(IF(I65="LeaseUp",H65*D65*(1+GrowthMarketRent)^10*IF(10=0,(12-DowntimeNew)/12,1),IF(F65="",0,IF(F65&gt;=DATE(2027+10,4,30),G65*D65*(1+EscalatorInLease)^(10+M65),IF(F65&lt;DATE(2026+10,5,1),IF(I65="Vacate",H65*D65*(1+GrowthMarketRent)^10*IF(INT((DATE(2026+10,10,31)-F65)/365.25)=0,(12-DowntimeNew)/12,1),IF(I65="Option",G65*D65*1.025*(1+EscalatorInLease)^10,IF(I65="Market",Retention*G65*D65*(1+EscalatorInLease)^(10+M65)+(1-Retention)*H65*D65*(1+GrowthMarketRent)^10*IF(INT((DATE(2026+10,10,31)-F65)/365.25)=0,(12-DowntimeNew)/12,1),IF(I65="LeaseUp",H65*D65*(1+GrowthMarketRent)^10*IF(10=0,(12-DowntimeNew)/12,1),0)))),((F65-DATE(2026+10,5,1))/365.25)*G65*D65*(1+EscalatorInLease)^(10+M65)+((DATE(2027+10,4,30)-F65)/365.25)*IF(I65="Vacate",H65*D65*(1+GrowthMarketRent)^10*IF(INT((DATE(2026+10,10,31)-F65)/365.25)=0,(12-DowntimeNew)/12,1),IF(I65="Option",G65*D65*1.025*(1+EscalatorInLease)^10,IF(I65="Market",Retention*G65*D65*(1+EscalatorInLease)^(10+M65)+(1-Retention)*H65*D65*(1+GrowthMarketRent)^10*IF(INT((DATE(2026+10,10,31)-F65)/365.25)=0,(12-DowntimeNew)/12,1),IF(I65="LeaseUp",H65*D65*(1+GrowthMarketRent)^10*IF(10=0,(12-DowntimeNew)/12,1),0)))))))),0)</f>
        <v/>
      </c>
      <c r="Y65" s="14">
        <f>IFERROR(IF(AND(I65="LeaseUp",0=0),(IF(I65="Vacate",TINew*D65,IF(I65="Market",Retention*TIRenewal*D65+(1-Retention)*TINew*D65,IF(I65="LeaseUp",TINew*D65,IF(I65="Option",TIRenewal*D65,0)))))+(IF(I65="Vacate",LCNew*H65*D65*(1+GrowthMarketRent)^0,IF(I65="Market",Retention*LCRenewal*H65*D65*(1+GrowthMarketRent)^0+(1-Retention)*LCNew*H65*D65*(1+GrowthMarketRent)^0,IF(I65="LeaseUp",LCNew*H65*D65*(1+GrowthMarketRent)^0,IF(I65="Option",LCRenewal*H65*D65*(1+GrowthMarketRent)^0,0))))),IF(F65="",0,IF(AND(F65&gt;=DATE(2026+0,5,1),F65&lt;=DATE(2027+0,4,30)),(IF(I65="Vacate",TINew*D65,IF(I65="Market",Retention*TIRenewal*D65+(1-Retention)*TINew*D65,IF(I65="LeaseUp",TINew*D65,IF(I65="Option",TIRenewal*D65,0)))))+(IF(I65="Vacate",LCNew*H65*D65*(1+GrowthMarketRent)^0,IF(I65="Market",Retention*LCRenewal*H65*D65*(1+GrowthMarketRent)^0+(1-Retention)*LCNew*H65*D65*(1+GrowthMarketRent)^0,IF(I65="LeaseUp",LCNew*H65*D65*(1+GrowthMarketRent)^0,IF(I65="Option",LCRenewal*H65*D65*(1+GrowthMarketRent)^0,0))))),0))),0)</f>
        <v/>
      </c>
      <c r="Z65" s="14">
        <f>IFERROR(IF(AND(I65="LeaseUp",1=0),(IF(I65="Vacate",TINew*D65,IF(I65="Market",Retention*TIRenewal*D65+(1-Retention)*TINew*D65,IF(I65="LeaseUp",TINew*D65,IF(I65="Option",TIRenewal*D65,0)))))+(IF(I65="Vacate",LCNew*H65*D65*(1+GrowthMarketRent)^1,IF(I65="Market",Retention*LCRenewal*H65*D65*(1+GrowthMarketRent)^1+(1-Retention)*LCNew*H65*D65*(1+GrowthMarketRent)^1,IF(I65="LeaseUp",LCNew*H65*D65*(1+GrowthMarketRent)^1,IF(I65="Option",LCRenewal*H65*D65*(1+GrowthMarketRent)^1,0))))),IF(F65="",0,IF(AND(F65&gt;=DATE(2026+1,5,1),F65&lt;=DATE(2027+1,4,30)),(IF(I65="Vacate",TINew*D65,IF(I65="Market",Retention*TIRenewal*D65+(1-Retention)*TINew*D65,IF(I65="LeaseUp",TINew*D65,IF(I65="Option",TIRenewal*D65,0)))))+(IF(I65="Vacate",LCNew*H65*D65*(1+GrowthMarketRent)^1,IF(I65="Market",Retention*LCRenewal*H65*D65*(1+GrowthMarketRent)^1+(1-Retention)*LCNew*H65*D65*(1+GrowthMarketRent)^1,IF(I65="LeaseUp",LCNew*H65*D65*(1+GrowthMarketRent)^1,IF(I65="Option",LCRenewal*H65*D65*(1+GrowthMarketRent)^1,0))))),0))),0)</f>
        <v/>
      </c>
      <c r="AA65" s="14">
        <f>IFERROR(IF(AND(I65="LeaseUp",2=0),(IF(I65="Vacate",TINew*D65,IF(I65="Market",Retention*TIRenewal*D65+(1-Retention)*TINew*D65,IF(I65="LeaseUp",TINew*D65,IF(I65="Option",TIRenewal*D65,0)))))+(IF(I65="Vacate",LCNew*H65*D65*(1+GrowthMarketRent)^2,IF(I65="Market",Retention*LCRenewal*H65*D65*(1+GrowthMarketRent)^2+(1-Retention)*LCNew*H65*D65*(1+GrowthMarketRent)^2,IF(I65="LeaseUp",LCNew*H65*D65*(1+GrowthMarketRent)^2,IF(I65="Option",LCRenewal*H65*D65*(1+GrowthMarketRent)^2,0))))),IF(F65="",0,IF(AND(F65&gt;=DATE(2026+2,5,1),F65&lt;=DATE(2027+2,4,30)),(IF(I65="Vacate",TINew*D65,IF(I65="Market",Retention*TIRenewal*D65+(1-Retention)*TINew*D65,IF(I65="LeaseUp",TINew*D65,IF(I65="Option",TIRenewal*D65,0)))))+(IF(I65="Vacate",LCNew*H65*D65*(1+GrowthMarketRent)^2,IF(I65="Market",Retention*LCRenewal*H65*D65*(1+GrowthMarketRent)^2+(1-Retention)*LCNew*H65*D65*(1+GrowthMarketRent)^2,IF(I65="LeaseUp",LCNew*H65*D65*(1+GrowthMarketRent)^2,IF(I65="Option",LCRenewal*H65*D65*(1+GrowthMarketRent)^2,0))))),0))),0)</f>
        <v/>
      </c>
      <c r="AB65" s="14">
        <f>IFERROR(IF(AND(I65="LeaseUp",3=0),(IF(I65="Vacate",TINew*D65,IF(I65="Market",Retention*TIRenewal*D65+(1-Retention)*TINew*D65,IF(I65="LeaseUp",TINew*D65,IF(I65="Option",TIRenewal*D65,0)))))+(IF(I65="Vacate",LCNew*H65*D65*(1+GrowthMarketRent)^3,IF(I65="Market",Retention*LCRenewal*H65*D65*(1+GrowthMarketRent)^3+(1-Retention)*LCNew*H65*D65*(1+GrowthMarketRent)^3,IF(I65="LeaseUp",LCNew*H65*D65*(1+GrowthMarketRent)^3,IF(I65="Option",LCRenewal*H65*D65*(1+GrowthMarketRent)^3,0))))),IF(F65="",0,IF(AND(F65&gt;=DATE(2026+3,5,1),F65&lt;=DATE(2027+3,4,30)),(IF(I65="Vacate",TINew*D65,IF(I65="Market",Retention*TIRenewal*D65+(1-Retention)*TINew*D65,IF(I65="LeaseUp",TINew*D65,IF(I65="Option",TIRenewal*D65,0)))))+(IF(I65="Vacate",LCNew*H65*D65*(1+GrowthMarketRent)^3,IF(I65="Market",Retention*LCRenewal*H65*D65*(1+GrowthMarketRent)^3+(1-Retention)*LCNew*H65*D65*(1+GrowthMarketRent)^3,IF(I65="LeaseUp",LCNew*H65*D65*(1+GrowthMarketRent)^3,IF(I65="Option",LCRenewal*H65*D65*(1+GrowthMarketRent)^3,0))))),0))),0)</f>
        <v/>
      </c>
      <c r="AC65" s="14">
        <f>IFERROR(IF(AND(I65="LeaseUp",4=0),(IF(I65="Vacate",TINew*D65,IF(I65="Market",Retention*TIRenewal*D65+(1-Retention)*TINew*D65,IF(I65="LeaseUp",TINew*D65,IF(I65="Option",TIRenewal*D65,0)))))+(IF(I65="Vacate",LCNew*H65*D65*(1+GrowthMarketRent)^4,IF(I65="Market",Retention*LCRenewal*H65*D65*(1+GrowthMarketRent)^4+(1-Retention)*LCNew*H65*D65*(1+GrowthMarketRent)^4,IF(I65="LeaseUp",LCNew*H65*D65*(1+GrowthMarketRent)^4,IF(I65="Option",LCRenewal*H65*D65*(1+GrowthMarketRent)^4,0))))),IF(F65="",0,IF(AND(F65&gt;=DATE(2026+4,5,1),F65&lt;=DATE(2027+4,4,30)),(IF(I65="Vacate",TINew*D65,IF(I65="Market",Retention*TIRenewal*D65+(1-Retention)*TINew*D65,IF(I65="LeaseUp",TINew*D65,IF(I65="Option",TIRenewal*D65,0)))))+(IF(I65="Vacate",LCNew*H65*D65*(1+GrowthMarketRent)^4,IF(I65="Market",Retention*LCRenewal*H65*D65*(1+GrowthMarketRent)^4+(1-Retention)*LCNew*H65*D65*(1+GrowthMarketRent)^4,IF(I65="LeaseUp",LCNew*H65*D65*(1+GrowthMarketRent)^4,IF(I65="Option",LCRenewal*H65*D65*(1+GrowthMarketRent)^4,0))))),0))),0)</f>
        <v/>
      </c>
      <c r="AD65" s="14">
        <f>IFERROR(IF(AND(I65="LeaseUp",5=0),(IF(I65="Vacate",TINew*D65,IF(I65="Market",Retention*TIRenewal*D65+(1-Retention)*TINew*D65,IF(I65="LeaseUp",TINew*D65,IF(I65="Option",TIRenewal*D65,0)))))+(IF(I65="Vacate",LCNew*H65*D65*(1+GrowthMarketRent)^5,IF(I65="Market",Retention*LCRenewal*H65*D65*(1+GrowthMarketRent)^5+(1-Retention)*LCNew*H65*D65*(1+GrowthMarketRent)^5,IF(I65="LeaseUp",LCNew*H65*D65*(1+GrowthMarketRent)^5,IF(I65="Option",LCRenewal*H65*D65*(1+GrowthMarketRent)^5,0))))),IF(F65="",0,IF(AND(F65&gt;=DATE(2026+5,5,1),F65&lt;=DATE(2027+5,4,30)),(IF(I65="Vacate",TINew*D65,IF(I65="Market",Retention*TIRenewal*D65+(1-Retention)*TINew*D65,IF(I65="LeaseUp",TINew*D65,IF(I65="Option",TIRenewal*D65,0)))))+(IF(I65="Vacate",LCNew*H65*D65*(1+GrowthMarketRent)^5,IF(I65="Market",Retention*LCRenewal*H65*D65*(1+GrowthMarketRent)^5+(1-Retention)*LCNew*H65*D65*(1+GrowthMarketRent)^5,IF(I65="LeaseUp",LCNew*H65*D65*(1+GrowthMarketRent)^5,IF(I65="Option",LCRenewal*H65*D65*(1+GrowthMarketRent)^5,0))))),0))),0)</f>
        <v/>
      </c>
      <c r="AE65" s="14">
        <f>IFERROR(IF(AND(I65="LeaseUp",6=0),(IF(I65="Vacate",TINew*D65,IF(I65="Market",Retention*TIRenewal*D65+(1-Retention)*TINew*D65,IF(I65="LeaseUp",TINew*D65,IF(I65="Option",TIRenewal*D65,0)))))+(IF(I65="Vacate",LCNew*H65*D65*(1+GrowthMarketRent)^6,IF(I65="Market",Retention*LCRenewal*H65*D65*(1+GrowthMarketRent)^6+(1-Retention)*LCNew*H65*D65*(1+GrowthMarketRent)^6,IF(I65="LeaseUp",LCNew*H65*D65*(1+GrowthMarketRent)^6,IF(I65="Option",LCRenewal*H65*D65*(1+GrowthMarketRent)^6,0))))),IF(F65="",0,IF(AND(F65&gt;=DATE(2026+6,5,1),F65&lt;=DATE(2027+6,4,30)),(IF(I65="Vacate",TINew*D65,IF(I65="Market",Retention*TIRenewal*D65+(1-Retention)*TINew*D65,IF(I65="LeaseUp",TINew*D65,IF(I65="Option",TIRenewal*D65,0)))))+(IF(I65="Vacate",LCNew*H65*D65*(1+GrowthMarketRent)^6,IF(I65="Market",Retention*LCRenewal*H65*D65*(1+GrowthMarketRent)^6+(1-Retention)*LCNew*H65*D65*(1+GrowthMarketRent)^6,IF(I65="LeaseUp",LCNew*H65*D65*(1+GrowthMarketRent)^6,IF(I65="Option",LCRenewal*H65*D65*(1+GrowthMarketRent)^6,0))))),0))),0)</f>
        <v/>
      </c>
      <c r="AF65" s="14">
        <f>IFERROR(IF(AND(I65="LeaseUp",7=0),(IF(I65="Vacate",TINew*D65,IF(I65="Market",Retention*TIRenewal*D65+(1-Retention)*TINew*D65,IF(I65="LeaseUp",TINew*D65,IF(I65="Option",TIRenewal*D65,0)))))+(IF(I65="Vacate",LCNew*H65*D65*(1+GrowthMarketRent)^7,IF(I65="Market",Retention*LCRenewal*H65*D65*(1+GrowthMarketRent)^7+(1-Retention)*LCNew*H65*D65*(1+GrowthMarketRent)^7,IF(I65="LeaseUp",LCNew*H65*D65*(1+GrowthMarketRent)^7,IF(I65="Option",LCRenewal*H65*D65*(1+GrowthMarketRent)^7,0))))),IF(F65="",0,IF(AND(F65&gt;=DATE(2026+7,5,1),F65&lt;=DATE(2027+7,4,30)),(IF(I65="Vacate",TINew*D65,IF(I65="Market",Retention*TIRenewal*D65+(1-Retention)*TINew*D65,IF(I65="LeaseUp",TINew*D65,IF(I65="Option",TIRenewal*D65,0)))))+(IF(I65="Vacate",LCNew*H65*D65*(1+GrowthMarketRent)^7,IF(I65="Market",Retention*LCRenewal*H65*D65*(1+GrowthMarketRent)^7+(1-Retention)*LCNew*H65*D65*(1+GrowthMarketRent)^7,IF(I65="LeaseUp",LCNew*H65*D65*(1+GrowthMarketRent)^7,IF(I65="Option",LCRenewal*H65*D65*(1+GrowthMarketRent)^7,0))))),0))),0)</f>
        <v/>
      </c>
      <c r="AG65" s="14">
        <f>IFERROR(IF(AND(I65="LeaseUp",8=0),(IF(I65="Vacate",TINew*D65,IF(I65="Market",Retention*TIRenewal*D65+(1-Retention)*TINew*D65,IF(I65="LeaseUp",TINew*D65,IF(I65="Option",TIRenewal*D65,0)))))+(IF(I65="Vacate",LCNew*H65*D65*(1+GrowthMarketRent)^8,IF(I65="Market",Retention*LCRenewal*H65*D65*(1+GrowthMarketRent)^8+(1-Retention)*LCNew*H65*D65*(1+GrowthMarketRent)^8,IF(I65="LeaseUp",LCNew*H65*D65*(1+GrowthMarketRent)^8,IF(I65="Option",LCRenewal*H65*D65*(1+GrowthMarketRent)^8,0))))),IF(F65="",0,IF(AND(F65&gt;=DATE(2026+8,5,1),F65&lt;=DATE(2027+8,4,30)),(IF(I65="Vacate",TINew*D65,IF(I65="Market",Retention*TIRenewal*D65+(1-Retention)*TINew*D65,IF(I65="LeaseUp",TINew*D65,IF(I65="Option",TIRenewal*D65,0)))))+(IF(I65="Vacate",LCNew*H65*D65*(1+GrowthMarketRent)^8,IF(I65="Market",Retention*LCRenewal*H65*D65*(1+GrowthMarketRent)^8+(1-Retention)*LCNew*H65*D65*(1+GrowthMarketRent)^8,IF(I65="LeaseUp",LCNew*H65*D65*(1+GrowthMarketRent)^8,IF(I65="Option",LCRenewal*H65*D65*(1+GrowthMarketRent)^8,0))))),0))),0)</f>
        <v/>
      </c>
      <c r="AH65" s="14">
        <f>IFERROR(IF(AND(I65="LeaseUp",9=0),(IF(I65="Vacate",TINew*D65,IF(I65="Market",Retention*TIRenewal*D65+(1-Retention)*TINew*D65,IF(I65="LeaseUp",TINew*D65,IF(I65="Option",TIRenewal*D65,0)))))+(IF(I65="Vacate",LCNew*H65*D65*(1+GrowthMarketRent)^9,IF(I65="Market",Retention*LCRenewal*H65*D65*(1+GrowthMarketRent)^9+(1-Retention)*LCNew*H65*D65*(1+GrowthMarketRent)^9,IF(I65="LeaseUp",LCNew*H65*D65*(1+GrowthMarketRent)^9,IF(I65="Option",LCRenewal*H65*D65*(1+GrowthMarketRent)^9,0))))),IF(F65="",0,IF(AND(F65&gt;=DATE(2026+9,5,1),F65&lt;=DATE(2027+9,4,30)),(IF(I65="Vacate",TINew*D65,IF(I65="Market",Retention*TIRenewal*D65+(1-Retention)*TINew*D65,IF(I65="LeaseUp",TINew*D65,IF(I65="Option",TIRenewal*D65,0)))))+(IF(I65="Vacate",LCNew*H65*D65*(1+GrowthMarketRent)^9,IF(I65="Market",Retention*LCRenewal*H65*D65*(1+GrowthMarketRent)^9+(1-Retention)*LCNew*H65*D65*(1+GrowthMarketRent)^9,IF(I65="LeaseUp",LCNew*H65*D65*(1+GrowthMarketRent)^9,IF(I65="Option",LCRenewal*H65*D65*(1+GrowthMarketRent)^9,0))))),0))),0)</f>
        <v/>
      </c>
      <c r="AI65" s="14">
        <f>IFERROR(IF(AND(I65="LeaseUp",10=0),(IF(I65="Vacate",TINew*D65,IF(I65="Market",Retention*TIRenewal*D65+(1-Retention)*TINew*D65,IF(I65="LeaseUp",TINew*D65,IF(I65="Option",TIRenewal*D65,0)))))+(IF(I65="Vacate",LCNew*H65*D65*(1+GrowthMarketRent)^10,IF(I65="Market",Retention*LCRenewal*H65*D65*(1+GrowthMarketRent)^10+(1-Retention)*LCNew*H65*D65*(1+GrowthMarketRent)^10,IF(I65="LeaseUp",LCNew*H65*D65*(1+GrowthMarketRent)^10,IF(I65="Option",LCRenewal*H65*D65*(1+GrowthMarketRent)^10,0))))),IF(F65="",0,IF(AND(F65&gt;=DATE(2026+10,5,1),F65&lt;=DATE(2027+10,4,30)),(IF(I65="Vacate",TINew*D65,IF(I65="Market",Retention*TIRenewal*D65+(1-Retention)*TINew*D65,IF(I65="LeaseUp",TINew*D65,IF(I65="Option",TIRenewal*D65,0)))))+(IF(I65="Vacate",LCNew*H65*D65*(1+GrowthMarketRent)^10,IF(I65="Market",Retention*LCRenewal*H65*D65*(1+GrowthMarketRent)^10+(1-Retention)*LCNew*H65*D65*(1+GrowthMarketRent)^10,IF(I65="LeaseUp",LCNew*H65*D65*(1+GrowthMarketRent)^10,IF(I65="Option",LCRenewal*H65*D65*(1+GrowthMarketRent)^10,0))))),0))),0)</f>
        <v/>
      </c>
    </row>
    <row r="66">
      <c r="A66" t="inlineStr">
        <is>
          <t>Frisco</t>
        </is>
      </c>
      <c r="B66" t="inlineStr">
        <is>
          <t>304</t>
        </is>
      </c>
      <c r="C66" t="inlineStr">
        <is>
          <t>Defensify LLC</t>
        </is>
      </c>
      <c r="D66" s="32" t="n">
        <v>2900</v>
      </c>
      <c r="E66" s="33" t="n">
        <v>45748</v>
      </c>
      <c r="F66" s="33" t="n">
        <v>46997</v>
      </c>
      <c r="G66" s="34" t="n">
        <v>18.45</v>
      </c>
      <c r="H66" s="16">
        <f>VLOOKUP(A66,MLA!$A$5:$L$11,3,FALSE)</f>
        <v/>
      </c>
      <c r="I66" s="11" t="inlineStr">
        <is>
          <t>Market</t>
        </is>
      </c>
      <c r="J66" t="inlineStr">
        <is>
          <t>Shop</t>
        </is>
      </c>
      <c r="K66" t="inlineStr">
        <is>
          <t>Occupied</t>
        </is>
      </c>
      <c r="L66" t="inlineStr">
        <is>
          <t>Guarantor: Maria Cecilia Hocson</t>
        </is>
      </c>
      <c r="M66" s="20">
        <f>IF(E66="",0,(AnalysisStart-E66)/365.25)</f>
        <v/>
      </c>
      <c r="N66" s="14">
        <f>IFERROR(IF(I66="LeaseUp",H66*D66*(1+GrowthMarketRent)^0*IF(0=0,(12-DowntimeNew)/12,1),IF(F66="",0,IF(F66&gt;=DATE(2027+0,4,30),G66*D66*(1+EscalatorInLease)^(0+M66),IF(F66&lt;DATE(2026+0,5,1),IF(I66="Vacate",H66*D66*(1+GrowthMarketRent)^0*IF(INT((DATE(2026+0,10,31)-F66)/365.25)=0,(12-DowntimeNew)/12,1),IF(I66="Option",G66*D66*1.025*(1+EscalatorInLease)^0,IF(I66="Market",Retention*G66*D66*(1+EscalatorInLease)^(0+M66)+(1-Retention)*H66*D66*(1+GrowthMarketRent)^0*IF(INT((DATE(2026+0,10,31)-F66)/365.25)=0,(12-DowntimeNew)/12,1),IF(I66="LeaseUp",H66*D66*(1+GrowthMarketRent)^0*IF(0=0,(12-DowntimeNew)/12,1),0)))),((F66-DATE(2026+0,5,1))/365.25)*G66*D66*(1+EscalatorInLease)^(0+M66)+((DATE(2027+0,4,30)-F66)/365.25)*IF(I66="Vacate",H66*D66*(1+GrowthMarketRent)^0*IF(INT((DATE(2026+0,10,31)-F66)/365.25)=0,(12-DowntimeNew)/12,1),IF(I66="Option",G66*D66*1.025*(1+EscalatorInLease)^0,IF(I66="Market",Retention*G66*D66*(1+EscalatorInLease)^(0+M66)+(1-Retention)*H66*D66*(1+GrowthMarketRent)^0*IF(INT((DATE(2026+0,10,31)-F66)/365.25)=0,(12-DowntimeNew)/12,1),IF(I66="LeaseUp",H66*D66*(1+GrowthMarketRent)^0*IF(0=0,(12-DowntimeNew)/12,1),0)))))))),0)</f>
        <v/>
      </c>
      <c r="O66" s="14">
        <f>IFERROR(IF(I66="LeaseUp",H66*D66*(1+GrowthMarketRent)^1*IF(1=0,(12-DowntimeNew)/12,1),IF(F66="",0,IF(F66&gt;=DATE(2027+1,4,30),G66*D66*(1+EscalatorInLease)^(1+M66),IF(F66&lt;DATE(2026+1,5,1),IF(I66="Vacate",H66*D66*(1+GrowthMarketRent)^1*IF(INT((DATE(2026+1,10,31)-F66)/365.25)=0,(12-DowntimeNew)/12,1),IF(I66="Option",G66*D66*1.025*(1+EscalatorInLease)^1,IF(I66="Market",Retention*G66*D66*(1+EscalatorInLease)^(1+M66)+(1-Retention)*H66*D66*(1+GrowthMarketRent)^1*IF(INT((DATE(2026+1,10,31)-F66)/365.25)=0,(12-DowntimeNew)/12,1),IF(I66="LeaseUp",H66*D66*(1+GrowthMarketRent)^1*IF(1=0,(12-DowntimeNew)/12,1),0)))),((F66-DATE(2026+1,5,1))/365.25)*G66*D66*(1+EscalatorInLease)^(1+M66)+((DATE(2027+1,4,30)-F66)/365.25)*IF(I66="Vacate",H66*D66*(1+GrowthMarketRent)^1*IF(INT((DATE(2026+1,10,31)-F66)/365.25)=0,(12-DowntimeNew)/12,1),IF(I66="Option",G66*D66*1.025*(1+EscalatorInLease)^1,IF(I66="Market",Retention*G66*D66*(1+EscalatorInLease)^(1+M66)+(1-Retention)*H66*D66*(1+GrowthMarketRent)^1*IF(INT((DATE(2026+1,10,31)-F66)/365.25)=0,(12-DowntimeNew)/12,1),IF(I66="LeaseUp",H66*D66*(1+GrowthMarketRent)^1*IF(1=0,(12-DowntimeNew)/12,1),0)))))))),0)</f>
        <v/>
      </c>
      <c r="P66" s="14">
        <f>IFERROR(IF(I66="LeaseUp",H66*D66*(1+GrowthMarketRent)^2*IF(2=0,(12-DowntimeNew)/12,1),IF(F66="",0,IF(F66&gt;=DATE(2027+2,4,30),G66*D66*(1+EscalatorInLease)^(2+M66),IF(F66&lt;DATE(2026+2,5,1),IF(I66="Vacate",H66*D66*(1+GrowthMarketRent)^2*IF(INT((DATE(2026+2,10,31)-F66)/365.25)=0,(12-DowntimeNew)/12,1),IF(I66="Option",G66*D66*1.025*(1+EscalatorInLease)^2,IF(I66="Market",Retention*G66*D66*(1+EscalatorInLease)^(2+M66)+(1-Retention)*H66*D66*(1+GrowthMarketRent)^2*IF(INT((DATE(2026+2,10,31)-F66)/365.25)=0,(12-DowntimeNew)/12,1),IF(I66="LeaseUp",H66*D66*(1+GrowthMarketRent)^2*IF(2=0,(12-DowntimeNew)/12,1),0)))),((F66-DATE(2026+2,5,1))/365.25)*G66*D66*(1+EscalatorInLease)^(2+M66)+((DATE(2027+2,4,30)-F66)/365.25)*IF(I66="Vacate",H66*D66*(1+GrowthMarketRent)^2*IF(INT((DATE(2026+2,10,31)-F66)/365.25)=0,(12-DowntimeNew)/12,1),IF(I66="Option",G66*D66*1.025*(1+EscalatorInLease)^2,IF(I66="Market",Retention*G66*D66*(1+EscalatorInLease)^(2+M66)+(1-Retention)*H66*D66*(1+GrowthMarketRent)^2*IF(INT((DATE(2026+2,10,31)-F66)/365.25)=0,(12-DowntimeNew)/12,1),IF(I66="LeaseUp",H66*D66*(1+GrowthMarketRent)^2*IF(2=0,(12-DowntimeNew)/12,1),0)))))))),0)</f>
        <v/>
      </c>
      <c r="Q66" s="14">
        <f>IFERROR(IF(I66="LeaseUp",H66*D66*(1+GrowthMarketRent)^3*IF(3=0,(12-DowntimeNew)/12,1),IF(F66="",0,IF(F66&gt;=DATE(2027+3,4,30),G66*D66*(1+EscalatorInLease)^(3+M66),IF(F66&lt;DATE(2026+3,5,1),IF(I66="Vacate",H66*D66*(1+GrowthMarketRent)^3*IF(INT((DATE(2026+3,10,31)-F66)/365.25)=0,(12-DowntimeNew)/12,1),IF(I66="Option",G66*D66*1.025*(1+EscalatorInLease)^3,IF(I66="Market",Retention*G66*D66*(1+EscalatorInLease)^(3+M66)+(1-Retention)*H66*D66*(1+GrowthMarketRent)^3*IF(INT((DATE(2026+3,10,31)-F66)/365.25)=0,(12-DowntimeNew)/12,1),IF(I66="LeaseUp",H66*D66*(1+GrowthMarketRent)^3*IF(3=0,(12-DowntimeNew)/12,1),0)))),((F66-DATE(2026+3,5,1))/365.25)*G66*D66*(1+EscalatorInLease)^(3+M66)+((DATE(2027+3,4,30)-F66)/365.25)*IF(I66="Vacate",H66*D66*(1+GrowthMarketRent)^3*IF(INT((DATE(2026+3,10,31)-F66)/365.25)=0,(12-DowntimeNew)/12,1),IF(I66="Option",G66*D66*1.025*(1+EscalatorInLease)^3,IF(I66="Market",Retention*G66*D66*(1+EscalatorInLease)^(3+M66)+(1-Retention)*H66*D66*(1+GrowthMarketRent)^3*IF(INT((DATE(2026+3,10,31)-F66)/365.25)=0,(12-DowntimeNew)/12,1),IF(I66="LeaseUp",H66*D66*(1+GrowthMarketRent)^3*IF(3=0,(12-DowntimeNew)/12,1),0)))))))),0)</f>
        <v/>
      </c>
      <c r="R66" s="14">
        <f>IFERROR(IF(I66="LeaseUp",H66*D66*(1+GrowthMarketRent)^4*IF(4=0,(12-DowntimeNew)/12,1),IF(F66="",0,IF(F66&gt;=DATE(2027+4,4,30),G66*D66*(1+EscalatorInLease)^(4+M66),IF(F66&lt;DATE(2026+4,5,1),IF(I66="Vacate",H66*D66*(1+GrowthMarketRent)^4*IF(INT((DATE(2026+4,10,31)-F66)/365.25)=0,(12-DowntimeNew)/12,1),IF(I66="Option",G66*D66*1.025*(1+EscalatorInLease)^4,IF(I66="Market",Retention*G66*D66*(1+EscalatorInLease)^(4+M66)+(1-Retention)*H66*D66*(1+GrowthMarketRent)^4*IF(INT((DATE(2026+4,10,31)-F66)/365.25)=0,(12-DowntimeNew)/12,1),IF(I66="LeaseUp",H66*D66*(1+GrowthMarketRent)^4*IF(4=0,(12-DowntimeNew)/12,1),0)))),((F66-DATE(2026+4,5,1))/365.25)*G66*D66*(1+EscalatorInLease)^(4+M66)+((DATE(2027+4,4,30)-F66)/365.25)*IF(I66="Vacate",H66*D66*(1+GrowthMarketRent)^4*IF(INT((DATE(2026+4,10,31)-F66)/365.25)=0,(12-DowntimeNew)/12,1),IF(I66="Option",G66*D66*1.025*(1+EscalatorInLease)^4,IF(I66="Market",Retention*G66*D66*(1+EscalatorInLease)^(4+M66)+(1-Retention)*H66*D66*(1+GrowthMarketRent)^4*IF(INT((DATE(2026+4,10,31)-F66)/365.25)=0,(12-DowntimeNew)/12,1),IF(I66="LeaseUp",H66*D66*(1+GrowthMarketRent)^4*IF(4=0,(12-DowntimeNew)/12,1),0)))))))),0)</f>
        <v/>
      </c>
      <c r="S66" s="14">
        <f>IFERROR(IF(I66="LeaseUp",H66*D66*(1+GrowthMarketRent)^5*IF(5=0,(12-DowntimeNew)/12,1),IF(F66="",0,IF(F66&gt;=DATE(2027+5,4,30),G66*D66*(1+EscalatorInLease)^(5+M66),IF(F66&lt;DATE(2026+5,5,1),IF(I66="Vacate",H66*D66*(1+GrowthMarketRent)^5*IF(INT((DATE(2026+5,10,31)-F66)/365.25)=0,(12-DowntimeNew)/12,1),IF(I66="Option",G66*D66*1.025*(1+EscalatorInLease)^5,IF(I66="Market",Retention*G66*D66*(1+EscalatorInLease)^(5+M66)+(1-Retention)*H66*D66*(1+GrowthMarketRent)^5*IF(INT((DATE(2026+5,10,31)-F66)/365.25)=0,(12-DowntimeNew)/12,1),IF(I66="LeaseUp",H66*D66*(1+GrowthMarketRent)^5*IF(5=0,(12-DowntimeNew)/12,1),0)))),((F66-DATE(2026+5,5,1))/365.25)*G66*D66*(1+EscalatorInLease)^(5+M66)+((DATE(2027+5,4,30)-F66)/365.25)*IF(I66="Vacate",H66*D66*(1+GrowthMarketRent)^5*IF(INT((DATE(2026+5,10,31)-F66)/365.25)=0,(12-DowntimeNew)/12,1),IF(I66="Option",G66*D66*1.025*(1+EscalatorInLease)^5,IF(I66="Market",Retention*G66*D66*(1+EscalatorInLease)^(5+M66)+(1-Retention)*H66*D66*(1+GrowthMarketRent)^5*IF(INT((DATE(2026+5,10,31)-F66)/365.25)=0,(12-DowntimeNew)/12,1),IF(I66="LeaseUp",H66*D66*(1+GrowthMarketRent)^5*IF(5=0,(12-DowntimeNew)/12,1),0)))))))),0)</f>
        <v/>
      </c>
      <c r="T66" s="14">
        <f>IFERROR(IF(I66="LeaseUp",H66*D66*(1+GrowthMarketRent)^6*IF(6=0,(12-DowntimeNew)/12,1),IF(F66="",0,IF(F66&gt;=DATE(2027+6,4,30),G66*D66*(1+EscalatorInLease)^(6+M66),IF(F66&lt;DATE(2026+6,5,1),IF(I66="Vacate",H66*D66*(1+GrowthMarketRent)^6*IF(INT((DATE(2026+6,10,31)-F66)/365.25)=0,(12-DowntimeNew)/12,1),IF(I66="Option",G66*D66*1.025*(1+EscalatorInLease)^6,IF(I66="Market",Retention*G66*D66*(1+EscalatorInLease)^(6+M66)+(1-Retention)*H66*D66*(1+GrowthMarketRent)^6*IF(INT((DATE(2026+6,10,31)-F66)/365.25)=0,(12-DowntimeNew)/12,1),IF(I66="LeaseUp",H66*D66*(1+GrowthMarketRent)^6*IF(6=0,(12-DowntimeNew)/12,1),0)))),((F66-DATE(2026+6,5,1))/365.25)*G66*D66*(1+EscalatorInLease)^(6+M66)+((DATE(2027+6,4,30)-F66)/365.25)*IF(I66="Vacate",H66*D66*(1+GrowthMarketRent)^6*IF(INT((DATE(2026+6,10,31)-F66)/365.25)=0,(12-DowntimeNew)/12,1),IF(I66="Option",G66*D66*1.025*(1+EscalatorInLease)^6,IF(I66="Market",Retention*G66*D66*(1+EscalatorInLease)^(6+M66)+(1-Retention)*H66*D66*(1+GrowthMarketRent)^6*IF(INT((DATE(2026+6,10,31)-F66)/365.25)=0,(12-DowntimeNew)/12,1),IF(I66="LeaseUp",H66*D66*(1+GrowthMarketRent)^6*IF(6=0,(12-DowntimeNew)/12,1),0)))))))),0)</f>
        <v/>
      </c>
      <c r="U66" s="14">
        <f>IFERROR(IF(I66="LeaseUp",H66*D66*(1+GrowthMarketRent)^7*IF(7=0,(12-DowntimeNew)/12,1),IF(F66="",0,IF(F66&gt;=DATE(2027+7,4,30),G66*D66*(1+EscalatorInLease)^(7+M66),IF(F66&lt;DATE(2026+7,5,1),IF(I66="Vacate",H66*D66*(1+GrowthMarketRent)^7*IF(INT((DATE(2026+7,10,31)-F66)/365.25)=0,(12-DowntimeNew)/12,1),IF(I66="Option",G66*D66*1.025*(1+EscalatorInLease)^7,IF(I66="Market",Retention*G66*D66*(1+EscalatorInLease)^(7+M66)+(1-Retention)*H66*D66*(1+GrowthMarketRent)^7*IF(INT((DATE(2026+7,10,31)-F66)/365.25)=0,(12-DowntimeNew)/12,1),IF(I66="LeaseUp",H66*D66*(1+GrowthMarketRent)^7*IF(7=0,(12-DowntimeNew)/12,1),0)))),((F66-DATE(2026+7,5,1))/365.25)*G66*D66*(1+EscalatorInLease)^(7+M66)+((DATE(2027+7,4,30)-F66)/365.25)*IF(I66="Vacate",H66*D66*(1+GrowthMarketRent)^7*IF(INT((DATE(2026+7,10,31)-F66)/365.25)=0,(12-DowntimeNew)/12,1),IF(I66="Option",G66*D66*1.025*(1+EscalatorInLease)^7,IF(I66="Market",Retention*G66*D66*(1+EscalatorInLease)^(7+M66)+(1-Retention)*H66*D66*(1+GrowthMarketRent)^7*IF(INT((DATE(2026+7,10,31)-F66)/365.25)=0,(12-DowntimeNew)/12,1),IF(I66="LeaseUp",H66*D66*(1+GrowthMarketRent)^7*IF(7=0,(12-DowntimeNew)/12,1),0)))))))),0)</f>
        <v/>
      </c>
      <c r="V66" s="14">
        <f>IFERROR(IF(I66="LeaseUp",H66*D66*(1+GrowthMarketRent)^8*IF(8=0,(12-DowntimeNew)/12,1),IF(F66="",0,IF(F66&gt;=DATE(2027+8,4,30),G66*D66*(1+EscalatorInLease)^(8+M66),IF(F66&lt;DATE(2026+8,5,1),IF(I66="Vacate",H66*D66*(1+GrowthMarketRent)^8*IF(INT((DATE(2026+8,10,31)-F66)/365.25)=0,(12-DowntimeNew)/12,1),IF(I66="Option",G66*D66*1.025*(1+EscalatorInLease)^8,IF(I66="Market",Retention*G66*D66*(1+EscalatorInLease)^(8+M66)+(1-Retention)*H66*D66*(1+GrowthMarketRent)^8*IF(INT((DATE(2026+8,10,31)-F66)/365.25)=0,(12-DowntimeNew)/12,1),IF(I66="LeaseUp",H66*D66*(1+GrowthMarketRent)^8*IF(8=0,(12-DowntimeNew)/12,1),0)))),((F66-DATE(2026+8,5,1))/365.25)*G66*D66*(1+EscalatorInLease)^(8+M66)+((DATE(2027+8,4,30)-F66)/365.25)*IF(I66="Vacate",H66*D66*(1+GrowthMarketRent)^8*IF(INT((DATE(2026+8,10,31)-F66)/365.25)=0,(12-DowntimeNew)/12,1),IF(I66="Option",G66*D66*1.025*(1+EscalatorInLease)^8,IF(I66="Market",Retention*G66*D66*(1+EscalatorInLease)^(8+M66)+(1-Retention)*H66*D66*(1+GrowthMarketRent)^8*IF(INT((DATE(2026+8,10,31)-F66)/365.25)=0,(12-DowntimeNew)/12,1),IF(I66="LeaseUp",H66*D66*(1+GrowthMarketRent)^8*IF(8=0,(12-DowntimeNew)/12,1),0)))))))),0)</f>
        <v/>
      </c>
      <c r="W66" s="14">
        <f>IFERROR(IF(I66="LeaseUp",H66*D66*(1+GrowthMarketRent)^9*IF(9=0,(12-DowntimeNew)/12,1),IF(F66="",0,IF(F66&gt;=DATE(2027+9,4,30),G66*D66*(1+EscalatorInLease)^(9+M66),IF(F66&lt;DATE(2026+9,5,1),IF(I66="Vacate",H66*D66*(1+GrowthMarketRent)^9*IF(INT((DATE(2026+9,10,31)-F66)/365.25)=0,(12-DowntimeNew)/12,1),IF(I66="Option",G66*D66*1.025*(1+EscalatorInLease)^9,IF(I66="Market",Retention*G66*D66*(1+EscalatorInLease)^(9+M66)+(1-Retention)*H66*D66*(1+GrowthMarketRent)^9*IF(INT((DATE(2026+9,10,31)-F66)/365.25)=0,(12-DowntimeNew)/12,1),IF(I66="LeaseUp",H66*D66*(1+GrowthMarketRent)^9*IF(9=0,(12-DowntimeNew)/12,1),0)))),((F66-DATE(2026+9,5,1))/365.25)*G66*D66*(1+EscalatorInLease)^(9+M66)+((DATE(2027+9,4,30)-F66)/365.25)*IF(I66="Vacate",H66*D66*(1+GrowthMarketRent)^9*IF(INT((DATE(2026+9,10,31)-F66)/365.25)=0,(12-DowntimeNew)/12,1),IF(I66="Option",G66*D66*1.025*(1+EscalatorInLease)^9,IF(I66="Market",Retention*G66*D66*(1+EscalatorInLease)^(9+M66)+(1-Retention)*H66*D66*(1+GrowthMarketRent)^9*IF(INT((DATE(2026+9,10,31)-F66)/365.25)=0,(12-DowntimeNew)/12,1),IF(I66="LeaseUp",H66*D66*(1+GrowthMarketRent)^9*IF(9=0,(12-DowntimeNew)/12,1),0)))))))),0)</f>
        <v/>
      </c>
      <c r="X66" s="14">
        <f>IFERROR(IF(I66="LeaseUp",H66*D66*(1+GrowthMarketRent)^10*IF(10=0,(12-DowntimeNew)/12,1),IF(F66="",0,IF(F66&gt;=DATE(2027+10,4,30),G66*D66*(1+EscalatorInLease)^(10+M66),IF(F66&lt;DATE(2026+10,5,1),IF(I66="Vacate",H66*D66*(1+GrowthMarketRent)^10*IF(INT((DATE(2026+10,10,31)-F66)/365.25)=0,(12-DowntimeNew)/12,1),IF(I66="Option",G66*D66*1.025*(1+EscalatorInLease)^10,IF(I66="Market",Retention*G66*D66*(1+EscalatorInLease)^(10+M66)+(1-Retention)*H66*D66*(1+GrowthMarketRent)^10*IF(INT((DATE(2026+10,10,31)-F66)/365.25)=0,(12-DowntimeNew)/12,1),IF(I66="LeaseUp",H66*D66*(1+GrowthMarketRent)^10*IF(10=0,(12-DowntimeNew)/12,1),0)))),((F66-DATE(2026+10,5,1))/365.25)*G66*D66*(1+EscalatorInLease)^(10+M66)+((DATE(2027+10,4,30)-F66)/365.25)*IF(I66="Vacate",H66*D66*(1+GrowthMarketRent)^10*IF(INT((DATE(2026+10,10,31)-F66)/365.25)=0,(12-DowntimeNew)/12,1),IF(I66="Option",G66*D66*1.025*(1+EscalatorInLease)^10,IF(I66="Market",Retention*G66*D66*(1+EscalatorInLease)^(10+M66)+(1-Retention)*H66*D66*(1+GrowthMarketRent)^10*IF(INT((DATE(2026+10,10,31)-F66)/365.25)=0,(12-DowntimeNew)/12,1),IF(I66="LeaseUp",H66*D66*(1+GrowthMarketRent)^10*IF(10=0,(12-DowntimeNew)/12,1),0)))))))),0)</f>
        <v/>
      </c>
      <c r="Y66" s="14">
        <f>IFERROR(IF(AND(I66="LeaseUp",0=0),(IF(I66="Vacate",TINew*D66,IF(I66="Market",Retention*TIRenewal*D66+(1-Retention)*TINew*D66,IF(I66="LeaseUp",TINew*D66,IF(I66="Option",TIRenewal*D66,0)))))+(IF(I66="Vacate",LCNew*H66*D66*(1+GrowthMarketRent)^0,IF(I66="Market",Retention*LCRenewal*H66*D66*(1+GrowthMarketRent)^0+(1-Retention)*LCNew*H66*D66*(1+GrowthMarketRent)^0,IF(I66="LeaseUp",LCNew*H66*D66*(1+GrowthMarketRent)^0,IF(I66="Option",LCRenewal*H66*D66*(1+GrowthMarketRent)^0,0))))),IF(F66="",0,IF(AND(F66&gt;=DATE(2026+0,5,1),F66&lt;=DATE(2027+0,4,30)),(IF(I66="Vacate",TINew*D66,IF(I66="Market",Retention*TIRenewal*D66+(1-Retention)*TINew*D66,IF(I66="LeaseUp",TINew*D66,IF(I66="Option",TIRenewal*D66,0)))))+(IF(I66="Vacate",LCNew*H66*D66*(1+GrowthMarketRent)^0,IF(I66="Market",Retention*LCRenewal*H66*D66*(1+GrowthMarketRent)^0+(1-Retention)*LCNew*H66*D66*(1+GrowthMarketRent)^0,IF(I66="LeaseUp",LCNew*H66*D66*(1+GrowthMarketRent)^0,IF(I66="Option",LCRenewal*H66*D66*(1+GrowthMarketRent)^0,0))))),0))),0)</f>
        <v/>
      </c>
      <c r="Z66" s="14">
        <f>IFERROR(IF(AND(I66="LeaseUp",1=0),(IF(I66="Vacate",TINew*D66,IF(I66="Market",Retention*TIRenewal*D66+(1-Retention)*TINew*D66,IF(I66="LeaseUp",TINew*D66,IF(I66="Option",TIRenewal*D66,0)))))+(IF(I66="Vacate",LCNew*H66*D66*(1+GrowthMarketRent)^1,IF(I66="Market",Retention*LCRenewal*H66*D66*(1+GrowthMarketRent)^1+(1-Retention)*LCNew*H66*D66*(1+GrowthMarketRent)^1,IF(I66="LeaseUp",LCNew*H66*D66*(1+GrowthMarketRent)^1,IF(I66="Option",LCRenewal*H66*D66*(1+GrowthMarketRent)^1,0))))),IF(F66="",0,IF(AND(F66&gt;=DATE(2026+1,5,1),F66&lt;=DATE(2027+1,4,30)),(IF(I66="Vacate",TINew*D66,IF(I66="Market",Retention*TIRenewal*D66+(1-Retention)*TINew*D66,IF(I66="LeaseUp",TINew*D66,IF(I66="Option",TIRenewal*D66,0)))))+(IF(I66="Vacate",LCNew*H66*D66*(1+GrowthMarketRent)^1,IF(I66="Market",Retention*LCRenewal*H66*D66*(1+GrowthMarketRent)^1+(1-Retention)*LCNew*H66*D66*(1+GrowthMarketRent)^1,IF(I66="LeaseUp",LCNew*H66*D66*(1+GrowthMarketRent)^1,IF(I66="Option",LCRenewal*H66*D66*(1+GrowthMarketRent)^1,0))))),0))),0)</f>
        <v/>
      </c>
      <c r="AA66" s="14">
        <f>IFERROR(IF(AND(I66="LeaseUp",2=0),(IF(I66="Vacate",TINew*D66,IF(I66="Market",Retention*TIRenewal*D66+(1-Retention)*TINew*D66,IF(I66="LeaseUp",TINew*D66,IF(I66="Option",TIRenewal*D66,0)))))+(IF(I66="Vacate",LCNew*H66*D66*(1+GrowthMarketRent)^2,IF(I66="Market",Retention*LCRenewal*H66*D66*(1+GrowthMarketRent)^2+(1-Retention)*LCNew*H66*D66*(1+GrowthMarketRent)^2,IF(I66="LeaseUp",LCNew*H66*D66*(1+GrowthMarketRent)^2,IF(I66="Option",LCRenewal*H66*D66*(1+GrowthMarketRent)^2,0))))),IF(F66="",0,IF(AND(F66&gt;=DATE(2026+2,5,1),F66&lt;=DATE(2027+2,4,30)),(IF(I66="Vacate",TINew*D66,IF(I66="Market",Retention*TIRenewal*D66+(1-Retention)*TINew*D66,IF(I66="LeaseUp",TINew*D66,IF(I66="Option",TIRenewal*D66,0)))))+(IF(I66="Vacate",LCNew*H66*D66*(1+GrowthMarketRent)^2,IF(I66="Market",Retention*LCRenewal*H66*D66*(1+GrowthMarketRent)^2+(1-Retention)*LCNew*H66*D66*(1+GrowthMarketRent)^2,IF(I66="LeaseUp",LCNew*H66*D66*(1+GrowthMarketRent)^2,IF(I66="Option",LCRenewal*H66*D66*(1+GrowthMarketRent)^2,0))))),0))),0)</f>
        <v/>
      </c>
      <c r="AB66" s="14">
        <f>IFERROR(IF(AND(I66="LeaseUp",3=0),(IF(I66="Vacate",TINew*D66,IF(I66="Market",Retention*TIRenewal*D66+(1-Retention)*TINew*D66,IF(I66="LeaseUp",TINew*D66,IF(I66="Option",TIRenewal*D66,0)))))+(IF(I66="Vacate",LCNew*H66*D66*(1+GrowthMarketRent)^3,IF(I66="Market",Retention*LCRenewal*H66*D66*(1+GrowthMarketRent)^3+(1-Retention)*LCNew*H66*D66*(1+GrowthMarketRent)^3,IF(I66="LeaseUp",LCNew*H66*D66*(1+GrowthMarketRent)^3,IF(I66="Option",LCRenewal*H66*D66*(1+GrowthMarketRent)^3,0))))),IF(F66="",0,IF(AND(F66&gt;=DATE(2026+3,5,1),F66&lt;=DATE(2027+3,4,30)),(IF(I66="Vacate",TINew*D66,IF(I66="Market",Retention*TIRenewal*D66+(1-Retention)*TINew*D66,IF(I66="LeaseUp",TINew*D66,IF(I66="Option",TIRenewal*D66,0)))))+(IF(I66="Vacate",LCNew*H66*D66*(1+GrowthMarketRent)^3,IF(I66="Market",Retention*LCRenewal*H66*D66*(1+GrowthMarketRent)^3+(1-Retention)*LCNew*H66*D66*(1+GrowthMarketRent)^3,IF(I66="LeaseUp",LCNew*H66*D66*(1+GrowthMarketRent)^3,IF(I66="Option",LCRenewal*H66*D66*(1+GrowthMarketRent)^3,0))))),0))),0)</f>
        <v/>
      </c>
      <c r="AC66" s="14">
        <f>IFERROR(IF(AND(I66="LeaseUp",4=0),(IF(I66="Vacate",TINew*D66,IF(I66="Market",Retention*TIRenewal*D66+(1-Retention)*TINew*D66,IF(I66="LeaseUp",TINew*D66,IF(I66="Option",TIRenewal*D66,0)))))+(IF(I66="Vacate",LCNew*H66*D66*(1+GrowthMarketRent)^4,IF(I66="Market",Retention*LCRenewal*H66*D66*(1+GrowthMarketRent)^4+(1-Retention)*LCNew*H66*D66*(1+GrowthMarketRent)^4,IF(I66="LeaseUp",LCNew*H66*D66*(1+GrowthMarketRent)^4,IF(I66="Option",LCRenewal*H66*D66*(1+GrowthMarketRent)^4,0))))),IF(F66="",0,IF(AND(F66&gt;=DATE(2026+4,5,1),F66&lt;=DATE(2027+4,4,30)),(IF(I66="Vacate",TINew*D66,IF(I66="Market",Retention*TIRenewal*D66+(1-Retention)*TINew*D66,IF(I66="LeaseUp",TINew*D66,IF(I66="Option",TIRenewal*D66,0)))))+(IF(I66="Vacate",LCNew*H66*D66*(1+GrowthMarketRent)^4,IF(I66="Market",Retention*LCRenewal*H66*D66*(1+GrowthMarketRent)^4+(1-Retention)*LCNew*H66*D66*(1+GrowthMarketRent)^4,IF(I66="LeaseUp",LCNew*H66*D66*(1+GrowthMarketRent)^4,IF(I66="Option",LCRenewal*H66*D66*(1+GrowthMarketRent)^4,0))))),0))),0)</f>
        <v/>
      </c>
      <c r="AD66" s="14">
        <f>IFERROR(IF(AND(I66="LeaseUp",5=0),(IF(I66="Vacate",TINew*D66,IF(I66="Market",Retention*TIRenewal*D66+(1-Retention)*TINew*D66,IF(I66="LeaseUp",TINew*D66,IF(I66="Option",TIRenewal*D66,0)))))+(IF(I66="Vacate",LCNew*H66*D66*(1+GrowthMarketRent)^5,IF(I66="Market",Retention*LCRenewal*H66*D66*(1+GrowthMarketRent)^5+(1-Retention)*LCNew*H66*D66*(1+GrowthMarketRent)^5,IF(I66="LeaseUp",LCNew*H66*D66*(1+GrowthMarketRent)^5,IF(I66="Option",LCRenewal*H66*D66*(1+GrowthMarketRent)^5,0))))),IF(F66="",0,IF(AND(F66&gt;=DATE(2026+5,5,1),F66&lt;=DATE(2027+5,4,30)),(IF(I66="Vacate",TINew*D66,IF(I66="Market",Retention*TIRenewal*D66+(1-Retention)*TINew*D66,IF(I66="LeaseUp",TINew*D66,IF(I66="Option",TIRenewal*D66,0)))))+(IF(I66="Vacate",LCNew*H66*D66*(1+GrowthMarketRent)^5,IF(I66="Market",Retention*LCRenewal*H66*D66*(1+GrowthMarketRent)^5+(1-Retention)*LCNew*H66*D66*(1+GrowthMarketRent)^5,IF(I66="LeaseUp",LCNew*H66*D66*(1+GrowthMarketRent)^5,IF(I66="Option",LCRenewal*H66*D66*(1+GrowthMarketRent)^5,0))))),0))),0)</f>
        <v/>
      </c>
      <c r="AE66" s="14">
        <f>IFERROR(IF(AND(I66="LeaseUp",6=0),(IF(I66="Vacate",TINew*D66,IF(I66="Market",Retention*TIRenewal*D66+(1-Retention)*TINew*D66,IF(I66="LeaseUp",TINew*D66,IF(I66="Option",TIRenewal*D66,0)))))+(IF(I66="Vacate",LCNew*H66*D66*(1+GrowthMarketRent)^6,IF(I66="Market",Retention*LCRenewal*H66*D66*(1+GrowthMarketRent)^6+(1-Retention)*LCNew*H66*D66*(1+GrowthMarketRent)^6,IF(I66="LeaseUp",LCNew*H66*D66*(1+GrowthMarketRent)^6,IF(I66="Option",LCRenewal*H66*D66*(1+GrowthMarketRent)^6,0))))),IF(F66="",0,IF(AND(F66&gt;=DATE(2026+6,5,1),F66&lt;=DATE(2027+6,4,30)),(IF(I66="Vacate",TINew*D66,IF(I66="Market",Retention*TIRenewal*D66+(1-Retention)*TINew*D66,IF(I66="LeaseUp",TINew*D66,IF(I66="Option",TIRenewal*D66,0)))))+(IF(I66="Vacate",LCNew*H66*D66*(1+GrowthMarketRent)^6,IF(I66="Market",Retention*LCRenewal*H66*D66*(1+GrowthMarketRent)^6+(1-Retention)*LCNew*H66*D66*(1+GrowthMarketRent)^6,IF(I66="LeaseUp",LCNew*H66*D66*(1+GrowthMarketRent)^6,IF(I66="Option",LCRenewal*H66*D66*(1+GrowthMarketRent)^6,0))))),0))),0)</f>
        <v/>
      </c>
      <c r="AF66" s="14">
        <f>IFERROR(IF(AND(I66="LeaseUp",7=0),(IF(I66="Vacate",TINew*D66,IF(I66="Market",Retention*TIRenewal*D66+(1-Retention)*TINew*D66,IF(I66="LeaseUp",TINew*D66,IF(I66="Option",TIRenewal*D66,0)))))+(IF(I66="Vacate",LCNew*H66*D66*(1+GrowthMarketRent)^7,IF(I66="Market",Retention*LCRenewal*H66*D66*(1+GrowthMarketRent)^7+(1-Retention)*LCNew*H66*D66*(1+GrowthMarketRent)^7,IF(I66="LeaseUp",LCNew*H66*D66*(1+GrowthMarketRent)^7,IF(I66="Option",LCRenewal*H66*D66*(1+GrowthMarketRent)^7,0))))),IF(F66="",0,IF(AND(F66&gt;=DATE(2026+7,5,1),F66&lt;=DATE(2027+7,4,30)),(IF(I66="Vacate",TINew*D66,IF(I66="Market",Retention*TIRenewal*D66+(1-Retention)*TINew*D66,IF(I66="LeaseUp",TINew*D66,IF(I66="Option",TIRenewal*D66,0)))))+(IF(I66="Vacate",LCNew*H66*D66*(1+GrowthMarketRent)^7,IF(I66="Market",Retention*LCRenewal*H66*D66*(1+GrowthMarketRent)^7+(1-Retention)*LCNew*H66*D66*(1+GrowthMarketRent)^7,IF(I66="LeaseUp",LCNew*H66*D66*(1+GrowthMarketRent)^7,IF(I66="Option",LCRenewal*H66*D66*(1+GrowthMarketRent)^7,0))))),0))),0)</f>
        <v/>
      </c>
      <c r="AG66" s="14">
        <f>IFERROR(IF(AND(I66="LeaseUp",8=0),(IF(I66="Vacate",TINew*D66,IF(I66="Market",Retention*TIRenewal*D66+(1-Retention)*TINew*D66,IF(I66="LeaseUp",TINew*D66,IF(I66="Option",TIRenewal*D66,0)))))+(IF(I66="Vacate",LCNew*H66*D66*(1+GrowthMarketRent)^8,IF(I66="Market",Retention*LCRenewal*H66*D66*(1+GrowthMarketRent)^8+(1-Retention)*LCNew*H66*D66*(1+GrowthMarketRent)^8,IF(I66="LeaseUp",LCNew*H66*D66*(1+GrowthMarketRent)^8,IF(I66="Option",LCRenewal*H66*D66*(1+GrowthMarketRent)^8,0))))),IF(F66="",0,IF(AND(F66&gt;=DATE(2026+8,5,1),F66&lt;=DATE(2027+8,4,30)),(IF(I66="Vacate",TINew*D66,IF(I66="Market",Retention*TIRenewal*D66+(1-Retention)*TINew*D66,IF(I66="LeaseUp",TINew*D66,IF(I66="Option",TIRenewal*D66,0)))))+(IF(I66="Vacate",LCNew*H66*D66*(1+GrowthMarketRent)^8,IF(I66="Market",Retention*LCRenewal*H66*D66*(1+GrowthMarketRent)^8+(1-Retention)*LCNew*H66*D66*(1+GrowthMarketRent)^8,IF(I66="LeaseUp",LCNew*H66*D66*(1+GrowthMarketRent)^8,IF(I66="Option",LCRenewal*H66*D66*(1+GrowthMarketRent)^8,0))))),0))),0)</f>
        <v/>
      </c>
      <c r="AH66" s="14">
        <f>IFERROR(IF(AND(I66="LeaseUp",9=0),(IF(I66="Vacate",TINew*D66,IF(I66="Market",Retention*TIRenewal*D66+(1-Retention)*TINew*D66,IF(I66="LeaseUp",TINew*D66,IF(I66="Option",TIRenewal*D66,0)))))+(IF(I66="Vacate",LCNew*H66*D66*(1+GrowthMarketRent)^9,IF(I66="Market",Retention*LCRenewal*H66*D66*(1+GrowthMarketRent)^9+(1-Retention)*LCNew*H66*D66*(1+GrowthMarketRent)^9,IF(I66="LeaseUp",LCNew*H66*D66*(1+GrowthMarketRent)^9,IF(I66="Option",LCRenewal*H66*D66*(1+GrowthMarketRent)^9,0))))),IF(F66="",0,IF(AND(F66&gt;=DATE(2026+9,5,1),F66&lt;=DATE(2027+9,4,30)),(IF(I66="Vacate",TINew*D66,IF(I66="Market",Retention*TIRenewal*D66+(1-Retention)*TINew*D66,IF(I66="LeaseUp",TINew*D66,IF(I66="Option",TIRenewal*D66,0)))))+(IF(I66="Vacate",LCNew*H66*D66*(1+GrowthMarketRent)^9,IF(I66="Market",Retention*LCRenewal*H66*D66*(1+GrowthMarketRent)^9+(1-Retention)*LCNew*H66*D66*(1+GrowthMarketRent)^9,IF(I66="LeaseUp",LCNew*H66*D66*(1+GrowthMarketRent)^9,IF(I66="Option",LCRenewal*H66*D66*(1+GrowthMarketRent)^9,0))))),0))),0)</f>
        <v/>
      </c>
      <c r="AI66" s="14">
        <f>IFERROR(IF(AND(I66="LeaseUp",10=0),(IF(I66="Vacate",TINew*D66,IF(I66="Market",Retention*TIRenewal*D66+(1-Retention)*TINew*D66,IF(I66="LeaseUp",TINew*D66,IF(I66="Option",TIRenewal*D66,0)))))+(IF(I66="Vacate",LCNew*H66*D66*(1+GrowthMarketRent)^10,IF(I66="Market",Retention*LCRenewal*H66*D66*(1+GrowthMarketRent)^10+(1-Retention)*LCNew*H66*D66*(1+GrowthMarketRent)^10,IF(I66="LeaseUp",LCNew*H66*D66*(1+GrowthMarketRent)^10,IF(I66="Option",LCRenewal*H66*D66*(1+GrowthMarketRent)^10,0))))),IF(F66="",0,IF(AND(F66&gt;=DATE(2026+10,5,1),F66&lt;=DATE(2027+10,4,30)),(IF(I66="Vacate",TINew*D66,IF(I66="Market",Retention*TIRenewal*D66+(1-Retention)*TINew*D66,IF(I66="LeaseUp",TINew*D66,IF(I66="Option",TIRenewal*D66,0)))))+(IF(I66="Vacate",LCNew*H66*D66*(1+GrowthMarketRent)^10,IF(I66="Market",Retention*LCRenewal*H66*D66*(1+GrowthMarketRent)^10+(1-Retention)*LCNew*H66*D66*(1+GrowthMarketRent)^10,IF(I66="LeaseUp",LCNew*H66*D66*(1+GrowthMarketRent)^10,IF(I66="Option",LCRenewal*H66*D66*(1+GrowthMarketRent)^10,0))))),0))),0)</f>
        <v/>
      </c>
    </row>
    <row r="67">
      <c r="A67" t="inlineStr">
        <is>
          <t>Frisco</t>
        </is>
      </c>
      <c r="B67" t="inlineStr">
        <is>
          <t>305</t>
        </is>
      </c>
      <c r="C67" t="inlineStr">
        <is>
          <t>SHM Legacy LLC</t>
        </is>
      </c>
      <c r="D67" s="32" t="n">
        <v>2900</v>
      </c>
      <c r="E67" s="33" t="n">
        <v>45809</v>
      </c>
      <c r="F67" s="33" t="n">
        <v>47058</v>
      </c>
      <c r="G67" s="34" t="n">
        <v>19</v>
      </c>
      <c r="H67" s="16">
        <f>VLOOKUP(A67,MLA!$A$5:$L$11,3,FALSE)</f>
        <v/>
      </c>
      <c r="I67" s="11" t="inlineStr">
        <is>
          <t>Market</t>
        </is>
      </c>
      <c r="J67" t="inlineStr">
        <is>
          <t>Shop</t>
        </is>
      </c>
      <c r="K67" t="inlineStr">
        <is>
          <t>Occupied</t>
        </is>
      </c>
      <c r="L67" t="inlineStr">
        <is>
          <t>Guarantor: Addison R. Vest</t>
        </is>
      </c>
      <c r="M67" s="20">
        <f>IF(E67="",0,(AnalysisStart-E67)/365.25)</f>
        <v/>
      </c>
      <c r="N67" s="14">
        <f>IFERROR(IF(I67="LeaseUp",H67*D67*(1+GrowthMarketRent)^0*IF(0=0,(12-DowntimeNew)/12,1),IF(F67="",0,IF(F67&gt;=DATE(2027+0,4,30),G67*D67*(1+EscalatorInLease)^(0+M67),IF(F67&lt;DATE(2026+0,5,1),IF(I67="Vacate",H67*D67*(1+GrowthMarketRent)^0*IF(INT((DATE(2026+0,10,31)-F67)/365.25)=0,(12-DowntimeNew)/12,1),IF(I67="Option",G67*D67*1.025*(1+EscalatorInLease)^0,IF(I67="Market",Retention*G67*D67*(1+EscalatorInLease)^(0+M67)+(1-Retention)*H67*D67*(1+GrowthMarketRent)^0*IF(INT((DATE(2026+0,10,31)-F67)/365.25)=0,(12-DowntimeNew)/12,1),IF(I67="LeaseUp",H67*D67*(1+GrowthMarketRent)^0*IF(0=0,(12-DowntimeNew)/12,1),0)))),((F67-DATE(2026+0,5,1))/365.25)*G67*D67*(1+EscalatorInLease)^(0+M67)+((DATE(2027+0,4,30)-F67)/365.25)*IF(I67="Vacate",H67*D67*(1+GrowthMarketRent)^0*IF(INT((DATE(2026+0,10,31)-F67)/365.25)=0,(12-DowntimeNew)/12,1),IF(I67="Option",G67*D67*1.025*(1+EscalatorInLease)^0,IF(I67="Market",Retention*G67*D67*(1+EscalatorInLease)^(0+M67)+(1-Retention)*H67*D67*(1+GrowthMarketRent)^0*IF(INT((DATE(2026+0,10,31)-F67)/365.25)=0,(12-DowntimeNew)/12,1),IF(I67="LeaseUp",H67*D67*(1+GrowthMarketRent)^0*IF(0=0,(12-DowntimeNew)/12,1),0)))))))),0)</f>
        <v/>
      </c>
      <c r="O67" s="14">
        <f>IFERROR(IF(I67="LeaseUp",H67*D67*(1+GrowthMarketRent)^1*IF(1=0,(12-DowntimeNew)/12,1),IF(F67="",0,IF(F67&gt;=DATE(2027+1,4,30),G67*D67*(1+EscalatorInLease)^(1+M67),IF(F67&lt;DATE(2026+1,5,1),IF(I67="Vacate",H67*D67*(1+GrowthMarketRent)^1*IF(INT((DATE(2026+1,10,31)-F67)/365.25)=0,(12-DowntimeNew)/12,1),IF(I67="Option",G67*D67*1.025*(1+EscalatorInLease)^1,IF(I67="Market",Retention*G67*D67*(1+EscalatorInLease)^(1+M67)+(1-Retention)*H67*D67*(1+GrowthMarketRent)^1*IF(INT((DATE(2026+1,10,31)-F67)/365.25)=0,(12-DowntimeNew)/12,1),IF(I67="LeaseUp",H67*D67*(1+GrowthMarketRent)^1*IF(1=0,(12-DowntimeNew)/12,1),0)))),((F67-DATE(2026+1,5,1))/365.25)*G67*D67*(1+EscalatorInLease)^(1+M67)+((DATE(2027+1,4,30)-F67)/365.25)*IF(I67="Vacate",H67*D67*(1+GrowthMarketRent)^1*IF(INT((DATE(2026+1,10,31)-F67)/365.25)=0,(12-DowntimeNew)/12,1),IF(I67="Option",G67*D67*1.025*(1+EscalatorInLease)^1,IF(I67="Market",Retention*G67*D67*(1+EscalatorInLease)^(1+M67)+(1-Retention)*H67*D67*(1+GrowthMarketRent)^1*IF(INT((DATE(2026+1,10,31)-F67)/365.25)=0,(12-DowntimeNew)/12,1),IF(I67="LeaseUp",H67*D67*(1+GrowthMarketRent)^1*IF(1=0,(12-DowntimeNew)/12,1),0)))))))),0)</f>
        <v/>
      </c>
      <c r="P67" s="14">
        <f>IFERROR(IF(I67="LeaseUp",H67*D67*(1+GrowthMarketRent)^2*IF(2=0,(12-DowntimeNew)/12,1),IF(F67="",0,IF(F67&gt;=DATE(2027+2,4,30),G67*D67*(1+EscalatorInLease)^(2+M67),IF(F67&lt;DATE(2026+2,5,1),IF(I67="Vacate",H67*D67*(1+GrowthMarketRent)^2*IF(INT((DATE(2026+2,10,31)-F67)/365.25)=0,(12-DowntimeNew)/12,1),IF(I67="Option",G67*D67*1.025*(1+EscalatorInLease)^2,IF(I67="Market",Retention*G67*D67*(1+EscalatorInLease)^(2+M67)+(1-Retention)*H67*D67*(1+GrowthMarketRent)^2*IF(INT((DATE(2026+2,10,31)-F67)/365.25)=0,(12-DowntimeNew)/12,1),IF(I67="LeaseUp",H67*D67*(1+GrowthMarketRent)^2*IF(2=0,(12-DowntimeNew)/12,1),0)))),((F67-DATE(2026+2,5,1))/365.25)*G67*D67*(1+EscalatorInLease)^(2+M67)+((DATE(2027+2,4,30)-F67)/365.25)*IF(I67="Vacate",H67*D67*(1+GrowthMarketRent)^2*IF(INT((DATE(2026+2,10,31)-F67)/365.25)=0,(12-DowntimeNew)/12,1),IF(I67="Option",G67*D67*1.025*(1+EscalatorInLease)^2,IF(I67="Market",Retention*G67*D67*(1+EscalatorInLease)^(2+M67)+(1-Retention)*H67*D67*(1+GrowthMarketRent)^2*IF(INT((DATE(2026+2,10,31)-F67)/365.25)=0,(12-DowntimeNew)/12,1),IF(I67="LeaseUp",H67*D67*(1+GrowthMarketRent)^2*IF(2=0,(12-DowntimeNew)/12,1),0)))))))),0)</f>
        <v/>
      </c>
      <c r="Q67" s="14">
        <f>IFERROR(IF(I67="LeaseUp",H67*D67*(1+GrowthMarketRent)^3*IF(3=0,(12-DowntimeNew)/12,1),IF(F67="",0,IF(F67&gt;=DATE(2027+3,4,30),G67*D67*(1+EscalatorInLease)^(3+M67),IF(F67&lt;DATE(2026+3,5,1),IF(I67="Vacate",H67*D67*(1+GrowthMarketRent)^3*IF(INT((DATE(2026+3,10,31)-F67)/365.25)=0,(12-DowntimeNew)/12,1),IF(I67="Option",G67*D67*1.025*(1+EscalatorInLease)^3,IF(I67="Market",Retention*G67*D67*(1+EscalatorInLease)^(3+M67)+(1-Retention)*H67*D67*(1+GrowthMarketRent)^3*IF(INT((DATE(2026+3,10,31)-F67)/365.25)=0,(12-DowntimeNew)/12,1),IF(I67="LeaseUp",H67*D67*(1+GrowthMarketRent)^3*IF(3=0,(12-DowntimeNew)/12,1),0)))),((F67-DATE(2026+3,5,1))/365.25)*G67*D67*(1+EscalatorInLease)^(3+M67)+((DATE(2027+3,4,30)-F67)/365.25)*IF(I67="Vacate",H67*D67*(1+GrowthMarketRent)^3*IF(INT((DATE(2026+3,10,31)-F67)/365.25)=0,(12-DowntimeNew)/12,1),IF(I67="Option",G67*D67*1.025*(1+EscalatorInLease)^3,IF(I67="Market",Retention*G67*D67*(1+EscalatorInLease)^(3+M67)+(1-Retention)*H67*D67*(1+GrowthMarketRent)^3*IF(INT((DATE(2026+3,10,31)-F67)/365.25)=0,(12-DowntimeNew)/12,1),IF(I67="LeaseUp",H67*D67*(1+GrowthMarketRent)^3*IF(3=0,(12-DowntimeNew)/12,1),0)))))))),0)</f>
        <v/>
      </c>
      <c r="R67" s="14">
        <f>IFERROR(IF(I67="LeaseUp",H67*D67*(1+GrowthMarketRent)^4*IF(4=0,(12-DowntimeNew)/12,1),IF(F67="",0,IF(F67&gt;=DATE(2027+4,4,30),G67*D67*(1+EscalatorInLease)^(4+M67),IF(F67&lt;DATE(2026+4,5,1),IF(I67="Vacate",H67*D67*(1+GrowthMarketRent)^4*IF(INT((DATE(2026+4,10,31)-F67)/365.25)=0,(12-DowntimeNew)/12,1),IF(I67="Option",G67*D67*1.025*(1+EscalatorInLease)^4,IF(I67="Market",Retention*G67*D67*(1+EscalatorInLease)^(4+M67)+(1-Retention)*H67*D67*(1+GrowthMarketRent)^4*IF(INT((DATE(2026+4,10,31)-F67)/365.25)=0,(12-DowntimeNew)/12,1),IF(I67="LeaseUp",H67*D67*(1+GrowthMarketRent)^4*IF(4=0,(12-DowntimeNew)/12,1),0)))),((F67-DATE(2026+4,5,1))/365.25)*G67*D67*(1+EscalatorInLease)^(4+M67)+((DATE(2027+4,4,30)-F67)/365.25)*IF(I67="Vacate",H67*D67*(1+GrowthMarketRent)^4*IF(INT((DATE(2026+4,10,31)-F67)/365.25)=0,(12-DowntimeNew)/12,1),IF(I67="Option",G67*D67*1.025*(1+EscalatorInLease)^4,IF(I67="Market",Retention*G67*D67*(1+EscalatorInLease)^(4+M67)+(1-Retention)*H67*D67*(1+GrowthMarketRent)^4*IF(INT((DATE(2026+4,10,31)-F67)/365.25)=0,(12-DowntimeNew)/12,1),IF(I67="LeaseUp",H67*D67*(1+GrowthMarketRent)^4*IF(4=0,(12-DowntimeNew)/12,1),0)))))))),0)</f>
        <v/>
      </c>
      <c r="S67" s="14">
        <f>IFERROR(IF(I67="LeaseUp",H67*D67*(1+GrowthMarketRent)^5*IF(5=0,(12-DowntimeNew)/12,1),IF(F67="",0,IF(F67&gt;=DATE(2027+5,4,30),G67*D67*(1+EscalatorInLease)^(5+M67),IF(F67&lt;DATE(2026+5,5,1),IF(I67="Vacate",H67*D67*(1+GrowthMarketRent)^5*IF(INT((DATE(2026+5,10,31)-F67)/365.25)=0,(12-DowntimeNew)/12,1),IF(I67="Option",G67*D67*1.025*(1+EscalatorInLease)^5,IF(I67="Market",Retention*G67*D67*(1+EscalatorInLease)^(5+M67)+(1-Retention)*H67*D67*(1+GrowthMarketRent)^5*IF(INT((DATE(2026+5,10,31)-F67)/365.25)=0,(12-DowntimeNew)/12,1),IF(I67="LeaseUp",H67*D67*(1+GrowthMarketRent)^5*IF(5=0,(12-DowntimeNew)/12,1),0)))),((F67-DATE(2026+5,5,1))/365.25)*G67*D67*(1+EscalatorInLease)^(5+M67)+((DATE(2027+5,4,30)-F67)/365.25)*IF(I67="Vacate",H67*D67*(1+GrowthMarketRent)^5*IF(INT((DATE(2026+5,10,31)-F67)/365.25)=0,(12-DowntimeNew)/12,1),IF(I67="Option",G67*D67*1.025*(1+EscalatorInLease)^5,IF(I67="Market",Retention*G67*D67*(1+EscalatorInLease)^(5+M67)+(1-Retention)*H67*D67*(1+GrowthMarketRent)^5*IF(INT((DATE(2026+5,10,31)-F67)/365.25)=0,(12-DowntimeNew)/12,1),IF(I67="LeaseUp",H67*D67*(1+GrowthMarketRent)^5*IF(5=0,(12-DowntimeNew)/12,1),0)))))))),0)</f>
        <v/>
      </c>
      <c r="T67" s="14">
        <f>IFERROR(IF(I67="LeaseUp",H67*D67*(1+GrowthMarketRent)^6*IF(6=0,(12-DowntimeNew)/12,1),IF(F67="",0,IF(F67&gt;=DATE(2027+6,4,30),G67*D67*(1+EscalatorInLease)^(6+M67),IF(F67&lt;DATE(2026+6,5,1),IF(I67="Vacate",H67*D67*(1+GrowthMarketRent)^6*IF(INT((DATE(2026+6,10,31)-F67)/365.25)=0,(12-DowntimeNew)/12,1),IF(I67="Option",G67*D67*1.025*(1+EscalatorInLease)^6,IF(I67="Market",Retention*G67*D67*(1+EscalatorInLease)^(6+M67)+(1-Retention)*H67*D67*(1+GrowthMarketRent)^6*IF(INT((DATE(2026+6,10,31)-F67)/365.25)=0,(12-DowntimeNew)/12,1),IF(I67="LeaseUp",H67*D67*(1+GrowthMarketRent)^6*IF(6=0,(12-DowntimeNew)/12,1),0)))),((F67-DATE(2026+6,5,1))/365.25)*G67*D67*(1+EscalatorInLease)^(6+M67)+((DATE(2027+6,4,30)-F67)/365.25)*IF(I67="Vacate",H67*D67*(1+GrowthMarketRent)^6*IF(INT((DATE(2026+6,10,31)-F67)/365.25)=0,(12-DowntimeNew)/12,1),IF(I67="Option",G67*D67*1.025*(1+EscalatorInLease)^6,IF(I67="Market",Retention*G67*D67*(1+EscalatorInLease)^(6+M67)+(1-Retention)*H67*D67*(1+GrowthMarketRent)^6*IF(INT((DATE(2026+6,10,31)-F67)/365.25)=0,(12-DowntimeNew)/12,1),IF(I67="LeaseUp",H67*D67*(1+GrowthMarketRent)^6*IF(6=0,(12-DowntimeNew)/12,1),0)))))))),0)</f>
        <v/>
      </c>
      <c r="U67" s="14">
        <f>IFERROR(IF(I67="LeaseUp",H67*D67*(1+GrowthMarketRent)^7*IF(7=0,(12-DowntimeNew)/12,1),IF(F67="",0,IF(F67&gt;=DATE(2027+7,4,30),G67*D67*(1+EscalatorInLease)^(7+M67),IF(F67&lt;DATE(2026+7,5,1),IF(I67="Vacate",H67*D67*(1+GrowthMarketRent)^7*IF(INT((DATE(2026+7,10,31)-F67)/365.25)=0,(12-DowntimeNew)/12,1),IF(I67="Option",G67*D67*1.025*(1+EscalatorInLease)^7,IF(I67="Market",Retention*G67*D67*(1+EscalatorInLease)^(7+M67)+(1-Retention)*H67*D67*(1+GrowthMarketRent)^7*IF(INT((DATE(2026+7,10,31)-F67)/365.25)=0,(12-DowntimeNew)/12,1),IF(I67="LeaseUp",H67*D67*(1+GrowthMarketRent)^7*IF(7=0,(12-DowntimeNew)/12,1),0)))),((F67-DATE(2026+7,5,1))/365.25)*G67*D67*(1+EscalatorInLease)^(7+M67)+((DATE(2027+7,4,30)-F67)/365.25)*IF(I67="Vacate",H67*D67*(1+GrowthMarketRent)^7*IF(INT((DATE(2026+7,10,31)-F67)/365.25)=0,(12-DowntimeNew)/12,1),IF(I67="Option",G67*D67*1.025*(1+EscalatorInLease)^7,IF(I67="Market",Retention*G67*D67*(1+EscalatorInLease)^(7+M67)+(1-Retention)*H67*D67*(1+GrowthMarketRent)^7*IF(INT((DATE(2026+7,10,31)-F67)/365.25)=0,(12-DowntimeNew)/12,1),IF(I67="LeaseUp",H67*D67*(1+GrowthMarketRent)^7*IF(7=0,(12-DowntimeNew)/12,1),0)))))))),0)</f>
        <v/>
      </c>
      <c r="V67" s="14">
        <f>IFERROR(IF(I67="LeaseUp",H67*D67*(1+GrowthMarketRent)^8*IF(8=0,(12-DowntimeNew)/12,1),IF(F67="",0,IF(F67&gt;=DATE(2027+8,4,30),G67*D67*(1+EscalatorInLease)^(8+M67),IF(F67&lt;DATE(2026+8,5,1),IF(I67="Vacate",H67*D67*(1+GrowthMarketRent)^8*IF(INT((DATE(2026+8,10,31)-F67)/365.25)=0,(12-DowntimeNew)/12,1),IF(I67="Option",G67*D67*1.025*(1+EscalatorInLease)^8,IF(I67="Market",Retention*G67*D67*(1+EscalatorInLease)^(8+M67)+(1-Retention)*H67*D67*(1+GrowthMarketRent)^8*IF(INT((DATE(2026+8,10,31)-F67)/365.25)=0,(12-DowntimeNew)/12,1),IF(I67="LeaseUp",H67*D67*(1+GrowthMarketRent)^8*IF(8=0,(12-DowntimeNew)/12,1),0)))),((F67-DATE(2026+8,5,1))/365.25)*G67*D67*(1+EscalatorInLease)^(8+M67)+((DATE(2027+8,4,30)-F67)/365.25)*IF(I67="Vacate",H67*D67*(1+GrowthMarketRent)^8*IF(INT((DATE(2026+8,10,31)-F67)/365.25)=0,(12-DowntimeNew)/12,1),IF(I67="Option",G67*D67*1.025*(1+EscalatorInLease)^8,IF(I67="Market",Retention*G67*D67*(1+EscalatorInLease)^(8+M67)+(1-Retention)*H67*D67*(1+GrowthMarketRent)^8*IF(INT((DATE(2026+8,10,31)-F67)/365.25)=0,(12-DowntimeNew)/12,1),IF(I67="LeaseUp",H67*D67*(1+GrowthMarketRent)^8*IF(8=0,(12-DowntimeNew)/12,1),0)))))))),0)</f>
        <v/>
      </c>
      <c r="W67" s="14">
        <f>IFERROR(IF(I67="LeaseUp",H67*D67*(1+GrowthMarketRent)^9*IF(9=0,(12-DowntimeNew)/12,1),IF(F67="",0,IF(F67&gt;=DATE(2027+9,4,30),G67*D67*(1+EscalatorInLease)^(9+M67),IF(F67&lt;DATE(2026+9,5,1),IF(I67="Vacate",H67*D67*(1+GrowthMarketRent)^9*IF(INT((DATE(2026+9,10,31)-F67)/365.25)=0,(12-DowntimeNew)/12,1),IF(I67="Option",G67*D67*1.025*(1+EscalatorInLease)^9,IF(I67="Market",Retention*G67*D67*(1+EscalatorInLease)^(9+M67)+(1-Retention)*H67*D67*(1+GrowthMarketRent)^9*IF(INT((DATE(2026+9,10,31)-F67)/365.25)=0,(12-DowntimeNew)/12,1),IF(I67="LeaseUp",H67*D67*(1+GrowthMarketRent)^9*IF(9=0,(12-DowntimeNew)/12,1),0)))),((F67-DATE(2026+9,5,1))/365.25)*G67*D67*(1+EscalatorInLease)^(9+M67)+((DATE(2027+9,4,30)-F67)/365.25)*IF(I67="Vacate",H67*D67*(1+GrowthMarketRent)^9*IF(INT((DATE(2026+9,10,31)-F67)/365.25)=0,(12-DowntimeNew)/12,1),IF(I67="Option",G67*D67*1.025*(1+EscalatorInLease)^9,IF(I67="Market",Retention*G67*D67*(1+EscalatorInLease)^(9+M67)+(1-Retention)*H67*D67*(1+GrowthMarketRent)^9*IF(INT((DATE(2026+9,10,31)-F67)/365.25)=0,(12-DowntimeNew)/12,1),IF(I67="LeaseUp",H67*D67*(1+GrowthMarketRent)^9*IF(9=0,(12-DowntimeNew)/12,1),0)))))))),0)</f>
        <v/>
      </c>
      <c r="X67" s="14">
        <f>IFERROR(IF(I67="LeaseUp",H67*D67*(1+GrowthMarketRent)^10*IF(10=0,(12-DowntimeNew)/12,1),IF(F67="",0,IF(F67&gt;=DATE(2027+10,4,30),G67*D67*(1+EscalatorInLease)^(10+M67),IF(F67&lt;DATE(2026+10,5,1),IF(I67="Vacate",H67*D67*(1+GrowthMarketRent)^10*IF(INT((DATE(2026+10,10,31)-F67)/365.25)=0,(12-DowntimeNew)/12,1),IF(I67="Option",G67*D67*1.025*(1+EscalatorInLease)^10,IF(I67="Market",Retention*G67*D67*(1+EscalatorInLease)^(10+M67)+(1-Retention)*H67*D67*(1+GrowthMarketRent)^10*IF(INT((DATE(2026+10,10,31)-F67)/365.25)=0,(12-DowntimeNew)/12,1),IF(I67="LeaseUp",H67*D67*(1+GrowthMarketRent)^10*IF(10=0,(12-DowntimeNew)/12,1),0)))),((F67-DATE(2026+10,5,1))/365.25)*G67*D67*(1+EscalatorInLease)^(10+M67)+((DATE(2027+10,4,30)-F67)/365.25)*IF(I67="Vacate",H67*D67*(1+GrowthMarketRent)^10*IF(INT((DATE(2026+10,10,31)-F67)/365.25)=0,(12-DowntimeNew)/12,1),IF(I67="Option",G67*D67*1.025*(1+EscalatorInLease)^10,IF(I67="Market",Retention*G67*D67*(1+EscalatorInLease)^(10+M67)+(1-Retention)*H67*D67*(1+GrowthMarketRent)^10*IF(INT((DATE(2026+10,10,31)-F67)/365.25)=0,(12-DowntimeNew)/12,1),IF(I67="LeaseUp",H67*D67*(1+GrowthMarketRent)^10*IF(10=0,(12-DowntimeNew)/12,1),0)))))))),0)</f>
        <v/>
      </c>
      <c r="Y67" s="14">
        <f>IFERROR(IF(AND(I67="LeaseUp",0=0),(IF(I67="Vacate",TINew*D67,IF(I67="Market",Retention*TIRenewal*D67+(1-Retention)*TINew*D67,IF(I67="LeaseUp",TINew*D67,IF(I67="Option",TIRenewal*D67,0)))))+(IF(I67="Vacate",LCNew*H67*D67*(1+GrowthMarketRent)^0,IF(I67="Market",Retention*LCRenewal*H67*D67*(1+GrowthMarketRent)^0+(1-Retention)*LCNew*H67*D67*(1+GrowthMarketRent)^0,IF(I67="LeaseUp",LCNew*H67*D67*(1+GrowthMarketRent)^0,IF(I67="Option",LCRenewal*H67*D67*(1+GrowthMarketRent)^0,0))))),IF(F67="",0,IF(AND(F67&gt;=DATE(2026+0,5,1),F67&lt;=DATE(2027+0,4,30)),(IF(I67="Vacate",TINew*D67,IF(I67="Market",Retention*TIRenewal*D67+(1-Retention)*TINew*D67,IF(I67="LeaseUp",TINew*D67,IF(I67="Option",TIRenewal*D67,0)))))+(IF(I67="Vacate",LCNew*H67*D67*(1+GrowthMarketRent)^0,IF(I67="Market",Retention*LCRenewal*H67*D67*(1+GrowthMarketRent)^0+(1-Retention)*LCNew*H67*D67*(1+GrowthMarketRent)^0,IF(I67="LeaseUp",LCNew*H67*D67*(1+GrowthMarketRent)^0,IF(I67="Option",LCRenewal*H67*D67*(1+GrowthMarketRent)^0,0))))),0))),0)</f>
        <v/>
      </c>
      <c r="Z67" s="14">
        <f>IFERROR(IF(AND(I67="LeaseUp",1=0),(IF(I67="Vacate",TINew*D67,IF(I67="Market",Retention*TIRenewal*D67+(1-Retention)*TINew*D67,IF(I67="LeaseUp",TINew*D67,IF(I67="Option",TIRenewal*D67,0)))))+(IF(I67="Vacate",LCNew*H67*D67*(1+GrowthMarketRent)^1,IF(I67="Market",Retention*LCRenewal*H67*D67*(1+GrowthMarketRent)^1+(1-Retention)*LCNew*H67*D67*(1+GrowthMarketRent)^1,IF(I67="LeaseUp",LCNew*H67*D67*(1+GrowthMarketRent)^1,IF(I67="Option",LCRenewal*H67*D67*(1+GrowthMarketRent)^1,0))))),IF(F67="",0,IF(AND(F67&gt;=DATE(2026+1,5,1),F67&lt;=DATE(2027+1,4,30)),(IF(I67="Vacate",TINew*D67,IF(I67="Market",Retention*TIRenewal*D67+(1-Retention)*TINew*D67,IF(I67="LeaseUp",TINew*D67,IF(I67="Option",TIRenewal*D67,0)))))+(IF(I67="Vacate",LCNew*H67*D67*(1+GrowthMarketRent)^1,IF(I67="Market",Retention*LCRenewal*H67*D67*(1+GrowthMarketRent)^1+(1-Retention)*LCNew*H67*D67*(1+GrowthMarketRent)^1,IF(I67="LeaseUp",LCNew*H67*D67*(1+GrowthMarketRent)^1,IF(I67="Option",LCRenewal*H67*D67*(1+GrowthMarketRent)^1,0))))),0))),0)</f>
        <v/>
      </c>
      <c r="AA67" s="14">
        <f>IFERROR(IF(AND(I67="LeaseUp",2=0),(IF(I67="Vacate",TINew*D67,IF(I67="Market",Retention*TIRenewal*D67+(1-Retention)*TINew*D67,IF(I67="LeaseUp",TINew*D67,IF(I67="Option",TIRenewal*D67,0)))))+(IF(I67="Vacate",LCNew*H67*D67*(1+GrowthMarketRent)^2,IF(I67="Market",Retention*LCRenewal*H67*D67*(1+GrowthMarketRent)^2+(1-Retention)*LCNew*H67*D67*(1+GrowthMarketRent)^2,IF(I67="LeaseUp",LCNew*H67*D67*(1+GrowthMarketRent)^2,IF(I67="Option",LCRenewal*H67*D67*(1+GrowthMarketRent)^2,0))))),IF(F67="",0,IF(AND(F67&gt;=DATE(2026+2,5,1),F67&lt;=DATE(2027+2,4,30)),(IF(I67="Vacate",TINew*D67,IF(I67="Market",Retention*TIRenewal*D67+(1-Retention)*TINew*D67,IF(I67="LeaseUp",TINew*D67,IF(I67="Option",TIRenewal*D67,0)))))+(IF(I67="Vacate",LCNew*H67*D67*(1+GrowthMarketRent)^2,IF(I67="Market",Retention*LCRenewal*H67*D67*(1+GrowthMarketRent)^2+(1-Retention)*LCNew*H67*D67*(1+GrowthMarketRent)^2,IF(I67="LeaseUp",LCNew*H67*D67*(1+GrowthMarketRent)^2,IF(I67="Option",LCRenewal*H67*D67*(1+GrowthMarketRent)^2,0))))),0))),0)</f>
        <v/>
      </c>
      <c r="AB67" s="14">
        <f>IFERROR(IF(AND(I67="LeaseUp",3=0),(IF(I67="Vacate",TINew*D67,IF(I67="Market",Retention*TIRenewal*D67+(1-Retention)*TINew*D67,IF(I67="LeaseUp",TINew*D67,IF(I67="Option",TIRenewal*D67,0)))))+(IF(I67="Vacate",LCNew*H67*D67*(1+GrowthMarketRent)^3,IF(I67="Market",Retention*LCRenewal*H67*D67*(1+GrowthMarketRent)^3+(1-Retention)*LCNew*H67*D67*(1+GrowthMarketRent)^3,IF(I67="LeaseUp",LCNew*H67*D67*(1+GrowthMarketRent)^3,IF(I67="Option",LCRenewal*H67*D67*(1+GrowthMarketRent)^3,0))))),IF(F67="",0,IF(AND(F67&gt;=DATE(2026+3,5,1),F67&lt;=DATE(2027+3,4,30)),(IF(I67="Vacate",TINew*D67,IF(I67="Market",Retention*TIRenewal*D67+(1-Retention)*TINew*D67,IF(I67="LeaseUp",TINew*D67,IF(I67="Option",TIRenewal*D67,0)))))+(IF(I67="Vacate",LCNew*H67*D67*(1+GrowthMarketRent)^3,IF(I67="Market",Retention*LCRenewal*H67*D67*(1+GrowthMarketRent)^3+(1-Retention)*LCNew*H67*D67*(1+GrowthMarketRent)^3,IF(I67="LeaseUp",LCNew*H67*D67*(1+GrowthMarketRent)^3,IF(I67="Option",LCRenewal*H67*D67*(1+GrowthMarketRent)^3,0))))),0))),0)</f>
        <v/>
      </c>
      <c r="AC67" s="14">
        <f>IFERROR(IF(AND(I67="LeaseUp",4=0),(IF(I67="Vacate",TINew*D67,IF(I67="Market",Retention*TIRenewal*D67+(1-Retention)*TINew*D67,IF(I67="LeaseUp",TINew*D67,IF(I67="Option",TIRenewal*D67,0)))))+(IF(I67="Vacate",LCNew*H67*D67*(1+GrowthMarketRent)^4,IF(I67="Market",Retention*LCRenewal*H67*D67*(1+GrowthMarketRent)^4+(1-Retention)*LCNew*H67*D67*(1+GrowthMarketRent)^4,IF(I67="LeaseUp",LCNew*H67*D67*(1+GrowthMarketRent)^4,IF(I67="Option",LCRenewal*H67*D67*(1+GrowthMarketRent)^4,0))))),IF(F67="",0,IF(AND(F67&gt;=DATE(2026+4,5,1),F67&lt;=DATE(2027+4,4,30)),(IF(I67="Vacate",TINew*D67,IF(I67="Market",Retention*TIRenewal*D67+(1-Retention)*TINew*D67,IF(I67="LeaseUp",TINew*D67,IF(I67="Option",TIRenewal*D67,0)))))+(IF(I67="Vacate",LCNew*H67*D67*(1+GrowthMarketRent)^4,IF(I67="Market",Retention*LCRenewal*H67*D67*(1+GrowthMarketRent)^4+(1-Retention)*LCNew*H67*D67*(1+GrowthMarketRent)^4,IF(I67="LeaseUp",LCNew*H67*D67*(1+GrowthMarketRent)^4,IF(I67="Option",LCRenewal*H67*D67*(1+GrowthMarketRent)^4,0))))),0))),0)</f>
        <v/>
      </c>
      <c r="AD67" s="14">
        <f>IFERROR(IF(AND(I67="LeaseUp",5=0),(IF(I67="Vacate",TINew*D67,IF(I67="Market",Retention*TIRenewal*D67+(1-Retention)*TINew*D67,IF(I67="LeaseUp",TINew*D67,IF(I67="Option",TIRenewal*D67,0)))))+(IF(I67="Vacate",LCNew*H67*D67*(1+GrowthMarketRent)^5,IF(I67="Market",Retention*LCRenewal*H67*D67*(1+GrowthMarketRent)^5+(1-Retention)*LCNew*H67*D67*(1+GrowthMarketRent)^5,IF(I67="LeaseUp",LCNew*H67*D67*(1+GrowthMarketRent)^5,IF(I67="Option",LCRenewal*H67*D67*(1+GrowthMarketRent)^5,0))))),IF(F67="",0,IF(AND(F67&gt;=DATE(2026+5,5,1),F67&lt;=DATE(2027+5,4,30)),(IF(I67="Vacate",TINew*D67,IF(I67="Market",Retention*TIRenewal*D67+(1-Retention)*TINew*D67,IF(I67="LeaseUp",TINew*D67,IF(I67="Option",TIRenewal*D67,0)))))+(IF(I67="Vacate",LCNew*H67*D67*(1+GrowthMarketRent)^5,IF(I67="Market",Retention*LCRenewal*H67*D67*(1+GrowthMarketRent)^5+(1-Retention)*LCNew*H67*D67*(1+GrowthMarketRent)^5,IF(I67="LeaseUp",LCNew*H67*D67*(1+GrowthMarketRent)^5,IF(I67="Option",LCRenewal*H67*D67*(1+GrowthMarketRent)^5,0))))),0))),0)</f>
        <v/>
      </c>
      <c r="AE67" s="14">
        <f>IFERROR(IF(AND(I67="LeaseUp",6=0),(IF(I67="Vacate",TINew*D67,IF(I67="Market",Retention*TIRenewal*D67+(1-Retention)*TINew*D67,IF(I67="LeaseUp",TINew*D67,IF(I67="Option",TIRenewal*D67,0)))))+(IF(I67="Vacate",LCNew*H67*D67*(1+GrowthMarketRent)^6,IF(I67="Market",Retention*LCRenewal*H67*D67*(1+GrowthMarketRent)^6+(1-Retention)*LCNew*H67*D67*(1+GrowthMarketRent)^6,IF(I67="LeaseUp",LCNew*H67*D67*(1+GrowthMarketRent)^6,IF(I67="Option",LCRenewal*H67*D67*(1+GrowthMarketRent)^6,0))))),IF(F67="",0,IF(AND(F67&gt;=DATE(2026+6,5,1),F67&lt;=DATE(2027+6,4,30)),(IF(I67="Vacate",TINew*D67,IF(I67="Market",Retention*TIRenewal*D67+(1-Retention)*TINew*D67,IF(I67="LeaseUp",TINew*D67,IF(I67="Option",TIRenewal*D67,0)))))+(IF(I67="Vacate",LCNew*H67*D67*(1+GrowthMarketRent)^6,IF(I67="Market",Retention*LCRenewal*H67*D67*(1+GrowthMarketRent)^6+(1-Retention)*LCNew*H67*D67*(1+GrowthMarketRent)^6,IF(I67="LeaseUp",LCNew*H67*D67*(1+GrowthMarketRent)^6,IF(I67="Option",LCRenewal*H67*D67*(1+GrowthMarketRent)^6,0))))),0))),0)</f>
        <v/>
      </c>
      <c r="AF67" s="14">
        <f>IFERROR(IF(AND(I67="LeaseUp",7=0),(IF(I67="Vacate",TINew*D67,IF(I67="Market",Retention*TIRenewal*D67+(1-Retention)*TINew*D67,IF(I67="LeaseUp",TINew*D67,IF(I67="Option",TIRenewal*D67,0)))))+(IF(I67="Vacate",LCNew*H67*D67*(1+GrowthMarketRent)^7,IF(I67="Market",Retention*LCRenewal*H67*D67*(1+GrowthMarketRent)^7+(1-Retention)*LCNew*H67*D67*(1+GrowthMarketRent)^7,IF(I67="LeaseUp",LCNew*H67*D67*(1+GrowthMarketRent)^7,IF(I67="Option",LCRenewal*H67*D67*(1+GrowthMarketRent)^7,0))))),IF(F67="",0,IF(AND(F67&gt;=DATE(2026+7,5,1),F67&lt;=DATE(2027+7,4,30)),(IF(I67="Vacate",TINew*D67,IF(I67="Market",Retention*TIRenewal*D67+(1-Retention)*TINew*D67,IF(I67="LeaseUp",TINew*D67,IF(I67="Option",TIRenewal*D67,0)))))+(IF(I67="Vacate",LCNew*H67*D67*(1+GrowthMarketRent)^7,IF(I67="Market",Retention*LCRenewal*H67*D67*(1+GrowthMarketRent)^7+(1-Retention)*LCNew*H67*D67*(1+GrowthMarketRent)^7,IF(I67="LeaseUp",LCNew*H67*D67*(1+GrowthMarketRent)^7,IF(I67="Option",LCRenewal*H67*D67*(1+GrowthMarketRent)^7,0))))),0))),0)</f>
        <v/>
      </c>
      <c r="AG67" s="14">
        <f>IFERROR(IF(AND(I67="LeaseUp",8=0),(IF(I67="Vacate",TINew*D67,IF(I67="Market",Retention*TIRenewal*D67+(1-Retention)*TINew*D67,IF(I67="LeaseUp",TINew*D67,IF(I67="Option",TIRenewal*D67,0)))))+(IF(I67="Vacate",LCNew*H67*D67*(1+GrowthMarketRent)^8,IF(I67="Market",Retention*LCRenewal*H67*D67*(1+GrowthMarketRent)^8+(1-Retention)*LCNew*H67*D67*(1+GrowthMarketRent)^8,IF(I67="LeaseUp",LCNew*H67*D67*(1+GrowthMarketRent)^8,IF(I67="Option",LCRenewal*H67*D67*(1+GrowthMarketRent)^8,0))))),IF(F67="",0,IF(AND(F67&gt;=DATE(2026+8,5,1),F67&lt;=DATE(2027+8,4,30)),(IF(I67="Vacate",TINew*D67,IF(I67="Market",Retention*TIRenewal*D67+(1-Retention)*TINew*D67,IF(I67="LeaseUp",TINew*D67,IF(I67="Option",TIRenewal*D67,0)))))+(IF(I67="Vacate",LCNew*H67*D67*(1+GrowthMarketRent)^8,IF(I67="Market",Retention*LCRenewal*H67*D67*(1+GrowthMarketRent)^8+(1-Retention)*LCNew*H67*D67*(1+GrowthMarketRent)^8,IF(I67="LeaseUp",LCNew*H67*D67*(1+GrowthMarketRent)^8,IF(I67="Option",LCRenewal*H67*D67*(1+GrowthMarketRent)^8,0))))),0))),0)</f>
        <v/>
      </c>
      <c r="AH67" s="14">
        <f>IFERROR(IF(AND(I67="LeaseUp",9=0),(IF(I67="Vacate",TINew*D67,IF(I67="Market",Retention*TIRenewal*D67+(1-Retention)*TINew*D67,IF(I67="LeaseUp",TINew*D67,IF(I67="Option",TIRenewal*D67,0)))))+(IF(I67="Vacate",LCNew*H67*D67*(1+GrowthMarketRent)^9,IF(I67="Market",Retention*LCRenewal*H67*D67*(1+GrowthMarketRent)^9+(1-Retention)*LCNew*H67*D67*(1+GrowthMarketRent)^9,IF(I67="LeaseUp",LCNew*H67*D67*(1+GrowthMarketRent)^9,IF(I67="Option",LCRenewal*H67*D67*(1+GrowthMarketRent)^9,0))))),IF(F67="",0,IF(AND(F67&gt;=DATE(2026+9,5,1),F67&lt;=DATE(2027+9,4,30)),(IF(I67="Vacate",TINew*D67,IF(I67="Market",Retention*TIRenewal*D67+(1-Retention)*TINew*D67,IF(I67="LeaseUp",TINew*D67,IF(I67="Option",TIRenewal*D67,0)))))+(IF(I67="Vacate",LCNew*H67*D67*(1+GrowthMarketRent)^9,IF(I67="Market",Retention*LCRenewal*H67*D67*(1+GrowthMarketRent)^9+(1-Retention)*LCNew*H67*D67*(1+GrowthMarketRent)^9,IF(I67="LeaseUp",LCNew*H67*D67*(1+GrowthMarketRent)^9,IF(I67="Option",LCRenewal*H67*D67*(1+GrowthMarketRent)^9,0))))),0))),0)</f>
        <v/>
      </c>
      <c r="AI67" s="14">
        <f>IFERROR(IF(AND(I67="LeaseUp",10=0),(IF(I67="Vacate",TINew*D67,IF(I67="Market",Retention*TIRenewal*D67+(1-Retention)*TINew*D67,IF(I67="LeaseUp",TINew*D67,IF(I67="Option",TIRenewal*D67,0)))))+(IF(I67="Vacate",LCNew*H67*D67*(1+GrowthMarketRent)^10,IF(I67="Market",Retention*LCRenewal*H67*D67*(1+GrowthMarketRent)^10+(1-Retention)*LCNew*H67*D67*(1+GrowthMarketRent)^10,IF(I67="LeaseUp",LCNew*H67*D67*(1+GrowthMarketRent)^10,IF(I67="Option",LCRenewal*H67*D67*(1+GrowthMarketRent)^10,0))))),IF(F67="",0,IF(AND(F67&gt;=DATE(2026+10,5,1),F67&lt;=DATE(2027+10,4,30)),(IF(I67="Vacate",TINew*D67,IF(I67="Market",Retention*TIRenewal*D67+(1-Retention)*TINew*D67,IF(I67="LeaseUp",TINew*D67,IF(I67="Option",TIRenewal*D67,0)))))+(IF(I67="Vacate",LCNew*H67*D67*(1+GrowthMarketRent)^10,IF(I67="Market",Retention*LCRenewal*H67*D67*(1+GrowthMarketRent)^10+(1-Retention)*LCNew*H67*D67*(1+GrowthMarketRent)^10,IF(I67="LeaseUp",LCNew*H67*D67*(1+GrowthMarketRent)^10,IF(I67="Option",LCRenewal*H67*D67*(1+GrowthMarketRent)^10,0))))),0))),0)</f>
        <v/>
      </c>
    </row>
    <row r="68">
      <c r="A68" t="inlineStr">
        <is>
          <t>Frisco</t>
        </is>
      </c>
      <c r="B68" t="inlineStr">
        <is>
          <t>306</t>
        </is>
      </c>
      <c r="C68" t="inlineStr">
        <is>
          <t>SenseAbilities InSync PLLC</t>
        </is>
      </c>
      <c r="D68" s="32" t="n">
        <v>2900</v>
      </c>
      <c r="E68" s="33" t="n">
        <v>45748</v>
      </c>
      <c r="F68" s="33" t="n">
        <v>46997</v>
      </c>
      <c r="G68" s="34" t="n">
        <v>16.9124137931034</v>
      </c>
      <c r="H68" s="16">
        <f>VLOOKUP(A68,MLA!$A$5:$L$11,3,FALSE)</f>
        <v/>
      </c>
      <c r="I68" s="11" t="inlineStr">
        <is>
          <t>Vacate</t>
        </is>
      </c>
      <c r="J68" t="inlineStr">
        <is>
          <t>Shop</t>
        </is>
      </c>
      <c r="K68" t="inlineStr">
        <is>
          <t>Occupied</t>
        </is>
      </c>
      <c r="L68" t="inlineStr">
        <is>
          <t>Assumed to vacate; Guarantor: Andrew Martin</t>
        </is>
      </c>
      <c r="M68" s="20">
        <f>IF(E68="",0,(AnalysisStart-E68)/365.25)</f>
        <v/>
      </c>
      <c r="N68" s="14">
        <f>IFERROR(IF(I68="LeaseUp",H68*D68*(1+GrowthMarketRent)^0*IF(0=0,(12-DowntimeNew)/12,1),IF(F68="",0,IF(F68&gt;=DATE(2027+0,4,30),G68*D68*(1+EscalatorInLease)^(0+M68),IF(F68&lt;DATE(2026+0,5,1),IF(I68="Vacate",H68*D68*(1+GrowthMarketRent)^0*IF(INT((DATE(2026+0,10,31)-F68)/365.25)=0,(12-DowntimeNew)/12,1),IF(I68="Option",G68*D68*1.025*(1+EscalatorInLease)^0,IF(I68="Market",Retention*G68*D68*(1+EscalatorInLease)^(0+M68)+(1-Retention)*H68*D68*(1+GrowthMarketRent)^0*IF(INT((DATE(2026+0,10,31)-F68)/365.25)=0,(12-DowntimeNew)/12,1),IF(I68="LeaseUp",H68*D68*(1+GrowthMarketRent)^0*IF(0=0,(12-DowntimeNew)/12,1),0)))),((F68-DATE(2026+0,5,1))/365.25)*G68*D68*(1+EscalatorInLease)^(0+M68)+((DATE(2027+0,4,30)-F68)/365.25)*IF(I68="Vacate",H68*D68*(1+GrowthMarketRent)^0*IF(INT((DATE(2026+0,10,31)-F68)/365.25)=0,(12-DowntimeNew)/12,1),IF(I68="Option",G68*D68*1.025*(1+EscalatorInLease)^0,IF(I68="Market",Retention*G68*D68*(1+EscalatorInLease)^(0+M68)+(1-Retention)*H68*D68*(1+GrowthMarketRent)^0*IF(INT((DATE(2026+0,10,31)-F68)/365.25)=0,(12-DowntimeNew)/12,1),IF(I68="LeaseUp",H68*D68*(1+GrowthMarketRent)^0*IF(0=0,(12-DowntimeNew)/12,1),0)))))))),0)</f>
        <v/>
      </c>
      <c r="O68" s="14">
        <f>IFERROR(IF(I68="LeaseUp",H68*D68*(1+GrowthMarketRent)^1*IF(1=0,(12-DowntimeNew)/12,1),IF(F68="",0,IF(F68&gt;=DATE(2027+1,4,30),G68*D68*(1+EscalatorInLease)^(1+M68),IF(F68&lt;DATE(2026+1,5,1),IF(I68="Vacate",H68*D68*(1+GrowthMarketRent)^1*IF(INT((DATE(2026+1,10,31)-F68)/365.25)=0,(12-DowntimeNew)/12,1),IF(I68="Option",G68*D68*1.025*(1+EscalatorInLease)^1,IF(I68="Market",Retention*G68*D68*(1+EscalatorInLease)^(1+M68)+(1-Retention)*H68*D68*(1+GrowthMarketRent)^1*IF(INT((DATE(2026+1,10,31)-F68)/365.25)=0,(12-DowntimeNew)/12,1),IF(I68="LeaseUp",H68*D68*(1+GrowthMarketRent)^1*IF(1=0,(12-DowntimeNew)/12,1),0)))),((F68-DATE(2026+1,5,1))/365.25)*G68*D68*(1+EscalatorInLease)^(1+M68)+((DATE(2027+1,4,30)-F68)/365.25)*IF(I68="Vacate",H68*D68*(1+GrowthMarketRent)^1*IF(INT((DATE(2026+1,10,31)-F68)/365.25)=0,(12-DowntimeNew)/12,1),IF(I68="Option",G68*D68*1.025*(1+EscalatorInLease)^1,IF(I68="Market",Retention*G68*D68*(1+EscalatorInLease)^(1+M68)+(1-Retention)*H68*D68*(1+GrowthMarketRent)^1*IF(INT((DATE(2026+1,10,31)-F68)/365.25)=0,(12-DowntimeNew)/12,1),IF(I68="LeaseUp",H68*D68*(1+GrowthMarketRent)^1*IF(1=0,(12-DowntimeNew)/12,1),0)))))))),0)</f>
        <v/>
      </c>
      <c r="P68" s="14">
        <f>IFERROR(IF(I68="LeaseUp",H68*D68*(1+GrowthMarketRent)^2*IF(2=0,(12-DowntimeNew)/12,1),IF(F68="",0,IF(F68&gt;=DATE(2027+2,4,30),G68*D68*(1+EscalatorInLease)^(2+M68),IF(F68&lt;DATE(2026+2,5,1),IF(I68="Vacate",H68*D68*(1+GrowthMarketRent)^2*IF(INT((DATE(2026+2,10,31)-F68)/365.25)=0,(12-DowntimeNew)/12,1),IF(I68="Option",G68*D68*1.025*(1+EscalatorInLease)^2,IF(I68="Market",Retention*G68*D68*(1+EscalatorInLease)^(2+M68)+(1-Retention)*H68*D68*(1+GrowthMarketRent)^2*IF(INT((DATE(2026+2,10,31)-F68)/365.25)=0,(12-DowntimeNew)/12,1),IF(I68="LeaseUp",H68*D68*(1+GrowthMarketRent)^2*IF(2=0,(12-DowntimeNew)/12,1),0)))),((F68-DATE(2026+2,5,1))/365.25)*G68*D68*(1+EscalatorInLease)^(2+M68)+((DATE(2027+2,4,30)-F68)/365.25)*IF(I68="Vacate",H68*D68*(1+GrowthMarketRent)^2*IF(INT((DATE(2026+2,10,31)-F68)/365.25)=0,(12-DowntimeNew)/12,1),IF(I68="Option",G68*D68*1.025*(1+EscalatorInLease)^2,IF(I68="Market",Retention*G68*D68*(1+EscalatorInLease)^(2+M68)+(1-Retention)*H68*D68*(1+GrowthMarketRent)^2*IF(INT((DATE(2026+2,10,31)-F68)/365.25)=0,(12-DowntimeNew)/12,1),IF(I68="LeaseUp",H68*D68*(1+GrowthMarketRent)^2*IF(2=0,(12-DowntimeNew)/12,1),0)))))))),0)</f>
        <v/>
      </c>
      <c r="Q68" s="14">
        <f>IFERROR(IF(I68="LeaseUp",H68*D68*(1+GrowthMarketRent)^3*IF(3=0,(12-DowntimeNew)/12,1),IF(F68="",0,IF(F68&gt;=DATE(2027+3,4,30),G68*D68*(1+EscalatorInLease)^(3+M68),IF(F68&lt;DATE(2026+3,5,1),IF(I68="Vacate",H68*D68*(1+GrowthMarketRent)^3*IF(INT((DATE(2026+3,10,31)-F68)/365.25)=0,(12-DowntimeNew)/12,1),IF(I68="Option",G68*D68*1.025*(1+EscalatorInLease)^3,IF(I68="Market",Retention*G68*D68*(1+EscalatorInLease)^(3+M68)+(1-Retention)*H68*D68*(1+GrowthMarketRent)^3*IF(INT((DATE(2026+3,10,31)-F68)/365.25)=0,(12-DowntimeNew)/12,1),IF(I68="LeaseUp",H68*D68*(1+GrowthMarketRent)^3*IF(3=0,(12-DowntimeNew)/12,1),0)))),((F68-DATE(2026+3,5,1))/365.25)*G68*D68*(1+EscalatorInLease)^(3+M68)+((DATE(2027+3,4,30)-F68)/365.25)*IF(I68="Vacate",H68*D68*(1+GrowthMarketRent)^3*IF(INT((DATE(2026+3,10,31)-F68)/365.25)=0,(12-DowntimeNew)/12,1),IF(I68="Option",G68*D68*1.025*(1+EscalatorInLease)^3,IF(I68="Market",Retention*G68*D68*(1+EscalatorInLease)^(3+M68)+(1-Retention)*H68*D68*(1+GrowthMarketRent)^3*IF(INT((DATE(2026+3,10,31)-F68)/365.25)=0,(12-DowntimeNew)/12,1),IF(I68="LeaseUp",H68*D68*(1+GrowthMarketRent)^3*IF(3=0,(12-DowntimeNew)/12,1),0)))))))),0)</f>
        <v/>
      </c>
      <c r="R68" s="14">
        <f>IFERROR(IF(I68="LeaseUp",H68*D68*(1+GrowthMarketRent)^4*IF(4=0,(12-DowntimeNew)/12,1),IF(F68="",0,IF(F68&gt;=DATE(2027+4,4,30),G68*D68*(1+EscalatorInLease)^(4+M68),IF(F68&lt;DATE(2026+4,5,1),IF(I68="Vacate",H68*D68*(1+GrowthMarketRent)^4*IF(INT((DATE(2026+4,10,31)-F68)/365.25)=0,(12-DowntimeNew)/12,1),IF(I68="Option",G68*D68*1.025*(1+EscalatorInLease)^4,IF(I68="Market",Retention*G68*D68*(1+EscalatorInLease)^(4+M68)+(1-Retention)*H68*D68*(1+GrowthMarketRent)^4*IF(INT((DATE(2026+4,10,31)-F68)/365.25)=0,(12-DowntimeNew)/12,1),IF(I68="LeaseUp",H68*D68*(1+GrowthMarketRent)^4*IF(4=0,(12-DowntimeNew)/12,1),0)))),((F68-DATE(2026+4,5,1))/365.25)*G68*D68*(1+EscalatorInLease)^(4+M68)+((DATE(2027+4,4,30)-F68)/365.25)*IF(I68="Vacate",H68*D68*(1+GrowthMarketRent)^4*IF(INT((DATE(2026+4,10,31)-F68)/365.25)=0,(12-DowntimeNew)/12,1),IF(I68="Option",G68*D68*1.025*(1+EscalatorInLease)^4,IF(I68="Market",Retention*G68*D68*(1+EscalatorInLease)^(4+M68)+(1-Retention)*H68*D68*(1+GrowthMarketRent)^4*IF(INT((DATE(2026+4,10,31)-F68)/365.25)=0,(12-DowntimeNew)/12,1),IF(I68="LeaseUp",H68*D68*(1+GrowthMarketRent)^4*IF(4=0,(12-DowntimeNew)/12,1),0)))))))),0)</f>
        <v/>
      </c>
      <c r="S68" s="14">
        <f>IFERROR(IF(I68="LeaseUp",H68*D68*(1+GrowthMarketRent)^5*IF(5=0,(12-DowntimeNew)/12,1),IF(F68="",0,IF(F68&gt;=DATE(2027+5,4,30),G68*D68*(1+EscalatorInLease)^(5+M68),IF(F68&lt;DATE(2026+5,5,1),IF(I68="Vacate",H68*D68*(1+GrowthMarketRent)^5*IF(INT((DATE(2026+5,10,31)-F68)/365.25)=0,(12-DowntimeNew)/12,1),IF(I68="Option",G68*D68*1.025*(1+EscalatorInLease)^5,IF(I68="Market",Retention*G68*D68*(1+EscalatorInLease)^(5+M68)+(1-Retention)*H68*D68*(1+GrowthMarketRent)^5*IF(INT((DATE(2026+5,10,31)-F68)/365.25)=0,(12-DowntimeNew)/12,1),IF(I68="LeaseUp",H68*D68*(1+GrowthMarketRent)^5*IF(5=0,(12-DowntimeNew)/12,1),0)))),((F68-DATE(2026+5,5,1))/365.25)*G68*D68*(1+EscalatorInLease)^(5+M68)+((DATE(2027+5,4,30)-F68)/365.25)*IF(I68="Vacate",H68*D68*(1+GrowthMarketRent)^5*IF(INT((DATE(2026+5,10,31)-F68)/365.25)=0,(12-DowntimeNew)/12,1),IF(I68="Option",G68*D68*1.025*(1+EscalatorInLease)^5,IF(I68="Market",Retention*G68*D68*(1+EscalatorInLease)^(5+M68)+(1-Retention)*H68*D68*(1+GrowthMarketRent)^5*IF(INT((DATE(2026+5,10,31)-F68)/365.25)=0,(12-DowntimeNew)/12,1),IF(I68="LeaseUp",H68*D68*(1+GrowthMarketRent)^5*IF(5=0,(12-DowntimeNew)/12,1),0)))))))),0)</f>
        <v/>
      </c>
      <c r="T68" s="14">
        <f>IFERROR(IF(I68="LeaseUp",H68*D68*(1+GrowthMarketRent)^6*IF(6=0,(12-DowntimeNew)/12,1),IF(F68="",0,IF(F68&gt;=DATE(2027+6,4,30),G68*D68*(1+EscalatorInLease)^(6+M68),IF(F68&lt;DATE(2026+6,5,1),IF(I68="Vacate",H68*D68*(1+GrowthMarketRent)^6*IF(INT((DATE(2026+6,10,31)-F68)/365.25)=0,(12-DowntimeNew)/12,1),IF(I68="Option",G68*D68*1.025*(1+EscalatorInLease)^6,IF(I68="Market",Retention*G68*D68*(1+EscalatorInLease)^(6+M68)+(1-Retention)*H68*D68*(1+GrowthMarketRent)^6*IF(INT((DATE(2026+6,10,31)-F68)/365.25)=0,(12-DowntimeNew)/12,1),IF(I68="LeaseUp",H68*D68*(1+GrowthMarketRent)^6*IF(6=0,(12-DowntimeNew)/12,1),0)))),((F68-DATE(2026+6,5,1))/365.25)*G68*D68*(1+EscalatorInLease)^(6+M68)+((DATE(2027+6,4,30)-F68)/365.25)*IF(I68="Vacate",H68*D68*(1+GrowthMarketRent)^6*IF(INT((DATE(2026+6,10,31)-F68)/365.25)=0,(12-DowntimeNew)/12,1),IF(I68="Option",G68*D68*1.025*(1+EscalatorInLease)^6,IF(I68="Market",Retention*G68*D68*(1+EscalatorInLease)^(6+M68)+(1-Retention)*H68*D68*(1+GrowthMarketRent)^6*IF(INT((DATE(2026+6,10,31)-F68)/365.25)=0,(12-DowntimeNew)/12,1),IF(I68="LeaseUp",H68*D68*(1+GrowthMarketRent)^6*IF(6=0,(12-DowntimeNew)/12,1),0)))))))),0)</f>
        <v/>
      </c>
      <c r="U68" s="14">
        <f>IFERROR(IF(I68="LeaseUp",H68*D68*(1+GrowthMarketRent)^7*IF(7=0,(12-DowntimeNew)/12,1),IF(F68="",0,IF(F68&gt;=DATE(2027+7,4,30),G68*D68*(1+EscalatorInLease)^(7+M68),IF(F68&lt;DATE(2026+7,5,1),IF(I68="Vacate",H68*D68*(1+GrowthMarketRent)^7*IF(INT((DATE(2026+7,10,31)-F68)/365.25)=0,(12-DowntimeNew)/12,1),IF(I68="Option",G68*D68*1.025*(1+EscalatorInLease)^7,IF(I68="Market",Retention*G68*D68*(1+EscalatorInLease)^(7+M68)+(1-Retention)*H68*D68*(1+GrowthMarketRent)^7*IF(INT((DATE(2026+7,10,31)-F68)/365.25)=0,(12-DowntimeNew)/12,1),IF(I68="LeaseUp",H68*D68*(1+GrowthMarketRent)^7*IF(7=0,(12-DowntimeNew)/12,1),0)))),((F68-DATE(2026+7,5,1))/365.25)*G68*D68*(1+EscalatorInLease)^(7+M68)+((DATE(2027+7,4,30)-F68)/365.25)*IF(I68="Vacate",H68*D68*(1+GrowthMarketRent)^7*IF(INT((DATE(2026+7,10,31)-F68)/365.25)=0,(12-DowntimeNew)/12,1),IF(I68="Option",G68*D68*1.025*(1+EscalatorInLease)^7,IF(I68="Market",Retention*G68*D68*(1+EscalatorInLease)^(7+M68)+(1-Retention)*H68*D68*(1+GrowthMarketRent)^7*IF(INT((DATE(2026+7,10,31)-F68)/365.25)=0,(12-DowntimeNew)/12,1),IF(I68="LeaseUp",H68*D68*(1+GrowthMarketRent)^7*IF(7=0,(12-DowntimeNew)/12,1),0)))))))),0)</f>
        <v/>
      </c>
      <c r="V68" s="14">
        <f>IFERROR(IF(I68="LeaseUp",H68*D68*(1+GrowthMarketRent)^8*IF(8=0,(12-DowntimeNew)/12,1),IF(F68="",0,IF(F68&gt;=DATE(2027+8,4,30),G68*D68*(1+EscalatorInLease)^(8+M68),IF(F68&lt;DATE(2026+8,5,1),IF(I68="Vacate",H68*D68*(1+GrowthMarketRent)^8*IF(INT((DATE(2026+8,10,31)-F68)/365.25)=0,(12-DowntimeNew)/12,1),IF(I68="Option",G68*D68*1.025*(1+EscalatorInLease)^8,IF(I68="Market",Retention*G68*D68*(1+EscalatorInLease)^(8+M68)+(1-Retention)*H68*D68*(1+GrowthMarketRent)^8*IF(INT((DATE(2026+8,10,31)-F68)/365.25)=0,(12-DowntimeNew)/12,1),IF(I68="LeaseUp",H68*D68*(1+GrowthMarketRent)^8*IF(8=0,(12-DowntimeNew)/12,1),0)))),((F68-DATE(2026+8,5,1))/365.25)*G68*D68*(1+EscalatorInLease)^(8+M68)+((DATE(2027+8,4,30)-F68)/365.25)*IF(I68="Vacate",H68*D68*(1+GrowthMarketRent)^8*IF(INT((DATE(2026+8,10,31)-F68)/365.25)=0,(12-DowntimeNew)/12,1),IF(I68="Option",G68*D68*1.025*(1+EscalatorInLease)^8,IF(I68="Market",Retention*G68*D68*(1+EscalatorInLease)^(8+M68)+(1-Retention)*H68*D68*(1+GrowthMarketRent)^8*IF(INT((DATE(2026+8,10,31)-F68)/365.25)=0,(12-DowntimeNew)/12,1),IF(I68="LeaseUp",H68*D68*(1+GrowthMarketRent)^8*IF(8=0,(12-DowntimeNew)/12,1),0)))))))),0)</f>
        <v/>
      </c>
      <c r="W68" s="14">
        <f>IFERROR(IF(I68="LeaseUp",H68*D68*(1+GrowthMarketRent)^9*IF(9=0,(12-DowntimeNew)/12,1),IF(F68="",0,IF(F68&gt;=DATE(2027+9,4,30),G68*D68*(1+EscalatorInLease)^(9+M68),IF(F68&lt;DATE(2026+9,5,1),IF(I68="Vacate",H68*D68*(1+GrowthMarketRent)^9*IF(INT((DATE(2026+9,10,31)-F68)/365.25)=0,(12-DowntimeNew)/12,1),IF(I68="Option",G68*D68*1.025*(1+EscalatorInLease)^9,IF(I68="Market",Retention*G68*D68*(1+EscalatorInLease)^(9+M68)+(1-Retention)*H68*D68*(1+GrowthMarketRent)^9*IF(INT((DATE(2026+9,10,31)-F68)/365.25)=0,(12-DowntimeNew)/12,1),IF(I68="LeaseUp",H68*D68*(1+GrowthMarketRent)^9*IF(9=0,(12-DowntimeNew)/12,1),0)))),((F68-DATE(2026+9,5,1))/365.25)*G68*D68*(1+EscalatorInLease)^(9+M68)+((DATE(2027+9,4,30)-F68)/365.25)*IF(I68="Vacate",H68*D68*(1+GrowthMarketRent)^9*IF(INT((DATE(2026+9,10,31)-F68)/365.25)=0,(12-DowntimeNew)/12,1),IF(I68="Option",G68*D68*1.025*(1+EscalatorInLease)^9,IF(I68="Market",Retention*G68*D68*(1+EscalatorInLease)^(9+M68)+(1-Retention)*H68*D68*(1+GrowthMarketRent)^9*IF(INT((DATE(2026+9,10,31)-F68)/365.25)=0,(12-DowntimeNew)/12,1),IF(I68="LeaseUp",H68*D68*(1+GrowthMarketRent)^9*IF(9=0,(12-DowntimeNew)/12,1),0)))))))),0)</f>
        <v/>
      </c>
      <c r="X68" s="14">
        <f>IFERROR(IF(I68="LeaseUp",H68*D68*(1+GrowthMarketRent)^10*IF(10=0,(12-DowntimeNew)/12,1),IF(F68="",0,IF(F68&gt;=DATE(2027+10,4,30),G68*D68*(1+EscalatorInLease)^(10+M68),IF(F68&lt;DATE(2026+10,5,1),IF(I68="Vacate",H68*D68*(1+GrowthMarketRent)^10*IF(INT((DATE(2026+10,10,31)-F68)/365.25)=0,(12-DowntimeNew)/12,1),IF(I68="Option",G68*D68*1.025*(1+EscalatorInLease)^10,IF(I68="Market",Retention*G68*D68*(1+EscalatorInLease)^(10+M68)+(1-Retention)*H68*D68*(1+GrowthMarketRent)^10*IF(INT((DATE(2026+10,10,31)-F68)/365.25)=0,(12-DowntimeNew)/12,1),IF(I68="LeaseUp",H68*D68*(1+GrowthMarketRent)^10*IF(10=0,(12-DowntimeNew)/12,1),0)))),((F68-DATE(2026+10,5,1))/365.25)*G68*D68*(1+EscalatorInLease)^(10+M68)+((DATE(2027+10,4,30)-F68)/365.25)*IF(I68="Vacate",H68*D68*(1+GrowthMarketRent)^10*IF(INT((DATE(2026+10,10,31)-F68)/365.25)=0,(12-DowntimeNew)/12,1),IF(I68="Option",G68*D68*1.025*(1+EscalatorInLease)^10,IF(I68="Market",Retention*G68*D68*(1+EscalatorInLease)^(10+M68)+(1-Retention)*H68*D68*(1+GrowthMarketRent)^10*IF(INT((DATE(2026+10,10,31)-F68)/365.25)=0,(12-DowntimeNew)/12,1),IF(I68="LeaseUp",H68*D68*(1+GrowthMarketRent)^10*IF(10=0,(12-DowntimeNew)/12,1),0)))))))),0)</f>
        <v/>
      </c>
      <c r="Y68" s="14">
        <f>IFERROR(IF(AND(I68="LeaseUp",0=0),(IF(I68="Vacate",TINew*D68,IF(I68="Market",Retention*TIRenewal*D68+(1-Retention)*TINew*D68,IF(I68="LeaseUp",TINew*D68,IF(I68="Option",TIRenewal*D68,0)))))+(IF(I68="Vacate",LCNew*H68*D68*(1+GrowthMarketRent)^0,IF(I68="Market",Retention*LCRenewal*H68*D68*(1+GrowthMarketRent)^0+(1-Retention)*LCNew*H68*D68*(1+GrowthMarketRent)^0,IF(I68="LeaseUp",LCNew*H68*D68*(1+GrowthMarketRent)^0,IF(I68="Option",LCRenewal*H68*D68*(1+GrowthMarketRent)^0,0))))),IF(F68="",0,IF(AND(F68&gt;=DATE(2026+0,5,1),F68&lt;=DATE(2027+0,4,30)),(IF(I68="Vacate",TINew*D68,IF(I68="Market",Retention*TIRenewal*D68+(1-Retention)*TINew*D68,IF(I68="LeaseUp",TINew*D68,IF(I68="Option",TIRenewal*D68,0)))))+(IF(I68="Vacate",LCNew*H68*D68*(1+GrowthMarketRent)^0,IF(I68="Market",Retention*LCRenewal*H68*D68*(1+GrowthMarketRent)^0+(1-Retention)*LCNew*H68*D68*(1+GrowthMarketRent)^0,IF(I68="LeaseUp",LCNew*H68*D68*(1+GrowthMarketRent)^0,IF(I68="Option",LCRenewal*H68*D68*(1+GrowthMarketRent)^0,0))))),0))),0)</f>
        <v/>
      </c>
      <c r="Z68" s="14">
        <f>IFERROR(IF(AND(I68="LeaseUp",1=0),(IF(I68="Vacate",TINew*D68,IF(I68="Market",Retention*TIRenewal*D68+(1-Retention)*TINew*D68,IF(I68="LeaseUp",TINew*D68,IF(I68="Option",TIRenewal*D68,0)))))+(IF(I68="Vacate",LCNew*H68*D68*(1+GrowthMarketRent)^1,IF(I68="Market",Retention*LCRenewal*H68*D68*(1+GrowthMarketRent)^1+(1-Retention)*LCNew*H68*D68*(1+GrowthMarketRent)^1,IF(I68="LeaseUp",LCNew*H68*D68*(1+GrowthMarketRent)^1,IF(I68="Option",LCRenewal*H68*D68*(1+GrowthMarketRent)^1,0))))),IF(F68="",0,IF(AND(F68&gt;=DATE(2026+1,5,1),F68&lt;=DATE(2027+1,4,30)),(IF(I68="Vacate",TINew*D68,IF(I68="Market",Retention*TIRenewal*D68+(1-Retention)*TINew*D68,IF(I68="LeaseUp",TINew*D68,IF(I68="Option",TIRenewal*D68,0)))))+(IF(I68="Vacate",LCNew*H68*D68*(1+GrowthMarketRent)^1,IF(I68="Market",Retention*LCRenewal*H68*D68*(1+GrowthMarketRent)^1+(1-Retention)*LCNew*H68*D68*(1+GrowthMarketRent)^1,IF(I68="LeaseUp",LCNew*H68*D68*(1+GrowthMarketRent)^1,IF(I68="Option",LCRenewal*H68*D68*(1+GrowthMarketRent)^1,0))))),0))),0)</f>
        <v/>
      </c>
      <c r="AA68" s="14">
        <f>IFERROR(IF(AND(I68="LeaseUp",2=0),(IF(I68="Vacate",TINew*D68,IF(I68="Market",Retention*TIRenewal*D68+(1-Retention)*TINew*D68,IF(I68="LeaseUp",TINew*D68,IF(I68="Option",TIRenewal*D68,0)))))+(IF(I68="Vacate",LCNew*H68*D68*(1+GrowthMarketRent)^2,IF(I68="Market",Retention*LCRenewal*H68*D68*(1+GrowthMarketRent)^2+(1-Retention)*LCNew*H68*D68*(1+GrowthMarketRent)^2,IF(I68="LeaseUp",LCNew*H68*D68*(1+GrowthMarketRent)^2,IF(I68="Option",LCRenewal*H68*D68*(1+GrowthMarketRent)^2,0))))),IF(F68="",0,IF(AND(F68&gt;=DATE(2026+2,5,1),F68&lt;=DATE(2027+2,4,30)),(IF(I68="Vacate",TINew*D68,IF(I68="Market",Retention*TIRenewal*D68+(1-Retention)*TINew*D68,IF(I68="LeaseUp",TINew*D68,IF(I68="Option",TIRenewal*D68,0)))))+(IF(I68="Vacate",LCNew*H68*D68*(1+GrowthMarketRent)^2,IF(I68="Market",Retention*LCRenewal*H68*D68*(1+GrowthMarketRent)^2+(1-Retention)*LCNew*H68*D68*(1+GrowthMarketRent)^2,IF(I68="LeaseUp",LCNew*H68*D68*(1+GrowthMarketRent)^2,IF(I68="Option",LCRenewal*H68*D68*(1+GrowthMarketRent)^2,0))))),0))),0)</f>
        <v/>
      </c>
      <c r="AB68" s="14">
        <f>IFERROR(IF(AND(I68="LeaseUp",3=0),(IF(I68="Vacate",TINew*D68,IF(I68="Market",Retention*TIRenewal*D68+(1-Retention)*TINew*D68,IF(I68="LeaseUp",TINew*D68,IF(I68="Option",TIRenewal*D68,0)))))+(IF(I68="Vacate",LCNew*H68*D68*(1+GrowthMarketRent)^3,IF(I68="Market",Retention*LCRenewal*H68*D68*(1+GrowthMarketRent)^3+(1-Retention)*LCNew*H68*D68*(1+GrowthMarketRent)^3,IF(I68="LeaseUp",LCNew*H68*D68*(1+GrowthMarketRent)^3,IF(I68="Option",LCRenewal*H68*D68*(1+GrowthMarketRent)^3,0))))),IF(F68="",0,IF(AND(F68&gt;=DATE(2026+3,5,1),F68&lt;=DATE(2027+3,4,30)),(IF(I68="Vacate",TINew*D68,IF(I68="Market",Retention*TIRenewal*D68+(1-Retention)*TINew*D68,IF(I68="LeaseUp",TINew*D68,IF(I68="Option",TIRenewal*D68,0)))))+(IF(I68="Vacate",LCNew*H68*D68*(1+GrowthMarketRent)^3,IF(I68="Market",Retention*LCRenewal*H68*D68*(1+GrowthMarketRent)^3+(1-Retention)*LCNew*H68*D68*(1+GrowthMarketRent)^3,IF(I68="LeaseUp",LCNew*H68*D68*(1+GrowthMarketRent)^3,IF(I68="Option",LCRenewal*H68*D68*(1+GrowthMarketRent)^3,0))))),0))),0)</f>
        <v/>
      </c>
      <c r="AC68" s="14">
        <f>IFERROR(IF(AND(I68="LeaseUp",4=0),(IF(I68="Vacate",TINew*D68,IF(I68="Market",Retention*TIRenewal*D68+(1-Retention)*TINew*D68,IF(I68="LeaseUp",TINew*D68,IF(I68="Option",TIRenewal*D68,0)))))+(IF(I68="Vacate",LCNew*H68*D68*(1+GrowthMarketRent)^4,IF(I68="Market",Retention*LCRenewal*H68*D68*(1+GrowthMarketRent)^4+(1-Retention)*LCNew*H68*D68*(1+GrowthMarketRent)^4,IF(I68="LeaseUp",LCNew*H68*D68*(1+GrowthMarketRent)^4,IF(I68="Option",LCRenewal*H68*D68*(1+GrowthMarketRent)^4,0))))),IF(F68="",0,IF(AND(F68&gt;=DATE(2026+4,5,1),F68&lt;=DATE(2027+4,4,30)),(IF(I68="Vacate",TINew*D68,IF(I68="Market",Retention*TIRenewal*D68+(1-Retention)*TINew*D68,IF(I68="LeaseUp",TINew*D68,IF(I68="Option",TIRenewal*D68,0)))))+(IF(I68="Vacate",LCNew*H68*D68*(1+GrowthMarketRent)^4,IF(I68="Market",Retention*LCRenewal*H68*D68*(1+GrowthMarketRent)^4+(1-Retention)*LCNew*H68*D68*(1+GrowthMarketRent)^4,IF(I68="LeaseUp",LCNew*H68*D68*(1+GrowthMarketRent)^4,IF(I68="Option",LCRenewal*H68*D68*(1+GrowthMarketRent)^4,0))))),0))),0)</f>
        <v/>
      </c>
      <c r="AD68" s="14">
        <f>IFERROR(IF(AND(I68="LeaseUp",5=0),(IF(I68="Vacate",TINew*D68,IF(I68="Market",Retention*TIRenewal*D68+(1-Retention)*TINew*D68,IF(I68="LeaseUp",TINew*D68,IF(I68="Option",TIRenewal*D68,0)))))+(IF(I68="Vacate",LCNew*H68*D68*(1+GrowthMarketRent)^5,IF(I68="Market",Retention*LCRenewal*H68*D68*(1+GrowthMarketRent)^5+(1-Retention)*LCNew*H68*D68*(1+GrowthMarketRent)^5,IF(I68="LeaseUp",LCNew*H68*D68*(1+GrowthMarketRent)^5,IF(I68="Option",LCRenewal*H68*D68*(1+GrowthMarketRent)^5,0))))),IF(F68="",0,IF(AND(F68&gt;=DATE(2026+5,5,1),F68&lt;=DATE(2027+5,4,30)),(IF(I68="Vacate",TINew*D68,IF(I68="Market",Retention*TIRenewal*D68+(1-Retention)*TINew*D68,IF(I68="LeaseUp",TINew*D68,IF(I68="Option",TIRenewal*D68,0)))))+(IF(I68="Vacate",LCNew*H68*D68*(1+GrowthMarketRent)^5,IF(I68="Market",Retention*LCRenewal*H68*D68*(1+GrowthMarketRent)^5+(1-Retention)*LCNew*H68*D68*(1+GrowthMarketRent)^5,IF(I68="LeaseUp",LCNew*H68*D68*(1+GrowthMarketRent)^5,IF(I68="Option",LCRenewal*H68*D68*(1+GrowthMarketRent)^5,0))))),0))),0)</f>
        <v/>
      </c>
      <c r="AE68" s="14">
        <f>IFERROR(IF(AND(I68="LeaseUp",6=0),(IF(I68="Vacate",TINew*D68,IF(I68="Market",Retention*TIRenewal*D68+(1-Retention)*TINew*D68,IF(I68="LeaseUp",TINew*D68,IF(I68="Option",TIRenewal*D68,0)))))+(IF(I68="Vacate",LCNew*H68*D68*(1+GrowthMarketRent)^6,IF(I68="Market",Retention*LCRenewal*H68*D68*(1+GrowthMarketRent)^6+(1-Retention)*LCNew*H68*D68*(1+GrowthMarketRent)^6,IF(I68="LeaseUp",LCNew*H68*D68*(1+GrowthMarketRent)^6,IF(I68="Option",LCRenewal*H68*D68*(1+GrowthMarketRent)^6,0))))),IF(F68="",0,IF(AND(F68&gt;=DATE(2026+6,5,1),F68&lt;=DATE(2027+6,4,30)),(IF(I68="Vacate",TINew*D68,IF(I68="Market",Retention*TIRenewal*D68+(1-Retention)*TINew*D68,IF(I68="LeaseUp",TINew*D68,IF(I68="Option",TIRenewal*D68,0)))))+(IF(I68="Vacate",LCNew*H68*D68*(1+GrowthMarketRent)^6,IF(I68="Market",Retention*LCRenewal*H68*D68*(1+GrowthMarketRent)^6+(1-Retention)*LCNew*H68*D68*(1+GrowthMarketRent)^6,IF(I68="LeaseUp",LCNew*H68*D68*(1+GrowthMarketRent)^6,IF(I68="Option",LCRenewal*H68*D68*(1+GrowthMarketRent)^6,0))))),0))),0)</f>
        <v/>
      </c>
      <c r="AF68" s="14">
        <f>IFERROR(IF(AND(I68="LeaseUp",7=0),(IF(I68="Vacate",TINew*D68,IF(I68="Market",Retention*TIRenewal*D68+(1-Retention)*TINew*D68,IF(I68="LeaseUp",TINew*D68,IF(I68="Option",TIRenewal*D68,0)))))+(IF(I68="Vacate",LCNew*H68*D68*(1+GrowthMarketRent)^7,IF(I68="Market",Retention*LCRenewal*H68*D68*(1+GrowthMarketRent)^7+(1-Retention)*LCNew*H68*D68*(1+GrowthMarketRent)^7,IF(I68="LeaseUp",LCNew*H68*D68*(1+GrowthMarketRent)^7,IF(I68="Option",LCRenewal*H68*D68*(1+GrowthMarketRent)^7,0))))),IF(F68="",0,IF(AND(F68&gt;=DATE(2026+7,5,1),F68&lt;=DATE(2027+7,4,30)),(IF(I68="Vacate",TINew*D68,IF(I68="Market",Retention*TIRenewal*D68+(1-Retention)*TINew*D68,IF(I68="LeaseUp",TINew*D68,IF(I68="Option",TIRenewal*D68,0)))))+(IF(I68="Vacate",LCNew*H68*D68*(1+GrowthMarketRent)^7,IF(I68="Market",Retention*LCRenewal*H68*D68*(1+GrowthMarketRent)^7+(1-Retention)*LCNew*H68*D68*(1+GrowthMarketRent)^7,IF(I68="LeaseUp",LCNew*H68*D68*(1+GrowthMarketRent)^7,IF(I68="Option",LCRenewal*H68*D68*(1+GrowthMarketRent)^7,0))))),0))),0)</f>
        <v/>
      </c>
      <c r="AG68" s="14">
        <f>IFERROR(IF(AND(I68="LeaseUp",8=0),(IF(I68="Vacate",TINew*D68,IF(I68="Market",Retention*TIRenewal*D68+(1-Retention)*TINew*D68,IF(I68="LeaseUp",TINew*D68,IF(I68="Option",TIRenewal*D68,0)))))+(IF(I68="Vacate",LCNew*H68*D68*(1+GrowthMarketRent)^8,IF(I68="Market",Retention*LCRenewal*H68*D68*(1+GrowthMarketRent)^8+(1-Retention)*LCNew*H68*D68*(1+GrowthMarketRent)^8,IF(I68="LeaseUp",LCNew*H68*D68*(1+GrowthMarketRent)^8,IF(I68="Option",LCRenewal*H68*D68*(1+GrowthMarketRent)^8,0))))),IF(F68="",0,IF(AND(F68&gt;=DATE(2026+8,5,1),F68&lt;=DATE(2027+8,4,30)),(IF(I68="Vacate",TINew*D68,IF(I68="Market",Retention*TIRenewal*D68+(1-Retention)*TINew*D68,IF(I68="LeaseUp",TINew*D68,IF(I68="Option",TIRenewal*D68,0)))))+(IF(I68="Vacate",LCNew*H68*D68*(1+GrowthMarketRent)^8,IF(I68="Market",Retention*LCRenewal*H68*D68*(1+GrowthMarketRent)^8+(1-Retention)*LCNew*H68*D68*(1+GrowthMarketRent)^8,IF(I68="LeaseUp",LCNew*H68*D68*(1+GrowthMarketRent)^8,IF(I68="Option",LCRenewal*H68*D68*(1+GrowthMarketRent)^8,0))))),0))),0)</f>
        <v/>
      </c>
      <c r="AH68" s="14">
        <f>IFERROR(IF(AND(I68="LeaseUp",9=0),(IF(I68="Vacate",TINew*D68,IF(I68="Market",Retention*TIRenewal*D68+(1-Retention)*TINew*D68,IF(I68="LeaseUp",TINew*D68,IF(I68="Option",TIRenewal*D68,0)))))+(IF(I68="Vacate",LCNew*H68*D68*(1+GrowthMarketRent)^9,IF(I68="Market",Retention*LCRenewal*H68*D68*(1+GrowthMarketRent)^9+(1-Retention)*LCNew*H68*D68*(1+GrowthMarketRent)^9,IF(I68="LeaseUp",LCNew*H68*D68*(1+GrowthMarketRent)^9,IF(I68="Option",LCRenewal*H68*D68*(1+GrowthMarketRent)^9,0))))),IF(F68="",0,IF(AND(F68&gt;=DATE(2026+9,5,1),F68&lt;=DATE(2027+9,4,30)),(IF(I68="Vacate",TINew*D68,IF(I68="Market",Retention*TIRenewal*D68+(1-Retention)*TINew*D68,IF(I68="LeaseUp",TINew*D68,IF(I68="Option",TIRenewal*D68,0)))))+(IF(I68="Vacate",LCNew*H68*D68*(1+GrowthMarketRent)^9,IF(I68="Market",Retention*LCRenewal*H68*D68*(1+GrowthMarketRent)^9+(1-Retention)*LCNew*H68*D68*(1+GrowthMarketRent)^9,IF(I68="LeaseUp",LCNew*H68*D68*(1+GrowthMarketRent)^9,IF(I68="Option",LCRenewal*H68*D68*(1+GrowthMarketRent)^9,0))))),0))),0)</f>
        <v/>
      </c>
      <c r="AI68" s="14">
        <f>IFERROR(IF(AND(I68="LeaseUp",10=0),(IF(I68="Vacate",TINew*D68,IF(I68="Market",Retention*TIRenewal*D68+(1-Retention)*TINew*D68,IF(I68="LeaseUp",TINew*D68,IF(I68="Option",TIRenewal*D68,0)))))+(IF(I68="Vacate",LCNew*H68*D68*(1+GrowthMarketRent)^10,IF(I68="Market",Retention*LCRenewal*H68*D68*(1+GrowthMarketRent)^10+(1-Retention)*LCNew*H68*D68*(1+GrowthMarketRent)^10,IF(I68="LeaseUp",LCNew*H68*D68*(1+GrowthMarketRent)^10,IF(I68="Option",LCRenewal*H68*D68*(1+GrowthMarketRent)^10,0))))),IF(F68="",0,IF(AND(F68&gt;=DATE(2026+10,5,1),F68&lt;=DATE(2027+10,4,30)),(IF(I68="Vacate",TINew*D68,IF(I68="Market",Retention*TIRenewal*D68+(1-Retention)*TINew*D68,IF(I68="LeaseUp",TINew*D68,IF(I68="Option",TIRenewal*D68,0)))))+(IF(I68="Vacate",LCNew*H68*D68*(1+GrowthMarketRent)^10,IF(I68="Market",Retention*LCRenewal*H68*D68*(1+GrowthMarketRent)^10+(1-Retention)*LCNew*H68*D68*(1+GrowthMarketRent)^10,IF(I68="LeaseUp",LCNew*H68*D68*(1+GrowthMarketRent)^10,IF(I68="Option",LCRenewal*H68*D68*(1+GrowthMarketRent)^10,0))))),0))),0)</f>
        <v/>
      </c>
    </row>
    <row r="69">
      <c r="A69" t="inlineStr">
        <is>
          <t>Mesquite</t>
        </is>
      </c>
      <c r="B69" t="inlineStr">
        <is>
          <t>101</t>
        </is>
      </c>
      <c r="C69" t="inlineStr">
        <is>
          <t>Cosmic Grounding LLC</t>
        </is>
      </c>
      <c r="D69" s="32" t="n">
        <v>3450</v>
      </c>
      <c r="E69" s="33" t="n">
        <v>44866</v>
      </c>
      <c r="F69" s="33" t="n">
        <v>47150</v>
      </c>
      <c r="G69" s="34" t="n">
        <v>15.7292753623188</v>
      </c>
      <c r="H69" s="16">
        <f>VLOOKUP(A69,MLA!$A$5:$L$11,3,FALSE)</f>
        <v/>
      </c>
      <c r="I69" s="11" t="inlineStr">
        <is>
          <t>Option</t>
        </is>
      </c>
      <c r="J69" t="inlineStr">
        <is>
          <t>Shop</t>
        </is>
      </c>
      <c r="K69" t="inlineStr">
        <is>
          <t>Occupied</t>
        </is>
      </c>
      <c r="L69" t="inlineStr">
        <is>
          <t>Shop; SPEC RENEW; Guarantor: Mike Grecia Alfaro; 1 remaining 3yr option @ 102.5%</t>
        </is>
      </c>
      <c r="M69" s="20">
        <f>IF(E69="",0,(AnalysisStart-E69)/365.25)</f>
        <v/>
      </c>
      <c r="N69" s="14">
        <f>IFERROR(IF(I69="LeaseUp",H69*D69*(1+GrowthMarketRent)^0*IF(0=0,(12-DowntimeNew)/12,1),IF(F69="",0,IF(F69&gt;=DATE(2027+0,4,30),G69*D69*(1+EscalatorInLease)^(0+M69),IF(F69&lt;DATE(2026+0,5,1),IF(I69="Vacate",H69*D69*(1+GrowthMarketRent)^0*IF(INT((DATE(2026+0,10,31)-F69)/365.25)=0,(12-DowntimeNew)/12,1),IF(I69="Option",G69*D69*1.025*(1+EscalatorInLease)^0,IF(I69="Market",Retention*G69*D69*(1+EscalatorInLease)^(0+M69)+(1-Retention)*H69*D69*(1+GrowthMarketRent)^0*IF(INT((DATE(2026+0,10,31)-F69)/365.25)=0,(12-DowntimeNew)/12,1),IF(I69="LeaseUp",H69*D69*(1+GrowthMarketRent)^0*IF(0=0,(12-DowntimeNew)/12,1),0)))),((F69-DATE(2026+0,5,1))/365.25)*G69*D69*(1+EscalatorInLease)^(0+M69)+((DATE(2027+0,4,30)-F69)/365.25)*IF(I69="Vacate",H69*D69*(1+GrowthMarketRent)^0*IF(INT((DATE(2026+0,10,31)-F69)/365.25)=0,(12-DowntimeNew)/12,1),IF(I69="Option",G69*D69*1.025*(1+EscalatorInLease)^0,IF(I69="Market",Retention*G69*D69*(1+EscalatorInLease)^(0+M69)+(1-Retention)*H69*D69*(1+GrowthMarketRent)^0*IF(INT((DATE(2026+0,10,31)-F69)/365.25)=0,(12-DowntimeNew)/12,1),IF(I69="LeaseUp",H69*D69*(1+GrowthMarketRent)^0*IF(0=0,(12-DowntimeNew)/12,1),0)))))))),0)</f>
        <v/>
      </c>
      <c r="O69" s="14">
        <f>IFERROR(IF(I69="LeaseUp",H69*D69*(1+GrowthMarketRent)^1*IF(1=0,(12-DowntimeNew)/12,1),IF(F69="",0,IF(F69&gt;=DATE(2027+1,4,30),G69*D69*(1+EscalatorInLease)^(1+M69),IF(F69&lt;DATE(2026+1,5,1),IF(I69="Vacate",H69*D69*(1+GrowthMarketRent)^1*IF(INT((DATE(2026+1,10,31)-F69)/365.25)=0,(12-DowntimeNew)/12,1),IF(I69="Option",G69*D69*1.025*(1+EscalatorInLease)^1,IF(I69="Market",Retention*G69*D69*(1+EscalatorInLease)^(1+M69)+(1-Retention)*H69*D69*(1+GrowthMarketRent)^1*IF(INT((DATE(2026+1,10,31)-F69)/365.25)=0,(12-DowntimeNew)/12,1),IF(I69="LeaseUp",H69*D69*(1+GrowthMarketRent)^1*IF(1=0,(12-DowntimeNew)/12,1),0)))),((F69-DATE(2026+1,5,1))/365.25)*G69*D69*(1+EscalatorInLease)^(1+M69)+((DATE(2027+1,4,30)-F69)/365.25)*IF(I69="Vacate",H69*D69*(1+GrowthMarketRent)^1*IF(INT((DATE(2026+1,10,31)-F69)/365.25)=0,(12-DowntimeNew)/12,1),IF(I69="Option",G69*D69*1.025*(1+EscalatorInLease)^1,IF(I69="Market",Retention*G69*D69*(1+EscalatorInLease)^(1+M69)+(1-Retention)*H69*D69*(1+GrowthMarketRent)^1*IF(INT((DATE(2026+1,10,31)-F69)/365.25)=0,(12-DowntimeNew)/12,1),IF(I69="LeaseUp",H69*D69*(1+GrowthMarketRent)^1*IF(1=0,(12-DowntimeNew)/12,1),0)))))))),0)</f>
        <v/>
      </c>
      <c r="P69" s="14">
        <f>IFERROR(IF(I69="LeaseUp",H69*D69*(1+GrowthMarketRent)^2*IF(2=0,(12-DowntimeNew)/12,1),IF(F69="",0,IF(F69&gt;=DATE(2027+2,4,30),G69*D69*(1+EscalatorInLease)^(2+M69),IF(F69&lt;DATE(2026+2,5,1),IF(I69="Vacate",H69*D69*(1+GrowthMarketRent)^2*IF(INT((DATE(2026+2,10,31)-F69)/365.25)=0,(12-DowntimeNew)/12,1),IF(I69="Option",G69*D69*1.025*(1+EscalatorInLease)^2,IF(I69="Market",Retention*G69*D69*(1+EscalatorInLease)^(2+M69)+(1-Retention)*H69*D69*(1+GrowthMarketRent)^2*IF(INT((DATE(2026+2,10,31)-F69)/365.25)=0,(12-DowntimeNew)/12,1),IF(I69="LeaseUp",H69*D69*(1+GrowthMarketRent)^2*IF(2=0,(12-DowntimeNew)/12,1),0)))),((F69-DATE(2026+2,5,1))/365.25)*G69*D69*(1+EscalatorInLease)^(2+M69)+((DATE(2027+2,4,30)-F69)/365.25)*IF(I69="Vacate",H69*D69*(1+GrowthMarketRent)^2*IF(INT((DATE(2026+2,10,31)-F69)/365.25)=0,(12-DowntimeNew)/12,1),IF(I69="Option",G69*D69*1.025*(1+EscalatorInLease)^2,IF(I69="Market",Retention*G69*D69*(1+EscalatorInLease)^(2+M69)+(1-Retention)*H69*D69*(1+GrowthMarketRent)^2*IF(INT((DATE(2026+2,10,31)-F69)/365.25)=0,(12-DowntimeNew)/12,1),IF(I69="LeaseUp",H69*D69*(1+GrowthMarketRent)^2*IF(2=0,(12-DowntimeNew)/12,1),0)))))))),0)</f>
        <v/>
      </c>
      <c r="Q69" s="14">
        <f>IFERROR(IF(I69="LeaseUp",H69*D69*(1+GrowthMarketRent)^3*IF(3=0,(12-DowntimeNew)/12,1),IF(F69="",0,IF(F69&gt;=DATE(2027+3,4,30),G69*D69*(1+EscalatorInLease)^(3+M69),IF(F69&lt;DATE(2026+3,5,1),IF(I69="Vacate",H69*D69*(1+GrowthMarketRent)^3*IF(INT((DATE(2026+3,10,31)-F69)/365.25)=0,(12-DowntimeNew)/12,1),IF(I69="Option",G69*D69*1.025*(1+EscalatorInLease)^3,IF(I69="Market",Retention*G69*D69*(1+EscalatorInLease)^(3+M69)+(1-Retention)*H69*D69*(1+GrowthMarketRent)^3*IF(INT((DATE(2026+3,10,31)-F69)/365.25)=0,(12-DowntimeNew)/12,1),IF(I69="LeaseUp",H69*D69*(1+GrowthMarketRent)^3*IF(3=0,(12-DowntimeNew)/12,1),0)))),((F69-DATE(2026+3,5,1))/365.25)*G69*D69*(1+EscalatorInLease)^(3+M69)+((DATE(2027+3,4,30)-F69)/365.25)*IF(I69="Vacate",H69*D69*(1+GrowthMarketRent)^3*IF(INT((DATE(2026+3,10,31)-F69)/365.25)=0,(12-DowntimeNew)/12,1),IF(I69="Option",G69*D69*1.025*(1+EscalatorInLease)^3,IF(I69="Market",Retention*G69*D69*(1+EscalatorInLease)^(3+M69)+(1-Retention)*H69*D69*(1+GrowthMarketRent)^3*IF(INT((DATE(2026+3,10,31)-F69)/365.25)=0,(12-DowntimeNew)/12,1),IF(I69="LeaseUp",H69*D69*(1+GrowthMarketRent)^3*IF(3=0,(12-DowntimeNew)/12,1),0)))))))),0)</f>
        <v/>
      </c>
      <c r="R69" s="14">
        <f>IFERROR(IF(I69="LeaseUp",H69*D69*(1+GrowthMarketRent)^4*IF(4=0,(12-DowntimeNew)/12,1),IF(F69="",0,IF(F69&gt;=DATE(2027+4,4,30),G69*D69*(1+EscalatorInLease)^(4+M69),IF(F69&lt;DATE(2026+4,5,1),IF(I69="Vacate",H69*D69*(1+GrowthMarketRent)^4*IF(INT((DATE(2026+4,10,31)-F69)/365.25)=0,(12-DowntimeNew)/12,1),IF(I69="Option",G69*D69*1.025*(1+EscalatorInLease)^4,IF(I69="Market",Retention*G69*D69*(1+EscalatorInLease)^(4+M69)+(1-Retention)*H69*D69*(1+GrowthMarketRent)^4*IF(INT((DATE(2026+4,10,31)-F69)/365.25)=0,(12-DowntimeNew)/12,1),IF(I69="LeaseUp",H69*D69*(1+GrowthMarketRent)^4*IF(4=0,(12-DowntimeNew)/12,1),0)))),((F69-DATE(2026+4,5,1))/365.25)*G69*D69*(1+EscalatorInLease)^(4+M69)+((DATE(2027+4,4,30)-F69)/365.25)*IF(I69="Vacate",H69*D69*(1+GrowthMarketRent)^4*IF(INT((DATE(2026+4,10,31)-F69)/365.25)=0,(12-DowntimeNew)/12,1),IF(I69="Option",G69*D69*1.025*(1+EscalatorInLease)^4,IF(I69="Market",Retention*G69*D69*(1+EscalatorInLease)^(4+M69)+(1-Retention)*H69*D69*(1+GrowthMarketRent)^4*IF(INT((DATE(2026+4,10,31)-F69)/365.25)=0,(12-DowntimeNew)/12,1),IF(I69="LeaseUp",H69*D69*(1+GrowthMarketRent)^4*IF(4=0,(12-DowntimeNew)/12,1),0)))))))),0)</f>
        <v/>
      </c>
      <c r="S69" s="14">
        <f>IFERROR(IF(I69="LeaseUp",H69*D69*(1+GrowthMarketRent)^5*IF(5=0,(12-DowntimeNew)/12,1),IF(F69="",0,IF(F69&gt;=DATE(2027+5,4,30),G69*D69*(1+EscalatorInLease)^(5+M69),IF(F69&lt;DATE(2026+5,5,1),IF(I69="Vacate",H69*D69*(1+GrowthMarketRent)^5*IF(INT((DATE(2026+5,10,31)-F69)/365.25)=0,(12-DowntimeNew)/12,1),IF(I69="Option",G69*D69*1.025*(1+EscalatorInLease)^5,IF(I69="Market",Retention*G69*D69*(1+EscalatorInLease)^(5+M69)+(1-Retention)*H69*D69*(1+GrowthMarketRent)^5*IF(INT((DATE(2026+5,10,31)-F69)/365.25)=0,(12-DowntimeNew)/12,1),IF(I69="LeaseUp",H69*D69*(1+GrowthMarketRent)^5*IF(5=0,(12-DowntimeNew)/12,1),0)))),((F69-DATE(2026+5,5,1))/365.25)*G69*D69*(1+EscalatorInLease)^(5+M69)+((DATE(2027+5,4,30)-F69)/365.25)*IF(I69="Vacate",H69*D69*(1+GrowthMarketRent)^5*IF(INT((DATE(2026+5,10,31)-F69)/365.25)=0,(12-DowntimeNew)/12,1),IF(I69="Option",G69*D69*1.025*(1+EscalatorInLease)^5,IF(I69="Market",Retention*G69*D69*(1+EscalatorInLease)^(5+M69)+(1-Retention)*H69*D69*(1+GrowthMarketRent)^5*IF(INT((DATE(2026+5,10,31)-F69)/365.25)=0,(12-DowntimeNew)/12,1),IF(I69="LeaseUp",H69*D69*(1+GrowthMarketRent)^5*IF(5=0,(12-DowntimeNew)/12,1),0)))))))),0)</f>
        <v/>
      </c>
      <c r="T69" s="14">
        <f>IFERROR(IF(I69="LeaseUp",H69*D69*(1+GrowthMarketRent)^6*IF(6=0,(12-DowntimeNew)/12,1),IF(F69="",0,IF(F69&gt;=DATE(2027+6,4,30),G69*D69*(1+EscalatorInLease)^(6+M69),IF(F69&lt;DATE(2026+6,5,1),IF(I69="Vacate",H69*D69*(1+GrowthMarketRent)^6*IF(INT((DATE(2026+6,10,31)-F69)/365.25)=0,(12-DowntimeNew)/12,1),IF(I69="Option",G69*D69*1.025*(1+EscalatorInLease)^6,IF(I69="Market",Retention*G69*D69*(1+EscalatorInLease)^(6+M69)+(1-Retention)*H69*D69*(1+GrowthMarketRent)^6*IF(INT((DATE(2026+6,10,31)-F69)/365.25)=0,(12-DowntimeNew)/12,1),IF(I69="LeaseUp",H69*D69*(1+GrowthMarketRent)^6*IF(6=0,(12-DowntimeNew)/12,1),0)))),((F69-DATE(2026+6,5,1))/365.25)*G69*D69*(1+EscalatorInLease)^(6+M69)+((DATE(2027+6,4,30)-F69)/365.25)*IF(I69="Vacate",H69*D69*(1+GrowthMarketRent)^6*IF(INT((DATE(2026+6,10,31)-F69)/365.25)=0,(12-DowntimeNew)/12,1),IF(I69="Option",G69*D69*1.025*(1+EscalatorInLease)^6,IF(I69="Market",Retention*G69*D69*(1+EscalatorInLease)^(6+M69)+(1-Retention)*H69*D69*(1+GrowthMarketRent)^6*IF(INT((DATE(2026+6,10,31)-F69)/365.25)=0,(12-DowntimeNew)/12,1),IF(I69="LeaseUp",H69*D69*(1+GrowthMarketRent)^6*IF(6=0,(12-DowntimeNew)/12,1),0)))))))),0)</f>
        <v/>
      </c>
      <c r="U69" s="14">
        <f>IFERROR(IF(I69="LeaseUp",H69*D69*(1+GrowthMarketRent)^7*IF(7=0,(12-DowntimeNew)/12,1),IF(F69="",0,IF(F69&gt;=DATE(2027+7,4,30),G69*D69*(1+EscalatorInLease)^(7+M69),IF(F69&lt;DATE(2026+7,5,1),IF(I69="Vacate",H69*D69*(1+GrowthMarketRent)^7*IF(INT((DATE(2026+7,10,31)-F69)/365.25)=0,(12-DowntimeNew)/12,1),IF(I69="Option",G69*D69*1.025*(1+EscalatorInLease)^7,IF(I69="Market",Retention*G69*D69*(1+EscalatorInLease)^(7+M69)+(1-Retention)*H69*D69*(1+GrowthMarketRent)^7*IF(INT((DATE(2026+7,10,31)-F69)/365.25)=0,(12-DowntimeNew)/12,1),IF(I69="LeaseUp",H69*D69*(1+GrowthMarketRent)^7*IF(7=0,(12-DowntimeNew)/12,1),0)))),((F69-DATE(2026+7,5,1))/365.25)*G69*D69*(1+EscalatorInLease)^(7+M69)+((DATE(2027+7,4,30)-F69)/365.25)*IF(I69="Vacate",H69*D69*(1+GrowthMarketRent)^7*IF(INT((DATE(2026+7,10,31)-F69)/365.25)=0,(12-DowntimeNew)/12,1),IF(I69="Option",G69*D69*1.025*(1+EscalatorInLease)^7,IF(I69="Market",Retention*G69*D69*(1+EscalatorInLease)^(7+M69)+(1-Retention)*H69*D69*(1+GrowthMarketRent)^7*IF(INT((DATE(2026+7,10,31)-F69)/365.25)=0,(12-DowntimeNew)/12,1),IF(I69="LeaseUp",H69*D69*(1+GrowthMarketRent)^7*IF(7=0,(12-DowntimeNew)/12,1),0)))))))),0)</f>
        <v/>
      </c>
      <c r="V69" s="14">
        <f>IFERROR(IF(I69="LeaseUp",H69*D69*(1+GrowthMarketRent)^8*IF(8=0,(12-DowntimeNew)/12,1),IF(F69="",0,IF(F69&gt;=DATE(2027+8,4,30),G69*D69*(1+EscalatorInLease)^(8+M69),IF(F69&lt;DATE(2026+8,5,1),IF(I69="Vacate",H69*D69*(1+GrowthMarketRent)^8*IF(INT((DATE(2026+8,10,31)-F69)/365.25)=0,(12-DowntimeNew)/12,1),IF(I69="Option",G69*D69*1.025*(1+EscalatorInLease)^8,IF(I69="Market",Retention*G69*D69*(1+EscalatorInLease)^(8+M69)+(1-Retention)*H69*D69*(1+GrowthMarketRent)^8*IF(INT((DATE(2026+8,10,31)-F69)/365.25)=0,(12-DowntimeNew)/12,1),IF(I69="LeaseUp",H69*D69*(1+GrowthMarketRent)^8*IF(8=0,(12-DowntimeNew)/12,1),0)))),((F69-DATE(2026+8,5,1))/365.25)*G69*D69*(1+EscalatorInLease)^(8+M69)+((DATE(2027+8,4,30)-F69)/365.25)*IF(I69="Vacate",H69*D69*(1+GrowthMarketRent)^8*IF(INT((DATE(2026+8,10,31)-F69)/365.25)=0,(12-DowntimeNew)/12,1),IF(I69="Option",G69*D69*1.025*(1+EscalatorInLease)^8,IF(I69="Market",Retention*G69*D69*(1+EscalatorInLease)^(8+M69)+(1-Retention)*H69*D69*(1+GrowthMarketRent)^8*IF(INT((DATE(2026+8,10,31)-F69)/365.25)=0,(12-DowntimeNew)/12,1),IF(I69="LeaseUp",H69*D69*(1+GrowthMarketRent)^8*IF(8=0,(12-DowntimeNew)/12,1),0)))))))),0)</f>
        <v/>
      </c>
      <c r="W69" s="14">
        <f>IFERROR(IF(I69="LeaseUp",H69*D69*(1+GrowthMarketRent)^9*IF(9=0,(12-DowntimeNew)/12,1),IF(F69="",0,IF(F69&gt;=DATE(2027+9,4,30),G69*D69*(1+EscalatorInLease)^(9+M69),IF(F69&lt;DATE(2026+9,5,1),IF(I69="Vacate",H69*D69*(1+GrowthMarketRent)^9*IF(INT((DATE(2026+9,10,31)-F69)/365.25)=0,(12-DowntimeNew)/12,1),IF(I69="Option",G69*D69*1.025*(1+EscalatorInLease)^9,IF(I69="Market",Retention*G69*D69*(1+EscalatorInLease)^(9+M69)+(1-Retention)*H69*D69*(1+GrowthMarketRent)^9*IF(INT((DATE(2026+9,10,31)-F69)/365.25)=0,(12-DowntimeNew)/12,1),IF(I69="LeaseUp",H69*D69*(1+GrowthMarketRent)^9*IF(9=0,(12-DowntimeNew)/12,1),0)))),((F69-DATE(2026+9,5,1))/365.25)*G69*D69*(1+EscalatorInLease)^(9+M69)+((DATE(2027+9,4,30)-F69)/365.25)*IF(I69="Vacate",H69*D69*(1+GrowthMarketRent)^9*IF(INT((DATE(2026+9,10,31)-F69)/365.25)=0,(12-DowntimeNew)/12,1),IF(I69="Option",G69*D69*1.025*(1+EscalatorInLease)^9,IF(I69="Market",Retention*G69*D69*(1+EscalatorInLease)^(9+M69)+(1-Retention)*H69*D69*(1+GrowthMarketRent)^9*IF(INT((DATE(2026+9,10,31)-F69)/365.25)=0,(12-DowntimeNew)/12,1),IF(I69="LeaseUp",H69*D69*(1+GrowthMarketRent)^9*IF(9=0,(12-DowntimeNew)/12,1),0)))))))),0)</f>
        <v/>
      </c>
      <c r="X69" s="14">
        <f>IFERROR(IF(I69="LeaseUp",H69*D69*(1+GrowthMarketRent)^10*IF(10=0,(12-DowntimeNew)/12,1),IF(F69="",0,IF(F69&gt;=DATE(2027+10,4,30),G69*D69*(1+EscalatorInLease)^(10+M69),IF(F69&lt;DATE(2026+10,5,1),IF(I69="Vacate",H69*D69*(1+GrowthMarketRent)^10*IF(INT((DATE(2026+10,10,31)-F69)/365.25)=0,(12-DowntimeNew)/12,1),IF(I69="Option",G69*D69*1.025*(1+EscalatorInLease)^10,IF(I69="Market",Retention*G69*D69*(1+EscalatorInLease)^(10+M69)+(1-Retention)*H69*D69*(1+GrowthMarketRent)^10*IF(INT((DATE(2026+10,10,31)-F69)/365.25)=0,(12-DowntimeNew)/12,1),IF(I69="LeaseUp",H69*D69*(1+GrowthMarketRent)^10*IF(10=0,(12-DowntimeNew)/12,1),0)))),((F69-DATE(2026+10,5,1))/365.25)*G69*D69*(1+EscalatorInLease)^(10+M69)+((DATE(2027+10,4,30)-F69)/365.25)*IF(I69="Vacate",H69*D69*(1+GrowthMarketRent)^10*IF(INT((DATE(2026+10,10,31)-F69)/365.25)=0,(12-DowntimeNew)/12,1),IF(I69="Option",G69*D69*1.025*(1+EscalatorInLease)^10,IF(I69="Market",Retention*G69*D69*(1+EscalatorInLease)^(10+M69)+(1-Retention)*H69*D69*(1+GrowthMarketRent)^10*IF(INT((DATE(2026+10,10,31)-F69)/365.25)=0,(12-DowntimeNew)/12,1),IF(I69="LeaseUp",H69*D69*(1+GrowthMarketRent)^10*IF(10=0,(12-DowntimeNew)/12,1),0)))))))),0)</f>
        <v/>
      </c>
      <c r="Y69" s="14">
        <f>IFERROR(IF(AND(I69="LeaseUp",0=0),(IF(I69="Vacate",TINew*D69,IF(I69="Market",Retention*TIRenewal*D69+(1-Retention)*TINew*D69,IF(I69="LeaseUp",TINew*D69,IF(I69="Option",TIRenewal*D69,0)))))+(IF(I69="Vacate",LCNew*H69*D69*(1+GrowthMarketRent)^0,IF(I69="Market",Retention*LCRenewal*H69*D69*(1+GrowthMarketRent)^0+(1-Retention)*LCNew*H69*D69*(1+GrowthMarketRent)^0,IF(I69="LeaseUp",LCNew*H69*D69*(1+GrowthMarketRent)^0,IF(I69="Option",LCRenewal*H69*D69*(1+GrowthMarketRent)^0,0))))),IF(F69="",0,IF(AND(F69&gt;=DATE(2026+0,5,1),F69&lt;=DATE(2027+0,4,30)),(IF(I69="Vacate",TINew*D69,IF(I69="Market",Retention*TIRenewal*D69+(1-Retention)*TINew*D69,IF(I69="LeaseUp",TINew*D69,IF(I69="Option",TIRenewal*D69,0)))))+(IF(I69="Vacate",LCNew*H69*D69*(1+GrowthMarketRent)^0,IF(I69="Market",Retention*LCRenewal*H69*D69*(1+GrowthMarketRent)^0+(1-Retention)*LCNew*H69*D69*(1+GrowthMarketRent)^0,IF(I69="LeaseUp",LCNew*H69*D69*(1+GrowthMarketRent)^0,IF(I69="Option",LCRenewal*H69*D69*(1+GrowthMarketRent)^0,0))))),0))),0)</f>
        <v/>
      </c>
      <c r="Z69" s="14">
        <f>IFERROR(IF(AND(I69="LeaseUp",1=0),(IF(I69="Vacate",TINew*D69,IF(I69="Market",Retention*TIRenewal*D69+(1-Retention)*TINew*D69,IF(I69="LeaseUp",TINew*D69,IF(I69="Option",TIRenewal*D69,0)))))+(IF(I69="Vacate",LCNew*H69*D69*(1+GrowthMarketRent)^1,IF(I69="Market",Retention*LCRenewal*H69*D69*(1+GrowthMarketRent)^1+(1-Retention)*LCNew*H69*D69*(1+GrowthMarketRent)^1,IF(I69="LeaseUp",LCNew*H69*D69*(1+GrowthMarketRent)^1,IF(I69="Option",LCRenewal*H69*D69*(1+GrowthMarketRent)^1,0))))),IF(F69="",0,IF(AND(F69&gt;=DATE(2026+1,5,1),F69&lt;=DATE(2027+1,4,30)),(IF(I69="Vacate",TINew*D69,IF(I69="Market",Retention*TIRenewal*D69+(1-Retention)*TINew*D69,IF(I69="LeaseUp",TINew*D69,IF(I69="Option",TIRenewal*D69,0)))))+(IF(I69="Vacate",LCNew*H69*D69*(1+GrowthMarketRent)^1,IF(I69="Market",Retention*LCRenewal*H69*D69*(1+GrowthMarketRent)^1+(1-Retention)*LCNew*H69*D69*(1+GrowthMarketRent)^1,IF(I69="LeaseUp",LCNew*H69*D69*(1+GrowthMarketRent)^1,IF(I69="Option",LCRenewal*H69*D69*(1+GrowthMarketRent)^1,0))))),0))),0)</f>
        <v/>
      </c>
      <c r="AA69" s="14">
        <f>IFERROR(IF(AND(I69="LeaseUp",2=0),(IF(I69="Vacate",TINew*D69,IF(I69="Market",Retention*TIRenewal*D69+(1-Retention)*TINew*D69,IF(I69="LeaseUp",TINew*D69,IF(I69="Option",TIRenewal*D69,0)))))+(IF(I69="Vacate",LCNew*H69*D69*(1+GrowthMarketRent)^2,IF(I69="Market",Retention*LCRenewal*H69*D69*(1+GrowthMarketRent)^2+(1-Retention)*LCNew*H69*D69*(1+GrowthMarketRent)^2,IF(I69="LeaseUp",LCNew*H69*D69*(1+GrowthMarketRent)^2,IF(I69="Option",LCRenewal*H69*D69*(1+GrowthMarketRent)^2,0))))),IF(F69="",0,IF(AND(F69&gt;=DATE(2026+2,5,1),F69&lt;=DATE(2027+2,4,30)),(IF(I69="Vacate",TINew*D69,IF(I69="Market",Retention*TIRenewal*D69+(1-Retention)*TINew*D69,IF(I69="LeaseUp",TINew*D69,IF(I69="Option",TIRenewal*D69,0)))))+(IF(I69="Vacate",LCNew*H69*D69*(1+GrowthMarketRent)^2,IF(I69="Market",Retention*LCRenewal*H69*D69*(1+GrowthMarketRent)^2+(1-Retention)*LCNew*H69*D69*(1+GrowthMarketRent)^2,IF(I69="LeaseUp",LCNew*H69*D69*(1+GrowthMarketRent)^2,IF(I69="Option",LCRenewal*H69*D69*(1+GrowthMarketRent)^2,0))))),0))),0)</f>
        <v/>
      </c>
      <c r="AB69" s="14">
        <f>IFERROR(IF(AND(I69="LeaseUp",3=0),(IF(I69="Vacate",TINew*D69,IF(I69="Market",Retention*TIRenewal*D69+(1-Retention)*TINew*D69,IF(I69="LeaseUp",TINew*D69,IF(I69="Option",TIRenewal*D69,0)))))+(IF(I69="Vacate",LCNew*H69*D69*(1+GrowthMarketRent)^3,IF(I69="Market",Retention*LCRenewal*H69*D69*(1+GrowthMarketRent)^3+(1-Retention)*LCNew*H69*D69*(1+GrowthMarketRent)^3,IF(I69="LeaseUp",LCNew*H69*D69*(1+GrowthMarketRent)^3,IF(I69="Option",LCRenewal*H69*D69*(1+GrowthMarketRent)^3,0))))),IF(F69="",0,IF(AND(F69&gt;=DATE(2026+3,5,1),F69&lt;=DATE(2027+3,4,30)),(IF(I69="Vacate",TINew*D69,IF(I69="Market",Retention*TIRenewal*D69+(1-Retention)*TINew*D69,IF(I69="LeaseUp",TINew*D69,IF(I69="Option",TIRenewal*D69,0)))))+(IF(I69="Vacate",LCNew*H69*D69*(1+GrowthMarketRent)^3,IF(I69="Market",Retention*LCRenewal*H69*D69*(1+GrowthMarketRent)^3+(1-Retention)*LCNew*H69*D69*(1+GrowthMarketRent)^3,IF(I69="LeaseUp",LCNew*H69*D69*(1+GrowthMarketRent)^3,IF(I69="Option",LCRenewal*H69*D69*(1+GrowthMarketRent)^3,0))))),0))),0)</f>
        <v/>
      </c>
      <c r="AC69" s="14">
        <f>IFERROR(IF(AND(I69="LeaseUp",4=0),(IF(I69="Vacate",TINew*D69,IF(I69="Market",Retention*TIRenewal*D69+(1-Retention)*TINew*D69,IF(I69="LeaseUp",TINew*D69,IF(I69="Option",TIRenewal*D69,0)))))+(IF(I69="Vacate",LCNew*H69*D69*(1+GrowthMarketRent)^4,IF(I69="Market",Retention*LCRenewal*H69*D69*(1+GrowthMarketRent)^4+(1-Retention)*LCNew*H69*D69*(1+GrowthMarketRent)^4,IF(I69="LeaseUp",LCNew*H69*D69*(1+GrowthMarketRent)^4,IF(I69="Option",LCRenewal*H69*D69*(1+GrowthMarketRent)^4,0))))),IF(F69="",0,IF(AND(F69&gt;=DATE(2026+4,5,1),F69&lt;=DATE(2027+4,4,30)),(IF(I69="Vacate",TINew*D69,IF(I69="Market",Retention*TIRenewal*D69+(1-Retention)*TINew*D69,IF(I69="LeaseUp",TINew*D69,IF(I69="Option",TIRenewal*D69,0)))))+(IF(I69="Vacate",LCNew*H69*D69*(1+GrowthMarketRent)^4,IF(I69="Market",Retention*LCRenewal*H69*D69*(1+GrowthMarketRent)^4+(1-Retention)*LCNew*H69*D69*(1+GrowthMarketRent)^4,IF(I69="LeaseUp",LCNew*H69*D69*(1+GrowthMarketRent)^4,IF(I69="Option",LCRenewal*H69*D69*(1+GrowthMarketRent)^4,0))))),0))),0)</f>
        <v/>
      </c>
      <c r="AD69" s="14">
        <f>IFERROR(IF(AND(I69="LeaseUp",5=0),(IF(I69="Vacate",TINew*D69,IF(I69="Market",Retention*TIRenewal*D69+(1-Retention)*TINew*D69,IF(I69="LeaseUp",TINew*D69,IF(I69="Option",TIRenewal*D69,0)))))+(IF(I69="Vacate",LCNew*H69*D69*(1+GrowthMarketRent)^5,IF(I69="Market",Retention*LCRenewal*H69*D69*(1+GrowthMarketRent)^5+(1-Retention)*LCNew*H69*D69*(1+GrowthMarketRent)^5,IF(I69="LeaseUp",LCNew*H69*D69*(1+GrowthMarketRent)^5,IF(I69="Option",LCRenewal*H69*D69*(1+GrowthMarketRent)^5,0))))),IF(F69="",0,IF(AND(F69&gt;=DATE(2026+5,5,1),F69&lt;=DATE(2027+5,4,30)),(IF(I69="Vacate",TINew*D69,IF(I69="Market",Retention*TIRenewal*D69+(1-Retention)*TINew*D69,IF(I69="LeaseUp",TINew*D69,IF(I69="Option",TIRenewal*D69,0)))))+(IF(I69="Vacate",LCNew*H69*D69*(1+GrowthMarketRent)^5,IF(I69="Market",Retention*LCRenewal*H69*D69*(1+GrowthMarketRent)^5+(1-Retention)*LCNew*H69*D69*(1+GrowthMarketRent)^5,IF(I69="LeaseUp",LCNew*H69*D69*(1+GrowthMarketRent)^5,IF(I69="Option",LCRenewal*H69*D69*(1+GrowthMarketRent)^5,0))))),0))),0)</f>
        <v/>
      </c>
      <c r="AE69" s="14">
        <f>IFERROR(IF(AND(I69="LeaseUp",6=0),(IF(I69="Vacate",TINew*D69,IF(I69="Market",Retention*TIRenewal*D69+(1-Retention)*TINew*D69,IF(I69="LeaseUp",TINew*D69,IF(I69="Option",TIRenewal*D69,0)))))+(IF(I69="Vacate",LCNew*H69*D69*(1+GrowthMarketRent)^6,IF(I69="Market",Retention*LCRenewal*H69*D69*(1+GrowthMarketRent)^6+(1-Retention)*LCNew*H69*D69*(1+GrowthMarketRent)^6,IF(I69="LeaseUp",LCNew*H69*D69*(1+GrowthMarketRent)^6,IF(I69="Option",LCRenewal*H69*D69*(1+GrowthMarketRent)^6,0))))),IF(F69="",0,IF(AND(F69&gt;=DATE(2026+6,5,1),F69&lt;=DATE(2027+6,4,30)),(IF(I69="Vacate",TINew*D69,IF(I69="Market",Retention*TIRenewal*D69+(1-Retention)*TINew*D69,IF(I69="LeaseUp",TINew*D69,IF(I69="Option",TIRenewal*D69,0)))))+(IF(I69="Vacate",LCNew*H69*D69*(1+GrowthMarketRent)^6,IF(I69="Market",Retention*LCRenewal*H69*D69*(1+GrowthMarketRent)^6+(1-Retention)*LCNew*H69*D69*(1+GrowthMarketRent)^6,IF(I69="LeaseUp",LCNew*H69*D69*(1+GrowthMarketRent)^6,IF(I69="Option",LCRenewal*H69*D69*(1+GrowthMarketRent)^6,0))))),0))),0)</f>
        <v/>
      </c>
      <c r="AF69" s="14">
        <f>IFERROR(IF(AND(I69="LeaseUp",7=0),(IF(I69="Vacate",TINew*D69,IF(I69="Market",Retention*TIRenewal*D69+(1-Retention)*TINew*D69,IF(I69="LeaseUp",TINew*D69,IF(I69="Option",TIRenewal*D69,0)))))+(IF(I69="Vacate",LCNew*H69*D69*(1+GrowthMarketRent)^7,IF(I69="Market",Retention*LCRenewal*H69*D69*(1+GrowthMarketRent)^7+(1-Retention)*LCNew*H69*D69*(1+GrowthMarketRent)^7,IF(I69="LeaseUp",LCNew*H69*D69*(1+GrowthMarketRent)^7,IF(I69="Option",LCRenewal*H69*D69*(1+GrowthMarketRent)^7,0))))),IF(F69="",0,IF(AND(F69&gt;=DATE(2026+7,5,1),F69&lt;=DATE(2027+7,4,30)),(IF(I69="Vacate",TINew*D69,IF(I69="Market",Retention*TIRenewal*D69+(1-Retention)*TINew*D69,IF(I69="LeaseUp",TINew*D69,IF(I69="Option",TIRenewal*D69,0)))))+(IF(I69="Vacate",LCNew*H69*D69*(1+GrowthMarketRent)^7,IF(I69="Market",Retention*LCRenewal*H69*D69*(1+GrowthMarketRent)^7+(1-Retention)*LCNew*H69*D69*(1+GrowthMarketRent)^7,IF(I69="LeaseUp",LCNew*H69*D69*(1+GrowthMarketRent)^7,IF(I69="Option",LCRenewal*H69*D69*(1+GrowthMarketRent)^7,0))))),0))),0)</f>
        <v/>
      </c>
      <c r="AG69" s="14">
        <f>IFERROR(IF(AND(I69="LeaseUp",8=0),(IF(I69="Vacate",TINew*D69,IF(I69="Market",Retention*TIRenewal*D69+(1-Retention)*TINew*D69,IF(I69="LeaseUp",TINew*D69,IF(I69="Option",TIRenewal*D69,0)))))+(IF(I69="Vacate",LCNew*H69*D69*(1+GrowthMarketRent)^8,IF(I69="Market",Retention*LCRenewal*H69*D69*(1+GrowthMarketRent)^8+(1-Retention)*LCNew*H69*D69*(1+GrowthMarketRent)^8,IF(I69="LeaseUp",LCNew*H69*D69*(1+GrowthMarketRent)^8,IF(I69="Option",LCRenewal*H69*D69*(1+GrowthMarketRent)^8,0))))),IF(F69="",0,IF(AND(F69&gt;=DATE(2026+8,5,1),F69&lt;=DATE(2027+8,4,30)),(IF(I69="Vacate",TINew*D69,IF(I69="Market",Retention*TIRenewal*D69+(1-Retention)*TINew*D69,IF(I69="LeaseUp",TINew*D69,IF(I69="Option",TIRenewal*D69,0)))))+(IF(I69="Vacate",LCNew*H69*D69*(1+GrowthMarketRent)^8,IF(I69="Market",Retention*LCRenewal*H69*D69*(1+GrowthMarketRent)^8+(1-Retention)*LCNew*H69*D69*(1+GrowthMarketRent)^8,IF(I69="LeaseUp",LCNew*H69*D69*(1+GrowthMarketRent)^8,IF(I69="Option",LCRenewal*H69*D69*(1+GrowthMarketRent)^8,0))))),0))),0)</f>
        <v/>
      </c>
      <c r="AH69" s="14">
        <f>IFERROR(IF(AND(I69="LeaseUp",9=0),(IF(I69="Vacate",TINew*D69,IF(I69="Market",Retention*TIRenewal*D69+(1-Retention)*TINew*D69,IF(I69="LeaseUp",TINew*D69,IF(I69="Option",TIRenewal*D69,0)))))+(IF(I69="Vacate",LCNew*H69*D69*(1+GrowthMarketRent)^9,IF(I69="Market",Retention*LCRenewal*H69*D69*(1+GrowthMarketRent)^9+(1-Retention)*LCNew*H69*D69*(1+GrowthMarketRent)^9,IF(I69="LeaseUp",LCNew*H69*D69*(1+GrowthMarketRent)^9,IF(I69="Option",LCRenewal*H69*D69*(1+GrowthMarketRent)^9,0))))),IF(F69="",0,IF(AND(F69&gt;=DATE(2026+9,5,1),F69&lt;=DATE(2027+9,4,30)),(IF(I69="Vacate",TINew*D69,IF(I69="Market",Retention*TIRenewal*D69+(1-Retention)*TINew*D69,IF(I69="LeaseUp",TINew*D69,IF(I69="Option",TIRenewal*D69,0)))))+(IF(I69="Vacate",LCNew*H69*D69*(1+GrowthMarketRent)^9,IF(I69="Market",Retention*LCRenewal*H69*D69*(1+GrowthMarketRent)^9+(1-Retention)*LCNew*H69*D69*(1+GrowthMarketRent)^9,IF(I69="LeaseUp",LCNew*H69*D69*(1+GrowthMarketRent)^9,IF(I69="Option",LCRenewal*H69*D69*(1+GrowthMarketRent)^9,0))))),0))),0)</f>
        <v/>
      </c>
      <c r="AI69" s="14">
        <f>IFERROR(IF(AND(I69="LeaseUp",10=0),(IF(I69="Vacate",TINew*D69,IF(I69="Market",Retention*TIRenewal*D69+(1-Retention)*TINew*D69,IF(I69="LeaseUp",TINew*D69,IF(I69="Option",TIRenewal*D69,0)))))+(IF(I69="Vacate",LCNew*H69*D69*(1+GrowthMarketRent)^10,IF(I69="Market",Retention*LCRenewal*H69*D69*(1+GrowthMarketRent)^10+(1-Retention)*LCNew*H69*D69*(1+GrowthMarketRent)^10,IF(I69="LeaseUp",LCNew*H69*D69*(1+GrowthMarketRent)^10,IF(I69="Option",LCRenewal*H69*D69*(1+GrowthMarketRent)^10,0))))),IF(F69="",0,IF(AND(F69&gt;=DATE(2026+10,5,1),F69&lt;=DATE(2027+10,4,30)),(IF(I69="Vacate",TINew*D69,IF(I69="Market",Retention*TIRenewal*D69+(1-Retention)*TINew*D69,IF(I69="LeaseUp",TINew*D69,IF(I69="Option",TIRenewal*D69,0)))))+(IF(I69="Vacate",LCNew*H69*D69*(1+GrowthMarketRent)^10,IF(I69="Market",Retention*LCRenewal*H69*D69*(1+GrowthMarketRent)^10+(1-Retention)*LCNew*H69*D69*(1+GrowthMarketRent)^10,IF(I69="LeaseUp",LCNew*H69*D69*(1+GrowthMarketRent)^10,IF(I69="Option",LCRenewal*H69*D69*(1+GrowthMarketRent)^10,0))))),0))),0)</f>
        <v/>
      </c>
    </row>
    <row r="70">
      <c r="A70" t="inlineStr">
        <is>
          <t>Mesquite</t>
        </is>
      </c>
      <c r="B70" t="inlineStr">
        <is>
          <t>102</t>
        </is>
      </c>
      <c r="C70" t="inlineStr">
        <is>
          <t>Laguna Looks LLC</t>
        </is>
      </c>
      <c r="D70" s="32" t="n">
        <v>2600</v>
      </c>
      <c r="E70" s="33" t="n">
        <v>45566</v>
      </c>
      <c r="F70" s="33" t="n">
        <v>46813</v>
      </c>
      <c r="G70" s="34" t="n">
        <v>15.375</v>
      </c>
      <c r="H70" s="16">
        <f>VLOOKUP(A70,MLA!$A$5:$L$11,3,FALSE)</f>
        <v/>
      </c>
      <c r="I70" s="11" t="inlineStr">
        <is>
          <t>Option</t>
        </is>
      </c>
      <c r="J70" t="inlineStr">
        <is>
          <t>Shop</t>
        </is>
      </c>
      <c r="K70" t="inlineStr">
        <is>
          <t>Occupied</t>
        </is>
      </c>
      <c r="L70" t="inlineStr">
        <is>
          <t>Shop; Guarantor: Tyler Gilroyed; Two 3yr options @ FMV</t>
        </is>
      </c>
      <c r="M70" s="20">
        <f>IF(E70="",0,(AnalysisStart-E70)/365.25)</f>
        <v/>
      </c>
      <c r="N70" s="14">
        <f>IFERROR(IF(I70="LeaseUp",H70*D70*(1+GrowthMarketRent)^0*IF(0=0,(12-DowntimeNew)/12,1),IF(F70="",0,IF(F70&gt;=DATE(2027+0,4,30),G70*D70*(1+EscalatorInLease)^(0+M70),IF(F70&lt;DATE(2026+0,5,1),IF(I70="Vacate",H70*D70*(1+GrowthMarketRent)^0*IF(INT((DATE(2026+0,10,31)-F70)/365.25)=0,(12-DowntimeNew)/12,1),IF(I70="Option",G70*D70*1.025*(1+EscalatorInLease)^0,IF(I70="Market",Retention*G70*D70*(1+EscalatorInLease)^(0+M70)+(1-Retention)*H70*D70*(1+GrowthMarketRent)^0*IF(INT((DATE(2026+0,10,31)-F70)/365.25)=0,(12-DowntimeNew)/12,1),IF(I70="LeaseUp",H70*D70*(1+GrowthMarketRent)^0*IF(0=0,(12-DowntimeNew)/12,1),0)))),((F70-DATE(2026+0,5,1))/365.25)*G70*D70*(1+EscalatorInLease)^(0+M70)+((DATE(2027+0,4,30)-F70)/365.25)*IF(I70="Vacate",H70*D70*(1+GrowthMarketRent)^0*IF(INT((DATE(2026+0,10,31)-F70)/365.25)=0,(12-DowntimeNew)/12,1),IF(I70="Option",G70*D70*1.025*(1+EscalatorInLease)^0,IF(I70="Market",Retention*G70*D70*(1+EscalatorInLease)^(0+M70)+(1-Retention)*H70*D70*(1+GrowthMarketRent)^0*IF(INT((DATE(2026+0,10,31)-F70)/365.25)=0,(12-DowntimeNew)/12,1),IF(I70="LeaseUp",H70*D70*(1+GrowthMarketRent)^0*IF(0=0,(12-DowntimeNew)/12,1),0)))))))),0)</f>
        <v/>
      </c>
      <c r="O70" s="14">
        <f>IFERROR(IF(I70="LeaseUp",H70*D70*(1+GrowthMarketRent)^1*IF(1=0,(12-DowntimeNew)/12,1),IF(F70="",0,IF(F70&gt;=DATE(2027+1,4,30),G70*D70*(1+EscalatorInLease)^(1+M70),IF(F70&lt;DATE(2026+1,5,1),IF(I70="Vacate",H70*D70*(1+GrowthMarketRent)^1*IF(INT((DATE(2026+1,10,31)-F70)/365.25)=0,(12-DowntimeNew)/12,1),IF(I70="Option",G70*D70*1.025*(1+EscalatorInLease)^1,IF(I70="Market",Retention*G70*D70*(1+EscalatorInLease)^(1+M70)+(1-Retention)*H70*D70*(1+GrowthMarketRent)^1*IF(INT((DATE(2026+1,10,31)-F70)/365.25)=0,(12-DowntimeNew)/12,1),IF(I70="LeaseUp",H70*D70*(1+GrowthMarketRent)^1*IF(1=0,(12-DowntimeNew)/12,1),0)))),((F70-DATE(2026+1,5,1))/365.25)*G70*D70*(1+EscalatorInLease)^(1+M70)+((DATE(2027+1,4,30)-F70)/365.25)*IF(I70="Vacate",H70*D70*(1+GrowthMarketRent)^1*IF(INT((DATE(2026+1,10,31)-F70)/365.25)=0,(12-DowntimeNew)/12,1),IF(I70="Option",G70*D70*1.025*(1+EscalatorInLease)^1,IF(I70="Market",Retention*G70*D70*(1+EscalatorInLease)^(1+M70)+(1-Retention)*H70*D70*(1+GrowthMarketRent)^1*IF(INT((DATE(2026+1,10,31)-F70)/365.25)=0,(12-DowntimeNew)/12,1),IF(I70="LeaseUp",H70*D70*(1+GrowthMarketRent)^1*IF(1=0,(12-DowntimeNew)/12,1),0)))))))),0)</f>
        <v/>
      </c>
      <c r="P70" s="14">
        <f>IFERROR(IF(I70="LeaseUp",H70*D70*(1+GrowthMarketRent)^2*IF(2=0,(12-DowntimeNew)/12,1),IF(F70="",0,IF(F70&gt;=DATE(2027+2,4,30),G70*D70*(1+EscalatorInLease)^(2+M70),IF(F70&lt;DATE(2026+2,5,1),IF(I70="Vacate",H70*D70*(1+GrowthMarketRent)^2*IF(INT((DATE(2026+2,10,31)-F70)/365.25)=0,(12-DowntimeNew)/12,1),IF(I70="Option",G70*D70*1.025*(1+EscalatorInLease)^2,IF(I70="Market",Retention*G70*D70*(1+EscalatorInLease)^(2+M70)+(1-Retention)*H70*D70*(1+GrowthMarketRent)^2*IF(INT((DATE(2026+2,10,31)-F70)/365.25)=0,(12-DowntimeNew)/12,1),IF(I70="LeaseUp",H70*D70*(1+GrowthMarketRent)^2*IF(2=0,(12-DowntimeNew)/12,1),0)))),((F70-DATE(2026+2,5,1))/365.25)*G70*D70*(1+EscalatorInLease)^(2+M70)+((DATE(2027+2,4,30)-F70)/365.25)*IF(I70="Vacate",H70*D70*(1+GrowthMarketRent)^2*IF(INT((DATE(2026+2,10,31)-F70)/365.25)=0,(12-DowntimeNew)/12,1),IF(I70="Option",G70*D70*1.025*(1+EscalatorInLease)^2,IF(I70="Market",Retention*G70*D70*(1+EscalatorInLease)^(2+M70)+(1-Retention)*H70*D70*(1+GrowthMarketRent)^2*IF(INT((DATE(2026+2,10,31)-F70)/365.25)=0,(12-DowntimeNew)/12,1),IF(I70="LeaseUp",H70*D70*(1+GrowthMarketRent)^2*IF(2=0,(12-DowntimeNew)/12,1),0)))))))),0)</f>
        <v/>
      </c>
      <c r="Q70" s="14">
        <f>IFERROR(IF(I70="LeaseUp",H70*D70*(1+GrowthMarketRent)^3*IF(3=0,(12-DowntimeNew)/12,1),IF(F70="",0,IF(F70&gt;=DATE(2027+3,4,30),G70*D70*(1+EscalatorInLease)^(3+M70),IF(F70&lt;DATE(2026+3,5,1),IF(I70="Vacate",H70*D70*(1+GrowthMarketRent)^3*IF(INT((DATE(2026+3,10,31)-F70)/365.25)=0,(12-DowntimeNew)/12,1),IF(I70="Option",G70*D70*1.025*(1+EscalatorInLease)^3,IF(I70="Market",Retention*G70*D70*(1+EscalatorInLease)^(3+M70)+(1-Retention)*H70*D70*(1+GrowthMarketRent)^3*IF(INT((DATE(2026+3,10,31)-F70)/365.25)=0,(12-DowntimeNew)/12,1),IF(I70="LeaseUp",H70*D70*(1+GrowthMarketRent)^3*IF(3=0,(12-DowntimeNew)/12,1),0)))),((F70-DATE(2026+3,5,1))/365.25)*G70*D70*(1+EscalatorInLease)^(3+M70)+((DATE(2027+3,4,30)-F70)/365.25)*IF(I70="Vacate",H70*D70*(1+GrowthMarketRent)^3*IF(INT((DATE(2026+3,10,31)-F70)/365.25)=0,(12-DowntimeNew)/12,1),IF(I70="Option",G70*D70*1.025*(1+EscalatorInLease)^3,IF(I70="Market",Retention*G70*D70*(1+EscalatorInLease)^(3+M70)+(1-Retention)*H70*D70*(1+GrowthMarketRent)^3*IF(INT((DATE(2026+3,10,31)-F70)/365.25)=0,(12-DowntimeNew)/12,1),IF(I70="LeaseUp",H70*D70*(1+GrowthMarketRent)^3*IF(3=0,(12-DowntimeNew)/12,1),0)))))))),0)</f>
        <v/>
      </c>
      <c r="R70" s="14">
        <f>IFERROR(IF(I70="LeaseUp",H70*D70*(1+GrowthMarketRent)^4*IF(4=0,(12-DowntimeNew)/12,1),IF(F70="",0,IF(F70&gt;=DATE(2027+4,4,30),G70*D70*(1+EscalatorInLease)^(4+M70),IF(F70&lt;DATE(2026+4,5,1),IF(I70="Vacate",H70*D70*(1+GrowthMarketRent)^4*IF(INT((DATE(2026+4,10,31)-F70)/365.25)=0,(12-DowntimeNew)/12,1),IF(I70="Option",G70*D70*1.025*(1+EscalatorInLease)^4,IF(I70="Market",Retention*G70*D70*(1+EscalatorInLease)^(4+M70)+(1-Retention)*H70*D70*(1+GrowthMarketRent)^4*IF(INT((DATE(2026+4,10,31)-F70)/365.25)=0,(12-DowntimeNew)/12,1),IF(I70="LeaseUp",H70*D70*(1+GrowthMarketRent)^4*IF(4=0,(12-DowntimeNew)/12,1),0)))),((F70-DATE(2026+4,5,1))/365.25)*G70*D70*(1+EscalatorInLease)^(4+M70)+((DATE(2027+4,4,30)-F70)/365.25)*IF(I70="Vacate",H70*D70*(1+GrowthMarketRent)^4*IF(INT((DATE(2026+4,10,31)-F70)/365.25)=0,(12-DowntimeNew)/12,1),IF(I70="Option",G70*D70*1.025*(1+EscalatorInLease)^4,IF(I70="Market",Retention*G70*D70*(1+EscalatorInLease)^(4+M70)+(1-Retention)*H70*D70*(1+GrowthMarketRent)^4*IF(INT((DATE(2026+4,10,31)-F70)/365.25)=0,(12-DowntimeNew)/12,1),IF(I70="LeaseUp",H70*D70*(1+GrowthMarketRent)^4*IF(4=0,(12-DowntimeNew)/12,1),0)))))))),0)</f>
        <v/>
      </c>
      <c r="S70" s="14">
        <f>IFERROR(IF(I70="LeaseUp",H70*D70*(1+GrowthMarketRent)^5*IF(5=0,(12-DowntimeNew)/12,1),IF(F70="",0,IF(F70&gt;=DATE(2027+5,4,30),G70*D70*(1+EscalatorInLease)^(5+M70),IF(F70&lt;DATE(2026+5,5,1),IF(I70="Vacate",H70*D70*(1+GrowthMarketRent)^5*IF(INT((DATE(2026+5,10,31)-F70)/365.25)=0,(12-DowntimeNew)/12,1),IF(I70="Option",G70*D70*1.025*(1+EscalatorInLease)^5,IF(I70="Market",Retention*G70*D70*(1+EscalatorInLease)^(5+M70)+(1-Retention)*H70*D70*(1+GrowthMarketRent)^5*IF(INT((DATE(2026+5,10,31)-F70)/365.25)=0,(12-DowntimeNew)/12,1),IF(I70="LeaseUp",H70*D70*(1+GrowthMarketRent)^5*IF(5=0,(12-DowntimeNew)/12,1),0)))),((F70-DATE(2026+5,5,1))/365.25)*G70*D70*(1+EscalatorInLease)^(5+M70)+((DATE(2027+5,4,30)-F70)/365.25)*IF(I70="Vacate",H70*D70*(1+GrowthMarketRent)^5*IF(INT((DATE(2026+5,10,31)-F70)/365.25)=0,(12-DowntimeNew)/12,1),IF(I70="Option",G70*D70*1.025*(1+EscalatorInLease)^5,IF(I70="Market",Retention*G70*D70*(1+EscalatorInLease)^(5+M70)+(1-Retention)*H70*D70*(1+GrowthMarketRent)^5*IF(INT((DATE(2026+5,10,31)-F70)/365.25)=0,(12-DowntimeNew)/12,1),IF(I70="LeaseUp",H70*D70*(1+GrowthMarketRent)^5*IF(5=0,(12-DowntimeNew)/12,1),0)))))))),0)</f>
        <v/>
      </c>
      <c r="T70" s="14">
        <f>IFERROR(IF(I70="LeaseUp",H70*D70*(1+GrowthMarketRent)^6*IF(6=0,(12-DowntimeNew)/12,1),IF(F70="",0,IF(F70&gt;=DATE(2027+6,4,30),G70*D70*(1+EscalatorInLease)^(6+M70),IF(F70&lt;DATE(2026+6,5,1),IF(I70="Vacate",H70*D70*(1+GrowthMarketRent)^6*IF(INT((DATE(2026+6,10,31)-F70)/365.25)=0,(12-DowntimeNew)/12,1),IF(I70="Option",G70*D70*1.025*(1+EscalatorInLease)^6,IF(I70="Market",Retention*G70*D70*(1+EscalatorInLease)^(6+M70)+(1-Retention)*H70*D70*(1+GrowthMarketRent)^6*IF(INT((DATE(2026+6,10,31)-F70)/365.25)=0,(12-DowntimeNew)/12,1),IF(I70="LeaseUp",H70*D70*(1+GrowthMarketRent)^6*IF(6=0,(12-DowntimeNew)/12,1),0)))),((F70-DATE(2026+6,5,1))/365.25)*G70*D70*(1+EscalatorInLease)^(6+M70)+((DATE(2027+6,4,30)-F70)/365.25)*IF(I70="Vacate",H70*D70*(1+GrowthMarketRent)^6*IF(INT((DATE(2026+6,10,31)-F70)/365.25)=0,(12-DowntimeNew)/12,1),IF(I70="Option",G70*D70*1.025*(1+EscalatorInLease)^6,IF(I70="Market",Retention*G70*D70*(1+EscalatorInLease)^(6+M70)+(1-Retention)*H70*D70*(1+GrowthMarketRent)^6*IF(INT((DATE(2026+6,10,31)-F70)/365.25)=0,(12-DowntimeNew)/12,1),IF(I70="LeaseUp",H70*D70*(1+GrowthMarketRent)^6*IF(6=0,(12-DowntimeNew)/12,1),0)))))))),0)</f>
        <v/>
      </c>
      <c r="U70" s="14">
        <f>IFERROR(IF(I70="LeaseUp",H70*D70*(1+GrowthMarketRent)^7*IF(7=0,(12-DowntimeNew)/12,1),IF(F70="",0,IF(F70&gt;=DATE(2027+7,4,30),G70*D70*(1+EscalatorInLease)^(7+M70),IF(F70&lt;DATE(2026+7,5,1),IF(I70="Vacate",H70*D70*(1+GrowthMarketRent)^7*IF(INT((DATE(2026+7,10,31)-F70)/365.25)=0,(12-DowntimeNew)/12,1),IF(I70="Option",G70*D70*1.025*(1+EscalatorInLease)^7,IF(I70="Market",Retention*G70*D70*(1+EscalatorInLease)^(7+M70)+(1-Retention)*H70*D70*(1+GrowthMarketRent)^7*IF(INT((DATE(2026+7,10,31)-F70)/365.25)=0,(12-DowntimeNew)/12,1),IF(I70="LeaseUp",H70*D70*(1+GrowthMarketRent)^7*IF(7=0,(12-DowntimeNew)/12,1),0)))),((F70-DATE(2026+7,5,1))/365.25)*G70*D70*(1+EscalatorInLease)^(7+M70)+((DATE(2027+7,4,30)-F70)/365.25)*IF(I70="Vacate",H70*D70*(1+GrowthMarketRent)^7*IF(INT((DATE(2026+7,10,31)-F70)/365.25)=0,(12-DowntimeNew)/12,1),IF(I70="Option",G70*D70*1.025*(1+EscalatorInLease)^7,IF(I70="Market",Retention*G70*D70*(1+EscalatorInLease)^(7+M70)+(1-Retention)*H70*D70*(1+GrowthMarketRent)^7*IF(INT((DATE(2026+7,10,31)-F70)/365.25)=0,(12-DowntimeNew)/12,1),IF(I70="LeaseUp",H70*D70*(1+GrowthMarketRent)^7*IF(7=0,(12-DowntimeNew)/12,1),0)))))))),0)</f>
        <v/>
      </c>
      <c r="V70" s="14">
        <f>IFERROR(IF(I70="LeaseUp",H70*D70*(1+GrowthMarketRent)^8*IF(8=0,(12-DowntimeNew)/12,1),IF(F70="",0,IF(F70&gt;=DATE(2027+8,4,30),G70*D70*(1+EscalatorInLease)^(8+M70),IF(F70&lt;DATE(2026+8,5,1),IF(I70="Vacate",H70*D70*(1+GrowthMarketRent)^8*IF(INT((DATE(2026+8,10,31)-F70)/365.25)=0,(12-DowntimeNew)/12,1),IF(I70="Option",G70*D70*1.025*(1+EscalatorInLease)^8,IF(I70="Market",Retention*G70*D70*(1+EscalatorInLease)^(8+M70)+(1-Retention)*H70*D70*(1+GrowthMarketRent)^8*IF(INT((DATE(2026+8,10,31)-F70)/365.25)=0,(12-DowntimeNew)/12,1),IF(I70="LeaseUp",H70*D70*(1+GrowthMarketRent)^8*IF(8=0,(12-DowntimeNew)/12,1),0)))),((F70-DATE(2026+8,5,1))/365.25)*G70*D70*(1+EscalatorInLease)^(8+M70)+((DATE(2027+8,4,30)-F70)/365.25)*IF(I70="Vacate",H70*D70*(1+GrowthMarketRent)^8*IF(INT((DATE(2026+8,10,31)-F70)/365.25)=0,(12-DowntimeNew)/12,1),IF(I70="Option",G70*D70*1.025*(1+EscalatorInLease)^8,IF(I70="Market",Retention*G70*D70*(1+EscalatorInLease)^(8+M70)+(1-Retention)*H70*D70*(1+GrowthMarketRent)^8*IF(INT((DATE(2026+8,10,31)-F70)/365.25)=0,(12-DowntimeNew)/12,1),IF(I70="LeaseUp",H70*D70*(1+GrowthMarketRent)^8*IF(8=0,(12-DowntimeNew)/12,1),0)))))))),0)</f>
        <v/>
      </c>
      <c r="W70" s="14">
        <f>IFERROR(IF(I70="LeaseUp",H70*D70*(1+GrowthMarketRent)^9*IF(9=0,(12-DowntimeNew)/12,1),IF(F70="",0,IF(F70&gt;=DATE(2027+9,4,30),G70*D70*(1+EscalatorInLease)^(9+M70),IF(F70&lt;DATE(2026+9,5,1),IF(I70="Vacate",H70*D70*(1+GrowthMarketRent)^9*IF(INT((DATE(2026+9,10,31)-F70)/365.25)=0,(12-DowntimeNew)/12,1),IF(I70="Option",G70*D70*1.025*(1+EscalatorInLease)^9,IF(I70="Market",Retention*G70*D70*(1+EscalatorInLease)^(9+M70)+(1-Retention)*H70*D70*(1+GrowthMarketRent)^9*IF(INT((DATE(2026+9,10,31)-F70)/365.25)=0,(12-DowntimeNew)/12,1),IF(I70="LeaseUp",H70*D70*(1+GrowthMarketRent)^9*IF(9=0,(12-DowntimeNew)/12,1),0)))),((F70-DATE(2026+9,5,1))/365.25)*G70*D70*(1+EscalatorInLease)^(9+M70)+((DATE(2027+9,4,30)-F70)/365.25)*IF(I70="Vacate",H70*D70*(1+GrowthMarketRent)^9*IF(INT((DATE(2026+9,10,31)-F70)/365.25)=0,(12-DowntimeNew)/12,1),IF(I70="Option",G70*D70*1.025*(1+EscalatorInLease)^9,IF(I70="Market",Retention*G70*D70*(1+EscalatorInLease)^(9+M70)+(1-Retention)*H70*D70*(1+GrowthMarketRent)^9*IF(INT((DATE(2026+9,10,31)-F70)/365.25)=0,(12-DowntimeNew)/12,1),IF(I70="LeaseUp",H70*D70*(1+GrowthMarketRent)^9*IF(9=0,(12-DowntimeNew)/12,1),0)))))))),0)</f>
        <v/>
      </c>
      <c r="X70" s="14">
        <f>IFERROR(IF(I70="LeaseUp",H70*D70*(1+GrowthMarketRent)^10*IF(10=0,(12-DowntimeNew)/12,1),IF(F70="",0,IF(F70&gt;=DATE(2027+10,4,30),G70*D70*(1+EscalatorInLease)^(10+M70),IF(F70&lt;DATE(2026+10,5,1),IF(I70="Vacate",H70*D70*(1+GrowthMarketRent)^10*IF(INT((DATE(2026+10,10,31)-F70)/365.25)=0,(12-DowntimeNew)/12,1),IF(I70="Option",G70*D70*1.025*(1+EscalatorInLease)^10,IF(I70="Market",Retention*G70*D70*(1+EscalatorInLease)^(10+M70)+(1-Retention)*H70*D70*(1+GrowthMarketRent)^10*IF(INT((DATE(2026+10,10,31)-F70)/365.25)=0,(12-DowntimeNew)/12,1),IF(I70="LeaseUp",H70*D70*(1+GrowthMarketRent)^10*IF(10=0,(12-DowntimeNew)/12,1),0)))),((F70-DATE(2026+10,5,1))/365.25)*G70*D70*(1+EscalatorInLease)^(10+M70)+((DATE(2027+10,4,30)-F70)/365.25)*IF(I70="Vacate",H70*D70*(1+GrowthMarketRent)^10*IF(INT((DATE(2026+10,10,31)-F70)/365.25)=0,(12-DowntimeNew)/12,1),IF(I70="Option",G70*D70*1.025*(1+EscalatorInLease)^10,IF(I70="Market",Retention*G70*D70*(1+EscalatorInLease)^(10+M70)+(1-Retention)*H70*D70*(1+GrowthMarketRent)^10*IF(INT((DATE(2026+10,10,31)-F70)/365.25)=0,(12-DowntimeNew)/12,1),IF(I70="LeaseUp",H70*D70*(1+GrowthMarketRent)^10*IF(10=0,(12-DowntimeNew)/12,1),0)))))))),0)</f>
        <v/>
      </c>
      <c r="Y70" s="14">
        <f>IFERROR(IF(AND(I70="LeaseUp",0=0),(IF(I70="Vacate",TINew*D70,IF(I70="Market",Retention*TIRenewal*D70+(1-Retention)*TINew*D70,IF(I70="LeaseUp",TINew*D70,IF(I70="Option",TIRenewal*D70,0)))))+(IF(I70="Vacate",LCNew*H70*D70*(1+GrowthMarketRent)^0,IF(I70="Market",Retention*LCRenewal*H70*D70*(1+GrowthMarketRent)^0+(1-Retention)*LCNew*H70*D70*(1+GrowthMarketRent)^0,IF(I70="LeaseUp",LCNew*H70*D70*(1+GrowthMarketRent)^0,IF(I70="Option",LCRenewal*H70*D70*(1+GrowthMarketRent)^0,0))))),IF(F70="",0,IF(AND(F70&gt;=DATE(2026+0,5,1),F70&lt;=DATE(2027+0,4,30)),(IF(I70="Vacate",TINew*D70,IF(I70="Market",Retention*TIRenewal*D70+(1-Retention)*TINew*D70,IF(I70="LeaseUp",TINew*D70,IF(I70="Option",TIRenewal*D70,0)))))+(IF(I70="Vacate",LCNew*H70*D70*(1+GrowthMarketRent)^0,IF(I70="Market",Retention*LCRenewal*H70*D70*(1+GrowthMarketRent)^0+(1-Retention)*LCNew*H70*D70*(1+GrowthMarketRent)^0,IF(I70="LeaseUp",LCNew*H70*D70*(1+GrowthMarketRent)^0,IF(I70="Option",LCRenewal*H70*D70*(1+GrowthMarketRent)^0,0))))),0))),0)</f>
        <v/>
      </c>
      <c r="Z70" s="14">
        <f>IFERROR(IF(AND(I70="LeaseUp",1=0),(IF(I70="Vacate",TINew*D70,IF(I70="Market",Retention*TIRenewal*D70+(1-Retention)*TINew*D70,IF(I70="LeaseUp",TINew*D70,IF(I70="Option",TIRenewal*D70,0)))))+(IF(I70="Vacate",LCNew*H70*D70*(1+GrowthMarketRent)^1,IF(I70="Market",Retention*LCRenewal*H70*D70*(1+GrowthMarketRent)^1+(1-Retention)*LCNew*H70*D70*(1+GrowthMarketRent)^1,IF(I70="LeaseUp",LCNew*H70*D70*(1+GrowthMarketRent)^1,IF(I70="Option",LCRenewal*H70*D70*(1+GrowthMarketRent)^1,0))))),IF(F70="",0,IF(AND(F70&gt;=DATE(2026+1,5,1),F70&lt;=DATE(2027+1,4,30)),(IF(I70="Vacate",TINew*D70,IF(I70="Market",Retention*TIRenewal*D70+(1-Retention)*TINew*D70,IF(I70="LeaseUp",TINew*D70,IF(I70="Option",TIRenewal*D70,0)))))+(IF(I70="Vacate",LCNew*H70*D70*(1+GrowthMarketRent)^1,IF(I70="Market",Retention*LCRenewal*H70*D70*(1+GrowthMarketRent)^1+(1-Retention)*LCNew*H70*D70*(1+GrowthMarketRent)^1,IF(I70="LeaseUp",LCNew*H70*D70*(1+GrowthMarketRent)^1,IF(I70="Option",LCRenewal*H70*D70*(1+GrowthMarketRent)^1,0))))),0))),0)</f>
        <v/>
      </c>
      <c r="AA70" s="14">
        <f>IFERROR(IF(AND(I70="LeaseUp",2=0),(IF(I70="Vacate",TINew*D70,IF(I70="Market",Retention*TIRenewal*D70+(1-Retention)*TINew*D70,IF(I70="LeaseUp",TINew*D70,IF(I70="Option",TIRenewal*D70,0)))))+(IF(I70="Vacate",LCNew*H70*D70*(1+GrowthMarketRent)^2,IF(I70="Market",Retention*LCRenewal*H70*D70*(1+GrowthMarketRent)^2+(1-Retention)*LCNew*H70*D70*(1+GrowthMarketRent)^2,IF(I70="LeaseUp",LCNew*H70*D70*(1+GrowthMarketRent)^2,IF(I70="Option",LCRenewal*H70*D70*(1+GrowthMarketRent)^2,0))))),IF(F70="",0,IF(AND(F70&gt;=DATE(2026+2,5,1),F70&lt;=DATE(2027+2,4,30)),(IF(I70="Vacate",TINew*D70,IF(I70="Market",Retention*TIRenewal*D70+(1-Retention)*TINew*D70,IF(I70="LeaseUp",TINew*D70,IF(I70="Option",TIRenewal*D70,0)))))+(IF(I70="Vacate",LCNew*H70*D70*(1+GrowthMarketRent)^2,IF(I70="Market",Retention*LCRenewal*H70*D70*(1+GrowthMarketRent)^2+(1-Retention)*LCNew*H70*D70*(1+GrowthMarketRent)^2,IF(I70="LeaseUp",LCNew*H70*D70*(1+GrowthMarketRent)^2,IF(I70="Option",LCRenewal*H70*D70*(1+GrowthMarketRent)^2,0))))),0))),0)</f>
        <v/>
      </c>
      <c r="AB70" s="14">
        <f>IFERROR(IF(AND(I70="LeaseUp",3=0),(IF(I70="Vacate",TINew*D70,IF(I70="Market",Retention*TIRenewal*D70+(1-Retention)*TINew*D70,IF(I70="LeaseUp",TINew*D70,IF(I70="Option",TIRenewal*D70,0)))))+(IF(I70="Vacate",LCNew*H70*D70*(1+GrowthMarketRent)^3,IF(I70="Market",Retention*LCRenewal*H70*D70*(1+GrowthMarketRent)^3+(1-Retention)*LCNew*H70*D70*(1+GrowthMarketRent)^3,IF(I70="LeaseUp",LCNew*H70*D70*(1+GrowthMarketRent)^3,IF(I70="Option",LCRenewal*H70*D70*(1+GrowthMarketRent)^3,0))))),IF(F70="",0,IF(AND(F70&gt;=DATE(2026+3,5,1),F70&lt;=DATE(2027+3,4,30)),(IF(I70="Vacate",TINew*D70,IF(I70="Market",Retention*TIRenewal*D70+(1-Retention)*TINew*D70,IF(I70="LeaseUp",TINew*D70,IF(I70="Option",TIRenewal*D70,0)))))+(IF(I70="Vacate",LCNew*H70*D70*(1+GrowthMarketRent)^3,IF(I70="Market",Retention*LCRenewal*H70*D70*(1+GrowthMarketRent)^3+(1-Retention)*LCNew*H70*D70*(1+GrowthMarketRent)^3,IF(I70="LeaseUp",LCNew*H70*D70*(1+GrowthMarketRent)^3,IF(I70="Option",LCRenewal*H70*D70*(1+GrowthMarketRent)^3,0))))),0))),0)</f>
        <v/>
      </c>
      <c r="AC70" s="14">
        <f>IFERROR(IF(AND(I70="LeaseUp",4=0),(IF(I70="Vacate",TINew*D70,IF(I70="Market",Retention*TIRenewal*D70+(1-Retention)*TINew*D70,IF(I70="LeaseUp",TINew*D70,IF(I70="Option",TIRenewal*D70,0)))))+(IF(I70="Vacate",LCNew*H70*D70*(1+GrowthMarketRent)^4,IF(I70="Market",Retention*LCRenewal*H70*D70*(1+GrowthMarketRent)^4+(1-Retention)*LCNew*H70*D70*(1+GrowthMarketRent)^4,IF(I70="LeaseUp",LCNew*H70*D70*(1+GrowthMarketRent)^4,IF(I70="Option",LCRenewal*H70*D70*(1+GrowthMarketRent)^4,0))))),IF(F70="",0,IF(AND(F70&gt;=DATE(2026+4,5,1),F70&lt;=DATE(2027+4,4,30)),(IF(I70="Vacate",TINew*D70,IF(I70="Market",Retention*TIRenewal*D70+(1-Retention)*TINew*D70,IF(I70="LeaseUp",TINew*D70,IF(I70="Option",TIRenewal*D70,0)))))+(IF(I70="Vacate",LCNew*H70*D70*(1+GrowthMarketRent)^4,IF(I70="Market",Retention*LCRenewal*H70*D70*(1+GrowthMarketRent)^4+(1-Retention)*LCNew*H70*D70*(1+GrowthMarketRent)^4,IF(I70="LeaseUp",LCNew*H70*D70*(1+GrowthMarketRent)^4,IF(I70="Option",LCRenewal*H70*D70*(1+GrowthMarketRent)^4,0))))),0))),0)</f>
        <v/>
      </c>
      <c r="AD70" s="14">
        <f>IFERROR(IF(AND(I70="LeaseUp",5=0),(IF(I70="Vacate",TINew*D70,IF(I70="Market",Retention*TIRenewal*D70+(1-Retention)*TINew*D70,IF(I70="LeaseUp",TINew*D70,IF(I70="Option",TIRenewal*D70,0)))))+(IF(I70="Vacate",LCNew*H70*D70*(1+GrowthMarketRent)^5,IF(I70="Market",Retention*LCRenewal*H70*D70*(1+GrowthMarketRent)^5+(1-Retention)*LCNew*H70*D70*(1+GrowthMarketRent)^5,IF(I70="LeaseUp",LCNew*H70*D70*(1+GrowthMarketRent)^5,IF(I70="Option",LCRenewal*H70*D70*(1+GrowthMarketRent)^5,0))))),IF(F70="",0,IF(AND(F70&gt;=DATE(2026+5,5,1),F70&lt;=DATE(2027+5,4,30)),(IF(I70="Vacate",TINew*D70,IF(I70="Market",Retention*TIRenewal*D70+(1-Retention)*TINew*D70,IF(I70="LeaseUp",TINew*D70,IF(I70="Option",TIRenewal*D70,0)))))+(IF(I70="Vacate",LCNew*H70*D70*(1+GrowthMarketRent)^5,IF(I70="Market",Retention*LCRenewal*H70*D70*(1+GrowthMarketRent)^5+(1-Retention)*LCNew*H70*D70*(1+GrowthMarketRent)^5,IF(I70="LeaseUp",LCNew*H70*D70*(1+GrowthMarketRent)^5,IF(I70="Option",LCRenewal*H70*D70*(1+GrowthMarketRent)^5,0))))),0))),0)</f>
        <v/>
      </c>
      <c r="AE70" s="14">
        <f>IFERROR(IF(AND(I70="LeaseUp",6=0),(IF(I70="Vacate",TINew*D70,IF(I70="Market",Retention*TIRenewal*D70+(1-Retention)*TINew*D70,IF(I70="LeaseUp",TINew*D70,IF(I70="Option",TIRenewal*D70,0)))))+(IF(I70="Vacate",LCNew*H70*D70*(1+GrowthMarketRent)^6,IF(I70="Market",Retention*LCRenewal*H70*D70*(1+GrowthMarketRent)^6+(1-Retention)*LCNew*H70*D70*(1+GrowthMarketRent)^6,IF(I70="LeaseUp",LCNew*H70*D70*(1+GrowthMarketRent)^6,IF(I70="Option",LCRenewal*H70*D70*(1+GrowthMarketRent)^6,0))))),IF(F70="",0,IF(AND(F70&gt;=DATE(2026+6,5,1),F70&lt;=DATE(2027+6,4,30)),(IF(I70="Vacate",TINew*D70,IF(I70="Market",Retention*TIRenewal*D70+(1-Retention)*TINew*D70,IF(I70="LeaseUp",TINew*D70,IF(I70="Option",TIRenewal*D70,0)))))+(IF(I70="Vacate",LCNew*H70*D70*(1+GrowthMarketRent)^6,IF(I70="Market",Retention*LCRenewal*H70*D70*(1+GrowthMarketRent)^6+(1-Retention)*LCNew*H70*D70*(1+GrowthMarketRent)^6,IF(I70="LeaseUp",LCNew*H70*D70*(1+GrowthMarketRent)^6,IF(I70="Option",LCRenewal*H70*D70*(1+GrowthMarketRent)^6,0))))),0))),0)</f>
        <v/>
      </c>
      <c r="AF70" s="14">
        <f>IFERROR(IF(AND(I70="LeaseUp",7=0),(IF(I70="Vacate",TINew*D70,IF(I70="Market",Retention*TIRenewal*D70+(1-Retention)*TINew*D70,IF(I70="LeaseUp",TINew*D70,IF(I70="Option",TIRenewal*D70,0)))))+(IF(I70="Vacate",LCNew*H70*D70*(1+GrowthMarketRent)^7,IF(I70="Market",Retention*LCRenewal*H70*D70*(1+GrowthMarketRent)^7+(1-Retention)*LCNew*H70*D70*(1+GrowthMarketRent)^7,IF(I70="LeaseUp",LCNew*H70*D70*(1+GrowthMarketRent)^7,IF(I70="Option",LCRenewal*H70*D70*(1+GrowthMarketRent)^7,0))))),IF(F70="",0,IF(AND(F70&gt;=DATE(2026+7,5,1),F70&lt;=DATE(2027+7,4,30)),(IF(I70="Vacate",TINew*D70,IF(I70="Market",Retention*TIRenewal*D70+(1-Retention)*TINew*D70,IF(I70="LeaseUp",TINew*D70,IF(I70="Option",TIRenewal*D70,0)))))+(IF(I70="Vacate",LCNew*H70*D70*(1+GrowthMarketRent)^7,IF(I70="Market",Retention*LCRenewal*H70*D70*(1+GrowthMarketRent)^7+(1-Retention)*LCNew*H70*D70*(1+GrowthMarketRent)^7,IF(I70="LeaseUp",LCNew*H70*D70*(1+GrowthMarketRent)^7,IF(I70="Option",LCRenewal*H70*D70*(1+GrowthMarketRent)^7,0))))),0))),0)</f>
        <v/>
      </c>
      <c r="AG70" s="14">
        <f>IFERROR(IF(AND(I70="LeaseUp",8=0),(IF(I70="Vacate",TINew*D70,IF(I70="Market",Retention*TIRenewal*D70+(1-Retention)*TINew*D70,IF(I70="LeaseUp",TINew*D70,IF(I70="Option",TIRenewal*D70,0)))))+(IF(I70="Vacate",LCNew*H70*D70*(1+GrowthMarketRent)^8,IF(I70="Market",Retention*LCRenewal*H70*D70*(1+GrowthMarketRent)^8+(1-Retention)*LCNew*H70*D70*(1+GrowthMarketRent)^8,IF(I70="LeaseUp",LCNew*H70*D70*(1+GrowthMarketRent)^8,IF(I70="Option",LCRenewal*H70*D70*(1+GrowthMarketRent)^8,0))))),IF(F70="",0,IF(AND(F70&gt;=DATE(2026+8,5,1),F70&lt;=DATE(2027+8,4,30)),(IF(I70="Vacate",TINew*D70,IF(I70="Market",Retention*TIRenewal*D70+(1-Retention)*TINew*D70,IF(I70="LeaseUp",TINew*D70,IF(I70="Option",TIRenewal*D70,0)))))+(IF(I70="Vacate",LCNew*H70*D70*(1+GrowthMarketRent)^8,IF(I70="Market",Retention*LCRenewal*H70*D70*(1+GrowthMarketRent)^8+(1-Retention)*LCNew*H70*D70*(1+GrowthMarketRent)^8,IF(I70="LeaseUp",LCNew*H70*D70*(1+GrowthMarketRent)^8,IF(I70="Option",LCRenewal*H70*D70*(1+GrowthMarketRent)^8,0))))),0))),0)</f>
        <v/>
      </c>
      <c r="AH70" s="14">
        <f>IFERROR(IF(AND(I70="LeaseUp",9=0),(IF(I70="Vacate",TINew*D70,IF(I70="Market",Retention*TIRenewal*D70+(1-Retention)*TINew*D70,IF(I70="LeaseUp",TINew*D70,IF(I70="Option",TIRenewal*D70,0)))))+(IF(I70="Vacate",LCNew*H70*D70*(1+GrowthMarketRent)^9,IF(I70="Market",Retention*LCRenewal*H70*D70*(1+GrowthMarketRent)^9+(1-Retention)*LCNew*H70*D70*(1+GrowthMarketRent)^9,IF(I70="LeaseUp",LCNew*H70*D70*(1+GrowthMarketRent)^9,IF(I70="Option",LCRenewal*H70*D70*(1+GrowthMarketRent)^9,0))))),IF(F70="",0,IF(AND(F70&gt;=DATE(2026+9,5,1),F70&lt;=DATE(2027+9,4,30)),(IF(I70="Vacate",TINew*D70,IF(I70="Market",Retention*TIRenewal*D70+(1-Retention)*TINew*D70,IF(I70="LeaseUp",TINew*D70,IF(I70="Option",TIRenewal*D70,0)))))+(IF(I70="Vacate",LCNew*H70*D70*(1+GrowthMarketRent)^9,IF(I70="Market",Retention*LCRenewal*H70*D70*(1+GrowthMarketRent)^9+(1-Retention)*LCNew*H70*D70*(1+GrowthMarketRent)^9,IF(I70="LeaseUp",LCNew*H70*D70*(1+GrowthMarketRent)^9,IF(I70="Option",LCRenewal*H70*D70*(1+GrowthMarketRent)^9,0))))),0))),0)</f>
        <v/>
      </c>
      <c r="AI70" s="14">
        <f>IFERROR(IF(AND(I70="LeaseUp",10=0),(IF(I70="Vacate",TINew*D70,IF(I70="Market",Retention*TIRenewal*D70+(1-Retention)*TINew*D70,IF(I70="LeaseUp",TINew*D70,IF(I70="Option",TIRenewal*D70,0)))))+(IF(I70="Vacate",LCNew*H70*D70*(1+GrowthMarketRent)^10,IF(I70="Market",Retention*LCRenewal*H70*D70*(1+GrowthMarketRent)^10+(1-Retention)*LCNew*H70*D70*(1+GrowthMarketRent)^10,IF(I70="LeaseUp",LCNew*H70*D70*(1+GrowthMarketRent)^10,IF(I70="Option",LCRenewal*H70*D70*(1+GrowthMarketRent)^10,0))))),IF(F70="",0,IF(AND(F70&gt;=DATE(2026+10,5,1),F70&lt;=DATE(2027+10,4,30)),(IF(I70="Vacate",TINew*D70,IF(I70="Market",Retention*TIRenewal*D70+(1-Retention)*TINew*D70,IF(I70="LeaseUp",TINew*D70,IF(I70="Option",TIRenewal*D70,0)))))+(IF(I70="Vacate",LCNew*H70*D70*(1+GrowthMarketRent)^10,IF(I70="Market",Retention*LCRenewal*H70*D70*(1+GrowthMarketRent)^10+(1-Retention)*LCNew*H70*D70*(1+GrowthMarketRent)^10,IF(I70="LeaseUp",LCNew*H70*D70*(1+GrowthMarketRent)^10,IF(I70="Option",LCRenewal*H70*D70*(1+GrowthMarketRent)^10,0))))),0))),0)</f>
        <v/>
      </c>
    </row>
    <row r="71">
      <c r="A71" t="inlineStr">
        <is>
          <t>Mesquite</t>
        </is>
      </c>
      <c r="B71" t="inlineStr">
        <is>
          <t>103</t>
        </is>
      </c>
      <c r="C71" t="inlineStr">
        <is>
          <t>VACANT</t>
        </is>
      </c>
      <c r="D71" s="32" t="n">
        <v>2600</v>
      </c>
      <c r="G71" s="34" t="n">
        <v>0</v>
      </c>
      <c r="H71" s="16">
        <f>VLOOKUP(A71,MLA!$A$5:$L$11,3,FALSE)</f>
        <v/>
      </c>
      <c r="I71" s="11" t="inlineStr">
        <is>
          <t>LeaseUp</t>
        </is>
      </c>
      <c r="J71" t="inlineStr">
        <is>
          <t>Shop</t>
        </is>
      </c>
      <c r="K71" t="inlineStr">
        <is>
          <t>Vacant</t>
        </is>
      </c>
      <c r="L71" t="inlineStr">
        <is>
          <t>Shop; future lease-up Oct-2026</t>
        </is>
      </c>
      <c r="M71" s="20">
        <f>IF(E71="",0,(AnalysisStart-E71)/365.25)</f>
        <v/>
      </c>
      <c r="N71" s="14">
        <f>IFERROR(IF(I71="LeaseUp",H71*D71*(1+GrowthMarketRent)^0*IF(0=0,(12-DowntimeNew)/12,1),IF(F71="",0,IF(F71&gt;=DATE(2027+0,4,30),G71*D71*(1+EscalatorInLease)^(0+M71),IF(F71&lt;DATE(2026+0,5,1),IF(I71="Vacate",H71*D71*(1+GrowthMarketRent)^0*IF(INT((DATE(2026+0,10,31)-F71)/365.25)=0,(12-DowntimeNew)/12,1),IF(I71="Option",G71*D71*1.025*(1+EscalatorInLease)^0,IF(I71="Market",Retention*G71*D71*(1+EscalatorInLease)^(0+M71)+(1-Retention)*H71*D71*(1+GrowthMarketRent)^0*IF(INT((DATE(2026+0,10,31)-F71)/365.25)=0,(12-DowntimeNew)/12,1),IF(I71="LeaseUp",H71*D71*(1+GrowthMarketRent)^0*IF(0=0,(12-DowntimeNew)/12,1),0)))),((F71-DATE(2026+0,5,1))/365.25)*G71*D71*(1+EscalatorInLease)^(0+M71)+((DATE(2027+0,4,30)-F71)/365.25)*IF(I71="Vacate",H71*D71*(1+GrowthMarketRent)^0*IF(INT((DATE(2026+0,10,31)-F71)/365.25)=0,(12-DowntimeNew)/12,1),IF(I71="Option",G71*D71*1.025*(1+EscalatorInLease)^0,IF(I71="Market",Retention*G71*D71*(1+EscalatorInLease)^(0+M71)+(1-Retention)*H71*D71*(1+GrowthMarketRent)^0*IF(INT((DATE(2026+0,10,31)-F71)/365.25)=0,(12-DowntimeNew)/12,1),IF(I71="LeaseUp",H71*D71*(1+GrowthMarketRent)^0*IF(0=0,(12-DowntimeNew)/12,1),0)))))))),0)</f>
        <v/>
      </c>
      <c r="O71" s="14">
        <f>IFERROR(IF(I71="LeaseUp",H71*D71*(1+GrowthMarketRent)^1*IF(1=0,(12-DowntimeNew)/12,1),IF(F71="",0,IF(F71&gt;=DATE(2027+1,4,30),G71*D71*(1+EscalatorInLease)^(1+M71),IF(F71&lt;DATE(2026+1,5,1),IF(I71="Vacate",H71*D71*(1+GrowthMarketRent)^1*IF(INT((DATE(2026+1,10,31)-F71)/365.25)=0,(12-DowntimeNew)/12,1),IF(I71="Option",G71*D71*1.025*(1+EscalatorInLease)^1,IF(I71="Market",Retention*G71*D71*(1+EscalatorInLease)^(1+M71)+(1-Retention)*H71*D71*(1+GrowthMarketRent)^1*IF(INT((DATE(2026+1,10,31)-F71)/365.25)=0,(12-DowntimeNew)/12,1),IF(I71="LeaseUp",H71*D71*(1+GrowthMarketRent)^1*IF(1=0,(12-DowntimeNew)/12,1),0)))),((F71-DATE(2026+1,5,1))/365.25)*G71*D71*(1+EscalatorInLease)^(1+M71)+((DATE(2027+1,4,30)-F71)/365.25)*IF(I71="Vacate",H71*D71*(1+GrowthMarketRent)^1*IF(INT((DATE(2026+1,10,31)-F71)/365.25)=0,(12-DowntimeNew)/12,1),IF(I71="Option",G71*D71*1.025*(1+EscalatorInLease)^1,IF(I71="Market",Retention*G71*D71*(1+EscalatorInLease)^(1+M71)+(1-Retention)*H71*D71*(1+GrowthMarketRent)^1*IF(INT((DATE(2026+1,10,31)-F71)/365.25)=0,(12-DowntimeNew)/12,1),IF(I71="LeaseUp",H71*D71*(1+GrowthMarketRent)^1*IF(1=0,(12-DowntimeNew)/12,1),0)))))))),0)</f>
        <v/>
      </c>
      <c r="P71" s="14">
        <f>IFERROR(IF(I71="LeaseUp",H71*D71*(1+GrowthMarketRent)^2*IF(2=0,(12-DowntimeNew)/12,1),IF(F71="",0,IF(F71&gt;=DATE(2027+2,4,30),G71*D71*(1+EscalatorInLease)^(2+M71),IF(F71&lt;DATE(2026+2,5,1),IF(I71="Vacate",H71*D71*(1+GrowthMarketRent)^2*IF(INT((DATE(2026+2,10,31)-F71)/365.25)=0,(12-DowntimeNew)/12,1),IF(I71="Option",G71*D71*1.025*(1+EscalatorInLease)^2,IF(I71="Market",Retention*G71*D71*(1+EscalatorInLease)^(2+M71)+(1-Retention)*H71*D71*(1+GrowthMarketRent)^2*IF(INT((DATE(2026+2,10,31)-F71)/365.25)=0,(12-DowntimeNew)/12,1),IF(I71="LeaseUp",H71*D71*(1+GrowthMarketRent)^2*IF(2=0,(12-DowntimeNew)/12,1),0)))),((F71-DATE(2026+2,5,1))/365.25)*G71*D71*(1+EscalatorInLease)^(2+M71)+((DATE(2027+2,4,30)-F71)/365.25)*IF(I71="Vacate",H71*D71*(1+GrowthMarketRent)^2*IF(INT((DATE(2026+2,10,31)-F71)/365.25)=0,(12-DowntimeNew)/12,1),IF(I71="Option",G71*D71*1.025*(1+EscalatorInLease)^2,IF(I71="Market",Retention*G71*D71*(1+EscalatorInLease)^(2+M71)+(1-Retention)*H71*D71*(1+GrowthMarketRent)^2*IF(INT((DATE(2026+2,10,31)-F71)/365.25)=0,(12-DowntimeNew)/12,1),IF(I71="LeaseUp",H71*D71*(1+GrowthMarketRent)^2*IF(2=0,(12-DowntimeNew)/12,1),0)))))))),0)</f>
        <v/>
      </c>
      <c r="Q71" s="14">
        <f>IFERROR(IF(I71="LeaseUp",H71*D71*(1+GrowthMarketRent)^3*IF(3=0,(12-DowntimeNew)/12,1),IF(F71="",0,IF(F71&gt;=DATE(2027+3,4,30),G71*D71*(1+EscalatorInLease)^(3+M71),IF(F71&lt;DATE(2026+3,5,1),IF(I71="Vacate",H71*D71*(1+GrowthMarketRent)^3*IF(INT((DATE(2026+3,10,31)-F71)/365.25)=0,(12-DowntimeNew)/12,1),IF(I71="Option",G71*D71*1.025*(1+EscalatorInLease)^3,IF(I71="Market",Retention*G71*D71*(1+EscalatorInLease)^(3+M71)+(1-Retention)*H71*D71*(1+GrowthMarketRent)^3*IF(INT((DATE(2026+3,10,31)-F71)/365.25)=0,(12-DowntimeNew)/12,1),IF(I71="LeaseUp",H71*D71*(1+GrowthMarketRent)^3*IF(3=0,(12-DowntimeNew)/12,1),0)))),((F71-DATE(2026+3,5,1))/365.25)*G71*D71*(1+EscalatorInLease)^(3+M71)+((DATE(2027+3,4,30)-F71)/365.25)*IF(I71="Vacate",H71*D71*(1+GrowthMarketRent)^3*IF(INT((DATE(2026+3,10,31)-F71)/365.25)=0,(12-DowntimeNew)/12,1),IF(I71="Option",G71*D71*1.025*(1+EscalatorInLease)^3,IF(I71="Market",Retention*G71*D71*(1+EscalatorInLease)^(3+M71)+(1-Retention)*H71*D71*(1+GrowthMarketRent)^3*IF(INT((DATE(2026+3,10,31)-F71)/365.25)=0,(12-DowntimeNew)/12,1),IF(I71="LeaseUp",H71*D71*(1+GrowthMarketRent)^3*IF(3=0,(12-DowntimeNew)/12,1),0)))))))),0)</f>
        <v/>
      </c>
      <c r="R71" s="14">
        <f>IFERROR(IF(I71="LeaseUp",H71*D71*(1+GrowthMarketRent)^4*IF(4=0,(12-DowntimeNew)/12,1),IF(F71="",0,IF(F71&gt;=DATE(2027+4,4,30),G71*D71*(1+EscalatorInLease)^(4+M71),IF(F71&lt;DATE(2026+4,5,1),IF(I71="Vacate",H71*D71*(1+GrowthMarketRent)^4*IF(INT((DATE(2026+4,10,31)-F71)/365.25)=0,(12-DowntimeNew)/12,1),IF(I71="Option",G71*D71*1.025*(1+EscalatorInLease)^4,IF(I71="Market",Retention*G71*D71*(1+EscalatorInLease)^(4+M71)+(1-Retention)*H71*D71*(1+GrowthMarketRent)^4*IF(INT((DATE(2026+4,10,31)-F71)/365.25)=0,(12-DowntimeNew)/12,1),IF(I71="LeaseUp",H71*D71*(1+GrowthMarketRent)^4*IF(4=0,(12-DowntimeNew)/12,1),0)))),((F71-DATE(2026+4,5,1))/365.25)*G71*D71*(1+EscalatorInLease)^(4+M71)+((DATE(2027+4,4,30)-F71)/365.25)*IF(I71="Vacate",H71*D71*(1+GrowthMarketRent)^4*IF(INT((DATE(2026+4,10,31)-F71)/365.25)=0,(12-DowntimeNew)/12,1),IF(I71="Option",G71*D71*1.025*(1+EscalatorInLease)^4,IF(I71="Market",Retention*G71*D71*(1+EscalatorInLease)^(4+M71)+(1-Retention)*H71*D71*(1+GrowthMarketRent)^4*IF(INT((DATE(2026+4,10,31)-F71)/365.25)=0,(12-DowntimeNew)/12,1),IF(I71="LeaseUp",H71*D71*(1+GrowthMarketRent)^4*IF(4=0,(12-DowntimeNew)/12,1),0)))))))),0)</f>
        <v/>
      </c>
      <c r="S71" s="14">
        <f>IFERROR(IF(I71="LeaseUp",H71*D71*(1+GrowthMarketRent)^5*IF(5=0,(12-DowntimeNew)/12,1),IF(F71="",0,IF(F71&gt;=DATE(2027+5,4,30),G71*D71*(1+EscalatorInLease)^(5+M71),IF(F71&lt;DATE(2026+5,5,1),IF(I71="Vacate",H71*D71*(1+GrowthMarketRent)^5*IF(INT((DATE(2026+5,10,31)-F71)/365.25)=0,(12-DowntimeNew)/12,1),IF(I71="Option",G71*D71*1.025*(1+EscalatorInLease)^5,IF(I71="Market",Retention*G71*D71*(1+EscalatorInLease)^(5+M71)+(1-Retention)*H71*D71*(1+GrowthMarketRent)^5*IF(INT((DATE(2026+5,10,31)-F71)/365.25)=0,(12-DowntimeNew)/12,1),IF(I71="LeaseUp",H71*D71*(1+GrowthMarketRent)^5*IF(5=0,(12-DowntimeNew)/12,1),0)))),((F71-DATE(2026+5,5,1))/365.25)*G71*D71*(1+EscalatorInLease)^(5+M71)+((DATE(2027+5,4,30)-F71)/365.25)*IF(I71="Vacate",H71*D71*(1+GrowthMarketRent)^5*IF(INT((DATE(2026+5,10,31)-F71)/365.25)=0,(12-DowntimeNew)/12,1),IF(I71="Option",G71*D71*1.025*(1+EscalatorInLease)^5,IF(I71="Market",Retention*G71*D71*(1+EscalatorInLease)^(5+M71)+(1-Retention)*H71*D71*(1+GrowthMarketRent)^5*IF(INT((DATE(2026+5,10,31)-F71)/365.25)=0,(12-DowntimeNew)/12,1),IF(I71="LeaseUp",H71*D71*(1+GrowthMarketRent)^5*IF(5=0,(12-DowntimeNew)/12,1),0)))))))),0)</f>
        <v/>
      </c>
      <c r="T71" s="14">
        <f>IFERROR(IF(I71="LeaseUp",H71*D71*(1+GrowthMarketRent)^6*IF(6=0,(12-DowntimeNew)/12,1),IF(F71="",0,IF(F71&gt;=DATE(2027+6,4,30),G71*D71*(1+EscalatorInLease)^(6+M71),IF(F71&lt;DATE(2026+6,5,1),IF(I71="Vacate",H71*D71*(1+GrowthMarketRent)^6*IF(INT((DATE(2026+6,10,31)-F71)/365.25)=0,(12-DowntimeNew)/12,1),IF(I71="Option",G71*D71*1.025*(1+EscalatorInLease)^6,IF(I71="Market",Retention*G71*D71*(1+EscalatorInLease)^(6+M71)+(1-Retention)*H71*D71*(1+GrowthMarketRent)^6*IF(INT((DATE(2026+6,10,31)-F71)/365.25)=0,(12-DowntimeNew)/12,1),IF(I71="LeaseUp",H71*D71*(1+GrowthMarketRent)^6*IF(6=0,(12-DowntimeNew)/12,1),0)))),((F71-DATE(2026+6,5,1))/365.25)*G71*D71*(1+EscalatorInLease)^(6+M71)+((DATE(2027+6,4,30)-F71)/365.25)*IF(I71="Vacate",H71*D71*(1+GrowthMarketRent)^6*IF(INT((DATE(2026+6,10,31)-F71)/365.25)=0,(12-DowntimeNew)/12,1),IF(I71="Option",G71*D71*1.025*(1+EscalatorInLease)^6,IF(I71="Market",Retention*G71*D71*(1+EscalatorInLease)^(6+M71)+(1-Retention)*H71*D71*(1+GrowthMarketRent)^6*IF(INT((DATE(2026+6,10,31)-F71)/365.25)=0,(12-DowntimeNew)/12,1),IF(I71="LeaseUp",H71*D71*(1+GrowthMarketRent)^6*IF(6=0,(12-DowntimeNew)/12,1),0)))))))),0)</f>
        <v/>
      </c>
      <c r="U71" s="14">
        <f>IFERROR(IF(I71="LeaseUp",H71*D71*(1+GrowthMarketRent)^7*IF(7=0,(12-DowntimeNew)/12,1),IF(F71="",0,IF(F71&gt;=DATE(2027+7,4,30),G71*D71*(1+EscalatorInLease)^(7+M71),IF(F71&lt;DATE(2026+7,5,1),IF(I71="Vacate",H71*D71*(1+GrowthMarketRent)^7*IF(INT((DATE(2026+7,10,31)-F71)/365.25)=0,(12-DowntimeNew)/12,1),IF(I71="Option",G71*D71*1.025*(1+EscalatorInLease)^7,IF(I71="Market",Retention*G71*D71*(1+EscalatorInLease)^(7+M71)+(1-Retention)*H71*D71*(1+GrowthMarketRent)^7*IF(INT((DATE(2026+7,10,31)-F71)/365.25)=0,(12-DowntimeNew)/12,1),IF(I71="LeaseUp",H71*D71*(1+GrowthMarketRent)^7*IF(7=0,(12-DowntimeNew)/12,1),0)))),((F71-DATE(2026+7,5,1))/365.25)*G71*D71*(1+EscalatorInLease)^(7+M71)+((DATE(2027+7,4,30)-F71)/365.25)*IF(I71="Vacate",H71*D71*(1+GrowthMarketRent)^7*IF(INT((DATE(2026+7,10,31)-F71)/365.25)=0,(12-DowntimeNew)/12,1),IF(I71="Option",G71*D71*1.025*(1+EscalatorInLease)^7,IF(I71="Market",Retention*G71*D71*(1+EscalatorInLease)^(7+M71)+(1-Retention)*H71*D71*(1+GrowthMarketRent)^7*IF(INT((DATE(2026+7,10,31)-F71)/365.25)=0,(12-DowntimeNew)/12,1),IF(I71="LeaseUp",H71*D71*(1+GrowthMarketRent)^7*IF(7=0,(12-DowntimeNew)/12,1),0)))))))),0)</f>
        <v/>
      </c>
      <c r="V71" s="14">
        <f>IFERROR(IF(I71="LeaseUp",H71*D71*(1+GrowthMarketRent)^8*IF(8=0,(12-DowntimeNew)/12,1),IF(F71="",0,IF(F71&gt;=DATE(2027+8,4,30),G71*D71*(1+EscalatorInLease)^(8+M71),IF(F71&lt;DATE(2026+8,5,1),IF(I71="Vacate",H71*D71*(1+GrowthMarketRent)^8*IF(INT((DATE(2026+8,10,31)-F71)/365.25)=0,(12-DowntimeNew)/12,1),IF(I71="Option",G71*D71*1.025*(1+EscalatorInLease)^8,IF(I71="Market",Retention*G71*D71*(1+EscalatorInLease)^(8+M71)+(1-Retention)*H71*D71*(1+GrowthMarketRent)^8*IF(INT((DATE(2026+8,10,31)-F71)/365.25)=0,(12-DowntimeNew)/12,1),IF(I71="LeaseUp",H71*D71*(1+GrowthMarketRent)^8*IF(8=0,(12-DowntimeNew)/12,1),0)))),((F71-DATE(2026+8,5,1))/365.25)*G71*D71*(1+EscalatorInLease)^(8+M71)+((DATE(2027+8,4,30)-F71)/365.25)*IF(I71="Vacate",H71*D71*(1+GrowthMarketRent)^8*IF(INT((DATE(2026+8,10,31)-F71)/365.25)=0,(12-DowntimeNew)/12,1),IF(I71="Option",G71*D71*1.025*(1+EscalatorInLease)^8,IF(I71="Market",Retention*G71*D71*(1+EscalatorInLease)^(8+M71)+(1-Retention)*H71*D71*(1+GrowthMarketRent)^8*IF(INT((DATE(2026+8,10,31)-F71)/365.25)=0,(12-DowntimeNew)/12,1),IF(I71="LeaseUp",H71*D71*(1+GrowthMarketRent)^8*IF(8=0,(12-DowntimeNew)/12,1),0)))))))),0)</f>
        <v/>
      </c>
      <c r="W71" s="14">
        <f>IFERROR(IF(I71="LeaseUp",H71*D71*(1+GrowthMarketRent)^9*IF(9=0,(12-DowntimeNew)/12,1),IF(F71="",0,IF(F71&gt;=DATE(2027+9,4,30),G71*D71*(1+EscalatorInLease)^(9+M71),IF(F71&lt;DATE(2026+9,5,1),IF(I71="Vacate",H71*D71*(1+GrowthMarketRent)^9*IF(INT((DATE(2026+9,10,31)-F71)/365.25)=0,(12-DowntimeNew)/12,1),IF(I71="Option",G71*D71*1.025*(1+EscalatorInLease)^9,IF(I71="Market",Retention*G71*D71*(1+EscalatorInLease)^(9+M71)+(1-Retention)*H71*D71*(1+GrowthMarketRent)^9*IF(INT((DATE(2026+9,10,31)-F71)/365.25)=0,(12-DowntimeNew)/12,1),IF(I71="LeaseUp",H71*D71*(1+GrowthMarketRent)^9*IF(9=0,(12-DowntimeNew)/12,1),0)))),((F71-DATE(2026+9,5,1))/365.25)*G71*D71*(1+EscalatorInLease)^(9+M71)+((DATE(2027+9,4,30)-F71)/365.25)*IF(I71="Vacate",H71*D71*(1+GrowthMarketRent)^9*IF(INT((DATE(2026+9,10,31)-F71)/365.25)=0,(12-DowntimeNew)/12,1),IF(I71="Option",G71*D71*1.025*(1+EscalatorInLease)^9,IF(I71="Market",Retention*G71*D71*(1+EscalatorInLease)^(9+M71)+(1-Retention)*H71*D71*(1+GrowthMarketRent)^9*IF(INT((DATE(2026+9,10,31)-F71)/365.25)=0,(12-DowntimeNew)/12,1),IF(I71="LeaseUp",H71*D71*(1+GrowthMarketRent)^9*IF(9=0,(12-DowntimeNew)/12,1),0)))))))),0)</f>
        <v/>
      </c>
      <c r="X71" s="14">
        <f>IFERROR(IF(I71="LeaseUp",H71*D71*(1+GrowthMarketRent)^10*IF(10=0,(12-DowntimeNew)/12,1),IF(F71="",0,IF(F71&gt;=DATE(2027+10,4,30),G71*D71*(1+EscalatorInLease)^(10+M71),IF(F71&lt;DATE(2026+10,5,1),IF(I71="Vacate",H71*D71*(1+GrowthMarketRent)^10*IF(INT((DATE(2026+10,10,31)-F71)/365.25)=0,(12-DowntimeNew)/12,1),IF(I71="Option",G71*D71*1.025*(1+EscalatorInLease)^10,IF(I71="Market",Retention*G71*D71*(1+EscalatorInLease)^(10+M71)+(1-Retention)*H71*D71*(1+GrowthMarketRent)^10*IF(INT((DATE(2026+10,10,31)-F71)/365.25)=0,(12-DowntimeNew)/12,1),IF(I71="LeaseUp",H71*D71*(1+GrowthMarketRent)^10*IF(10=0,(12-DowntimeNew)/12,1),0)))),((F71-DATE(2026+10,5,1))/365.25)*G71*D71*(1+EscalatorInLease)^(10+M71)+((DATE(2027+10,4,30)-F71)/365.25)*IF(I71="Vacate",H71*D71*(1+GrowthMarketRent)^10*IF(INT((DATE(2026+10,10,31)-F71)/365.25)=0,(12-DowntimeNew)/12,1),IF(I71="Option",G71*D71*1.025*(1+EscalatorInLease)^10,IF(I71="Market",Retention*G71*D71*(1+EscalatorInLease)^(10+M71)+(1-Retention)*H71*D71*(1+GrowthMarketRent)^10*IF(INT((DATE(2026+10,10,31)-F71)/365.25)=0,(12-DowntimeNew)/12,1),IF(I71="LeaseUp",H71*D71*(1+GrowthMarketRent)^10*IF(10=0,(12-DowntimeNew)/12,1),0)))))))),0)</f>
        <v/>
      </c>
      <c r="Y71" s="14">
        <f>IFERROR(IF(AND(I71="LeaseUp",0=0),(IF(I71="Vacate",TINew*D71,IF(I71="Market",Retention*TIRenewal*D71+(1-Retention)*TINew*D71,IF(I71="LeaseUp",TINew*D71,IF(I71="Option",TIRenewal*D71,0)))))+(IF(I71="Vacate",LCNew*H71*D71*(1+GrowthMarketRent)^0,IF(I71="Market",Retention*LCRenewal*H71*D71*(1+GrowthMarketRent)^0+(1-Retention)*LCNew*H71*D71*(1+GrowthMarketRent)^0,IF(I71="LeaseUp",LCNew*H71*D71*(1+GrowthMarketRent)^0,IF(I71="Option",LCRenewal*H71*D71*(1+GrowthMarketRent)^0,0))))),IF(F71="",0,IF(AND(F71&gt;=DATE(2026+0,5,1),F71&lt;=DATE(2027+0,4,30)),(IF(I71="Vacate",TINew*D71,IF(I71="Market",Retention*TIRenewal*D71+(1-Retention)*TINew*D71,IF(I71="LeaseUp",TINew*D71,IF(I71="Option",TIRenewal*D71,0)))))+(IF(I71="Vacate",LCNew*H71*D71*(1+GrowthMarketRent)^0,IF(I71="Market",Retention*LCRenewal*H71*D71*(1+GrowthMarketRent)^0+(1-Retention)*LCNew*H71*D71*(1+GrowthMarketRent)^0,IF(I71="LeaseUp",LCNew*H71*D71*(1+GrowthMarketRent)^0,IF(I71="Option",LCRenewal*H71*D71*(1+GrowthMarketRent)^0,0))))),0))),0)</f>
        <v/>
      </c>
      <c r="Z71" s="14">
        <f>IFERROR(IF(AND(I71="LeaseUp",1=0),(IF(I71="Vacate",TINew*D71,IF(I71="Market",Retention*TIRenewal*D71+(1-Retention)*TINew*D71,IF(I71="LeaseUp",TINew*D71,IF(I71="Option",TIRenewal*D71,0)))))+(IF(I71="Vacate",LCNew*H71*D71*(1+GrowthMarketRent)^1,IF(I71="Market",Retention*LCRenewal*H71*D71*(1+GrowthMarketRent)^1+(1-Retention)*LCNew*H71*D71*(1+GrowthMarketRent)^1,IF(I71="LeaseUp",LCNew*H71*D71*(1+GrowthMarketRent)^1,IF(I71="Option",LCRenewal*H71*D71*(1+GrowthMarketRent)^1,0))))),IF(F71="",0,IF(AND(F71&gt;=DATE(2026+1,5,1),F71&lt;=DATE(2027+1,4,30)),(IF(I71="Vacate",TINew*D71,IF(I71="Market",Retention*TIRenewal*D71+(1-Retention)*TINew*D71,IF(I71="LeaseUp",TINew*D71,IF(I71="Option",TIRenewal*D71,0)))))+(IF(I71="Vacate",LCNew*H71*D71*(1+GrowthMarketRent)^1,IF(I71="Market",Retention*LCRenewal*H71*D71*(1+GrowthMarketRent)^1+(1-Retention)*LCNew*H71*D71*(1+GrowthMarketRent)^1,IF(I71="LeaseUp",LCNew*H71*D71*(1+GrowthMarketRent)^1,IF(I71="Option",LCRenewal*H71*D71*(1+GrowthMarketRent)^1,0))))),0))),0)</f>
        <v/>
      </c>
      <c r="AA71" s="14">
        <f>IFERROR(IF(AND(I71="LeaseUp",2=0),(IF(I71="Vacate",TINew*D71,IF(I71="Market",Retention*TIRenewal*D71+(1-Retention)*TINew*D71,IF(I71="LeaseUp",TINew*D71,IF(I71="Option",TIRenewal*D71,0)))))+(IF(I71="Vacate",LCNew*H71*D71*(1+GrowthMarketRent)^2,IF(I71="Market",Retention*LCRenewal*H71*D71*(1+GrowthMarketRent)^2+(1-Retention)*LCNew*H71*D71*(1+GrowthMarketRent)^2,IF(I71="LeaseUp",LCNew*H71*D71*(1+GrowthMarketRent)^2,IF(I71="Option",LCRenewal*H71*D71*(1+GrowthMarketRent)^2,0))))),IF(F71="",0,IF(AND(F71&gt;=DATE(2026+2,5,1),F71&lt;=DATE(2027+2,4,30)),(IF(I71="Vacate",TINew*D71,IF(I71="Market",Retention*TIRenewal*D71+(1-Retention)*TINew*D71,IF(I71="LeaseUp",TINew*D71,IF(I71="Option",TIRenewal*D71,0)))))+(IF(I71="Vacate",LCNew*H71*D71*(1+GrowthMarketRent)^2,IF(I71="Market",Retention*LCRenewal*H71*D71*(1+GrowthMarketRent)^2+(1-Retention)*LCNew*H71*D71*(1+GrowthMarketRent)^2,IF(I71="LeaseUp",LCNew*H71*D71*(1+GrowthMarketRent)^2,IF(I71="Option",LCRenewal*H71*D71*(1+GrowthMarketRent)^2,0))))),0))),0)</f>
        <v/>
      </c>
      <c r="AB71" s="14">
        <f>IFERROR(IF(AND(I71="LeaseUp",3=0),(IF(I71="Vacate",TINew*D71,IF(I71="Market",Retention*TIRenewal*D71+(1-Retention)*TINew*D71,IF(I71="LeaseUp",TINew*D71,IF(I71="Option",TIRenewal*D71,0)))))+(IF(I71="Vacate",LCNew*H71*D71*(1+GrowthMarketRent)^3,IF(I71="Market",Retention*LCRenewal*H71*D71*(1+GrowthMarketRent)^3+(1-Retention)*LCNew*H71*D71*(1+GrowthMarketRent)^3,IF(I71="LeaseUp",LCNew*H71*D71*(1+GrowthMarketRent)^3,IF(I71="Option",LCRenewal*H71*D71*(1+GrowthMarketRent)^3,0))))),IF(F71="",0,IF(AND(F71&gt;=DATE(2026+3,5,1),F71&lt;=DATE(2027+3,4,30)),(IF(I71="Vacate",TINew*D71,IF(I71="Market",Retention*TIRenewal*D71+(1-Retention)*TINew*D71,IF(I71="LeaseUp",TINew*D71,IF(I71="Option",TIRenewal*D71,0)))))+(IF(I71="Vacate",LCNew*H71*D71*(1+GrowthMarketRent)^3,IF(I71="Market",Retention*LCRenewal*H71*D71*(1+GrowthMarketRent)^3+(1-Retention)*LCNew*H71*D71*(1+GrowthMarketRent)^3,IF(I71="LeaseUp",LCNew*H71*D71*(1+GrowthMarketRent)^3,IF(I71="Option",LCRenewal*H71*D71*(1+GrowthMarketRent)^3,0))))),0))),0)</f>
        <v/>
      </c>
      <c r="AC71" s="14">
        <f>IFERROR(IF(AND(I71="LeaseUp",4=0),(IF(I71="Vacate",TINew*D71,IF(I71="Market",Retention*TIRenewal*D71+(1-Retention)*TINew*D71,IF(I71="LeaseUp",TINew*D71,IF(I71="Option",TIRenewal*D71,0)))))+(IF(I71="Vacate",LCNew*H71*D71*(1+GrowthMarketRent)^4,IF(I71="Market",Retention*LCRenewal*H71*D71*(1+GrowthMarketRent)^4+(1-Retention)*LCNew*H71*D71*(1+GrowthMarketRent)^4,IF(I71="LeaseUp",LCNew*H71*D71*(1+GrowthMarketRent)^4,IF(I71="Option",LCRenewal*H71*D71*(1+GrowthMarketRent)^4,0))))),IF(F71="",0,IF(AND(F71&gt;=DATE(2026+4,5,1),F71&lt;=DATE(2027+4,4,30)),(IF(I71="Vacate",TINew*D71,IF(I71="Market",Retention*TIRenewal*D71+(1-Retention)*TINew*D71,IF(I71="LeaseUp",TINew*D71,IF(I71="Option",TIRenewal*D71,0)))))+(IF(I71="Vacate",LCNew*H71*D71*(1+GrowthMarketRent)^4,IF(I71="Market",Retention*LCRenewal*H71*D71*(1+GrowthMarketRent)^4+(1-Retention)*LCNew*H71*D71*(1+GrowthMarketRent)^4,IF(I71="LeaseUp",LCNew*H71*D71*(1+GrowthMarketRent)^4,IF(I71="Option",LCRenewal*H71*D71*(1+GrowthMarketRent)^4,0))))),0))),0)</f>
        <v/>
      </c>
      <c r="AD71" s="14">
        <f>IFERROR(IF(AND(I71="LeaseUp",5=0),(IF(I71="Vacate",TINew*D71,IF(I71="Market",Retention*TIRenewal*D71+(1-Retention)*TINew*D71,IF(I71="LeaseUp",TINew*D71,IF(I71="Option",TIRenewal*D71,0)))))+(IF(I71="Vacate",LCNew*H71*D71*(1+GrowthMarketRent)^5,IF(I71="Market",Retention*LCRenewal*H71*D71*(1+GrowthMarketRent)^5+(1-Retention)*LCNew*H71*D71*(1+GrowthMarketRent)^5,IF(I71="LeaseUp",LCNew*H71*D71*(1+GrowthMarketRent)^5,IF(I71="Option",LCRenewal*H71*D71*(1+GrowthMarketRent)^5,0))))),IF(F71="",0,IF(AND(F71&gt;=DATE(2026+5,5,1),F71&lt;=DATE(2027+5,4,30)),(IF(I71="Vacate",TINew*D71,IF(I71="Market",Retention*TIRenewal*D71+(1-Retention)*TINew*D71,IF(I71="LeaseUp",TINew*D71,IF(I71="Option",TIRenewal*D71,0)))))+(IF(I71="Vacate",LCNew*H71*D71*(1+GrowthMarketRent)^5,IF(I71="Market",Retention*LCRenewal*H71*D71*(1+GrowthMarketRent)^5+(1-Retention)*LCNew*H71*D71*(1+GrowthMarketRent)^5,IF(I71="LeaseUp",LCNew*H71*D71*(1+GrowthMarketRent)^5,IF(I71="Option",LCRenewal*H71*D71*(1+GrowthMarketRent)^5,0))))),0))),0)</f>
        <v/>
      </c>
      <c r="AE71" s="14">
        <f>IFERROR(IF(AND(I71="LeaseUp",6=0),(IF(I71="Vacate",TINew*D71,IF(I71="Market",Retention*TIRenewal*D71+(1-Retention)*TINew*D71,IF(I71="LeaseUp",TINew*D71,IF(I71="Option",TIRenewal*D71,0)))))+(IF(I71="Vacate",LCNew*H71*D71*(1+GrowthMarketRent)^6,IF(I71="Market",Retention*LCRenewal*H71*D71*(1+GrowthMarketRent)^6+(1-Retention)*LCNew*H71*D71*(1+GrowthMarketRent)^6,IF(I71="LeaseUp",LCNew*H71*D71*(1+GrowthMarketRent)^6,IF(I71="Option",LCRenewal*H71*D71*(1+GrowthMarketRent)^6,0))))),IF(F71="",0,IF(AND(F71&gt;=DATE(2026+6,5,1),F71&lt;=DATE(2027+6,4,30)),(IF(I71="Vacate",TINew*D71,IF(I71="Market",Retention*TIRenewal*D71+(1-Retention)*TINew*D71,IF(I71="LeaseUp",TINew*D71,IF(I71="Option",TIRenewal*D71,0)))))+(IF(I71="Vacate",LCNew*H71*D71*(1+GrowthMarketRent)^6,IF(I71="Market",Retention*LCRenewal*H71*D71*(1+GrowthMarketRent)^6+(1-Retention)*LCNew*H71*D71*(1+GrowthMarketRent)^6,IF(I71="LeaseUp",LCNew*H71*D71*(1+GrowthMarketRent)^6,IF(I71="Option",LCRenewal*H71*D71*(1+GrowthMarketRent)^6,0))))),0))),0)</f>
        <v/>
      </c>
      <c r="AF71" s="14">
        <f>IFERROR(IF(AND(I71="LeaseUp",7=0),(IF(I71="Vacate",TINew*D71,IF(I71="Market",Retention*TIRenewal*D71+(1-Retention)*TINew*D71,IF(I71="LeaseUp",TINew*D71,IF(I71="Option",TIRenewal*D71,0)))))+(IF(I71="Vacate",LCNew*H71*D71*(1+GrowthMarketRent)^7,IF(I71="Market",Retention*LCRenewal*H71*D71*(1+GrowthMarketRent)^7+(1-Retention)*LCNew*H71*D71*(1+GrowthMarketRent)^7,IF(I71="LeaseUp",LCNew*H71*D71*(1+GrowthMarketRent)^7,IF(I71="Option",LCRenewal*H71*D71*(1+GrowthMarketRent)^7,0))))),IF(F71="",0,IF(AND(F71&gt;=DATE(2026+7,5,1),F71&lt;=DATE(2027+7,4,30)),(IF(I71="Vacate",TINew*D71,IF(I71="Market",Retention*TIRenewal*D71+(1-Retention)*TINew*D71,IF(I71="LeaseUp",TINew*D71,IF(I71="Option",TIRenewal*D71,0)))))+(IF(I71="Vacate",LCNew*H71*D71*(1+GrowthMarketRent)^7,IF(I71="Market",Retention*LCRenewal*H71*D71*(1+GrowthMarketRent)^7+(1-Retention)*LCNew*H71*D71*(1+GrowthMarketRent)^7,IF(I71="LeaseUp",LCNew*H71*D71*(1+GrowthMarketRent)^7,IF(I71="Option",LCRenewal*H71*D71*(1+GrowthMarketRent)^7,0))))),0))),0)</f>
        <v/>
      </c>
      <c r="AG71" s="14">
        <f>IFERROR(IF(AND(I71="LeaseUp",8=0),(IF(I71="Vacate",TINew*D71,IF(I71="Market",Retention*TIRenewal*D71+(1-Retention)*TINew*D71,IF(I71="LeaseUp",TINew*D71,IF(I71="Option",TIRenewal*D71,0)))))+(IF(I71="Vacate",LCNew*H71*D71*(1+GrowthMarketRent)^8,IF(I71="Market",Retention*LCRenewal*H71*D71*(1+GrowthMarketRent)^8+(1-Retention)*LCNew*H71*D71*(1+GrowthMarketRent)^8,IF(I71="LeaseUp",LCNew*H71*D71*(1+GrowthMarketRent)^8,IF(I71="Option",LCRenewal*H71*D71*(1+GrowthMarketRent)^8,0))))),IF(F71="",0,IF(AND(F71&gt;=DATE(2026+8,5,1),F71&lt;=DATE(2027+8,4,30)),(IF(I71="Vacate",TINew*D71,IF(I71="Market",Retention*TIRenewal*D71+(1-Retention)*TINew*D71,IF(I71="LeaseUp",TINew*D71,IF(I71="Option",TIRenewal*D71,0)))))+(IF(I71="Vacate",LCNew*H71*D71*(1+GrowthMarketRent)^8,IF(I71="Market",Retention*LCRenewal*H71*D71*(1+GrowthMarketRent)^8+(1-Retention)*LCNew*H71*D71*(1+GrowthMarketRent)^8,IF(I71="LeaseUp",LCNew*H71*D71*(1+GrowthMarketRent)^8,IF(I71="Option",LCRenewal*H71*D71*(1+GrowthMarketRent)^8,0))))),0))),0)</f>
        <v/>
      </c>
      <c r="AH71" s="14">
        <f>IFERROR(IF(AND(I71="LeaseUp",9=0),(IF(I71="Vacate",TINew*D71,IF(I71="Market",Retention*TIRenewal*D71+(1-Retention)*TINew*D71,IF(I71="LeaseUp",TINew*D71,IF(I71="Option",TIRenewal*D71,0)))))+(IF(I71="Vacate",LCNew*H71*D71*(1+GrowthMarketRent)^9,IF(I71="Market",Retention*LCRenewal*H71*D71*(1+GrowthMarketRent)^9+(1-Retention)*LCNew*H71*D71*(1+GrowthMarketRent)^9,IF(I71="LeaseUp",LCNew*H71*D71*(1+GrowthMarketRent)^9,IF(I71="Option",LCRenewal*H71*D71*(1+GrowthMarketRent)^9,0))))),IF(F71="",0,IF(AND(F71&gt;=DATE(2026+9,5,1),F71&lt;=DATE(2027+9,4,30)),(IF(I71="Vacate",TINew*D71,IF(I71="Market",Retention*TIRenewal*D71+(1-Retention)*TINew*D71,IF(I71="LeaseUp",TINew*D71,IF(I71="Option",TIRenewal*D71,0)))))+(IF(I71="Vacate",LCNew*H71*D71*(1+GrowthMarketRent)^9,IF(I71="Market",Retention*LCRenewal*H71*D71*(1+GrowthMarketRent)^9+(1-Retention)*LCNew*H71*D71*(1+GrowthMarketRent)^9,IF(I71="LeaseUp",LCNew*H71*D71*(1+GrowthMarketRent)^9,IF(I71="Option",LCRenewal*H71*D71*(1+GrowthMarketRent)^9,0))))),0))),0)</f>
        <v/>
      </c>
      <c r="AI71" s="14">
        <f>IFERROR(IF(AND(I71="LeaseUp",10=0),(IF(I71="Vacate",TINew*D71,IF(I71="Market",Retention*TIRenewal*D71+(1-Retention)*TINew*D71,IF(I71="LeaseUp",TINew*D71,IF(I71="Option",TIRenewal*D71,0)))))+(IF(I71="Vacate",LCNew*H71*D71*(1+GrowthMarketRent)^10,IF(I71="Market",Retention*LCRenewal*H71*D71*(1+GrowthMarketRent)^10+(1-Retention)*LCNew*H71*D71*(1+GrowthMarketRent)^10,IF(I71="LeaseUp",LCNew*H71*D71*(1+GrowthMarketRent)^10,IF(I71="Option",LCRenewal*H71*D71*(1+GrowthMarketRent)^10,0))))),IF(F71="",0,IF(AND(F71&gt;=DATE(2026+10,5,1),F71&lt;=DATE(2027+10,4,30)),(IF(I71="Vacate",TINew*D71,IF(I71="Market",Retention*TIRenewal*D71+(1-Retention)*TINew*D71,IF(I71="LeaseUp",TINew*D71,IF(I71="Option",TIRenewal*D71,0)))))+(IF(I71="Vacate",LCNew*H71*D71*(1+GrowthMarketRent)^10,IF(I71="Market",Retention*LCRenewal*H71*D71*(1+GrowthMarketRent)^10+(1-Retention)*LCNew*H71*D71*(1+GrowthMarketRent)^10,IF(I71="LeaseUp",LCNew*H71*D71*(1+GrowthMarketRent)^10,IF(I71="Option",LCRenewal*H71*D71*(1+GrowthMarketRent)^10,0))))),0))),0)</f>
        <v/>
      </c>
    </row>
    <row r="72">
      <c r="A72" t="inlineStr">
        <is>
          <t>Mesquite</t>
        </is>
      </c>
      <c r="B72" t="inlineStr">
        <is>
          <t>104</t>
        </is>
      </c>
      <c r="C72" t="inlineStr">
        <is>
          <t>VACANT</t>
        </is>
      </c>
      <c r="D72" s="32" t="n">
        <v>2600</v>
      </c>
      <c r="G72" s="34" t="n">
        <v>0</v>
      </c>
      <c r="H72" s="16">
        <f>VLOOKUP(A72,MLA!$A$5:$L$11,3,FALSE)</f>
        <v/>
      </c>
      <c r="I72" s="11" t="inlineStr">
        <is>
          <t>LeaseUp</t>
        </is>
      </c>
      <c r="J72" t="inlineStr">
        <is>
          <t>Shop</t>
        </is>
      </c>
      <c r="K72" t="inlineStr">
        <is>
          <t>Vacant</t>
        </is>
      </c>
      <c r="L72" t="inlineStr">
        <is>
          <t>Shop; future lease-up Jul-2026</t>
        </is>
      </c>
      <c r="M72" s="20">
        <f>IF(E72="",0,(AnalysisStart-E72)/365.25)</f>
        <v/>
      </c>
      <c r="N72" s="14">
        <f>IFERROR(IF(I72="LeaseUp",H72*D72*(1+GrowthMarketRent)^0*IF(0=0,(12-DowntimeNew)/12,1),IF(F72="",0,IF(F72&gt;=DATE(2027+0,4,30),G72*D72*(1+EscalatorInLease)^(0+M72),IF(F72&lt;DATE(2026+0,5,1),IF(I72="Vacate",H72*D72*(1+GrowthMarketRent)^0*IF(INT((DATE(2026+0,10,31)-F72)/365.25)=0,(12-DowntimeNew)/12,1),IF(I72="Option",G72*D72*1.025*(1+EscalatorInLease)^0,IF(I72="Market",Retention*G72*D72*(1+EscalatorInLease)^(0+M72)+(1-Retention)*H72*D72*(1+GrowthMarketRent)^0*IF(INT((DATE(2026+0,10,31)-F72)/365.25)=0,(12-DowntimeNew)/12,1),IF(I72="LeaseUp",H72*D72*(1+GrowthMarketRent)^0*IF(0=0,(12-DowntimeNew)/12,1),0)))),((F72-DATE(2026+0,5,1))/365.25)*G72*D72*(1+EscalatorInLease)^(0+M72)+((DATE(2027+0,4,30)-F72)/365.25)*IF(I72="Vacate",H72*D72*(1+GrowthMarketRent)^0*IF(INT((DATE(2026+0,10,31)-F72)/365.25)=0,(12-DowntimeNew)/12,1),IF(I72="Option",G72*D72*1.025*(1+EscalatorInLease)^0,IF(I72="Market",Retention*G72*D72*(1+EscalatorInLease)^(0+M72)+(1-Retention)*H72*D72*(1+GrowthMarketRent)^0*IF(INT((DATE(2026+0,10,31)-F72)/365.25)=0,(12-DowntimeNew)/12,1),IF(I72="LeaseUp",H72*D72*(1+GrowthMarketRent)^0*IF(0=0,(12-DowntimeNew)/12,1),0)))))))),0)</f>
        <v/>
      </c>
      <c r="O72" s="14">
        <f>IFERROR(IF(I72="LeaseUp",H72*D72*(1+GrowthMarketRent)^1*IF(1=0,(12-DowntimeNew)/12,1),IF(F72="",0,IF(F72&gt;=DATE(2027+1,4,30),G72*D72*(1+EscalatorInLease)^(1+M72),IF(F72&lt;DATE(2026+1,5,1),IF(I72="Vacate",H72*D72*(1+GrowthMarketRent)^1*IF(INT((DATE(2026+1,10,31)-F72)/365.25)=0,(12-DowntimeNew)/12,1),IF(I72="Option",G72*D72*1.025*(1+EscalatorInLease)^1,IF(I72="Market",Retention*G72*D72*(1+EscalatorInLease)^(1+M72)+(1-Retention)*H72*D72*(1+GrowthMarketRent)^1*IF(INT((DATE(2026+1,10,31)-F72)/365.25)=0,(12-DowntimeNew)/12,1),IF(I72="LeaseUp",H72*D72*(1+GrowthMarketRent)^1*IF(1=0,(12-DowntimeNew)/12,1),0)))),((F72-DATE(2026+1,5,1))/365.25)*G72*D72*(1+EscalatorInLease)^(1+M72)+((DATE(2027+1,4,30)-F72)/365.25)*IF(I72="Vacate",H72*D72*(1+GrowthMarketRent)^1*IF(INT((DATE(2026+1,10,31)-F72)/365.25)=0,(12-DowntimeNew)/12,1),IF(I72="Option",G72*D72*1.025*(1+EscalatorInLease)^1,IF(I72="Market",Retention*G72*D72*(1+EscalatorInLease)^(1+M72)+(1-Retention)*H72*D72*(1+GrowthMarketRent)^1*IF(INT((DATE(2026+1,10,31)-F72)/365.25)=0,(12-DowntimeNew)/12,1),IF(I72="LeaseUp",H72*D72*(1+GrowthMarketRent)^1*IF(1=0,(12-DowntimeNew)/12,1),0)))))))),0)</f>
        <v/>
      </c>
      <c r="P72" s="14">
        <f>IFERROR(IF(I72="LeaseUp",H72*D72*(1+GrowthMarketRent)^2*IF(2=0,(12-DowntimeNew)/12,1),IF(F72="",0,IF(F72&gt;=DATE(2027+2,4,30),G72*D72*(1+EscalatorInLease)^(2+M72),IF(F72&lt;DATE(2026+2,5,1),IF(I72="Vacate",H72*D72*(1+GrowthMarketRent)^2*IF(INT((DATE(2026+2,10,31)-F72)/365.25)=0,(12-DowntimeNew)/12,1),IF(I72="Option",G72*D72*1.025*(1+EscalatorInLease)^2,IF(I72="Market",Retention*G72*D72*(1+EscalatorInLease)^(2+M72)+(1-Retention)*H72*D72*(1+GrowthMarketRent)^2*IF(INT((DATE(2026+2,10,31)-F72)/365.25)=0,(12-DowntimeNew)/12,1),IF(I72="LeaseUp",H72*D72*(1+GrowthMarketRent)^2*IF(2=0,(12-DowntimeNew)/12,1),0)))),((F72-DATE(2026+2,5,1))/365.25)*G72*D72*(1+EscalatorInLease)^(2+M72)+((DATE(2027+2,4,30)-F72)/365.25)*IF(I72="Vacate",H72*D72*(1+GrowthMarketRent)^2*IF(INT((DATE(2026+2,10,31)-F72)/365.25)=0,(12-DowntimeNew)/12,1),IF(I72="Option",G72*D72*1.025*(1+EscalatorInLease)^2,IF(I72="Market",Retention*G72*D72*(1+EscalatorInLease)^(2+M72)+(1-Retention)*H72*D72*(1+GrowthMarketRent)^2*IF(INT((DATE(2026+2,10,31)-F72)/365.25)=0,(12-DowntimeNew)/12,1),IF(I72="LeaseUp",H72*D72*(1+GrowthMarketRent)^2*IF(2=0,(12-DowntimeNew)/12,1),0)))))))),0)</f>
        <v/>
      </c>
      <c r="Q72" s="14">
        <f>IFERROR(IF(I72="LeaseUp",H72*D72*(1+GrowthMarketRent)^3*IF(3=0,(12-DowntimeNew)/12,1),IF(F72="",0,IF(F72&gt;=DATE(2027+3,4,30),G72*D72*(1+EscalatorInLease)^(3+M72),IF(F72&lt;DATE(2026+3,5,1),IF(I72="Vacate",H72*D72*(1+GrowthMarketRent)^3*IF(INT((DATE(2026+3,10,31)-F72)/365.25)=0,(12-DowntimeNew)/12,1),IF(I72="Option",G72*D72*1.025*(1+EscalatorInLease)^3,IF(I72="Market",Retention*G72*D72*(1+EscalatorInLease)^(3+M72)+(1-Retention)*H72*D72*(1+GrowthMarketRent)^3*IF(INT((DATE(2026+3,10,31)-F72)/365.25)=0,(12-DowntimeNew)/12,1),IF(I72="LeaseUp",H72*D72*(1+GrowthMarketRent)^3*IF(3=0,(12-DowntimeNew)/12,1),0)))),((F72-DATE(2026+3,5,1))/365.25)*G72*D72*(1+EscalatorInLease)^(3+M72)+((DATE(2027+3,4,30)-F72)/365.25)*IF(I72="Vacate",H72*D72*(1+GrowthMarketRent)^3*IF(INT((DATE(2026+3,10,31)-F72)/365.25)=0,(12-DowntimeNew)/12,1),IF(I72="Option",G72*D72*1.025*(1+EscalatorInLease)^3,IF(I72="Market",Retention*G72*D72*(1+EscalatorInLease)^(3+M72)+(1-Retention)*H72*D72*(1+GrowthMarketRent)^3*IF(INT((DATE(2026+3,10,31)-F72)/365.25)=0,(12-DowntimeNew)/12,1),IF(I72="LeaseUp",H72*D72*(1+GrowthMarketRent)^3*IF(3=0,(12-DowntimeNew)/12,1),0)))))))),0)</f>
        <v/>
      </c>
      <c r="R72" s="14">
        <f>IFERROR(IF(I72="LeaseUp",H72*D72*(1+GrowthMarketRent)^4*IF(4=0,(12-DowntimeNew)/12,1),IF(F72="",0,IF(F72&gt;=DATE(2027+4,4,30),G72*D72*(1+EscalatorInLease)^(4+M72),IF(F72&lt;DATE(2026+4,5,1),IF(I72="Vacate",H72*D72*(1+GrowthMarketRent)^4*IF(INT((DATE(2026+4,10,31)-F72)/365.25)=0,(12-DowntimeNew)/12,1),IF(I72="Option",G72*D72*1.025*(1+EscalatorInLease)^4,IF(I72="Market",Retention*G72*D72*(1+EscalatorInLease)^(4+M72)+(1-Retention)*H72*D72*(1+GrowthMarketRent)^4*IF(INT((DATE(2026+4,10,31)-F72)/365.25)=0,(12-DowntimeNew)/12,1),IF(I72="LeaseUp",H72*D72*(1+GrowthMarketRent)^4*IF(4=0,(12-DowntimeNew)/12,1),0)))),((F72-DATE(2026+4,5,1))/365.25)*G72*D72*(1+EscalatorInLease)^(4+M72)+((DATE(2027+4,4,30)-F72)/365.25)*IF(I72="Vacate",H72*D72*(1+GrowthMarketRent)^4*IF(INT((DATE(2026+4,10,31)-F72)/365.25)=0,(12-DowntimeNew)/12,1),IF(I72="Option",G72*D72*1.025*(1+EscalatorInLease)^4,IF(I72="Market",Retention*G72*D72*(1+EscalatorInLease)^(4+M72)+(1-Retention)*H72*D72*(1+GrowthMarketRent)^4*IF(INT((DATE(2026+4,10,31)-F72)/365.25)=0,(12-DowntimeNew)/12,1),IF(I72="LeaseUp",H72*D72*(1+GrowthMarketRent)^4*IF(4=0,(12-DowntimeNew)/12,1),0)))))))),0)</f>
        <v/>
      </c>
      <c r="S72" s="14">
        <f>IFERROR(IF(I72="LeaseUp",H72*D72*(1+GrowthMarketRent)^5*IF(5=0,(12-DowntimeNew)/12,1),IF(F72="",0,IF(F72&gt;=DATE(2027+5,4,30),G72*D72*(1+EscalatorInLease)^(5+M72),IF(F72&lt;DATE(2026+5,5,1),IF(I72="Vacate",H72*D72*(1+GrowthMarketRent)^5*IF(INT((DATE(2026+5,10,31)-F72)/365.25)=0,(12-DowntimeNew)/12,1),IF(I72="Option",G72*D72*1.025*(1+EscalatorInLease)^5,IF(I72="Market",Retention*G72*D72*(1+EscalatorInLease)^(5+M72)+(1-Retention)*H72*D72*(1+GrowthMarketRent)^5*IF(INT((DATE(2026+5,10,31)-F72)/365.25)=0,(12-DowntimeNew)/12,1),IF(I72="LeaseUp",H72*D72*(1+GrowthMarketRent)^5*IF(5=0,(12-DowntimeNew)/12,1),0)))),((F72-DATE(2026+5,5,1))/365.25)*G72*D72*(1+EscalatorInLease)^(5+M72)+((DATE(2027+5,4,30)-F72)/365.25)*IF(I72="Vacate",H72*D72*(1+GrowthMarketRent)^5*IF(INT((DATE(2026+5,10,31)-F72)/365.25)=0,(12-DowntimeNew)/12,1),IF(I72="Option",G72*D72*1.025*(1+EscalatorInLease)^5,IF(I72="Market",Retention*G72*D72*(1+EscalatorInLease)^(5+M72)+(1-Retention)*H72*D72*(1+GrowthMarketRent)^5*IF(INT((DATE(2026+5,10,31)-F72)/365.25)=0,(12-DowntimeNew)/12,1),IF(I72="LeaseUp",H72*D72*(1+GrowthMarketRent)^5*IF(5=0,(12-DowntimeNew)/12,1),0)))))))),0)</f>
        <v/>
      </c>
      <c r="T72" s="14">
        <f>IFERROR(IF(I72="LeaseUp",H72*D72*(1+GrowthMarketRent)^6*IF(6=0,(12-DowntimeNew)/12,1),IF(F72="",0,IF(F72&gt;=DATE(2027+6,4,30),G72*D72*(1+EscalatorInLease)^(6+M72),IF(F72&lt;DATE(2026+6,5,1),IF(I72="Vacate",H72*D72*(1+GrowthMarketRent)^6*IF(INT((DATE(2026+6,10,31)-F72)/365.25)=0,(12-DowntimeNew)/12,1),IF(I72="Option",G72*D72*1.025*(1+EscalatorInLease)^6,IF(I72="Market",Retention*G72*D72*(1+EscalatorInLease)^(6+M72)+(1-Retention)*H72*D72*(1+GrowthMarketRent)^6*IF(INT((DATE(2026+6,10,31)-F72)/365.25)=0,(12-DowntimeNew)/12,1),IF(I72="LeaseUp",H72*D72*(1+GrowthMarketRent)^6*IF(6=0,(12-DowntimeNew)/12,1),0)))),((F72-DATE(2026+6,5,1))/365.25)*G72*D72*(1+EscalatorInLease)^(6+M72)+((DATE(2027+6,4,30)-F72)/365.25)*IF(I72="Vacate",H72*D72*(1+GrowthMarketRent)^6*IF(INT((DATE(2026+6,10,31)-F72)/365.25)=0,(12-DowntimeNew)/12,1),IF(I72="Option",G72*D72*1.025*(1+EscalatorInLease)^6,IF(I72="Market",Retention*G72*D72*(1+EscalatorInLease)^(6+M72)+(1-Retention)*H72*D72*(1+GrowthMarketRent)^6*IF(INT((DATE(2026+6,10,31)-F72)/365.25)=0,(12-DowntimeNew)/12,1),IF(I72="LeaseUp",H72*D72*(1+GrowthMarketRent)^6*IF(6=0,(12-DowntimeNew)/12,1),0)))))))),0)</f>
        <v/>
      </c>
      <c r="U72" s="14">
        <f>IFERROR(IF(I72="LeaseUp",H72*D72*(1+GrowthMarketRent)^7*IF(7=0,(12-DowntimeNew)/12,1),IF(F72="",0,IF(F72&gt;=DATE(2027+7,4,30),G72*D72*(1+EscalatorInLease)^(7+M72),IF(F72&lt;DATE(2026+7,5,1),IF(I72="Vacate",H72*D72*(1+GrowthMarketRent)^7*IF(INT((DATE(2026+7,10,31)-F72)/365.25)=0,(12-DowntimeNew)/12,1),IF(I72="Option",G72*D72*1.025*(1+EscalatorInLease)^7,IF(I72="Market",Retention*G72*D72*(1+EscalatorInLease)^(7+M72)+(1-Retention)*H72*D72*(1+GrowthMarketRent)^7*IF(INT((DATE(2026+7,10,31)-F72)/365.25)=0,(12-DowntimeNew)/12,1),IF(I72="LeaseUp",H72*D72*(1+GrowthMarketRent)^7*IF(7=0,(12-DowntimeNew)/12,1),0)))),((F72-DATE(2026+7,5,1))/365.25)*G72*D72*(1+EscalatorInLease)^(7+M72)+((DATE(2027+7,4,30)-F72)/365.25)*IF(I72="Vacate",H72*D72*(1+GrowthMarketRent)^7*IF(INT((DATE(2026+7,10,31)-F72)/365.25)=0,(12-DowntimeNew)/12,1),IF(I72="Option",G72*D72*1.025*(1+EscalatorInLease)^7,IF(I72="Market",Retention*G72*D72*(1+EscalatorInLease)^(7+M72)+(1-Retention)*H72*D72*(1+GrowthMarketRent)^7*IF(INT((DATE(2026+7,10,31)-F72)/365.25)=0,(12-DowntimeNew)/12,1),IF(I72="LeaseUp",H72*D72*(1+GrowthMarketRent)^7*IF(7=0,(12-DowntimeNew)/12,1),0)))))))),0)</f>
        <v/>
      </c>
      <c r="V72" s="14">
        <f>IFERROR(IF(I72="LeaseUp",H72*D72*(1+GrowthMarketRent)^8*IF(8=0,(12-DowntimeNew)/12,1),IF(F72="",0,IF(F72&gt;=DATE(2027+8,4,30),G72*D72*(1+EscalatorInLease)^(8+M72),IF(F72&lt;DATE(2026+8,5,1),IF(I72="Vacate",H72*D72*(1+GrowthMarketRent)^8*IF(INT((DATE(2026+8,10,31)-F72)/365.25)=0,(12-DowntimeNew)/12,1),IF(I72="Option",G72*D72*1.025*(1+EscalatorInLease)^8,IF(I72="Market",Retention*G72*D72*(1+EscalatorInLease)^(8+M72)+(1-Retention)*H72*D72*(1+GrowthMarketRent)^8*IF(INT((DATE(2026+8,10,31)-F72)/365.25)=0,(12-DowntimeNew)/12,1),IF(I72="LeaseUp",H72*D72*(1+GrowthMarketRent)^8*IF(8=0,(12-DowntimeNew)/12,1),0)))),((F72-DATE(2026+8,5,1))/365.25)*G72*D72*(1+EscalatorInLease)^(8+M72)+((DATE(2027+8,4,30)-F72)/365.25)*IF(I72="Vacate",H72*D72*(1+GrowthMarketRent)^8*IF(INT((DATE(2026+8,10,31)-F72)/365.25)=0,(12-DowntimeNew)/12,1),IF(I72="Option",G72*D72*1.025*(1+EscalatorInLease)^8,IF(I72="Market",Retention*G72*D72*(1+EscalatorInLease)^(8+M72)+(1-Retention)*H72*D72*(1+GrowthMarketRent)^8*IF(INT((DATE(2026+8,10,31)-F72)/365.25)=0,(12-DowntimeNew)/12,1),IF(I72="LeaseUp",H72*D72*(1+GrowthMarketRent)^8*IF(8=0,(12-DowntimeNew)/12,1),0)))))))),0)</f>
        <v/>
      </c>
      <c r="W72" s="14">
        <f>IFERROR(IF(I72="LeaseUp",H72*D72*(1+GrowthMarketRent)^9*IF(9=0,(12-DowntimeNew)/12,1),IF(F72="",0,IF(F72&gt;=DATE(2027+9,4,30),G72*D72*(1+EscalatorInLease)^(9+M72),IF(F72&lt;DATE(2026+9,5,1),IF(I72="Vacate",H72*D72*(1+GrowthMarketRent)^9*IF(INT((DATE(2026+9,10,31)-F72)/365.25)=0,(12-DowntimeNew)/12,1),IF(I72="Option",G72*D72*1.025*(1+EscalatorInLease)^9,IF(I72="Market",Retention*G72*D72*(1+EscalatorInLease)^(9+M72)+(1-Retention)*H72*D72*(1+GrowthMarketRent)^9*IF(INT((DATE(2026+9,10,31)-F72)/365.25)=0,(12-DowntimeNew)/12,1),IF(I72="LeaseUp",H72*D72*(1+GrowthMarketRent)^9*IF(9=0,(12-DowntimeNew)/12,1),0)))),((F72-DATE(2026+9,5,1))/365.25)*G72*D72*(1+EscalatorInLease)^(9+M72)+((DATE(2027+9,4,30)-F72)/365.25)*IF(I72="Vacate",H72*D72*(1+GrowthMarketRent)^9*IF(INT((DATE(2026+9,10,31)-F72)/365.25)=0,(12-DowntimeNew)/12,1),IF(I72="Option",G72*D72*1.025*(1+EscalatorInLease)^9,IF(I72="Market",Retention*G72*D72*(1+EscalatorInLease)^(9+M72)+(1-Retention)*H72*D72*(1+GrowthMarketRent)^9*IF(INT((DATE(2026+9,10,31)-F72)/365.25)=0,(12-DowntimeNew)/12,1),IF(I72="LeaseUp",H72*D72*(1+GrowthMarketRent)^9*IF(9=0,(12-DowntimeNew)/12,1),0)))))))),0)</f>
        <v/>
      </c>
      <c r="X72" s="14">
        <f>IFERROR(IF(I72="LeaseUp",H72*D72*(1+GrowthMarketRent)^10*IF(10=0,(12-DowntimeNew)/12,1),IF(F72="",0,IF(F72&gt;=DATE(2027+10,4,30),G72*D72*(1+EscalatorInLease)^(10+M72),IF(F72&lt;DATE(2026+10,5,1),IF(I72="Vacate",H72*D72*(1+GrowthMarketRent)^10*IF(INT((DATE(2026+10,10,31)-F72)/365.25)=0,(12-DowntimeNew)/12,1),IF(I72="Option",G72*D72*1.025*(1+EscalatorInLease)^10,IF(I72="Market",Retention*G72*D72*(1+EscalatorInLease)^(10+M72)+(1-Retention)*H72*D72*(1+GrowthMarketRent)^10*IF(INT((DATE(2026+10,10,31)-F72)/365.25)=0,(12-DowntimeNew)/12,1),IF(I72="LeaseUp",H72*D72*(1+GrowthMarketRent)^10*IF(10=0,(12-DowntimeNew)/12,1),0)))),((F72-DATE(2026+10,5,1))/365.25)*G72*D72*(1+EscalatorInLease)^(10+M72)+((DATE(2027+10,4,30)-F72)/365.25)*IF(I72="Vacate",H72*D72*(1+GrowthMarketRent)^10*IF(INT((DATE(2026+10,10,31)-F72)/365.25)=0,(12-DowntimeNew)/12,1),IF(I72="Option",G72*D72*1.025*(1+EscalatorInLease)^10,IF(I72="Market",Retention*G72*D72*(1+EscalatorInLease)^(10+M72)+(1-Retention)*H72*D72*(1+GrowthMarketRent)^10*IF(INT((DATE(2026+10,10,31)-F72)/365.25)=0,(12-DowntimeNew)/12,1),IF(I72="LeaseUp",H72*D72*(1+GrowthMarketRent)^10*IF(10=0,(12-DowntimeNew)/12,1),0)))))))),0)</f>
        <v/>
      </c>
      <c r="Y72" s="14">
        <f>IFERROR(IF(AND(I72="LeaseUp",0=0),(IF(I72="Vacate",TINew*D72,IF(I72="Market",Retention*TIRenewal*D72+(1-Retention)*TINew*D72,IF(I72="LeaseUp",TINew*D72,IF(I72="Option",TIRenewal*D72,0)))))+(IF(I72="Vacate",LCNew*H72*D72*(1+GrowthMarketRent)^0,IF(I72="Market",Retention*LCRenewal*H72*D72*(1+GrowthMarketRent)^0+(1-Retention)*LCNew*H72*D72*(1+GrowthMarketRent)^0,IF(I72="LeaseUp",LCNew*H72*D72*(1+GrowthMarketRent)^0,IF(I72="Option",LCRenewal*H72*D72*(1+GrowthMarketRent)^0,0))))),IF(F72="",0,IF(AND(F72&gt;=DATE(2026+0,5,1),F72&lt;=DATE(2027+0,4,30)),(IF(I72="Vacate",TINew*D72,IF(I72="Market",Retention*TIRenewal*D72+(1-Retention)*TINew*D72,IF(I72="LeaseUp",TINew*D72,IF(I72="Option",TIRenewal*D72,0)))))+(IF(I72="Vacate",LCNew*H72*D72*(1+GrowthMarketRent)^0,IF(I72="Market",Retention*LCRenewal*H72*D72*(1+GrowthMarketRent)^0+(1-Retention)*LCNew*H72*D72*(1+GrowthMarketRent)^0,IF(I72="LeaseUp",LCNew*H72*D72*(1+GrowthMarketRent)^0,IF(I72="Option",LCRenewal*H72*D72*(1+GrowthMarketRent)^0,0))))),0))),0)</f>
        <v/>
      </c>
      <c r="Z72" s="14">
        <f>IFERROR(IF(AND(I72="LeaseUp",1=0),(IF(I72="Vacate",TINew*D72,IF(I72="Market",Retention*TIRenewal*D72+(1-Retention)*TINew*D72,IF(I72="LeaseUp",TINew*D72,IF(I72="Option",TIRenewal*D72,0)))))+(IF(I72="Vacate",LCNew*H72*D72*(1+GrowthMarketRent)^1,IF(I72="Market",Retention*LCRenewal*H72*D72*(1+GrowthMarketRent)^1+(1-Retention)*LCNew*H72*D72*(1+GrowthMarketRent)^1,IF(I72="LeaseUp",LCNew*H72*D72*(1+GrowthMarketRent)^1,IF(I72="Option",LCRenewal*H72*D72*(1+GrowthMarketRent)^1,0))))),IF(F72="",0,IF(AND(F72&gt;=DATE(2026+1,5,1),F72&lt;=DATE(2027+1,4,30)),(IF(I72="Vacate",TINew*D72,IF(I72="Market",Retention*TIRenewal*D72+(1-Retention)*TINew*D72,IF(I72="LeaseUp",TINew*D72,IF(I72="Option",TIRenewal*D72,0)))))+(IF(I72="Vacate",LCNew*H72*D72*(1+GrowthMarketRent)^1,IF(I72="Market",Retention*LCRenewal*H72*D72*(1+GrowthMarketRent)^1+(1-Retention)*LCNew*H72*D72*(1+GrowthMarketRent)^1,IF(I72="LeaseUp",LCNew*H72*D72*(1+GrowthMarketRent)^1,IF(I72="Option",LCRenewal*H72*D72*(1+GrowthMarketRent)^1,0))))),0))),0)</f>
        <v/>
      </c>
      <c r="AA72" s="14">
        <f>IFERROR(IF(AND(I72="LeaseUp",2=0),(IF(I72="Vacate",TINew*D72,IF(I72="Market",Retention*TIRenewal*D72+(1-Retention)*TINew*D72,IF(I72="LeaseUp",TINew*D72,IF(I72="Option",TIRenewal*D72,0)))))+(IF(I72="Vacate",LCNew*H72*D72*(1+GrowthMarketRent)^2,IF(I72="Market",Retention*LCRenewal*H72*D72*(1+GrowthMarketRent)^2+(1-Retention)*LCNew*H72*D72*(1+GrowthMarketRent)^2,IF(I72="LeaseUp",LCNew*H72*D72*(1+GrowthMarketRent)^2,IF(I72="Option",LCRenewal*H72*D72*(1+GrowthMarketRent)^2,0))))),IF(F72="",0,IF(AND(F72&gt;=DATE(2026+2,5,1),F72&lt;=DATE(2027+2,4,30)),(IF(I72="Vacate",TINew*D72,IF(I72="Market",Retention*TIRenewal*D72+(1-Retention)*TINew*D72,IF(I72="LeaseUp",TINew*D72,IF(I72="Option",TIRenewal*D72,0)))))+(IF(I72="Vacate",LCNew*H72*D72*(1+GrowthMarketRent)^2,IF(I72="Market",Retention*LCRenewal*H72*D72*(1+GrowthMarketRent)^2+(1-Retention)*LCNew*H72*D72*(1+GrowthMarketRent)^2,IF(I72="LeaseUp",LCNew*H72*D72*(1+GrowthMarketRent)^2,IF(I72="Option",LCRenewal*H72*D72*(1+GrowthMarketRent)^2,0))))),0))),0)</f>
        <v/>
      </c>
      <c r="AB72" s="14">
        <f>IFERROR(IF(AND(I72="LeaseUp",3=0),(IF(I72="Vacate",TINew*D72,IF(I72="Market",Retention*TIRenewal*D72+(1-Retention)*TINew*D72,IF(I72="LeaseUp",TINew*D72,IF(I72="Option",TIRenewal*D72,0)))))+(IF(I72="Vacate",LCNew*H72*D72*(1+GrowthMarketRent)^3,IF(I72="Market",Retention*LCRenewal*H72*D72*(1+GrowthMarketRent)^3+(1-Retention)*LCNew*H72*D72*(1+GrowthMarketRent)^3,IF(I72="LeaseUp",LCNew*H72*D72*(1+GrowthMarketRent)^3,IF(I72="Option",LCRenewal*H72*D72*(1+GrowthMarketRent)^3,0))))),IF(F72="",0,IF(AND(F72&gt;=DATE(2026+3,5,1),F72&lt;=DATE(2027+3,4,30)),(IF(I72="Vacate",TINew*D72,IF(I72="Market",Retention*TIRenewal*D72+(1-Retention)*TINew*D72,IF(I72="LeaseUp",TINew*D72,IF(I72="Option",TIRenewal*D72,0)))))+(IF(I72="Vacate",LCNew*H72*D72*(1+GrowthMarketRent)^3,IF(I72="Market",Retention*LCRenewal*H72*D72*(1+GrowthMarketRent)^3+(1-Retention)*LCNew*H72*D72*(1+GrowthMarketRent)^3,IF(I72="LeaseUp",LCNew*H72*D72*(1+GrowthMarketRent)^3,IF(I72="Option",LCRenewal*H72*D72*(1+GrowthMarketRent)^3,0))))),0))),0)</f>
        <v/>
      </c>
      <c r="AC72" s="14">
        <f>IFERROR(IF(AND(I72="LeaseUp",4=0),(IF(I72="Vacate",TINew*D72,IF(I72="Market",Retention*TIRenewal*D72+(1-Retention)*TINew*D72,IF(I72="LeaseUp",TINew*D72,IF(I72="Option",TIRenewal*D72,0)))))+(IF(I72="Vacate",LCNew*H72*D72*(1+GrowthMarketRent)^4,IF(I72="Market",Retention*LCRenewal*H72*D72*(1+GrowthMarketRent)^4+(1-Retention)*LCNew*H72*D72*(1+GrowthMarketRent)^4,IF(I72="LeaseUp",LCNew*H72*D72*(1+GrowthMarketRent)^4,IF(I72="Option",LCRenewal*H72*D72*(1+GrowthMarketRent)^4,0))))),IF(F72="",0,IF(AND(F72&gt;=DATE(2026+4,5,1),F72&lt;=DATE(2027+4,4,30)),(IF(I72="Vacate",TINew*D72,IF(I72="Market",Retention*TIRenewal*D72+(1-Retention)*TINew*D72,IF(I72="LeaseUp",TINew*D72,IF(I72="Option",TIRenewal*D72,0)))))+(IF(I72="Vacate",LCNew*H72*D72*(1+GrowthMarketRent)^4,IF(I72="Market",Retention*LCRenewal*H72*D72*(1+GrowthMarketRent)^4+(1-Retention)*LCNew*H72*D72*(1+GrowthMarketRent)^4,IF(I72="LeaseUp",LCNew*H72*D72*(1+GrowthMarketRent)^4,IF(I72="Option",LCRenewal*H72*D72*(1+GrowthMarketRent)^4,0))))),0))),0)</f>
        <v/>
      </c>
      <c r="AD72" s="14">
        <f>IFERROR(IF(AND(I72="LeaseUp",5=0),(IF(I72="Vacate",TINew*D72,IF(I72="Market",Retention*TIRenewal*D72+(1-Retention)*TINew*D72,IF(I72="LeaseUp",TINew*D72,IF(I72="Option",TIRenewal*D72,0)))))+(IF(I72="Vacate",LCNew*H72*D72*(1+GrowthMarketRent)^5,IF(I72="Market",Retention*LCRenewal*H72*D72*(1+GrowthMarketRent)^5+(1-Retention)*LCNew*H72*D72*(1+GrowthMarketRent)^5,IF(I72="LeaseUp",LCNew*H72*D72*(1+GrowthMarketRent)^5,IF(I72="Option",LCRenewal*H72*D72*(1+GrowthMarketRent)^5,0))))),IF(F72="",0,IF(AND(F72&gt;=DATE(2026+5,5,1),F72&lt;=DATE(2027+5,4,30)),(IF(I72="Vacate",TINew*D72,IF(I72="Market",Retention*TIRenewal*D72+(1-Retention)*TINew*D72,IF(I72="LeaseUp",TINew*D72,IF(I72="Option",TIRenewal*D72,0)))))+(IF(I72="Vacate",LCNew*H72*D72*(1+GrowthMarketRent)^5,IF(I72="Market",Retention*LCRenewal*H72*D72*(1+GrowthMarketRent)^5+(1-Retention)*LCNew*H72*D72*(1+GrowthMarketRent)^5,IF(I72="LeaseUp",LCNew*H72*D72*(1+GrowthMarketRent)^5,IF(I72="Option",LCRenewal*H72*D72*(1+GrowthMarketRent)^5,0))))),0))),0)</f>
        <v/>
      </c>
      <c r="AE72" s="14">
        <f>IFERROR(IF(AND(I72="LeaseUp",6=0),(IF(I72="Vacate",TINew*D72,IF(I72="Market",Retention*TIRenewal*D72+(1-Retention)*TINew*D72,IF(I72="LeaseUp",TINew*D72,IF(I72="Option",TIRenewal*D72,0)))))+(IF(I72="Vacate",LCNew*H72*D72*(1+GrowthMarketRent)^6,IF(I72="Market",Retention*LCRenewal*H72*D72*(1+GrowthMarketRent)^6+(1-Retention)*LCNew*H72*D72*(1+GrowthMarketRent)^6,IF(I72="LeaseUp",LCNew*H72*D72*(1+GrowthMarketRent)^6,IF(I72="Option",LCRenewal*H72*D72*(1+GrowthMarketRent)^6,0))))),IF(F72="",0,IF(AND(F72&gt;=DATE(2026+6,5,1),F72&lt;=DATE(2027+6,4,30)),(IF(I72="Vacate",TINew*D72,IF(I72="Market",Retention*TIRenewal*D72+(1-Retention)*TINew*D72,IF(I72="LeaseUp",TINew*D72,IF(I72="Option",TIRenewal*D72,0)))))+(IF(I72="Vacate",LCNew*H72*D72*(1+GrowthMarketRent)^6,IF(I72="Market",Retention*LCRenewal*H72*D72*(1+GrowthMarketRent)^6+(1-Retention)*LCNew*H72*D72*(1+GrowthMarketRent)^6,IF(I72="LeaseUp",LCNew*H72*D72*(1+GrowthMarketRent)^6,IF(I72="Option",LCRenewal*H72*D72*(1+GrowthMarketRent)^6,0))))),0))),0)</f>
        <v/>
      </c>
      <c r="AF72" s="14">
        <f>IFERROR(IF(AND(I72="LeaseUp",7=0),(IF(I72="Vacate",TINew*D72,IF(I72="Market",Retention*TIRenewal*D72+(1-Retention)*TINew*D72,IF(I72="LeaseUp",TINew*D72,IF(I72="Option",TIRenewal*D72,0)))))+(IF(I72="Vacate",LCNew*H72*D72*(1+GrowthMarketRent)^7,IF(I72="Market",Retention*LCRenewal*H72*D72*(1+GrowthMarketRent)^7+(1-Retention)*LCNew*H72*D72*(1+GrowthMarketRent)^7,IF(I72="LeaseUp",LCNew*H72*D72*(1+GrowthMarketRent)^7,IF(I72="Option",LCRenewal*H72*D72*(1+GrowthMarketRent)^7,0))))),IF(F72="",0,IF(AND(F72&gt;=DATE(2026+7,5,1),F72&lt;=DATE(2027+7,4,30)),(IF(I72="Vacate",TINew*D72,IF(I72="Market",Retention*TIRenewal*D72+(1-Retention)*TINew*D72,IF(I72="LeaseUp",TINew*D72,IF(I72="Option",TIRenewal*D72,0)))))+(IF(I72="Vacate",LCNew*H72*D72*(1+GrowthMarketRent)^7,IF(I72="Market",Retention*LCRenewal*H72*D72*(1+GrowthMarketRent)^7+(1-Retention)*LCNew*H72*D72*(1+GrowthMarketRent)^7,IF(I72="LeaseUp",LCNew*H72*D72*(1+GrowthMarketRent)^7,IF(I72="Option",LCRenewal*H72*D72*(1+GrowthMarketRent)^7,0))))),0))),0)</f>
        <v/>
      </c>
      <c r="AG72" s="14">
        <f>IFERROR(IF(AND(I72="LeaseUp",8=0),(IF(I72="Vacate",TINew*D72,IF(I72="Market",Retention*TIRenewal*D72+(1-Retention)*TINew*D72,IF(I72="LeaseUp",TINew*D72,IF(I72="Option",TIRenewal*D72,0)))))+(IF(I72="Vacate",LCNew*H72*D72*(1+GrowthMarketRent)^8,IF(I72="Market",Retention*LCRenewal*H72*D72*(1+GrowthMarketRent)^8+(1-Retention)*LCNew*H72*D72*(1+GrowthMarketRent)^8,IF(I72="LeaseUp",LCNew*H72*D72*(1+GrowthMarketRent)^8,IF(I72="Option",LCRenewal*H72*D72*(1+GrowthMarketRent)^8,0))))),IF(F72="",0,IF(AND(F72&gt;=DATE(2026+8,5,1),F72&lt;=DATE(2027+8,4,30)),(IF(I72="Vacate",TINew*D72,IF(I72="Market",Retention*TIRenewal*D72+(1-Retention)*TINew*D72,IF(I72="LeaseUp",TINew*D72,IF(I72="Option",TIRenewal*D72,0)))))+(IF(I72="Vacate",LCNew*H72*D72*(1+GrowthMarketRent)^8,IF(I72="Market",Retention*LCRenewal*H72*D72*(1+GrowthMarketRent)^8+(1-Retention)*LCNew*H72*D72*(1+GrowthMarketRent)^8,IF(I72="LeaseUp",LCNew*H72*D72*(1+GrowthMarketRent)^8,IF(I72="Option",LCRenewal*H72*D72*(1+GrowthMarketRent)^8,0))))),0))),0)</f>
        <v/>
      </c>
      <c r="AH72" s="14">
        <f>IFERROR(IF(AND(I72="LeaseUp",9=0),(IF(I72="Vacate",TINew*D72,IF(I72="Market",Retention*TIRenewal*D72+(1-Retention)*TINew*D72,IF(I72="LeaseUp",TINew*D72,IF(I72="Option",TIRenewal*D72,0)))))+(IF(I72="Vacate",LCNew*H72*D72*(1+GrowthMarketRent)^9,IF(I72="Market",Retention*LCRenewal*H72*D72*(1+GrowthMarketRent)^9+(1-Retention)*LCNew*H72*D72*(1+GrowthMarketRent)^9,IF(I72="LeaseUp",LCNew*H72*D72*(1+GrowthMarketRent)^9,IF(I72="Option",LCRenewal*H72*D72*(1+GrowthMarketRent)^9,0))))),IF(F72="",0,IF(AND(F72&gt;=DATE(2026+9,5,1),F72&lt;=DATE(2027+9,4,30)),(IF(I72="Vacate",TINew*D72,IF(I72="Market",Retention*TIRenewal*D72+(1-Retention)*TINew*D72,IF(I72="LeaseUp",TINew*D72,IF(I72="Option",TIRenewal*D72,0)))))+(IF(I72="Vacate",LCNew*H72*D72*(1+GrowthMarketRent)^9,IF(I72="Market",Retention*LCRenewal*H72*D72*(1+GrowthMarketRent)^9+(1-Retention)*LCNew*H72*D72*(1+GrowthMarketRent)^9,IF(I72="LeaseUp",LCNew*H72*D72*(1+GrowthMarketRent)^9,IF(I72="Option",LCRenewal*H72*D72*(1+GrowthMarketRent)^9,0))))),0))),0)</f>
        <v/>
      </c>
      <c r="AI72" s="14">
        <f>IFERROR(IF(AND(I72="LeaseUp",10=0),(IF(I72="Vacate",TINew*D72,IF(I72="Market",Retention*TIRenewal*D72+(1-Retention)*TINew*D72,IF(I72="LeaseUp",TINew*D72,IF(I72="Option",TIRenewal*D72,0)))))+(IF(I72="Vacate",LCNew*H72*D72*(1+GrowthMarketRent)^10,IF(I72="Market",Retention*LCRenewal*H72*D72*(1+GrowthMarketRent)^10+(1-Retention)*LCNew*H72*D72*(1+GrowthMarketRent)^10,IF(I72="LeaseUp",LCNew*H72*D72*(1+GrowthMarketRent)^10,IF(I72="Option",LCRenewal*H72*D72*(1+GrowthMarketRent)^10,0))))),IF(F72="",0,IF(AND(F72&gt;=DATE(2026+10,5,1),F72&lt;=DATE(2027+10,4,30)),(IF(I72="Vacate",TINew*D72,IF(I72="Market",Retention*TIRenewal*D72+(1-Retention)*TINew*D72,IF(I72="LeaseUp",TINew*D72,IF(I72="Option",TIRenewal*D72,0)))))+(IF(I72="Vacate",LCNew*H72*D72*(1+GrowthMarketRent)^10,IF(I72="Market",Retention*LCRenewal*H72*D72*(1+GrowthMarketRent)^10+(1-Retention)*LCNew*H72*D72*(1+GrowthMarketRent)^10,IF(I72="LeaseUp",LCNew*H72*D72*(1+GrowthMarketRent)^10,IF(I72="Option",LCRenewal*H72*D72*(1+GrowthMarketRent)^10,0))))),0))),0)</f>
        <v/>
      </c>
    </row>
    <row r="73">
      <c r="A73" t="inlineStr">
        <is>
          <t>Mesquite</t>
        </is>
      </c>
      <c r="B73" t="inlineStr">
        <is>
          <t>105</t>
        </is>
      </c>
      <c r="C73" t="inlineStr">
        <is>
          <t>VACANT</t>
        </is>
      </c>
      <c r="D73" s="32" t="n">
        <v>2600</v>
      </c>
      <c r="G73" s="34" t="n">
        <v>0</v>
      </c>
      <c r="H73" s="16">
        <f>VLOOKUP(A73,MLA!$A$5:$L$11,3,FALSE)</f>
        <v/>
      </c>
      <c r="I73" s="11" t="inlineStr">
        <is>
          <t>LeaseUp</t>
        </is>
      </c>
      <c r="J73" t="inlineStr">
        <is>
          <t>Shop</t>
        </is>
      </c>
      <c r="K73" t="inlineStr">
        <is>
          <t>Vacant</t>
        </is>
      </c>
      <c r="L73" t="inlineStr">
        <is>
          <t>Shop; future lease-up Sep-2026</t>
        </is>
      </c>
      <c r="M73" s="20">
        <f>IF(E73="",0,(AnalysisStart-E73)/365.25)</f>
        <v/>
      </c>
      <c r="N73" s="14">
        <f>IFERROR(IF(I73="LeaseUp",H73*D73*(1+GrowthMarketRent)^0*IF(0=0,(12-DowntimeNew)/12,1),IF(F73="",0,IF(F73&gt;=DATE(2027+0,4,30),G73*D73*(1+EscalatorInLease)^(0+M73),IF(F73&lt;DATE(2026+0,5,1),IF(I73="Vacate",H73*D73*(1+GrowthMarketRent)^0*IF(INT((DATE(2026+0,10,31)-F73)/365.25)=0,(12-DowntimeNew)/12,1),IF(I73="Option",G73*D73*1.025*(1+EscalatorInLease)^0,IF(I73="Market",Retention*G73*D73*(1+EscalatorInLease)^(0+M73)+(1-Retention)*H73*D73*(1+GrowthMarketRent)^0*IF(INT((DATE(2026+0,10,31)-F73)/365.25)=0,(12-DowntimeNew)/12,1),IF(I73="LeaseUp",H73*D73*(1+GrowthMarketRent)^0*IF(0=0,(12-DowntimeNew)/12,1),0)))),((F73-DATE(2026+0,5,1))/365.25)*G73*D73*(1+EscalatorInLease)^(0+M73)+((DATE(2027+0,4,30)-F73)/365.25)*IF(I73="Vacate",H73*D73*(1+GrowthMarketRent)^0*IF(INT((DATE(2026+0,10,31)-F73)/365.25)=0,(12-DowntimeNew)/12,1),IF(I73="Option",G73*D73*1.025*(1+EscalatorInLease)^0,IF(I73="Market",Retention*G73*D73*(1+EscalatorInLease)^(0+M73)+(1-Retention)*H73*D73*(1+GrowthMarketRent)^0*IF(INT((DATE(2026+0,10,31)-F73)/365.25)=0,(12-DowntimeNew)/12,1),IF(I73="LeaseUp",H73*D73*(1+GrowthMarketRent)^0*IF(0=0,(12-DowntimeNew)/12,1),0)))))))),0)</f>
        <v/>
      </c>
      <c r="O73" s="14">
        <f>IFERROR(IF(I73="LeaseUp",H73*D73*(1+GrowthMarketRent)^1*IF(1=0,(12-DowntimeNew)/12,1),IF(F73="",0,IF(F73&gt;=DATE(2027+1,4,30),G73*D73*(1+EscalatorInLease)^(1+M73),IF(F73&lt;DATE(2026+1,5,1),IF(I73="Vacate",H73*D73*(1+GrowthMarketRent)^1*IF(INT((DATE(2026+1,10,31)-F73)/365.25)=0,(12-DowntimeNew)/12,1),IF(I73="Option",G73*D73*1.025*(1+EscalatorInLease)^1,IF(I73="Market",Retention*G73*D73*(1+EscalatorInLease)^(1+M73)+(1-Retention)*H73*D73*(1+GrowthMarketRent)^1*IF(INT((DATE(2026+1,10,31)-F73)/365.25)=0,(12-DowntimeNew)/12,1),IF(I73="LeaseUp",H73*D73*(1+GrowthMarketRent)^1*IF(1=0,(12-DowntimeNew)/12,1),0)))),((F73-DATE(2026+1,5,1))/365.25)*G73*D73*(1+EscalatorInLease)^(1+M73)+((DATE(2027+1,4,30)-F73)/365.25)*IF(I73="Vacate",H73*D73*(1+GrowthMarketRent)^1*IF(INT((DATE(2026+1,10,31)-F73)/365.25)=0,(12-DowntimeNew)/12,1),IF(I73="Option",G73*D73*1.025*(1+EscalatorInLease)^1,IF(I73="Market",Retention*G73*D73*(1+EscalatorInLease)^(1+M73)+(1-Retention)*H73*D73*(1+GrowthMarketRent)^1*IF(INT((DATE(2026+1,10,31)-F73)/365.25)=0,(12-DowntimeNew)/12,1),IF(I73="LeaseUp",H73*D73*(1+GrowthMarketRent)^1*IF(1=0,(12-DowntimeNew)/12,1),0)))))))),0)</f>
        <v/>
      </c>
      <c r="P73" s="14">
        <f>IFERROR(IF(I73="LeaseUp",H73*D73*(1+GrowthMarketRent)^2*IF(2=0,(12-DowntimeNew)/12,1),IF(F73="",0,IF(F73&gt;=DATE(2027+2,4,30),G73*D73*(1+EscalatorInLease)^(2+M73),IF(F73&lt;DATE(2026+2,5,1),IF(I73="Vacate",H73*D73*(1+GrowthMarketRent)^2*IF(INT((DATE(2026+2,10,31)-F73)/365.25)=0,(12-DowntimeNew)/12,1),IF(I73="Option",G73*D73*1.025*(1+EscalatorInLease)^2,IF(I73="Market",Retention*G73*D73*(1+EscalatorInLease)^(2+M73)+(1-Retention)*H73*D73*(1+GrowthMarketRent)^2*IF(INT((DATE(2026+2,10,31)-F73)/365.25)=0,(12-DowntimeNew)/12,1),IF(I73="LeaseUp",H73*D73*(1+GrowthMarketRent)^2*IF(2=0,(12-DowntimeNew)/12,1),0)))),((F73-DATE(2026+2,5,1))/365.25)*G73*D73*(1+EscalatorInLease)^(2+M73)+((DATE(2027+2,4,30)-F73)/365.25)*IF(I73="Vacate",H73*D73*(1+GrowthMarketRent)^2*IF(INT((DATE(2026+2,10,31)-F73)/365.25)=0,(12-DowntimeNew)/12,1),IF(I73="Option",G73*D73*1.025*(1+EscalatorInLease)^2,IF(I73="Market",Retention*G73*D73*(1+EscalatorInLease)^(2+M73)+(1-Retention)*H73*D73*(1+GrowthMarketRent)^2*IF(INT((DATE(2026+2,10,31)-F73)/365.25)=0,(12-DowntimeNew)/12,1),IF(I73="LeaseUp",H73*D73*(1+GrowthMarketRent)^2*IF(2=0,(12-DowntimeNew)/12,1),0)))))))),0)</f>
        <v/>
      </c>
      <c r="Q73" s="14">
        <f>IFERROR(IF(I73="LeaseUp",H73*D73*(1+GrowthMarketRent)^3*IF(3=0,(12-DowntimeNew)/12,1),IF(F73="",0,IF(F73&gt;=DATE(2027+3,4,30),G73*D73*(1+EscalatorInLease)^(3+M73),IF(F73&lt;DATE(2026+3,5,1),IF(I73="Vacate",H73*D73*(1+GrowthMarketRent)^3*IF(INT((DATE(2026+3,10,31)-F73)/365.25)=0,(12-DowntimeNew)/12,1),IF(I73="Option",G73*D73*1.025*(1+EscalatorInLease)^3,IF(I73="Market",Retention*G73*D73*(1+EscalatorInLease)^(3+M73)+(1-Retention)*H73*D73*(1+GrowthMarketRent)^3*IF(INT((DATE(2026+3,10,31)-F73)/365.25)=0,(12-DowntimeNew)/12,1),IF(I73="LeaseUp",H73*D73*(1+GrowthMarketRent)^3*IF(3=0,(12-DowntimeNew)/12,1),0)))),((F73-DATE(2026+3,5,1))/365.25)*G73*D73*(1+EscalatorInLease)^(3+M73)+((DATE(2027+3,4,30)-F73)/365.25)*IF(I73="Vacate",H73*D73*(1+GrowthMarketRent)^3*IF(INT((DATE(2026+3,10,31)-F73)/365.25)=0,(12-DowntimeNew)/12,1),IF(I73="Option",G73*D73*1.025*(1+EscalatorInLease)^3,IF(I73="Market",Retention*G73*D73*(1+EscalatorInLease)^(3+M73)+(1-Retention)*H73*D73*(1+GrowthMarketRent)^3*IF(INT((DATE(2026+3,10,31)-F73)/365.25)=0,(12-DowntimeNew)/12,1),IF(I73="LeaseUp",H73*D73*(1+GrowthMarketRent)^3*IF(3=0,(12-DowntimeNew)/12,1),0)))))))),0)</f>
        <v/>
      </c>
      <c r="R73" s="14">
        <f>IFERROR(IF(I73="LeaseUp",H73*D73*(1+GrowthMarketRent)^4*IF(4=0,(12-DowntimeNew)/12,1),IF(F73="",0,IF(F73&gt;=DATE(2027+4,4,30),G73*D73*(1+EscalatorInLease)^(4+M73),IF(F73&lt;DATE(2026+4,5,1),IF(I73="Vacate",H73*D73*(1+GrowthMarketRent)^4*IF(INT((DATE(2026+4,10,31)-F73)/365.25)=0,(12-DowntimeNew)/12,1),IF(I73="Option",G73*D73*1.025*(1+EscalatorInLease)^4,IF(I73="Market",Retention*G73*D73*(1+EscalatorInLease)^(4+M73)+(1-Retention)*H73*D73*(1+GrowthMarketRent)^4*IF(INT((DATE(2026+4,10,31)-F73)/365.25)=0,(12-DowntimeNew)/12,1),IF(I73="LeaseUp",H73*D73*(1+GrowthMarketRent)^4*IF(4=0,(12-DowntimeNew)/12,1),0)))),((F73-DATE(2026+4,5,1))/365.25)*G73*D73*(1+EscalatorInLease)^(4+M73)+((DATE(2027+4,4,30)-F73)/365.25)*IF(I73="Vacate",H73*D73*(1+GrowthMarketRent)^4*IF(INT((DATE(2026+4,10,31)-F73)/365.25)=0,(12-DowntimeNew)/12,1),IF(I73="Option",G73*D73*1.025*(1+EscalatorInLease)^4,IF(I73="Market",Retention*G73*D73*(1+EscalatorInLease)^(4+M73)+(1-Retention)*H73*D73*(1+GrowthMarketRent)^4*IF(INT((DATE(2026+4,10,31)-F73)/365.25)=0,(12-DowntimeNew)/12,1),IF(I73="LeaseUp",H73*D73*(1+GrowthMarketRent)^4*IF(4=0,(12-DowntimeNew)/12,1),0)))))))),0)</f>
        <v/>
      </c>
      <c r="S73" s="14">
        <f>IFERROR(IF(I73="LeaseUp",H73*D73*(1+GrowthMarketRent)^5*IF(5=0,(12-DowntimeNew)/12,1),IF(F73="",0,IF(F73&gt;=DATE(2027+5,4,30),G73*D73*(1+EscalatorInLease)^(5+M73),IF(F73&lt;DATE(2026+5,5,1),IF(I73="Vacate",H73*D73*(1+GrowthMarketRent)^5*IF(INT((DATE(2026+5,10,31)-F73)/365.25)=0,(12-DowntimeNew)/12,1),IF(I73="Option",G73*D73*1.025*(1+EscalatorInLease)^5,IF(I73="Market",Retention*G73*D73*(1+EscalatorInLease)^(5+M73)+(1-Retention)*H73*D73*(1+GrowthMarketRent)^5*IF(INT((DATE(2026+5,10,31)-F73)/365.25)=0,(12-DowntimeNew)/12,1),IF(I73="LeaseUp",H73*D73*(1+GrowthMarketRent)^5*IF(5=0,(12-DowntimeNew)/12,1),0)))),((F73-DATE(2026+5,5,1))/365.25)*G73*D73*(1+EscalatorInLease)^(5+M73)+((DATE(2027+5,4,30)-F73)/365.25)*IF(I73="Vacate",H73*D73*(1+GrowthMarketRent)^5*IF(INT((DATE(2026+5,10,31)-F73)/365.25)=0,(12-DowntimeNew)/12,1),IF(I73="Option",G73*D73*1.025*(1+EscalatorInLease)^5,IF(I73="Market",Retention*G73*D73*(1+EscalatorInLease)^(5+M73)+(1-Retention)*H73*D73*(1+GrowthMarketRent)^5*IF(INT((DATE(2026+5,10,31)-F73)/365.25)=0,(12-DowntimeNew)/12,1),IF(I73="LeaseUp",H73*D73*(1+GrowthMarketRent)^5*IF(5=0,(12-DowntimeNew)/12,1),0)))))))),0)</f>
        <v/>
      </c>
      <c r="T73" s="14">
        <f>IFERROR(IF(I73="LeaseUp",H73*D73*(1+GrowthMarketRent)^6*IF(6=0,(12-DowntimeNew)/12,1),IF(F73="",0,IF(F73&gt;=DATE(2027+6,4,30),G73*D73*(1+EscalatorInLease)^(6+M73),IF(F73&lt;DATE(2026+6,5,1),IF(I73="Vacate",H73*D73*(1+GrowthMarketRent)^6*IF(INT((DATE(2026+6,10,31)-F73)/365.25)=0,(12-DowntimeNew)/12,1),IF(I73="Option",G73*D73*1.025*(1+EscalatorInLease)^6,IF(I73="Market",Retention*G73*D73*(1+EscalatorInLease)^(6+M73)+(1-Retention)*H73*D73*(1+GrowthMarketRent)^6*IF(INT((DATE(2026+6,10,31)-F73)/365.25)=0,(12-DowntimeNew)/12,1),IF(I73="LeaseUp",H73*D73*(1+GrowthMarketRent)^6*IF(6=0,(12-DowntimeNew)/12,1),0)))),((F73-DATE(2026+6,5,1))/365.25)*G73*D73*(1+EscalatorInLease)^(6+M73)+((DATE(2027+6,4,30)-F73)/365.25)*IF(I73="Vacate",H73*D73*(1+GrowthMarketRent)^6*IF(INT((DATE(2026+6,10,31)-F73)/365.25)=0,(12-DowntimeNew)/12,1),IF(I73="Option",G73*D73*1.025*(1+EscalatorInLease)^6,IF(I73="Market",Retention*G73*D73*(1+EscalatorInLease)^(6+M73)+(1-Retention)*H73*D73*(1+GrowthMarketRent)^6*IF(INT((DATE(2026+6,10,31)-F73)/365.25)=0,(12-DowntimeNew)/12,1),IF(I73="LeaseUp",H73*D73*(1+GrowthMarketRent)^6*IF(6=0,(12-DowntimeNew)/12,1),0)))))))),0)</f>
        <v/>
      </c>
      <c r="U73" s="14">
        <f>IFERROR(IF(I73="LeaseUp",H73*D73*(1+GrowthMarketRent)^7*IF(7=0,(12-DowntimeNew)/12,1),IF(F73="",0,IF(F73&gt;=DATE(2027+7,4,30),G73*D73*(1+EscalatorInLease)^(7+M73),IF(F73&lt;DATE(2026+7,5,1),IF(I73="Vacate",H73*D73*(1+GrowthMarketRent)^7*IF(INT((DATE(2026+7,10,31)-F73)/365.25)=0,(12-DowntimeNew)/12,1),IF(I73="Option",G73*D73*1.025*(1+EscalatorInLease)^7,IF(I73="Market",Retention*G73*D73*(1+EscalatorInLease)^(7+M73)+(1-Retention)*H73*D73*(1+GrowthMarketRent)^7*IF(INT((DATE(2026+7,10,31)-F73)/365.25)=0,(12-DowntimeNew)/12,1),IF(I73="LeaseUp",H73*D73*(1+GrowthMarketRent)^7*IF(7=0,(12-DowntimeNew)/12,1),0)))),((F73-DATE(2026+7,5,1))/365.25)*G73*D73*(1+EscalatorInLease)^(7+M73)+((DATE(2027+7,4,30)-F73)/365.25)*IF(I73="Vacate",H73*D73*(1+GrowthMarketRent)^7*IF(INT((DATE(2026+7,10,31)-F73)/365.25)=0,(12-DowntimeNew)/12,1),IF(I73="Option",G73*D73*1.025*(1+EscalatorInLease)^7,IF(I73="Market",Retention*G73*D73*(1+EscalatorInLease)^(7+M73)+(1-Retention)*H73*D73*(1+GrowthMarketRent)^7*IF(INT((DATE(2026+7,10,31)-F73)/365.25)=0,(12-DowntimeNew)/12,1),IF(I73="LeaseUp",H73*D73*(1+GrowthMarketRent)^7*IF(7=0,(12-DowntimeNew)/12,1),0)))))))),0)</f>
        <v/>
      </c>
      <c r="V73" s="14">
        <f>IFERROR(IF(I73="LeaseUp",H73*D73*(1+GrowthMarketRent)^8*IF(8=0,(12-DowntimeNew)/12,1),IF(F73="",0,IF(F73&gt;=DATE(2027+8,4,30),G73*D73*(1+EscalatorInLease)^(8+M73),IF(F73&lt;DATE(2026+8,5,1),IF(I73="Vacate",H73*D73*(1+GrowthMarketRent)^8*IF(INT((DATE(2026+8,10,31)-F73)/365.25)=0,(12-DowntimeNew)/12,1),IF(I73="Option",G73*D73*1.025*(1+EscalatorInLease)^8,IF(I73="Market",Retention*G73*D73*(1+EscalatorInLease)^(8+M73)+(1-Retention)*H73*D73*(1+GrowthMarketRent)^8*IF(INT((DATE(2026+8,10,31)-F73)/365.25)=0,(12-DowntimeNew)/12,1),IF(I73="LeaseUp",H73*D73*(1+GrowthMarketRent)^8*IF(8=0,(12-DowntimeNew)/12,1),0)))),((F73-DATE(2026+8,5,1))/365.25)*G73*D73*(1+EscalatorInLease)^(8+M73)+((DATE(2027+8,4,30)-F73)/365.25)*IF(I73="Vacate",H73*D73*(1+GrowthMarketRent)^8*IF(INT((DATE(2026+8,10,31)-F73)/365.25)=0,(12-DowntimeNew)/12,1),IF(I73="Option",G73*D73*1.025*(1+EscalatorInLease)^8,IF(I73="Market",Retention*G73*D73*(1+EscalatorInLease)^(8+M73)+(1-Retention)*H73*D73*(1+GrowthMarketRent)^8*IF(INT((DATE(2026+8,10,31)-F73)/365.25)=0,(12-DowntimeNew)/12,1),IF(I73="LeaseUp",H73*D73*(1+GrowthMarketRent)^8*IF(8=0,(12-DowntimeNew)/12,1),0)))))))),0)</f>
        <v/>
      </c>
      <c r="W73" s="14">
        <f>IFERROR(IF(I73="LeaseUp",H73*D73*(1+GrowthMarketRent)^9*IF(9=0,(12-DowntimeNew)/12,1),IF(F73="",0,IF(F73&gt;=DATE(2027+9,4,30),G73*D73*(1+EscalatorInLease)^(9+M73),IF(F73&lt;DATE(2026+9,5,1),IF(I73="Vacate",H73*D73*(1+GrowthMarketRent)^9*IF(INT((DATE(2026+9,10,31)-F73)/365.25)=0,(12-DowntimeNew)/12,1),IF(I73="Option",G73*D73*1.025*(1+EscalatorInLease)^9,IF(I73="Market",Retention*G73*D73*(1+EscalatorInLease)^(9+M73)+(1-Retention)*H73*D73*(1+GrowthMarketRent)^9*IF(INT((DATE(2026+9,10,31)-F73)/365.25)=0,(12-DowntimeNew)/12,1),IF(I73="LeaseUp",H73*D73*(1+GrowthMarketRent)^9*IF(9=0,(12-DowntimeNew)/12,1),0)))),((F73-DATE(2026+9,5,1))/365.25)*G73*D73*(1+EscalatorInLease)^(9+M73)+((DATE(2027+9,4,30)-F73)/365.25)*IF(I73="Vacate",H73*D73*(1+GrowthMarketRent)^9*IF(INT((DATE(2026+9,10,31)-F73)/365.25)=0,(12-DowntimeNew)/12,1),IF(I73="Option",G73*D73*1.025*(1+EscalatorInLease)^9,IF(I73="Market",Retention*G73*D73*(1+EscalatorInLease)^(9+M73)+(1-Retention)*H73*D73*(1+GrowthMarketRent)^9*IF(INT((DATE(2026+9,10,31)-F73)/365.25)=0,(12-DowntimeNew)/12,1),IF(I73="LeaseUp",H73*D73*(1+GrowthMarketRent)^9*IF(9=0,(12-DowntimeNew)/12,1),0)))))))),0)</f>
        <v/>
      </c>
      <c r="X73" s="14">
        <f>IFERROR(IF(I73="LeaseUp",H73*D73*(1+GrowthMarketRent)^10*IF(10=0,(12-DowntimeNew)/12,1),IF(F73="",0,IF(F73&gt;=DATE(2027+10,4,30),G73*D73*(1+EscalatorInLease)^(10+M73),IF(F73&lt;DATE(2026+10,5,1),IF(I73="Vacate",H73*D73*(1+GrowthMarketRent)^10*IF(INT((DATE(2026+10,10,31)-F73)/365.25)=0,(12-DowntimeNew)/12,1),IF(I73="Option",G73*D73*1.025*(1+EscalatorInLease)^10,IF(I73="Market",Retention*G73*D73*(1+EscalatorInLease)^(10+M73)+(1-Retention)*H73*D73*(1+GrowthMarketRent)^10*IF(INT((DATE(2026+10,10,31)-F73)/365.25)=0,(12-DowntimeNew)/12,1),IF(I73="LeaseUp",H73*D73*(1+GrowthMarketRent)^10*IF(10=0,(12-DowntimeNew)/12,1),0)))),((F73-DATE(2026+10,5,1))/365.25)*G73*D73*(1+EscalatorInLease)^(10+M73)+((DATE(2027+10,4,30)-F73)/365.25)*IF(I73="Vacate",H73*D73*(1+GrowthMarketRent)^10*IF(INT((DATE(2026+10,10,31)-F73)/365.25)=0,(12-DowntimeNew)/12,1),IF(I73="Option",G73*D73*1.025*(1+EscalatorInLease)^10,IF(I73="Market",Retention*G73*D73*(1+EscalatorInLease)^(10+M73)+(1-Retention)*H73*D73*(1+GrowthMarketRent)^10*IF(INT((DATE(2026+10,10,31)-F73)/365.25)=0,(12-DowntimeNew)/12,1),IF(I73="LeaseUp",H73*D73*(1+GrowthMarketRent)^10*IF(10=0,(12-DowntimeNew)/12,1),0)))))))),0)</f>
        <v/>
      </c>
      <c r="Y73" s="14">
        <f>IFERROR(IF(AND(I73="LeaseUp",0=0),(IF(I73="Vacate",TINew*D73,IF(I73="Market",Retention*TIRenewal*D73+(1-Retention)*TINew*D73,IF(I73="LeaseUp",TINew*D73,IF(I73="Option",TIRenewal*D73,0)))))+(IF(I73="Vacate",LCNew*H73*D73*(1+GrowthMarketRent)^0,IF(I73="Market",Retention*LCRenewal*H73*D73*(1+GrowthMarketRent)^0+(1-Retention)*LCNew*H73*D73*(1+GrowthMarketRent)^0,IF(I73="LeaseUp",LCNew*H73*D73*(1+GrowthMarketRent)^0,IF(I73="Option",LCRenewal*H73*D73*(1+GrowthMarketRent)^0,0))))),IF(F73="",0,IF(AND(F73&gt;=DATE(2026+0,5,1),F73&lt;=DATE(2027+0,4,30)),(IF(I73="Vacate",TINew*D73,IF(I73="Market",Retention*TIRenewal*D73+(1-Retention)*TINew*D73,IF(I73="LeaseUp",TINew*D73,IF(I73="Option",TIRenewal*D73,0)))))+(IF(I73="Vacate",LCNew*H73*D73*(1+GrowthMarketRent)^0,IF(I73="Market",Retention*LCRenewal*H73*D73*(1+GrowthMarketRent)^0+(1-Retention)*LCNew*H73*D73*(1+GrowthMarketRent)^0,IF(I73="LeaseUp",LCNew*H73*D73*(1+GrowthMarketRent)^0,IF(I73="Option",LCRenewal*H73*D73*(1+GrowthMarketRent)^0,0))))),0))),0)</f>
        <v/>
      </c>
      <c r="Z73" s="14">
        <f>IFERROR(IF(AND(I73="LeaseUp",1=0),(IF(I73="Vacate",TINew*D73,IF(I73="Market",Retention*TIRenewal*D73+(1-Retention)*TINew*D73,IF(I73="LeaseUp",TINew*D73,IF(I73="Option",TIRenewal*D73,0)))))+(IF(I73="Vacate",LCNew*H73*D73*(1+GrowthMarketRent)^1,IF(I73="Market",Retention*LCRenewal*H73*D73*(1+GrowthMarketRent)^1+(1-Retention)*LCNew*H73*D73*(1+GrowthMarketRent)^1,IF(I73="LeaseUp",LCNew*H73*D73*(1+GrowthMarketRent)^1,IF(I73="Option",LCRenewal*H73*D73*(1+GrowthMarketRent)^1,0))))),IF(F73="",0,IF(AND(F73&gt;=DATE(2026+1,5,1),F73&lt;=DATE(2027+1,4,30)),(IF(I73="Vacate",TINew*D73,IF(I73="Market",Retention*TIRenewal*D73+(1-Retention)*TINew*D73,IF(I73="LeaseUp",TINew*D73,IF(I73="Option",TIRenewal*D73,0)))))+(IF(I73="Vacate",LCNew*H73*D73*(1+GrowthMarketRent)^1,IF(I73="Market",Retention*LCRenewal*H73*D73*(1+GrowthMarketRent)^1+(1-Retention)*LCNew*H73*D73*(1+GrowthMarketRent)^1,IF(I73="LeaseUp",LCNew*H73*D73*(1+GrowthMarketRent)^1,IF(I73="Option",LCRenewal*H73*D73*(1+GrowthMarketRent)^1,0))))),0))),0)</f>
        <v/>
      </c>
      <c r="AA73" s="14">
        <f>IFERROR(IF(AND(I73="LeaseUp",2=0),(IF(I73="Vacate",TINew*D73,IF(I73="Market",Retention*TIRenewal*D73+(1-Retention)*TINew*D73,IF(I73="LeaseUp",TINew*D73,IF(I73="Option",TIRenewal*D73,0)))))+(IF(I73="Vacate",LCNew*H73*D73*(1+GrowthMarketRent)^2,IF(I73="Market",Retention*LCRenewal*H73*D73*(1+GrowthMarketRent)^2+(1-Retention)*LCNew*H73*D73*(1+GrowthMarketRent)^2,IF(I73="LeaseUp",LCNew*H73*D73*(1+GrowthMarketRent)^2,IF(I73="Option",LCRenewal*H73*D73*(1+GrowthMarketRent)^2,0))))),IF(F73="",0,IF(AND(F73&gt;=DATE(2026+2,5,1),F73&lt;=DATE(2027+2,4,30)),(IF(I73="Vacate",TINew*D73,IF(I73="Market",Retention*TIRenewal*D73+(1-Retention)*TINew*D73,IF(I73="LeaseUp",TINew*D73,IF(I73="Option",TIRenewal*D73,0)))))+(IF(I73="Vacate",LCNew*H73*D73*(1+GrowthMarketRent)^2,IF(I73="Market",Retention*LCRenewal*H73*D73*(1+GrowthMarketRent)^2+(1-Retention)*LCNew*H73*D73*(1+GrowthMarketRent)^2,IF(I73="LeaseUp",LCNew*H73*D73*(1+GrowthMarketRent)^2,IF(I73="Option",LCRenewal*H73*D73*(1+GrowthMarketRent)^2,0))))),0))),0)</f>
        <v/>
      </c>
      <c r="AB73" s="14">
        <f>IFERROR(IF(AND(I73="LeaseUp",3=0),(IF(I73="Vacate",TINew*D73,IF(I73="Market",Retention*TIRenewal*D73+(1-Retention)*TINew*D73,IF(I73="LeaseUp",TINew*D73,IF(I73="Option",TIRenewal*D73,0)))))+(IF(I73="Vacate",LCNew*H73*D73*(1+GrowthMarketRent)^3,IF(I73="Market",Retention*LCRenewal*H73*D73*(1+GrowthMarketRent)^3+(1-Retention)*LCNew*H73*D73*(1+GrowthMarketRent)^3,IF(I73="LeaseUp",LCNew*H73*D73*(1+GrowthMarketRent)^3,IF(I73="Option",LCRenewal*H73*D73*(1+GrowthMarketRent)^3,0))))),IF(F73="",0,IF(AND(F73&gt;=DATE(2026+3,5,1),F73&lt;=DATE(2027+3,4,30)),(IF(I73="Vacate",TINew*D73,IF(I73="Market",Retention*TIRenewal*D73+(1-Retention)*TINew*D73,IF(I73="LeaseUp",TINew*D73,IF(I73="Option",TIRenewal*D73,0)))))+(IF(I73="Vacate",LCNew*H73*D73*(1+GrowthMarketRent)^3,IF(I73="Market",Retention*LCRenewal*H73*D73*(1+GrowthMarketRent)^3+(1-Retention)*LCNew*H73*D73*(1+GrowthMarketRent)^3,IF(I73="LeaseUp",LCNew*H73*D73*(1+GrowthMarketRent)^3,IF(I73="Option",LCRenewal*H73*D73*(1+GrowthMarketRent)^3,0))))),0))),0)</f>
        <v/>
      </c>
      <c r="AC73" s="14">
        <f>IFERROR(IF(AND(I73="LeaseUp",4=0),(IF(I73="Vacate",TINew*D73,IF(I73="Market",Retention*TIRenewal*D73+(1-Retention)*TINew*D73,IF(I73="LeaseUp",TINew*D73,IF(I73="Option",TIRenewal*D73,0)))))+(IF(I73="Vacate",LCNew*H73*D73*(1+GrowthMarketRent)^4,IF(I73="Market",Retention*LCRenewal*H73*D73*(1+GrowthMarketRent)^4+(1-Retention)*LCNew*H73*D73*(1+GrowthMarketRent)^4,IF(I73="LeaseUp",LCNew*H73*D73*(1+GrowthMarketRent)^4,IF(I73="Option",LCRenewal*H73*D73*(1+GrowthMarketRent)^4,0))))),IF(F73="",0,IF(AND(F73&gt;=DATE(2026+4,5,1),F73&lt;=DATE(2027+4,4,30)),(IF(I73="Vacate",TINew*D73,IF(I73="Market",Retention*TIRenewal*D73+(1-Retention)*TINew*D73,IF(I73="LeaseUp",TINew*D73,IF(I73="Option",TIRenewal*D73,0)))))+(IF(I73="Vacate",LCNew*H73*D73*(1+GrowthMarketRent)^4,IF(I73="Market",Retention*LCRenewal*H73*D73*(1+GrowthMarketRent)^4+(1-Retention)*LCNew*H73*D73*(1+GrowthMarketRent)^4,IF(I73="LeaseUp",LCNew*H73*D73*(1+GrowthMarketRent)^4,IF(I73="Option",LCRenewal*H73*D73*(1+GrowthMarketRent)^4,0))))),0))),0)</f>
        <v/>
      </c>
      <c r="AD73" s="14">
        <f>IFERROR(IF(AND(I73="LeaseUp",5=0),(IF(I73="Vacate",TINew*D73,IF(I73="Market",Retention*TIRenewal*D73+(1-Retention)*TINew*D73,IF(I73="LeaseUp",TINew*D73,IF(I73="Option",TIRenewal*D73,0)))))+(IF(I73="Vacate",LCNew*H73*D73*(1+GrowthMarketRent)^5,IF(I73="Market",Retention*LCRenewal*H73*D73*(1+GrowthMarketRent)^5+(1-Retention)*LCNew*H73*D73*(1+GrowthMarketRent)^5,IF(I73="LeaseUp",LCNew*H73*D73*(1+GrowthMarketRent)^5,IF(I73="Option",LCRenewal*H73*D73*(1+GrowthMarketRent)^5,0))))),IF(F73="",0,IF(AND(F73&gt;=DATE(2026+5,5,1),F73&lt;=DATE(2027+5,4,30)),(IF(I73="Vacate",TINew*D73,IF(I73="Market",Retention*TIRenewal*D73+(1-Retention)*TINew*D73,IF(I73="LeaseUp",TINew*D73,IF(I73="Option",TIRenewal*D73,0)))))+(IF(I73="Vacate",LCNew*H73*D73*(1+GrowthMarketRent)^5,IF(I73="Market",Retention*LCRenewal*H73*D73*(1+GrowthMarketRent)^5+(1-Retention)*LCNew*H73*D73*(1+GrowthMarketRent)^5,IF(I73="LeaseUp",LCNew*H73*D73*(1+GrowthMarketRent)^5,IF(I73="Option",LCRenewal*H73*D73*(1+GrowthMarketRent)^5,0))))),0))),0)</f>
        <v/>
      </c>
      <c r="AE73" s="14">
        <f>IFERROR(IF(AND(I73="LeaseUp",6=0),(IF(I73="Vacate",TINew*D73,IF(I73="Market",Retention*TIRenewal*D73+(1-Retention)*TINew*D73,IF(I73="LeaseUp",TINew*D73,IF(I73="Option",TIRenewal*D73,0)))))+(IF(I73="Vacate",LCNew*H73*D73*(1+GrowthMarketRent)^6,IF(I73="Market",Retention*LCRenewal*H73*D73*(1+GrowthMarketRent)^6+(1-Retention)*LCNew*H73*D73*(1+GrowthMarketRent)^6,IF(I73="LeaseUp",LCNew*H73*D73*(1+GrowthMarketRent)^6,IF(I73="Option",LCRenewal*H73*D73*(1+GrowthMarketRent)^6,0))))),IF(F73="",0,IF(AND(F73&gt;=DATE(2026+6,5,1),F73&lt;=DATE(2027+6,4,30)),(IF(I73="Vacate",TINew*D73,IF(I73="Market",Retention*TIRenewal*D73+(1-Retention)*TINew*D73,IF(I73="LeaseUp",TINew*D73,IF(I73="Option",TIRenewal*D73,0)))))+(IF(I73="Vacate",LCNew*H73*D73*(1+GrowthMarketRent)^6,IF(I73="Market",Retention*LCRenewal*H73*D73*(1+GrowthMarketRent)^6+(1-Retention)*LCNew*H73*D73*(1+GrowthMarketRent)^6,IF(I73="LeaseUp",LCNew*H73*D73*(1+GrowthMarketRent)^6,IF(I73="Option",LCRenewal*H73*D73*(1+GrowthMarketRent)^6,0))))),0))),0)</f>
        <v/>
      </c>
      <c r="AF73" s="14">
        <f>IFERROR(IF(AND(I73="LeaseUp",7=0),(IF(I73="Vacate",TINew*D73,IF(I73="Market",Retention*TIRenewal*D73+(1-Retention)*TINew*D73,IF(I73="LeaseUp",TINew*D73,IF(I73="Option",TIRenewal*D73,0)))))+(IF(I73="Vacate",LCNew*H73*D73*(1+GrowthMarketRent)^7,IF(I73="Market",Retention*LCRenewal*H73*D73*(1+GrowthMarketRent)^7+(1-Retention)*LCNew*H73*D73*(1+GrowthMarketRent)^7,IF(I73="LeaseUp",LCNew*H73*D73*(1+GrowthMarketRent)^7,IF(I73="Option",LCRenewal*H73*D73*(1+GrowthMarketRent)^7,0))))),IF(F73="",0,IF(AND(F73&gt;=DATE(2026+7,5,1),F73&lt;=DATE(2027+7,4,30)),(IF(I73="Vacate",TINew*D73,IF(I73="Market",Retention*TIRenewal*D73+(1-Retention)*TINew*D73,IF(I73="LeaseUp",TINew*D73,IF(I73="Option",TIRenewal*D73,0)))))+(IF(I73="Vacate",LCNew*H73*D73*(1+GrowthMarketRent)^7,IF(I73="Market",Retention*LCRenewal*H73*D73*(1+GrowthMarketRent)^7+(1-Retention)*LCNew*H73*D73*(1+GrowthMarketRent)^7,IF(I73="LeaseUp",LCNew*H73*D73*(1+GrowthMarketRent)^7,IF(I73="Option",LCRenewal*H73*D73*(1+GrowthMarketRent)^7,0))))),0))),0)</f>
        <v/>
      </c>
      <c r="AG73" s="14">
        <f>IFERROR(IF(AND(I73="LeaseUp",8=0),(IF(I73="Vacate",TINew*D73,IF(I73="Market",Retention*TIRenewal*D73+(1-Retention)*TINew*D73,IF(I73="LeaseUp",TINew*D73,IF(I73="Option",TIRenewal*D73,0)))))+(IF(I73="Vacate",LCNew*H73*D73*(1+GrowthMarketRent)^8,IF(I73="Market",Retention*LCRenewal*H73*D73*(1+GrowthMarketRent)^8+(1-Retention)*LCNew*H73*D73*(1+GrowthMarketRent)^8,IF(I73="LeaseUp",LCNew*H73*D73*(1+GrowthMarketRent)^8,IF(I73="Option",LCRenewal*H73*D73*(1+GrowthMarketRent)^8,0))))),IF(F73="",0,IF(AND(F73&gt;=DATE(2026+8,5,1),F73&lt;=DATE(2027+8,4,30)),(IF(I73="Vacate",TINew*D73,IF(I73="Market",Retention*TIRenewal*D73+(1-Retention)*TINew*D73,IF(I73="LeaseUp",TINew*D73,IF(I73="Option",TIRenewal*D73,0)))))+(IF(I73="Vacate",LCNew*H73*D73*(1+GrowthMarketRent)^8,IF(I73="Market",Retention*LCRenewal*H73*D73*(1+GrowthMarketRent)^8+(1-Retention)*LCNew*H73*D73*(1+GrowthMarketRent)^8,IF(I73="LeaseUp",LCNew*H73*D73*(1+GrowthMarketRent)^8,IF(I73="Option",LCRenewal*H73*D73*(1+GrowthMarketRent)^8,0))))),0))),0)</f>
        <v/>
      </c>
      <c r="AH73" s="14">
        <f>IFERROR(IF(AND(I73="LeaseUp",9=0),(IF(I73="Vacate",TINew*D73,IF(I73="Market",Retention*TIRenewal*D73+(1-Retention)*TINew*D73,IF(I73="LeaseUp",TINew*D73,IF(I73="Option",TIRenewal*D73,0)))))+(IF(I73="Vacate",LCNew*H73*D73*(1+GrowthMarketRent)^9,IF(I73="Market",Retention*LCRenewal*H73*D73*(1+GrowthMarketRent)^9+(1-Retention)*LCNew*H73*D73*(1+GrowthMarketRent)^9,IF(I73="LeaseUp",LCNew*H73*D73*(1+GrowthMarketRent)^9,IF(I73="Option",LCRenewal*H73*D73*(1+GrowthMarketRent)^9,0))))),IF(F73="",0,IF(AND(F73&gt;=DATE(2026+9,5,1),F73&lt;=DATE(2027+9,4,30)),(IF(I73="Vacate",TINew*D73,IF(I73="Market",Retention*TIRenewal*D73+(1-Retention)*TINew*D73,IF(I73="LeaseUp",TINew*D73,IF(I73="Option",TIRenewal*D73,0)))))+(IF(I73="Vacate",LCNew*H73*D73*(1+GrowthMarketRent)^9,IF(I73="Market",Retention*LCRenewal*H73*D73*(1+GrowthMarketRent)^9+(1-Retention)*LCNew*H73*D73*(1+GrowthMarketRent)^9,IF(I73="LeaseUp",LCNew*H73*D73*(1+GrowthMarketRent)^9,IF(I73="Option",LCRenewal*H73*D73*(1+GrowthMarketRent)^9,0))))),0))),0)</f>
        <v/>
      </c>
      <c r="AI73" s="14">
        <f>IFERROR(IF(AND(I73="LeaseUp",10=0),(IF(I73="Vacate",TINew*D73,IF(I73="Market",Retention*TIRenewal*D73+(1-Retention)*TINew*D73,IF(I73="LeaseUp",TINew*D73,IF(I73="Option",TIRenewal*D73,0)))))+(IF(I73="Vacate",LCNew*H73*D73*(1+GrowthMarketRent)^10,IF(I73="Market",Retention*LCRenewal*H73*D73*(1+GrowthMarketRent)^10+(1-Retention)*LCNew*H73*D73*(1+GrowthMarketRent)^10,IF(I73="LeaseUp",LCNew*H73*D73*(1+GrowthMarketRent)^10,IF(I73="Option",LCRenewal*H73*D73*(1+GrowthMarketRent)^10,0))))),IF(F73="",0,IF(AND(F73&gt;=DATE(2026+10,5,1),F73&lt;=DATE(2027+10,4,30)),(IF(I73="Vacate",TINew*D73,IF(I73="Market",Retention*TIRenewal*D73+(1-Retention)*TINew*D73,IF(I73="LeaseUp",TINew*D73,IF(I73="Option",TIRenewal*D73,0)))))+(IF(I73="Vacate",LCNew*H73*D73*(1+GrowthMarketRent)^10,IF(I73="Market",Retention*LCRenewal*H73*D73*(1+GrowthMarketRent)^10+(1-Retention)*LCNew*H73*D73*(1+GrowthMarketRent)^10,IF(I73="LeaseUp",LCNew*H73*D73*(1+GrowthMarketRent)^10,IF(I73="Option",LCRenewal*H73*D73*(1+GrowthMarketRent)^10,0))))),0))),0)</f>
        <v/>
      </c>
    </row>
    <row r="74">
      <c r="A74" t="inlineStr">
        <is>
          <t>Mesquite</t>
        </is>
      </c>
      <c r="B74" t="inlineStr">
        <is>
          <t>106</t>
        </is>
      </c>
      <c r="C74" t="inlineStr">
        <is>
          <t>Angel Wings Transport Service LLC</t>
        </is>
      </c>
      <c r="D74" s="32" t="n">
        <v>2600</v>
      </c>
      <c r="E74" s="33" t="n">
        <v>45536</v>
      </c>
      <c r="F74" s="33" t="n">
        <v>46784</v>
      </c>
      <c r="G74" s="34" t="n">
        <v>15.375</v>
      </c>
      <c r="H74" s="16">
        <f>VLOOKUP(A74,MLA!$A$5:$L$11,3,FALSE)</f>
        <v/>
      </c>
      <c r="I74" s="11" t="inlineStr">
        <is>
          <t>Option</t>
        </is>
      </c>
      <c r="J74" t="inlineStr">
        <is>
          <t>Shop</t>
        </is>
      </c>
      <c r="K74" t="inlineStr">
        <is>
          <t>Occupied</t>
        </is>
      </c>
      <c r="L74" t="inlineStr">
        <is>
          <t>Shop; Guarantor: Montgomery T. Hedgecoth; Two 5yr options @ FMV</t>
        </is>
      </c>
      <c r="M74" s="20">
        <f>IF(E74="",0,(AnalysisStart-E74)/365.25)</f>
        <v/>
      </c>
      <c r="N74" s="14">
        <f>IFERROR(IF(I74="LeaseUp",H74*D74*(1+GrowthMarketRent)^0*IF(0=0,(12-DowntimeNew)/12,1),IF(F74="",0,IF(F74&gt;=DATE(2027+0,4,30),G74*D74*(1+EscalatorInLease)^(0+M74),IF(F74&lt;DATE(2026+0,5,1),IF(I74="Vacate",H74*D74*(1+GrowthMarketRent)^0*IF(INT((DATE(2026+0,10,31)-F74)/365.25)=0,(12-DowntimeNew)/12,1),IF(I74="Option",G74*D74*1.025*(1+EscalatorInLease)^0,IF(I74="Market",Retention*G74*D74*(1+EscalatorInLease)^(0+M74)+(1-Retention)*H74*D74*(1+GrowthMarketRent)^0*IF(INT((DATE(2026+0,10,31)-F74)/365.25)=0,(12-DowntimeNew)/12,1),IF(I74="LeaseUp",H74*D74*(1+GrowthMarketRent)^0*IF(0=0,(12-DowntimeNew)/12,1),0)))),((F74-DATE(2026+0,5,1))/365.25)*G74*D74*(1+EscalatorInLease)^(0+M74)+((DATE(2027+0,4,30)-F74)/365.25)*IF(I74="Vacate",H74*D74*(1+GrowthMarketRent)^0*IF(INT((DATE(2026+0,10,31)-F74)/365.25)=0,(12-DowntimeNew)/12,1),IF(I74="Option",G74*D74*1.025*(1+EscalatorInLease)^0,IF(I74="Market",Retention*G74*D74*(1+EscalatorInLease)^(0+M74)+(1-Retention)*H74*D74*(1+GrowthMarketRent)^0*IF(INT((DATE(2026+0,10,31)-F74)/365.25)=0,(12-DowntimeNew)/12,1),IF(I74="LeaseUp",H74*D74*(1+GrowthMarketRent)^0*IF(0=0,(12-DowntimeNew)/12,1),0)))))))),0)</f>
        <v/>
      </c>
      <c r="O74" s="14">
        <f>IFERROR(IF(I74="LeaseUp",H74*D74*(1+GrowthMarketRent)^1*IF(1=0,(12-DowntimeNew)/12,1),IF(F74="",0,IF(F74&gt;=DATE(2027+1,4,30),G74*D74*(1+EscalatorInLease)^(1+M74),IF(F74&lt;DATE(2026+1,5,1),IF(I74="Vacate",H74*D74*(1+GrowthMarketRent)^1*IF(INT((DATE(2026+1,10,31)-F74)/365.25)=0,(12-DowntimeNew)/12,1),IF(I74="Option",G74*D74*1.025*(1+EscalatorInLease)^1,IF(I74="Market",Retention*G74*D74*(1+EscalatorInLease)^(1+M74)+(1-Retention)*H74*D74*(1+GrowthMarketRent)^1*IF(INT((DATE(2026+1,10,31)-F74)/365.25)=0,(12-DowntimeNew)/12,1),IF(I74="LeaseUp",H74*D74*(1+GrowthMarketRent)^1*IF(1=0,(12-DowntimeNew)/12,1),0)))),((F74-DATE(2026+1,5,1))/365.25)*G74*D74*(1+EscalatorInLease)^(1+M74)+((DATE(2027+1,4,30)-F74)/365.25)*IF(I74="Vacate",H74*D74*(1+GrowthMarketRent)^1*IF(INT((DATE(2026+1,10,31)-F74)/365.25)=0,(12-DowntimeNew)/12,1),IF(I74="Option",G74*D74*1.025*(1+EscalatorInLease)^1,IF(I74="Market",Retention*G74*D74*(1+EscalatorInLease)^(1+M74)+(1-Retention)*H74*D74*(1+GrowthMarketRent)^1*IF(INT((DATE(2026+1,10,31)-F74)/365.25)=0,(12-DowntimeNew)/12,1),IF(I74="LeaseUp",H74*D74*(1+GrowthMarketRent)^1*IF(1=0,(12-DowntimeNew)/12,1),0)))))))),0)</f>
        <v/>
      </c>
      <c r="P74" s="14">
        <f>IFERROR(IF(I74="LeaseUp",H74*D74*(1+GrowthMarketRent)^2*IF(2=0,(12-DowntimeNew)/12,1),IF(F74="",0,IF(F74&gt;=DATE(2027+2,4,30),G74*D74*(1+EscalatorInLease)^(2+M74),IF(F74&lt;DATE(2026+2,5,1),IF(I74="Vacate",H74*D74*(1+GrowthMarketRent)^2*IF(INT((DATE(2026+2,10,31)-F74)/365.25)=0,(12-DowntimeNew)/12,1),IF(I74="Option",G74*D74*1.025*(1+EscalatorInLease)^2,IF(I74="Market",Retention*G74*D74*(1+EscalatorInLease)^(2+M74)+(1-Retention)*H74*D74*(1+GrowthMarketRent)^2*IF(INT((DATE(2026+2,10,31)-F74)/365.25)=0,(12-DowntimeNew)/12,1),IF(I74="LeaseUp",H74*D74*(1+GrowthMarketRent)^2*IF(2=0,(12-DowntimeNew)/12,1),0)))),((F74-DATE(2026+2,5,1))/365.25)*G74*D74*(1+EscalatorInLease)^(2+M74)+((DATE(2027+2,4,30)-F74)/365.25)*IF(I74="Vacate",H74*D74*(1+GrowthMarketRent)^2*IF(INT((DATE(2026+2,10,31)-F74)/365.25)=0,(12-DowntimeNew)/12,1),IF(I74="Option",G74*D74*1.025*(1+EscalatorInLease)^2,IF(I74="Market",Retention*G74*D74*(1+EscalatorInLease)^(2+M74)+(1-Retention)*H74*D74*(1+GrowthMarketRent)^2*IF(INT((DATE(2026+2,10,31)-F74)/365.25)=0,(12-DowntimeNew)/12,1),IF(I74="LeaseUp",H74*D74*(1+GrowthMarketRent)^2*IF(2=0,(12-DowntimeNew)/12,1),0)))))))),0)</f>
        <v/>
      </c>
      <c r="Q74" s="14">
        <f>IFERROR(IF(I74="LeaseUp",H74*D74*(1+GrowthMarketRent)^3*IF(3=0,(12-DowntimeNew)/12,1),IF(F74="",0,IF(F74&gt;=DATE(2027+3,4,30),G74*D74*(1+EscalatorInLease)^(3+M74),IF(F74&lt;DATE(2026+3,5,1),IF(I74="Vacate",H74*D74*(1+GrowthMarketRent)^3*IF(INT((DATE(2026+3,10,31)-F74)/365.25)=0,(12-DowntimeNew)/12,1),IF(I74="Option",G74*D74*1.025*(1+EscalatorInLease)^3,IF(I74="Market",Retention*G74*D74*(1+EscalatorInLease)^(3+M74)+(1-Retention)*H74*D74*(1+GrowthMarketRent)^3*IF(INT((DATE(2026+3,10,31)-F74)/365.25)=0,(12-DowntimeNew)/12,1),IF(I74="LeaseUp",H74*D74*(1+GrowthMarketRent)^3*IF(3=0,(12-DowntimeNew)/12,1),0)))),((F74-DATE(2026+3,5,1))/365.25)*G74*D74*(1+EscalatorInLease)^(3+M74)+((DATE(2027+3,4,30)-F74)/365.25)*IF(I74="Vacate",H74*D74*(1+GrowthMarketRent)^3*IF(INT((DATE(2026+3,10,31)-F74)/365.25)=0,(12-DowntimeNew)/12,1),IF(I74="Option",G74*D74*1.025*(1+EscalatorInLease)^3,IF(I74="Market",Retention*G74*D74*(1+EscalatorInLease)^(3+M74)+(1-Retention)*H74*D74*(1+GrowthMarketRent)^3*IF(INT((DATE(2026+3,10,31)-F74)/365.25)=0,(12-DowntimeNew)/12,1),IF(I74="LeaseUp",H74*D74*(1+GrowthMarketRent)^3*IF(3=0,(12-DowntimeNew)/12,1),0)))))))),0)</f>
        <v/>
      </c>
      <c r="R74" s="14">
        <f>IFERROR(IF(I74="LeaseUp",H74*D74*(1+GrowthMarketRent)^4*IF(4=0,(12-DowntimeNew)/12,1),IF(F74="",0,IF(F74&gt;=DATE(2027+4,4,30),G74*D74*(1+EscalatorInLease)^(4+M74),IF(F74&lt;DATE(2026+4,5,1),IF(I74="Vacate",H74*D74*(1+GrowthMarketRent)^4*IF(INT((DATE(2026+4,10,31)-F74)/365.25)=0,(12-DowntimeNew)/12,1),IF(I74="Option",G74*D74*1.025*(1+EscalatorInLease)^4,IF(I74="Market",Retention*G74*D74*(1+EscalatorInLease)^(4+M74)+(1-Retention)*H74*D74*(1+GrowthMarketRent)^4*IF(INT((DATE(2026+4,10,31)-F74)/365.25)=0,(12-DowntimeNew)/12,1),IF(I74="LeaseUp",H74*D74*(1+GrowthMarketRent)^4*IF(4=0,(12-DowntimeNew)/12,1),0)))),((F74-DATE(2026+4,5,1))/365.25)*G74*D74*(1+EscalatorInLease)^(4+M74)+((DATE(2027+4,4,30)-F74)/365.25)*IF(I74="Vacate",H74*D74*(1+GrowthMarketRent)^4*IF(INT((DATE(2026+4,10,31)-F74)/365.25)=0,(12-DowntimeNew)/12,1),IF(I74="Option",G74*D74*1.025*(1+EscalatorInLease)^4,IF(I74="Market",Retention*G74*D74*(1+EscalatorInLease)^(4+M74)+(1-Retention)*H74*D74*(1+GrowthMarketRent)^4*IF(INT((DATE(2026+4,10,31)-F74)/365.25)=0,(12-DowntimeNew)/12,1),IF(I74="LeaseUp",H74*D74*(1+GrowthMarketRent)^4*IF(4=0,(12-DowntimeNew)/12,1),0)))))))),0)</f>
        <v/>
      </c>
      <c r="S74" s="14">
        <f>IFERROR(IF(I74="LeaseUp",H74*D74*(1+GrowthMarketRent)^5*IF(5=0,(12-DowntimeNew)/12,1),IF(F74="",0,IF(F74&gt;=DATE(2027+5,4,30),G74*D74*(1+EscalatorInLease)^(5+M74),IF(F74&lt;DATE(2026+5,5,1),IF(I74="Vacate",H74*D74*(1+GrowthMarketRent)^5*IF(INT((DATE(2026+5,10,31)-F74)/365.25)=0,(12-DowntimeNew)/12,1),IF(I74="Option",G74*D74*1.025*(1+EscalatorInLease)^5,IF(I74="Market",Retention*G74*D74*(1+EscalatorInLease)^(5+M74)+(1-Retention)*H74*D74*(1+GrowthMarketRent)^5*IF(INT((DATE(2026+5,10,31)-F74)/365.25)=0,(12-DowntimeNew)/12,1),IF(I74="LeaseUp",H74*D74*(1+GrowthMarketRent)^5*IF(5=0,(12-DowntimeNew)/12,1),0)))),((F74-DATE(2026+5,5,1))/365.25)*G74*D74*(1+EscalatorInLease)^(5+M74)+((DATE(2027+5,4,30)-F74)/365.25)*IF(I74="Vacate",H74*D74*(1+GrowthMarketRent)^5*IF(INT((DATE(2026+5,10,31)-F74)/365.25)=0,(12-DowntimeNew)/12,1),IF(I74="Option",G74*D74*1.025*(1+EscalatorInLease)^5,IF(I74="Market",Retention*G74*D74*(1+EscalatorInLease)^(5+M74)+(1-Retention)*H74*D74*(1+GrowthMarketRent)^5*IF(INT((DATE(2026+5,10,31)-F74)/365.25)=0,(12-DowntimeNew)/12,1),IF(I74="LeaseUp",H74*D74*(1+GrowthMarketRent)^5*IF(5=0,(12-DowntimeNew)/12,1),0)))))))),0)</f>
        <v/>
      </c>
      <c r="T74" s="14">
        <f>IFERROR(IF(I74="LeaseUp",H74*D74*(1+GrowthMarketRent)^6*IF(6=0,(12-DowntimeNew)/12,1),IF(F74="",0,IF(F74&gt;=DATE(2027+6,4,30),G74*D74*(1+EscalatorInLease)^(6+M74),IF(F74&lt;DATE(2026+6,5,1),IF(I74="Vacate",H74*D74*(1+GrowthMarketRent)^6*IF(INT((DATE(2026+6,10,31)-F74)/365.25)=0,(12-DowntimeNew)/12,1),IF(I74="Option",G74*D74*1.025*(1+EscalatorInLease)^6,IF(I74="Market",Retention*G74*D74*(1+EscalatorInLease)^(6+M74)+(1-Retention)*H74*D74*(1+GrowthMarketRent)^6*IF(INT((DATE(2026+6,10,31)-F74)/365.25)=0,(12-DowntimeNew)/12,1),IF(I74="LeaseUp",H74*D74*(1+GrowthMarketRent)^6*IF(6=0,(12-DowntimeNew)/12,1),0)))),((F74-DATE(2026+6,5,1))/365.25)*G74*D74*(1+EscalatorInLease)^(6+M74)+((DATE(2027+6,4,30)-F74)/365.25)*IF(I74="Vacate",H74*D74*(1+GrowthMarketRent)^6*IF(INT((DATE(2026+6,10,31)-F74)/365.25)=0,(12-DowntimeNew)/12,1),IF(I74="Option",G74*D74*1.025*(1+EscalatorInLease)^6,IF(I74="Market",Retention*G74*D74*(1+EscalatorInLease)^(6+M74)+(1-Retention)*H74*D74*(1+GrowthMarketRent)^6*IF(INT((DATE(2026+6,10,31)-F74)/365.25)=0,(12-DowntimeNew)/12,1),IF(I74="LeaseUp",H74*D74*(1+GrowthMarketRent)^6*IF(6=0,(12-DowntimeNew)/12,1),0)))))))),0)</f>
        <v/>
      </c>
      <c r="U74" s="14">
        <f>IFERROR(IF(I74="LeaseUp",H74*D74*(1+GrowthMarketRent)^7*IF(7=0,(12-DowntimeNew)/12,1),IF(F74="",0,IF(F74&gt;=DATE(2027+7,4,30),G74*D74*(1+EscalatorInLease)^(7+M74),IF(F74&lt;DATE(2026+7,5,1),IF(I74="Vacate",H74*D74*(1+GrowthMarketRent)^7*IF(INT((DATE(2026+7,10,31)-F74)/365.25)=0,(12-DowntimeNew)/12,1),IF(I74="Option",G74*D74*1.025*(1+EscalatorInLease)^7,IF(I74="Market",Retention*G74*D74*(1+EscalatorInLease)^(7+M74)+(1-Retention)*H74*D74*(1+GrowthMarketRent)^7*IF(INT((DATE(2026+7,10,31)-F74)/365.25)=0,(12-DowntimeNew)/12,1),IF(I74="LeaseUp",H74*D74*(1+GrowthMarketRent)^7*IF(7=0,(12-DowntimeNew)/12,1),0)))),((F74-DATE(2026+7,5,1))/365.25)*G74*D74*(1+EscalatorInLease)^(7+M74)+((DATE(2027+7,4,30)-F74)/365.25)*IF(I74="Vacate",H74*D74*(1+GrowthMarketRent)^7*IF(INT((DATE(2026+7,10,31)-F74)/365.25)=0,(12-DowntimeNew)/12,1),IF(I74="Option",G74*D74*1.025*(1+EscalatorInLease)^7,IF(I74="Market",Retention*G74*D74*(1+EscalatorInLease)^(7+M74)+(1-Retention)*H74*D74*(1+GrowthMarketRent)^7*IF(INT((DATE(2026+7,10,31)-F74)/365.25)=0,(12-DowntimeNew)/12,1),IF(I74="LeaseUp",H74*D74*(1+GrowthMarketRent)^7*IF(7=0,(12-DowntimeNew)/12,1),0)))))))),0)</f>
        <v/>
      </c>
      <c r="V74" s="14">
        <f>IFERROR(IF(I74="LeaseUp",H74*D74*(1+GrowthMarketRent)^8*IF(8=0,(12-DowntimeNew)/12,1),IF(F74="",0,IF(F74&gt;=DATE(2027+8,4,30),G74*D74*(1+EscalatorInLease)^(8+M74),IF(F74&lt;DATE(2026+8,5,1),IF(I74="Vacate",H74*D74*(1+GrowthMarketRent)^8*IF(INT((DATE(2026+8,10,31)-F74)/365.25)=0,(12-DowntimeNew)/12,1),IF(I74="Option",G74*D74*1.025*(1+EscalatorInLease)^8,IF(I74="Market",Retention*G74*D74*(1+EscalatorInLease)^(8+M74)+(1-Retention)*H74*D74*(1+GrowthMarketRent)^8*IF(INT((DATE(2026+8,10,31)-F74)/365.25)=0,(12-DowntimeNew)/12,1),IF(I74="LeaseUp",H74*D74*(1+GrowthMarketRent)^8*IF(8=0,(12-DowntimeNew)/12,1),0)))),((F74-DATE(2026+8,5,1))/365.25)*G74*D74*(1+EscalatorInLease)^(8+M74)+((DATE(2027+8,4,30)-F74)/365.25)*IF(I74="Vacate",H74*D74*(1+GrowthMarketRent)^8*IF(INT((DATE(2026+8,10,31)-F74)/365.25)=0,(12-DowntimeNew)/12,1),IF(I74="Option",G74*D74*1.025*(1+EscalatorInLease)^8,IF(I74="Market",Retention*G74*D74*(1+EscalatorInLease)^(8+M74)+(1-Retention)*H74*D74*(1+GrowthMarketRent)^8*IF(INT((DATE(2026+8,10,31)-F74)/365.25)=0,(12-DowntimeNew)/12,1),IF(I74="LeaseUp",H74*D74*(1+GrowthMarketRent)^8*IF(8=0,(12-DowntimeNew)/12,1),0)))))))),0)</f>
        <v/>
      </c>
      <c r="W74" s="14">
        <f>IFERROR(IF(I74="LeaseUp",H74*D74*(1+GrowthMarketRent)^9*IF(9=0,(12-DowntimeNew)/12,1),IF(F74="",0,IF(F74&gt;=DATE(2027+9,4,30),G74*D74*(1+EscalatorInLease)^(9+M74),IF(F74&lt;DATE(2026+9,5,1),IF(I74="Vacate",H74*D74*(1+GrowthMarketRent)^9*IF(INT((DATE(2026+9,10,31)-F74)/365.25)=0,(12-DowntimeNew)/12,1),IF(I74="Option",G74*D74*1.025*(1+EscalatorInLease)^9,IF(I74="Market",Retention*G74*D74*(1+EscalatorInLease)^(9+M74)+(1-Retention)*H74*D74*(1+GrowthMarketRent)^9*IF(INT((DATE(2026+9,10,31)-F74)/365.25)=0,(12-DowntimeNew)/12,1),IF(I74="LeaseUp",H74*D74*(1+GrowthMarketRent)^9*IF(9=0,(12-DowntimeNew)/12,1),0)))),((F74-DATE(2026+9,5,1))/365.25)*G74*D74*(1+EscalatorInLease)^(9+M74)+((DATE(2027+9,4,30)-F74)/365.25)*IF(I74="Vacate",H74*D74*(1+GrowthMarketRent)^9*IF(INT((DATE(2026+9,10,31)-F74)/365.25)=0,(12-DowntimeNew)/12,1),IF(I74="Option",G74*D74*1.025*(1+EscalatorInLease)^9,IF(I74="Market",Retention*G74*D74*(1+EscalatorInLease)^(9+M74)+(1-Retention)*H74*D74*(1+GrowthMarketRent)^9*IF(INT((DATE(2026+9,10,31)-F74)/365.25)=0,(12-DowntimeNew)/12,1),IF(I74="LeaseUp",H74*D74*(1+GrowthMarketRent)^9*IF(9=0,(12-DowntimeNew)/12,1),0)))))))),0)</f>
        <v/>
      </c>
      <c r="X74" s="14">
        <f>IFERROR(IF(I74="LeaseUp",H74*D74*(1+GrowthMarketRent)^10*IF(10=0,(12-DowntimeNew)/12,1),IF(F74="",0,IF(F74&gt;=DATE(2027+10,4,30),G74*D74*(1+EscalatorInLease)^(10+M74),IF(F74&lt;DATE(2026+10,5,1),IF(I74="Vacate",H74*D74*(1+GrowthMarketRent)^10*IF(INT((DATE(2026+10,10,31)-F74)/365.25)=0,(12-DowntimeNew)/12,1),IF(I74="Option",G74*D74*1.025*(1+EscalatorInLease)^10,IF(I74="Market",Retention*G74*D74*(1+EscalatorInLease)^(10+M74)+(1-Retention)*H74*D74*(1+GrowthMarketRent)^10*IF(INT((DATE(2026+10,10,31)-F74)/365.25)=0,(12-DowntimeNew)/12,1),IF(I74="LeaseUp",H74*D74*(1+GrowthMarketRent)^10*IF(10=0,(12-DowntimeNew)/12,1),0)))),((F74-DATE(2026+10,5,1))/365.25)*G74*D74*(1+EscalatorInLease)^(10+M74)+((DATE(2027+10,4,30)-F74)/365.25)*IF(I74="Vacate",H74*D74*(1+GrowthMarketRent)^10*IF(INT((DATE(2026+10,10,31)-F74)/365.25)=0,(12-DowntimeNew)/12,1),IF(I74="Option",G74*D74*1.025*(1+EscalatorInLease)^10,IF(I74="Market",Retention*G74*D74*(1+EscalatorInLease)^(10+M74)+(1-Retention)*H74*D74*(1+GrowthMarketRent)^10*IF(INT((DATE(2026+10,10,31)-F74)/365.25)=0,(12-DowntimeNew)/12,1),IF(I74="LeaseUp",H74*D74*(1+GrowthMarketRent)^10*IF(10=0,(12-DowntimeNew)/12,1),0)))))))),0)</f>
        <v/>
      </c>
      <c r="Y74" s="14">
        <f>IFERROR(IF(AND(I74="LeaseUp",0=0),(IF(I74="Vacate",TINew*D74,IF(I74="Market",Retention*TIRenewal*D74+(1-Retention)*TINew*D74,IF(I74="LeaseUp",TINew*D74,IF(I74="Option",TIRenewal*D74,0)))))+(IF(I74="Vacate",LCNew*H74*D74*(1+GrowthMarketRent)^0,IF(I74="Market",Retention*LCRenewal*H74*D74*(1+GrowthMarketRent)^0+(1-Retention)*LCNew*H74*D74*(1+GrowthMarketRent)^0,IF(I74="LeaseUp",LCNew*H74*D74*(1+GrowthMarketRent)^0,IF(I74="Option",LCRenewal*H74*D74*(1+GrowthMarketRent)^0,0))))),IF(F74="",0,IF(AND(F74&gt;=DATE(2026+0,5,1),F74&lt;=DATE(2027+0,4,30)),(IF(I74="Vacate",TINew*D74,IF(I74="Market",Retention*TIRenewal*D74+(1-Retention)*TINew*D74,IF(I74="LeaseUp",TINew*D74,IF(I74="Option",TIRenewal*D74,0)))))+(IF(I74="Vacate",LCNew*H74*D74*(1+GrowthMarketRent)^0,IF(I74="Market",Retention*LCRenewal*H74*D74*(1+GrowthMarketRent)^0+(1-Retention)*LCNew*H74*D74*(1+GrowthMarketRent)^0,IF(I74="LeaseUp",LCNew*H74*D74*(1+GrowthMarketRent)^0,IF(I74="Option",LCRenewal*H74*D74*(1+GrowthMarketRent)^0,0))))),0))),0)</f>
        <v/>
      </c>
      <c r="Z74" s="14">
        <f>IFERROR(IF(AND(I74="LeaseUp",1=0),(IF(I74="Vacate",TINew*D74,IF(I74="Market",Retention*TIRenewal*D74+(1-Retention)*TINew*D74,IF(I74="LeaseUp",TINew*D74,IF(I74="Option",TIRenewal*D74,0)))))+(IF(I74="Vacate",LCNew*H74*D74*(1+GrowthMarketRent)^1,IF(I74="Market",Retention*LCRenewal*H74*D74*(1+GrowthMarketRent)^1+(1-Retention)*LCNew*H74*D74*(1+GrowthMarketRent)^1,IF(I74="LeaseUp",LCNew*H74*D74*(1+GrowthMarketRent)^1,IF(I74="Option",LCRenewal*H74*D74*(1+GrowthMarketRent)^1,0))))),IF(F74="",0,IF(AND(F74&gt;=DATE(2026+1,5,1),F74&lt;=DATE(2027+1,4,30)),(IF(I74="Vacate",TINew*D74,IF(I74="Market",Retention*TIRenewal*D74+(1-Retention)*TINew*D74,IF(I74="LeaseUp",TINew*D74,IF(I74="Option",TIRenewal*D74,0)))))+(IF(I74="Vacate",LCNew*H74*D74*(1+GrowthMarketRent)^1,IF(I74="Market",Retention*LCRenewal*H74*D74*(1+GrowthMarketRent)^1+(1-Retention)*LCNew*H74*D74*(1+GrowthMarketRent)^1,IF(I74="LeaseUp",LCNew*H74*D74*(1+GrowthMarketRent)^1,IF(I74="Option",LCRenewal*H74*D74*(1+GrowthMarketRent)^1,0))))),0))),0)</f>
        <v/>
      </c>
      <c r="AA74" s="14">
        <f>IFERROR(IF(AND(I74="LeaseUp",2=0),(IF(I74="Vacate",TINew*D74,IF(I74="Market",Retention*TIRenewal*D74+(1-Retention)*TINew*D74,IF(I74="LeaseUp",TINew*D74,IF(I74="Option",TIRenewal*D74,0)))))+(IF(I74="Vacate",LCNew*H74*D74*(1+GrowthMarketRent)^2,IF(I74="Market",Retention*LCRenewal*H74*D74*(1+GrowthMarketRent)^2+(1-Retention)*LCNew*H74*D74*(1+GrowthMarketRent)^2,IF(I74="LeaseUp",LCNew*H74*D74*(1+GrowthMarketRent)^2,IF(I74="Option",LCRenewal*H74*D74*(1+GrowthMarketRent)^2,0))))),IF(F74="",0,IF(AND(F74&gt;=DATE(2026+2,5,1),F74&lt;=DATE(2027+2,4,30)),(IF(I74="Vacate",TINew*D74,IF(I74="Market",Retention*TIRenewal*D74+(1-Retention)*TINew*D74,IF(I74="LeaseUp",TINew*D74,IF(I74="Option",TIRenewal*D74,0)))))+(IF(I74="Vacate",LCNew*H74*D74*(1+GrowthMarketRent)^2,IF(I74="Market",Retention*LCRenewal*H74*D74*(1+GrowthMarketRent)^2+(1-Retention)*LCNew*H74*D74*(1+GrowthMarketRent)^2,IF(I74="LeaseUp",LCNew*H74*D74*(1+GrowthMarketRent)^2,IF(I74="Option",LCRenewal*H74*D74*(1+GrowthMarketRent)^2,0))))),0))),0)</f>
        <v/>
      </c>
      <c r="AB74" s="14">
        <f>IFERROR(IF(AND(I74="LeaseUp",3=0),(IF(I74="Vacate",TINew*D74,IF(I74="Market",Retention*TIRenewal*D74+(1-Retention)*TINew*D74,IF(I74="LeaseUp",TINew*D74,IF(I74="Option",TIRenewal*D74,0)))))+(IF(I74="Vacate",LCNew*H74*D74*(1+GrowthMarketRent)^3,IF(I74="Market",Retention*LCRenewal*H74*D74*(1+GrowthMarketRent)^3+(1-Retention)*LCNew*H74*D74*(1+GrowthMarketRent)^3,IF(I74="LeaseUp",LCNew*H74*D74*(1+GrowthMarketRent)^3,IF(I74="Option",LCRenewal*H74*D74*(1+GrowthMarketRent)^3,0))))),IF(F74="",0,IF(AND(F74&gt;=DATE(2026+3,5,1),F74&lt;=DATE(2027+3,4,30)),(IF(I74="Vacate",TINew*D74,IF(I74="Market",Retention*TIRenewal*D74+(1-Retention)*TINew*D74,IF(I74="LeaseUp",TINew*D74,IF(I74="Option",TIRenewal*D74,0)))))+(IF(I74="Vacate",LCNew*H74*D74*(1+GrowthMarketRent)^3,IF(I74="Market",Retention*LCRenewal*H74*D74*(1+GrowthMarketRent)^3+(1-Retention)*LCNew*H74*D74*(1+GrowthMarketRent)^3,IF(I74="LeaseUp",LCNew*H74*D74*(1+GrowthMarketRent)^3,IF(I74="Option",LCRenewal*H74*D74*(1+GrowthMarketRent)^3,0))))),0))),0)</f>
        <v/>
      </c>
      <c r="AC74" s="14">
        <f>IFERROR(IF(AND(I74="LeaseUp",4=0),(IF(I74="Vacate",TINew*D74,IF(I74="Market",Retention*TIRenewal*D74+(1-Retention)*TINew*D74,IF(I74="LeaseUp",TINew*D74,IF(I74="Option",TIRenewal*D74,0)))))+(IF(I74="Vacate",LCNew*H74*D74*(1+GrowthMarketRent)^4,IF(I74="Market",Retention*LCRenewal*H74*D74*(1+GrowthMarketRent)^4+(1-Retention)*LCNew*H74*D74*(1+GrowthMarketRent)^4,IF(I74="LeaseUp",LCNew*H74*D74*(1+GrowthMarketRent)^4,IF(I74="Option",LCRenewal*H74*D74*(1+GrowthMarketRent)^4,0))))),IF(F74="",0,IF(AND(F74&gt;=DATE(2026+4,5,1),F74&lt;=DATE(2027+4,4,30)),(IF(I74="Vacate",TINew*D74,IF(I74="Market",Retention*TIRenewal*D74+(1-Retention)*TINew*D74,IF(I74="LeaseUp",TINew*D74,IF(I74="Option",TIRenewal*D74,0)))))+(IF(I74="Vacate",LCNew*H74*D74*(1+GrowthMarketRent)^4,IF(I74="Market",Retention*LCRenewal*H74*D74*(1+GrowthMarketRent)^4+(1-Retention)*LCNew*H74*D74*(1+GrowthMarketRent)^4,IF(I74="LeaseUp",LCNew*H74*D74*(1+GrowthMarketRent)^4,IF(I74="Option",LCRenewal*H74*D74*(1+GrowthMarketRent)^4,0))))),0))),0)</f>
        <v/>
      </c>
      <c r="AD74" s="14">
        <f>IFERROR(IF(AND(I74="LeaseUp",5=0),(IF(I74="Vacate",TINew*D74,IF(I74="Market",Retention*TIRenewal*D74+(1-Retention)*TINew*D74,IF(I74="LeaseUp",TINew*D74,IF(I74="Option",TIRenewal*D74,0)))))+(IF(I74="Vacate",LCNew*H74*D74*(1+GrowthMarketRent)^5,IF(I74="Market",Retention*LCRenewal*H74*D74*(1+GrowthMarketRent)^5+(1-Retention)*LCNew*H74*D74*(1+GrowthMarketRent)^5,IF(I74="LeaseUp",LCNew*H74*D74*(1+GrowthMarketRent)^5,IF(I74="Option",LCRenewal*H74*D74*(1+GrowthMarketRent)^5,0))))),IF(F74="",0,IF(AND(F74&gt;=DATE(2026+5,5,1),F74&lt;=DATE(2027+5,4,30)),(IF(I74="Vacate",TINew*D74,IF(I74="Market",Retention*TIRenewal*D74+(1-Retention)*TINew*D74,IF(I74="LeaseUp",TINew*D74,IF(I74="Option",TIRenewal*D74,0)))))+(IF(I74="Vacate",LCNew*H74*D74*(1+GrowthMarketRent)^5,IF(I74="Market",Retention*LCRenewal*H74*D74*(1+GrowthMarketRent)^5+(1-Retention)*LCNew*H74*D74*(1+GrowthMarketRent)^5,IF(I74="LeaseUp",LCNew*H74*D74*(1+GrowthMarketRent)^5,IF(I74="Option",LCRenewal*H74*D74*(1+GrowthMarketRent)^5,0))))),0))),0)</f>
        <v/>
      </c>
      <c r="AE74" s="14">
        <f>IFERROR(IF(AND(I74="LeaseUp",6=0),(IF(I74="Vacate",TINew*D74,IF(I74="Market",Retention*TIRenewal*D74+(1-Retention)*TINew*D74,IF(I74="LeaseUp",TINew*D74,IF(I74="Option",TIRenewal*D74,0)))))+(IF(I74="Vacate",LCNew*H74*D74*(1+GrowthMarketRent)^6,IF(I74="Market",Retention*LCRenewal*H74*D74*(1+GrowthMarketRent)^6+(1-Retention)*LCNew*H74*D74*(1+GrowthMarketRent)^6,IF(I74="LeaseUp",LCNew*H74*D74*(1+GrowthMarketRent)^6,IF(I74="Option",LCRenewal*H74*D74*(1+GrowthMarketRent)^6,0))))),IF(F74="",0,IF(AND(F74&gt;=DATE(2026+6,5,1),F74&lt;=DATE(2027+6,4,30)),(IF(I74="Vacate",TINew*D74,IF(I74="Market",Retention*TIRenewal*D74+(1-Retention)*TINew*D74,IF(I74="LeaseUp",TINew*D74,IF(I74="Option",TIRenewal*D74,0)))))+(IF(I74="Vacate",LCNew*H74*D74*(1+GrowthMarketRent)^6,IF(I74="Market",Retention*LCRenewal*H74*D74*(1+GrowthMarketRent)^6+(1-Retention)*LCNew*H74*D74*(1+GrowthMarketRent)^6,IF(I74="LeaseUp",LCNew*H74*D74*(1+GrowthMarketRent)^6,IF(I74="Option",LCRenewal*H74*D74*(1+GrowthMarketRent)^6,0))))),0))),0)</f>
        <v/>
      </c>
      <c r="AF74" s="14">
        <f>IFERROR(IF(AND(I74="LeaseUp",7=0),(IF(I74="Vacate",TINew*D74,IF(I74="Market",Retention*TIRenewal*D74+(1-Retention)*TINew*D74,IF(I74="LeaseUp",TINew*D74,IF(I74="Option",TIRenewal*D74,0)))))+(IF(I74="Vacate",LCNew*H74*D74*(1+GrowthMarketRent)^7,IF(I74="Market",Retention*LCRenewal*H74*D74*(1+GrowthMarketRent)^7+(1-Retention)*LCNew*H74*D74*(1+GrowthMarketRent)^7,IF(I74="LeaseUp",LCNew*H74*D74*(1+GrowthMarketRent)^7,IF(I74="Option",LCRenewal*H74*D74*(1+GrowthMarketRent)^7,0))))),IF(F74="",0,IF(AND(F74&gt;=DATE(2026+7,5,1),F74&lt;=DATE(2027+7,4,30)),(IF(I74="Vacate",TINew*D74,IF(I74="Market",Retention*TIRenewal*D74+(1-Retention)*TINew*D74,IF(I74="LeaseUp",TINew*D74,IF(I74="Option",TIRenewal*D74,0)))))+(IF(I74="Vacate",LCNew*H74*D74*(1+GrowthMarketRent)^7,IF(I74="Market",Retention*LCRenewal*H74*D74*(1+GrowthMarketRent)^7+(1-Retention)*LCNew*H74*D74*(1+GrowthMarketRent)^7,IF(I74="LeaseUp",LCNew*H74*D74*(1+GrowthMarketRent)^7,IF(I74="Option",LCRenewal*H74*D74*(1+GrowthMarketRent)^7,0))))),0))),0)</f>
        <v/>
      </c>
      <c r="AG74" s="14">
        <f>IFERROR(IF(AND(I74="LeaseUp",8=0),(IF(I74="Vacate",TINew*D74,IF(I74="Market",Retention*TIRenewal*D74+(1-Retention)*TINew*D74,IF(I74="LeaseUp",TINew*D74,IF(I74="Option",TIRenewal*D74,0)))))+(IF(I74="Vacate",LCNew*H74*D74*(1+GrowthMarketRent)^8,IF(I74="Market",Retention*LCRenewal*H74*D74*(1+GrowthMarketRent)^8+(1-Retention)*LCNew*H74*D74*(1+GrowthMarketRent)^8,IF(I74="LeaseUp",LCNew*H74*D74*(1+GrowthMarketRent)^8,IF(I74="Option",LCRenewal*H74*D74*(1+GrowthMarketRent)^8,0))))),IF(F74="",0,IF(AND(F74&gt;=DATE(2026+8,5,1),F74&lt;=DATE(2027+8,4,30)),(IF(I74="Vacate",TINew*D74,IF(I74="Market",Retention*TIRenewal*D74+(1-Retention)*TINew*D74,IF(I74="LeaseUp",TINew*D74,IF(I74="Option",TIRenewal*D74,0)))))+(IF(I74="Vacate",LCNew*H74*D74*(1+GrowthMarketRent)^8,IF(I74="Market",Retention*LCRenewal*H74*D74*(1+GrowthMarketRent)^8+(1-Retention)*LCNew*H74*D74*(1+GrowthMarketRent)^8,IF(I74="LeaseUp",LCNew*H74*D74*(1+GrowthMarketRent)^8,IF(I74="Option",LCRenewal*H74*D74*(1+GrowthMarketRent)^8,0))))),0))),0)</f>
        <v/>
      </c>
      <c r="AH74" s="14">
        <f>IFERROR(IF(AND(I74="LeaseUp",9=0),(IF(I74="Vacate",TINew*D74,IF(I74="Market",Retention*TIRenewal*D74+(1-Retention)*TINew*D74,IF(I74="LeaseUp",TINew*D74,IF(I74="Option",TIRenewal*D74,0)))))+(IF(I74="Vacate",LCNew*H74*D74*(1+GrowthMarketRent)^9,IF(I74="Market",Retention*LCRenewal*H74*D74*(1+GrowthMarketRent)^9+(1-Retention)*LCNew*H74*D74*(1+GrowthMarketRent)^9,IF(I74="LeaseUp",LCNew*H74*D74*(1+GrowthMarketRent)^9,IF(I74="Option",LCRenewal*H74*D74*(1+GrowthMarketRent)^9,0))))),IF(F74="",0,IF(AND(F74&gt;=DATE(2026+9,5,1),F74&lt;=DATE(2027+9,4,30)),(IF(I74="Vacate",TINew*D74,IF(I74="Market",Retention*TIRenewal*D74+(1-Retention)*TINew*D74,IF(I74="LeaseUp",TINew*D74,IF(I74="Option",TIRenewal*D74,0)))))+(IF(I74="Vacate",LCNew*H74*D74*(1+GrowthMarketRent)^9,IF(I74="Market",Retention*LCRenewal*H74*D74*(1+GrowthMarketRent)^9+(1-Retention)*LCNew*H74*D74*(1+GrowthMarketRent)^9,IF(I74="LeaseUp",LCNew*H74*D74*(1+GrowthMarketRent)^9,IF(I74="Option",LCRenewal*H74*D74*(1+GrowthMarketRent)^9,0))))),0))),0)</f>
        <v/>
      </c>
      <c r="AI74" s="14">
        <f>IFERROR(IF(AND(I74="LeaseUp",10=0),(IF(I74="Vacate",TINew*D74,IF(I74="Market",Retention*TIRenewal*D74+(1-Retention)*TINew*D74,IF(I74="LeaseUp",TINew*D74,IF(I74="Option",TIRenewal*D74,0)))))+(IF(I74="Vacate",LCNew*H74*D74*(1+GrowthMarketRent)^10,IF(I74="Market",Retention*LCRenewal*H74*D74*(1+GrowthMarketRent)^10+(1-Retention)*LCNew*H74*D74*(1+GrowthMarketRent)^10,IF(I74="LeaseUp",LCNew*H74*D74*(1+GrowthMarketRent)^10,IF(I74="Option",LCRenewal*H74*D74*(1+GrowthMarketRent)^10,0))))),IF(F74="",0,IF(AND(F74&gt;=DATE(2026+10,5,1),F74&lt;=DATE(2027+10,4,30)),(IF(I74="Vacate",TINew*D74,IF(I74="Market",Retention*TIRenewal*D74+(1-Retention)*TINew*D74,IF(I74="LeaseUp",TINew*D74,IF(I74="Option",TIRenewal*D74,0)))))+(IF(I74="Vacate",LCNew*H74*D74*(1+GrowthMarketRent)^10,IF(I74="Market",Retention*LCRenewal*H74*D74*(1+GrowthMarketRent)^10+(1-Retention)*LCNew*H74*D74*(1+GrowthMarketRent)^10,IF(I74="LeaseUp",LCNew*H74*D74*(1+GrowthMarketRent)^10,IF(I74="Option",LCRenewal*H74*D74*(1+GrowthMarketRent)^10,0))))),0))),0)</f>
        <v/>
      </c>
    </row>
    <row r="75">
      <c r="A75" t="inlineStr">
        <is>
          <t>Mesquite</t>
        </is>
      </c>
      <c r="B75" t="inlineStr">
        <is>
          <t>107</t>
        </is>
      </c>
      <c r="C75" t="inlineStr">
        <is>
          <t>Mirau Enterprises LLC</t>
        </is>
      </c>
      <c r="D75" s="32" t="n">
        <v>2600</v>
      </c>
      <c r="E75" s="33" t="n">
        <v>44805</v>
      </c>
      <c r="F75" s="33" t="n">
        <v>46600</v>
      </c>
      <c r="G75" s="34" t="n">
        <v>14.2688461538462</v>
      </c>
      <c r="H75" s="16">
        <f>VLOOKUP(A75,MLA!$A$5:$L$11,3,FALSE)</f>
        <v/>
      </c>
      <c r="I75" s="11" t="inlineStr">
        <is>
          <t>Option</t>
        </is>
      </c>
      <c r="J75" t="inlineStr">
        <is>
          <t>Shop</t>
        </is>
      </c>
      <c r="K75" t="inlineStr">
        <is>
          <t>Occupied</t>
        </is>
      </c>
      <c r="L75" t="inlineStr">
        <is>
          <t>Shop; Guarantor: Michael Mirau; Two 3yr options @ 102.5%</t>
        </is>
      </c>
      <c r="M75" s="20">
        <f>IF(E75="",0,(AnalysisStart-E75)/365.25)</f>
        <v/>
      </c>
      <c r="N75" s="14">
        <f>IFERROR(IF(I75="LeaseUp",H75*D75*(1+GrowthMarketRent)^0*IF(0=0,(12-DowntimeNew)/12,1),IF(F75="",0,IF(F75&gt;=DATE(2027+0,4,30),G75*D75*(1+EscalatorInLease)^(0+M75),IF(F75&lt;DATE(2026+0,5,1),IF(I75="Vacate",H75*D75*(1+GrowthMarketRent)^0*IF(INT((DATE(2026+0,10,31)-F75)/365.25)=0,(12-DowntimeNew)/12,1),IF(I75="Option",G75*D75*1.025*(1+EscalatorInLease)^0,IF(I75="Market",Retention*G75*D75*(1+EscalatorInLease)^(0+M75)+(1-Retention)*H75*D75*(1+GrowthMarketRent)^0*IF(INT((DATE(2026+0,10,31)-F75)/365.25)=0,(12-DowntimeNew)/12,1),IF(I75="LeaseUp",H75*D75*(1+GrowthMarketRent)^0*IF(0=0,(12-DowntimeNew)/12,1),0)))),((F75-DATE(2026+0,5,1))/365.25)*G75*D75*(1+EscalatorInLease)^(0+M75)+((DATE(2027+0,4,30)-F75)/365.25)*IF(I75="Vacate",H75*D75*(1+GrowthMarketRent)^0*IF(INT((DATE(2026+0,10,31)-F75)/365.25)=0,(12-DowntimeNew)/12,1),IF(I75="Option",G75*D75*1.025*(1+EscalatorInLease)^0,IF(I75="Market",Retention*G75*D75*(1+EscalatorInLease)^(0+M75)+(1-Retention)*H75*D75*(1+GrowthMarketRent)^0*IF(INT((DATE(2026+0,10,31)-F75)/365.25)=0,(12-DowntimeNew)/12,1),IF(I75="LeaseUp",H75*D75*(1+GrowthMarketRent)^0*IF(0=0,(12-DowntimeNew)/12,1),0)))))))),0)</f>
        <v/>
      </c>
      <c r="O75" s="14">
        <f>IFERROR(IF(I75="LeaseUp",H75*D75*(1+GrowthMarketRent)^1*IF(1=0,(12-DowntimeNew)/12,1),IF(F75="",0,IF(F75&gt;=DATE(2027+1,4,30),G75*D75*(1+EscalatorInLease)^(1+M75),IF(F75&lt;DATE(2026+1,5,1),IF(I75="Vacate",H75*D75*(1+GrowthMarketRent)^1*IF(INT((DATE(2026+1,10,31)-F75)/365.25)=0,(12-DowntimeNew)/12,1),IF(I75="Option",G75*D75*1.025*(1+EscalatorInLease)^1,IF(I75="Market",Retention*G75*D75*(1+EscalatorInLease)^(1+M75)+(1-Retention)*H75*D75*(1+GrowthMarketRent)^1*IF(INT((DATE(2026+1,10,31)-F75)/365.25)=0,(12-DowntimeNew)/12,1),IF(I75="LeaseUp",H75*D75*(1+GrowthMarketRent)^1*IF(1=0,(12-DowntimeNew)/12,1),0)))),((F75-DATE(2026+1,5,1))/365.25)*G75*D75*(1+EscalatorInLease)^(1+M75)+((DATE(2027+1,4,30)-F75)/365.25)*IF(I75="Vacate",H75*D75*(1+GrowthMarketRent)^1*IF(INT((DATE(2026+1,10,31)-F75)/365.25)=0,(12-DowntimeNew)/12,1),IF(I75="Option",G75*D75*1.025*(1+EscalatorInLease)^1,IF(I75="Market",Retention*G75*D75*(1+EscalatorInLease)^(1+M75)+(1-Retention)*H75*D75*(1+GrowthMarketRent)^1*IF(INT((DATE(2026+1,10,31)-F75)/365.25)=0,(12-DowntimeNew)/12,1),IF(I75="LeaseUp",H75*D75*(1+GrowthMarketRent)^1*IF(1=0,(12-DowntimeNew)/12,1),0)))))))),0)</f>
        <v/>
      </c>
      <c r="P75" s="14">
        <f>IFERROR(IF(I75="LeaseUp",H75*D75*(1+GrowthMarketRent)^2*IF(2=0,(12-DowntimeNew)/12,1),IF(F75="",0,IF(F75&gt;=DATE(2027+2,4,30),G75*D75*(1+EscalatorInLease)^(2+M75),IF(F75&lt;DATE(2026+2,5,1),IF(I75="Vacate",H75*D75*(1+GrowthMarketRent)^2*IF(INT((DATE(2026+2,10,31)-F75)/365.25)=0,(12-DowntimeNew)/12,1),IF(I75="Option",G75*D75*1.025*(1+EscalatorInLease)^2,IF(I75="Market",Retention*G75*D75*(1+EscalatorInLease)^(2+M75)+(1-Retention)*H75*D75*(1+GrowthMarketRent)^2*IF(INT((DATE(2026+2,10,31)-F75)/365.25)=0,(12-DowntimeNew)/12,1),IF(I75="LeaseUp",H75*D75*(1+GrowthMarketRent)^2*IF(2=0,(12-DowntimeNew)/12,1),0)))),((F75-DATE(2026+2,5,1))/365.25)*G75*D75*(1+EscalatorInLease)^(2+M75)+((DATE(2027+2,4,30)-F75)/365.25)*IF(I75="Vacate",H75*D75*(1+GrowthMarketRent)^2*IF(INT((DATE(2026+2,10,31)-F75)/365.25)=0,(12-DowntimeNew)/12,1),IF(I75="Option",G75*D75*1.025*(1+EscalatorInLease)^2,IF(I75="Market",Retention*G75*D75*(1+EscalatorInLease)^(2+M75)+(1-Retention)*H75*D75*(1+GrowthMarketRent)^2*IF(INT((DATE(2026+2,10,31)-F75)/365.25)=0,(12-DowntimeNew)/12,1),IF(I75="LeaseUp",H75*D75*(1+GrowthMarketRent)^2*IF(2=0,(12-DowntimeNew)/12,1),0)))))))),0)</f>
        <v/>
      </c>
      <c r="Q75" s="14">
        <f>IFERROR(IF(I75="LeaseUp",H75*D75*(1+GrowthMarketRent)^3*IF(3=0,(12-DowntimeNew)/12,1),IF(F75="",0,IF(F75&gt;=DATE(2027+3,4,30),G75*D75*(1+EscalatorInLease)^(3+M75),IF(F75&lt;DATE(2026+3,5,1),IF(I75="Vacate",H75*D75*(1+GrowthMarketRent)^3*IF(INT((DATE(2026+3,10,31)-F75)/365.25)=0,(12-DowntimeNew)/12,1),IF(I75="Option",G75*D75*1.025*(1+EscalatorInLease)^3,IF(I75="Market",Retention*G75*D75*(1+EscalatorInLease)^(3+M75)+(1-Retention)*H75*D75*(1+GrowthMarketRent)^3*IF(INT((DATE(2026+3,10,31)-F75)/365.25)=0,(12-DowntimeNew)/12,1),IF(I75="LeaseUp",H75*D75*(1+GrowthMarketRent)^3*IF(3=0,(12-DowntimeNew)/12,1),0)))),((F75-DATE(2026+3,5,1))/365.25)*G75*D75*(1+EscalatorInLease)^(3+M75)+((DATE(2027+3,4,30)-F75)/365.25)*IF(I75="Vacate",H75*D75*(1+GrowthMarketRent)^3*IF(INT((DATE(2026+3,10,31)-F75)/365.25)=0,(12-DowntimeNew)/12,1),IF(I75="Option",G75*D75*1.025*(1+EscalatorInLease)^3,IF(I75="Market",Retention*G75*D75*(1+EscalatorInLease)^(3+M75)+(1-Retention)*H75*D75*(1+GrowthMarketRent)^3*IF(INT((DATE(2026+3,10,31)-F75)/365.25)=0,(12-DowntimeNew)/12,1),IF(I75="LeaseUp",H75*D75*(1+GrowthMarketRent)^3*IF(3=0,(12-DowntimeNew)/12,1),0)))))))),0)</f>
        <v/>
      </c>
      <c r="R75" s="14">
        <f>IFERROR(IF(I75="LeaseUp",H75*D75*(1+GrowthMarketRent)^4*IF(4=0,(12-DowntimeNew)/12,1),IF(F75="",0,IF(F75&gt;=DATE(2027+4,4,30),G75*D75*(1+EscalatorInLease)^(4+M75),IF(F75&lt;DATE(2026+4,5,1),IF(I75="Vacate",H75*D75*(1+GrowthMarketRent)^4*IF(INT((DATE(2026+4,10,31)-F75)/365.25)=0,(12-DowntimeNew)/12,1),IF(I75="Option",G75*D75*1.025*(1+EscalatorInLease)^4,IF(I75="Market",Retention*G75*D75*(1+EscalatorInLease)^(4+M75)+(1-Retention)*H75*D75*(1+GrowthMarketRent)^4*IF(INT((DATE(2026+4,10,31)-F75)/365.25)=0,(12-DowntimeNew)/12,1),IF(I75="LeaseUp",H75*D75*(1+GrowthMarketRent)^4*IF(4=0,(12-DowntimeNew)/12,1),0)))),((F75-DATE(2026+4,5,1))/365.25)*G75*D75*(1+EscalatorInLease)^(4+M75)+((DATE(2027+4,4,30)-F75)/365.25)*IF(I75="Vacate",H75*D75*(1+GrowthMarketRent)^4*IF(INT((DATE(2026+4,10,31)-F75)/365.25)=0,(12-DowntimeNew)/12,1),IF(I75="Option",G75*D75*1.025*(1+EscalatorInLease)^4,IF(I75="Market",Retention*G75*D75*(1+EscalatorInLease)^(4+M75)+(1-Retention)*H75*D75*(1+GrowthMarketRent)^4*IF(INT((DATE(2026+4,10,31)-F75)/365.25)=0,(12-DowntimeNew)/12,1),IF(I75="LeaseUp",H75*D75*(1+GrowthMarketRent)^4*IF(4=0,(12-DowntimeNew)/12,1),0)))))))),0)</f>
        <v/>
      </c>
      <c r="S75" s="14">
        <f>IFERROR(IF(I75="LeaseUp",H75*D75*(1+GrowthMarketRent)^5*IF(5=0,(12-DowntimeNew)/12,1),IF(F75="",0,IF(F75&gt;=DATE(2027+5,4,30),G75*D75*(1+EscalatorInLease)^(5+M75),IF(F75&lt;DATE(2026+5,5,1),IF(I75="Vacate",H75*D75*(1+GrowthMarketRent)^5*IF(INT((DATE(2026+5,10,31)-F75)/365.25)=0,(12-DowntimeNew)/12,1),IF(I75="Option",G75*D75*1.025*(1+EscalatorInLease)^5,IF(I75="Market",Retention*G75*D75*(1+EscalatorInLease)^(5+M75)+(1-Retention)*H75*D75*(1+GrowthMarketRent)^5*IF(INT((DATE(2026+5,10,31)-F75)/365.25)=0,(12-DowntimeNew)/12,1),IF(I75="LeaseUp",H75*D75*(1+GrowthMarketRent)^5*IF(5=0,(12-DowntimeNew)/12,1),0)))),((F75-DATE(2026+5,5,1))/365.25)*G75*D75*(1+EscalatorInLease)^(5+M75)+((DATE(2027+5,4,30)-F75)/365.25)*IF(I75="Vacate",H75*D75*(1+GrowthMarketRent)^5*IF(INT((DATE(2026+5,10,31)-F75)/365.25)=0,(12-DowntimeNew)/12,1),IF(I75="Option",G75*D75*1.025*(1+EscalatorInLease)^5,IF(I75="Market",Retention*G75*D75*(1+EscalatorInLease)^(5+M75)+(1-Retention)*H75*D75*(1+GrowthMarketRent)^5*IF(INT((DATE(2026+5,10,31)-F75)/365.25)=0,(12-DowntimeNew)/12,1),IF(I75="LeaseUp",H75*D75*(1+GrowthMarketRent)^5*IF(5=0,(12-DowntimeNew)/12,1),0)))))))),0)</f>
        <v/>
      </c>
      <c r="T75" s="14">
        <f>IFERROR(IF(I75="LeaseUp",H75*D75*(1+GrowthMarketRent)^6*IF(6=0,(12-DowntimeNew)/12,1),IF(F75="",0,IF(F75&gt;=DATE(2027+6,4,30),G75*D75*(1+EscalatorInLease)^(6+M75),IF(F75&lt;DATE(2026+6,5,1),IF(I75="Vacate",H75*D75*(1+GrowthMarketRent)^6*IF(INT((DATE(2026+6,10,31)-F75)/365.25)=0,(12-DowntimeNew)/12,1),IF(I75="Option",G75*D75*1.025*(1+EscalatorInLease)^6,IF(I75="Market",Retention*G75*D75*(1+EscalatorInLease)^(6+M75)+(1-Retention)*H75*D75*(1+GrowthMarketRent)^6*IF(INT((DATE(2026+6,10,31)-F75)/365.25)=0,(12-DowntimeNew)/12,1),IF(I75="LeaseUp",H75*D75*(1+GrowthMarketRent)^6*IF(6=0,(12-DowntimeNew)/12,1),0)))),((F75-DATE(2026+6,5,1))/365.25)*G75*D75*(1+EscalatorInLease)^(6+M75)+((DATE(2027+6,4,30)-F75)/365.25)*IF(I75="Vacate",H75*D75*(1+GrowthMarketRent)^6*IF(INT((DATE(2026+6,10,31)-F75)/365.25)=0,(12-DowntimeNew)/12,1),IF(I75="Option",G75*D75*1.025*(1+EscalatorInLease)^6,IF(I75="Market",Retention*G75*D75*(1+EscalatorInLease)^(6+M75)+(1-Retention)*H75*D75*(1+GrowthMarketRent)^6*IF(INT((DATE(2026+6,10,31)-F75)/365.25)=0,(12-DowntimeNew)/12,1),IF(I75="LeaseUp",H75*D75*(1+GrowthMarketRent)^6*IF(6=0,(12-DowntimeNew)/12,1),0)))))))),0)</f>
        <v/>
      </c>
      <c r="U75" s="14">
        <f>IFERROR(IF(I75="LeaseUp",H75*D75*(1+GrowthMarketRent)^7*IF(7=0,(12-DowntimeNew)/12,1),IF(F75="",0,IF(F75&gt;=DATE(2027+7,4,30),G75*D75*(1+EscalatorInLease)^(7+M75),IF(F75&lt;DATE(2026+7,5,1),IF(I75="Vacate",H75*D75*(1+GrowthMarketRent)^7*IF(INT((DATE(2026+7,10,31)-F75)/365.25)=0,(12-DowntimeNew)/12,1),IF(I75="Option",G75*D75*1.025*(1+EscalatorInLease)^7,IF(I75="Market",Retention*G75*D75*(1+EscalatorInLease)^(7+M75)+(1-Retention)*H75*D75*(1+GrowthMarketRent)^7*IF(INT((DATE(2026+7,10,31)-F75)/365.25)=0,(12-DowntimeNew)/12,1),IF(I75="LeaseUp",H75*D75*(1+GrowthMarketRent)^7*IF(7=0,(12-DowntimeNew)/12,1),0)))),((F75-DATE(2026+7,5,1))/365.25)*G75*D75*(1+EscalatorInLease)^(7+M75)+((DATE(2027+7,4,30)-F75)/365.25)*IF(I75="Vacate",H75*D75*(1+GrowthMarketRent)^7*IF(INT((DATE(2026+7,10,31)-F75)/365.25)=0,(12-DowntimeNew)/12,1),IF(I75="Option",G75*D75*1.025*(1+EscalatorInLease)^7,IF(I75="Market",Retention*G75*D75*(1+EscalatorInLease)^(7+M75)+(1-Retention)*H75*D75*(1+GrowthMarketRent)^7*IF(INT((DATE(2026+7,10,31)-F75)/365.25)=0,(12-DowntimeNew)/12,1),IF(I75="LeaseUp",H75*D75*(1+GrowthMarketRent)^7*IF(7=0,(12-DowntimeNew)/12,1),0)))))))),0)</f>
        <v/>
      </c>
      <c r="V75" s="14">
        <f>IFERROR(IF(I75="LeaseUp",H75*D75*(1+GrowthMarketRent)^8*IF(8=0,(12-DowntimeNew)/12,1),IF(F75="",0,IF(F75&gt;=DATE(2027+8,4,30),G75*D75*(1+EscalatorInLease)^(8+M75),IF(F75&lt;DATE(2026+8,5,1),IF(I75="Vacate",H75*D75*(1+GrowthMarketRent)^8*IF(INT((DATE(2026+8,10,31)-F75)/365.25)=0,(12-DowntimeNew)/12,1),IF(I75="Option",G75*D75*1.025*(1+EscalatorInLease)^8,IF(I75="Market",Retention*G75*D75*(1+EscalatorInLease)^(8+M75)+(1-Retention)*H75*D75*(1+GrowthMarketRent)^8*IF(INT((DATE(2026+8,10,31)-F75)/365.25)=0,(12-DowntimeNew)/12,1),IF(I75="LeaseUp",H75*D75*(1+GrowthMarketRent)^8*IF(8=0,(12-DowntimeNew)/12,1),0)))),((F75-DATE(2026+8,5,1))/365.25)*G75*D75*(1+EscalatorInLease)^(8+M75)+((DATE(2027+8,4,30)-F75)/365.25)*IF(I75="Vacate",H75*D75*(1+GrowthMarketRent)^8*IF(INT((DATE(2026+8,10,31)-F75)/365.25)=0,(12-DowntimeNew)/12,1),IF(I75="Option",G75*D75*1.025*(1+EscalatorInLease)^8,IF(I75="Market",Retention*G75*D75*(1+EscalatorInLease)^(8+M75)+(1-Retention)*H75*D75*(1+GrowthMarketRent)^8*IF(INT((DATE(2026+8,10,31)-F75)/365.25)=0,(12-DowntimeNew)/12,1),IF(I75="LeaseUp",H75*D75*(1+GrowthMarketRent)^8*IF(8=0,(12-DowntimeNew)/12,1),0)))))))),0)</f>
        <v/>
      </c>
      <c r="W75" s="14">
        <f>IFERROR(IF(I75="LeaseUp",H75*D75*(1+GrowthMarketRent)^9*IF(9=0,(12-DowntimeNew)/12,1),IF(F75="",0,IF(F75&gt;=DATE(2027+9,4,30),G75*D75*(1+EscalatorInLease)^(9+M75),IF(F75&lt;DATE(2026+9,5,1),IF(I75="Vacate",H75*D75*(1+GrowthMarketRent)^9*IF(INT((DATE(2026+9,10,31)-F75)/365.25)=0,(12-DowntimeNew)/12,1),IF(I75="Option",G75*D75*1.025*(1+EscalatorInLease)^9,IF(I75="Market",Retention*G75*D75*(1+EscalatorInLease)^(9+M75)+(1-Retention)*H75*D75*(1+GrowthMarketRent)^9*IF(INT((DATE(2026+9,10,31)-F75)/365.25)=0,(12-DowntimeNew)/12,1),IF(I75="LeaseUp",H75*D75*(1+GrowthMarketRent)^9*IF(9=0,(12-DowntimeNew)/12,1),0)))),((F75-DATE(2026+9,5,1))/365.25)*G75*D75*(1+EscalatorInLease)^(9+M75)+((DATE(2027+9,4,30)-F75)/365.25)*IF(I75="Vacate",H75*D75*(1+GrowthMarketRent)^9*IF(INT((DATE(2026+9,10,31)-F75)/365.25)=0,(12-DowntimeNew)/12,1),IF(I75="Option",G75*D75*1.025*(1+EscalatorInLease)^9,IF(I75="Market",Retention*G75*D75*(1+EscalatorInLease)^(9+M75)+(1-Retention)*H75*D75*(1+GrowthMarketRent)^9*IF(INT((DATE(2026+9,10,31)-F75)/365.25)=0,(12-DowntimeNew)/12,1),IF(I75="LeaseUp",H75*D75*(1+GrowthMarketRent)^9*IF(9=0,(12-DowntimeNew)/12,1),0)))))))),0)</f>
        <v/>
      </c>
      <c r="X75" s="14">
        <f>IFERROR(IF(I75="LeaseUp",H75*D75*(1+GrowthMarketRent)^10*IF(10=0,(12-DowntimeNew)/12,1),IF(F75="",0,IF(F75&gt;=DATE(2027+10,4,30),G75*D75*(1+EscalatorInLease)^(10+M75),IF(F75&lt;DATE(2026+10,5,1),IF(I75="Vacate",H75*D75*(1+GrowthMarketRent)^10*IF(INT((DATE(2026+10,10,31)-F75)/365.25)=0,(12-DowntimeNew)/12,1),IF(I75="Option",G75*D75*1.025*(1+EscalatorInLease)^10,IF(I75="Market",Retention*G75*D75*(1+EscalatorInLease)^(10+M75)+(1-Retention)*H75*D75*(1+GrowthMarketRent)^10*IF(INT((DATE(2026+10,10,31)-F75)/365.25)=0,(12-DowntimeNew)/12,1),IF(I75="LeaseUp",H75*D75*(1+GrowthMarketRent)^10*IF(10=0,(12-DowntimeNew)/12,1),0)))),((F75-DATE(2026+10,5,1))/365.25)*G75*D75*(1+EscalatorInLease)^(10+M75)+((DATE(2027+10,4,30)-F75)/365.25)*IF(I75="Vacate",H75*D75*(1+GrowthMarketRent)^10*IF(INT((DATE(2026+10,10,31)-F75)/365.25)=0,(12-DowntimeNew)/12,1),IF(I75="Option",G75*D75*1.025*(1+EscalatorInLease)^10,IF(I75="Market",Retention*G75*D75*(1+EscalatorInLease)^(10+M75)+(1-Retention)*H75*D75*(1+GrowthMarketRent)^10*IF(INT((DATE(2026+10,10,31)-F75)/365.25)=0,(12-DowntimeNew)/12,1),IF(I75="LeaseUp",H75*D75*(1+GrowthMarketRent)^10*IF(10=0,(12-DowntimeNew)/12,1),0)))))))),0)</f>
        <v/>
      </c>
      <c r="Y75" s="14">
        <f>IFERROR(IF(AND(I75="LeaseUp",0=0),(IF(I75="Vacate",TINew*D75,IF(I75="Market",Retention*TIRenewal*D75+(1-Retention)*TINew*D75,IF(I75="LeaseUp",TINew*D75,IF(I75="Option",TIRenewal*D75,0)))))+(IF(I75="Vacate",LCNew*H75*D75*(1+GrowthMarketRent)^0,IF(I75="Market",Retention*LCRenewal*H75*D75*(1+GrowthMarketRent)^0+(1-Retention)*LCNew*H75*D75*(1+GrowthMarketRent)^0,IF(I75="LeaseUp",LCNew*H75*D75*(1+GrowthMarketRent)^0,IF(I75="Option",LCRenewal*H75*D75*(1+GrowthMarketRent)^0,0))))),IF(F75="",0,IF(AND(F75&gt;=DATE(2026+0,5,1),F75&lt;=DATE(2027+0,4,30)),(IF(I75="Vacate",TINew*D75,IF(I75="Market",Retention*TIRenewal*D75+(1-Retention)*TINew*D75,IF(I75="LeaseUp",TINew*D75,IF(I75="Option",TIRenewal*D75,0)))))+(IF(I75="Vacate",LCNew*H75*D75*(1+GrowthMarketRent)^0,IF(I75="Market",Retention*LCRenewal*H75*D75*(1+GrowthMarketRent)^0+(1-Retention)*LCNew*H75*D75*(1+GrowthMarketRent)^0,IF(I75="LeaseUp",LCNew*H75*D75*(1+GrowthMarketRent)^0,IF(I75="Option",LCRenewal*H75*D75*(1+GrowthMarketRent)^0,0))))),0))),0)</f>
        <v/>
      </c>
      <c r="Z75" s="14">
        <f>IFERROR(IF(AND(I75="LeaseUp",1=0),(IF(I75="Vacate",TINew*D75,IF(I75="Market",Retention*TIRenewal*D75+(1-Retention)*TINew*D75,IF(I75="LeaseUp",TINew*D75,IF(I75="Option",TIRenewal*D75,0)))))+(IF(I75="Vacate",LCNew*H75*D75*(1+GrowthMarketRent)^1,IF(I75="Market",Retention*LCRenewal*H75*D75*(1+GrowthMarketRent)^1+(1-Retention)*LCNew*H75*D75*(1+GrowthMarketRent)^1,IF(I75="LeaseUp",LCNew*H75*D75*(1+GrowthMarketRent)^1,IF(I75="Option",LCRenewal*H75*D75*(1+GrowthMarketRent)^1,0))))),IF(F75="",0,IF(AND(F75&gt;=DATE(2026+1,5,1),F75&lt;=DATE(2027+1,4,30)),(IF(I75="Vacate",TINew*D75,IF(I75="Market",Retention*TIRenewal*D75+(1-Retention)*TINew*D75,IF(I75="LeaseUp",TINew*D75,IF(I75="Option",TIRenewal*D75,0)))))+(IF(I75="Vacate",LCNew*H75*D75*(1+GrowthMarketRent)^1,IF(I75="Market",Retention*LCRenewal*H75*D75*(1+GrowthMarketRent)^1+(1-Retention)*LCNew*H75*D75*(1+GrowthMarketRent)^1,IF(I75="LeaseUp",LCNew*H75*D75*(1+GrowthMarketRent)^1,IF(I75="Option",LCRenewal*H75*D75*(1+GrowthMarketRent)^1,0))))),0))),0)</f>
        <v/>
      </c>
      <c r="AA75" s="14">
        <f>IFERROR(IF(AND(I75="LeaseUp",2=0),(IF(I75="Vacate",TINew*D75,IF(I75="Market",Retention*TIRenewal*D75+(1-Retention)*TINew*D75,IF(I75="LeaseUp",TINew*D75,IF(I75="Option",TIRenewal*D75,0)))))+(IF(I75="Vacate",LCNew*H75*D75*(1+GrowthMarketRent)^2,IF(I75="Market",Retention*LCRenewal*H75*D75*(1+GrowthMarketRent)^2+(1-Retention)*LCNew*H75*D75*(1+GrowthMarketRent)^2,IF(I75="LeaseUp",LCNew*H75*D75*(1+GrowthMarketRent)^2,IF(I75="Option",LCRenewal*H75*D75*(1+GrowthMarketRent)^2,0))))),IF(F75="",0,IF(AND(F75&gt;=DATE(2026+2,5,1),F75&lt;=DATE(2027+2,4,30)),(IF(I75="Vacate",TINew*D75,IF(I75="Market",Retention*TIRenewal*D75+(1-Retention)*TINew*D75,IF(I75="LeaseUp",TINew*D75,IF(I75="Option",TIRenewal*D75,0)))))+(IF(I75="Vacate",LCNew*H75*D75*(1+GrowthMarketRent)^2,IF(I75="Market",Retention*LCRenewal*H75*D75*(1+GrowthMarketRent)^2+(1-Retention)*LCNew*H75*D75*(1+GrowthMarketRent)^2,IF(I75="LeaseUp",LCNew*H75*D75*(1+GrowthMarketRent)^2,IF(I75="Option",LCRenewal*H75*D75*(1+GrowthMarketRent)^2,0))))),0))),0)</f>
        <v/>
      </c>
      <c r="AB75" s="14">
        <f>IFERROR(IF(AND(I75="LeaseUp",3=0),(IF(I75="Vacate",TINew*D75,IF(I75="Market",Retention*TIRenewal*D75+(1-Retention)*TINew*D75,IF(I75="LeaseUp",TINew*D75,IF(I75="Option",TIRenewal*D75,0)))))+(IF(I75="Vacate",LCNew*H75*D75*(1+GrowthMarketRent)^3,IF(I75="Market",Retention*LCRenewal*H75*D75*(1+GrowthMarketRent)^3+(1-Retention)*LCNew*H75*D75*(1+GrowthMarketRent)^3,IF(I75="LeaseUp",LCNew*H75*D75*(1+GrowthMarketRent)^3,IF(I75="Option",LCRenewal*H75*D75*(1+GrowthMarketRent)^3,0))))),IF(F75="",0,IF(AND(F75&gt;=DATE(2026+3,5,1),F75&lt;=DATE(2027+3,4,30)),(IF(I75="Vacate",TINew*D75,IF(I75="Market",Retention*TIRenewal*D75+(1-Retention)*TINew*D75,IF(I75="LeaseUp",TINew*D75,IF(I75="Option",TIRenewal*D75,0)))))+(IF(I75="Vacate",LCNew*H75*D75*(1+GrowthMarketRent)^3,IF(I75="Market",Retention*LCRenewal*H75*D75*(1+GrowthMarketRent)^3+(1-Retention)*LCNew*H75*D75*(1+GrowthMarketRent)^3,IF(I75="LeaseUp",LCNew*H75*D75*(1+GrowthMarketRent)^3,IF(I75="Option",LCRenewal*H75*D75*(1+GrowthMarketRent)^3,0))))),0))),0)</f>
        <v/>
      </c>
      <c r="AC75" s="14">
        <f>IFERROR(IF(AND(I75="LeaseUp",4=0),(IF(I75="Vacate",TINew*D75,IF(I75="Market",Retention*TIRenewal*D75+(1-Retention)*TINew*D75,IF(I75="LeaseUp",TINew*D75,IF(I75="Option",TIRenewal*D75,0)))))+(IF(I75="Vacate",LCNew*H75*D75*(1+GrowthMarketRent)^4,IF(I75="Market",Retention*LCRenewal*H75*D75*(1+GrowthMarketRent)^4+(1-Retention)*LCNew*H75*D75*(1+GrowthMarketRent)^4,IF(I75="LeaseUp",LCNew*H75*D75*(1+GrowthMarketRent)^4,IF(I75="Option",LCRenewal*H75*D75*(1+GrowthMarketRent)^4,0))))),IF(F75="",0,IF(AND(F75&gt;=DATE(2026+4,5,1),F75&lt;=DATE(2027+4,4,30)),(IF(I75="Vacate",TINew*D75,IF(I75="Market",Retention*TIRenewal*D75+(1-Retention)*TINew*D75,IF(I75="LeaseUp",TINew*D75,IF(I75="Option",TIRenewal*D75,0)))))+(IF(I75="Vacate",LCNew*H75*D75*(1+GrowthMarketRent)^4,IF(I75="Market",Retention*LCRenewal*H75*D75*(1+GrowthMarketRent)^4+(1-Retention)*LCNew*H75*D75*(1+GrowthMarketRent)^4,IF(I75="LeaseUp",LCNew*H75*D75*(1+GrowthMarketRent)^4,IF(I75="Option",LCRenewal*H75*D75*(1+GrowthMarketRent)^4,0))))),0))),0)</f>
        <v/>
      </c>
      <c r="AD75" s="14">
        <f>IFERROR(IF(AND(I75="LeaseUp",5=0),(IF(I75="Vacate",TINew*D75,IF(I75="Market",Retention*TIRenewal*D75+(1-Retention)*TINew*D75,IF(I75="LeaseUp",TINew*D75,IF(I75="Option",TIRenewal*D75,0)))))+(IF(I75="Vacate",LCNew*H75*D75*(1+GrowthMarketRent)^5,IF(I75="Market",Retention*LCRenewal*H75*D75*(1+GrowthMarketRent)^5+(1-Retention)*LCNew*H75*D75*(1+GrowthMarketRent)^5,IF(I75="LeaseUp",LCNew*H75*D75*(1+GrowthMarketRent)^5,IF(I75="Option",LCRenewal*H75*D75*(1+GrowthMarketRent)^5,0))))),IF(F75="",0,IF(AND(F75&gt;=DATE(2026+5,5,1),F75&lt;=DATE(2027+5,4,30)),(IF(I75="Vacate",TINew*D75,IF(I75="Market",Retention*TIRenewal*D75+(1-Retention)*TINew*D75,IF(I75="LeaseUp",TINew*D75,IF(I75="Option",TIRenewal*D75,0)))))+(IF(I75="Vacate",LCNew*H75*D75*(1+GrowthMarketRent)^5,IF(I75="Market",Retention*LCRenewal*H75*D75*(1+GrowthMarketRent)^5+(1-Retention)*LCNew*H75*D75*(1+GrowthMarketRent)^5,IF(I75="LeaseUp",LCNew*H75*D75*(1+GrowthMarketRent)^5,IF(I75="Option",LCRenewal*H75*D75*(1+GrowthMarketRent)^5,0))))),0))),0)</f>
        <v/>
      </c>
      <c r="AE75" s="14">
        <f>IFERROR(IF(AND(I75="LeaseUp",6=0),(IF(I75="Vacate",TINew*D75,IF(I75="Market",Retention*TIRenewal*D75+(1-Retention)*TINew*D75,IF(I75="LeaseUp",TINew*D75,IF(I75="Option",TIRenewal*D75,0)))))+(IF(I75="Vacate",LCNew*H75*D75*(1+GrowthMarketRent)^6,IF(I75="Market",Retention*LCRenewal*H75*D75*(1+GrowthMarketRent)^6+(1-Retention)*LCNew*H75*D75*(1+GrowthMarketRent)^6,IF(I75="LeaseUp",LCNew*H75*D75*(1+GrowthMarketRent)^6,IF(I75="Option",LCRenewal*H75*D75*(1+GrowthMarketRent)^6,0))))),IF(F75="",0,IF(AND(F75&gt;=DATE(2026+6,5,1),F75&lt;=DATE(2027+6,4,30)),(IF(I75="Vacate",TINew*D75,IF(I75="Market",Retention*TIRenewal*D75+(1-Retention)*TINew*D75,IF(I75="LeaseUp",TINew*D75,IF(I75="Option",TIRenewal*D75,0)))))+(IF(I75="Vacate",LCNew*H75*D75*(1+GrowthMarketRent)^6,IF(I75="Market",Retention*LCRenewal*H75*D75*(1+GrowthMarketRent)^6+(1-Retention)*LCNew*H75*D75*(1+GrowthMarketRent)^6,IF(I75="LeaseUp",LCNew*H75*D75*(1+GrowthMarketRent)^6,IF(I75="Option",LCRenewal*H75*D75*(1+GrowthMarketRent)^6,0))))),0))),0)</f>
        <v/>
      </c>
      <c r="AF75" s="14">
        <f>IFERROR(IF(AND(I75="LeaseUp",7=0),(IF(I75="Vacate",TINew*D75,IF(I75="Market",Retention*TIRenewal*D75+(1-Retention)*TINew*D75,IF(I75="LeaseUp",TINew*D75,IF(I75="Option",TIRenewal*D75,0)))))+(IF(I75="Vacate",LCNew*H75*D75*(1+GrowthMarketRent)^7,IF(I75="Market",Retention*LCRenewal*H75*D75*(1+GrowthMarketRent)^7+(1-Retention)*LCNew*H75*D75*(1+GrowthMarketRent)^7,IF(I75="LeaseUp",LCNew*H75*D75*(1+GrowthMarketRent)^7,IF(I75="Option",LCRenewal*H75*D75*(1+GrowthMarketRent)^7,0))))),IF(F75="",0,IF(AND(F75&gt;=DATE(2026+7,5,1),F75&lt;=DATE(2027+7,4,30)),(IF(I75="Vacate",TINew*D75,IF(I75="Market",Retention*TIRenewal*D75+(1-Retention)*TINew*D75,IF(I75="LeaseUp",TINew*D75,IF(I75="Option",TIRenewal*D75,0)))))+(IF(I75="Vacate",LCNew*H75*D75*(1+GrowthMarketRent)^7,IF(I75="Market",Retention*LCRenewal*H75*D75*(1+GrowthMarketRent)^7+(1-Retention)*LCNew*H75*D75*(1+GrowthMarketRent)^7,IF(I75="LeaseUp",LCNew*H75*D75*(1+GrowthMarketRent)^7,IF(I75="Option",LCRenewal*H75*D75*(1+GrowthMarketRent)^7,0))))),0))),0)</f>
        <v/>
      </c>
      <c r="AG75" s="14">
        <f>IFERROR(IF(AND(I75="LeaseUp",8=0),(IF(I75="Vacate",TINew*D75,IF(I75="Market",Retention*TIRenewal*D75+(1-Retention)*TINew*D75,IF(I75="LeaseUp",TINew*D75,IF(I75="Option",TIRenewal*D75,0)))))+(IF(I75="Vacate",LCNew*H75*D75*(1+GrowthMarketRent)^8,IF(I75="Market",Retention*LCRenewal*H75*D75*(1+GrowthMarketRent)^8+(1-Retention)*LCNew*H75*D75*(1+GrowthMarketRent)^8,IF(I75="LeaseUp",LCNew*H75*D75*(1+GrowthMarketRent)^8,IF(I75="Option",LCRenewal*H75*D75*(1+GrowthMarketRent)^8,0))))),IF(F75="",0,IF(AND(F75&gt;=DATE(2026+8,5,1),F75&lt;=DATE(2027+8,4,30)),(IF(I75="Vacate",TINew*D75,IF(I75="Market",Retention*TIRenewal*D75+(1-Retention)*TINew*D75,IF(I75="LeaseUp",TINew*D75,IF(I75="Option",TIRenewal*D75,0)))))+(IF(I75="Vacate",LCNew*H75*D75*(1+GrowthMarketRent)^8,IF(I75="Market",Retention*LCRenewal*H75*D75*(1+GrowthMarketRent)^8+(1-Retention)*LCNew*H75*D75*(1+GrowthMarketRent)^8,IF(I75="LeaseUp",LCNew*H75*D75*(1+GrowthMarketRent)^8,IF(I75="Option",LCRenewal*H75*D75*(1+GrowthMarketRent)^8,0))))),0))),0)</f>
        <v/>
      </c>
      <c r="AH75" s="14">
        <f>IFERROR(IF(AND(I75="LeaseUp",9=0),(IF(I75="Vacate",TINew*D75,IF(I75="Market",Retention*TIRenewal*D75+(1-Retention)*TINew*D75,IF(I75="LeaseUp",TINew*D75,IF(I75="Option",TIRenewal*D75,0)))))+(IF(I75="Vacate",LCNew*H75*D75*(1+GrowthMarketRent)^9,IF(I75="Market",Retention*LCRenewal*H75*D75*(1+GrowthMarketRent)^9+(1-Retention)*LCNew*H75*D75*(1+GrowthMarketRent)^9,IF(I75="LeaseUp",LCNew*H75*D75*(1+GrowthMarketRent)^9,IF(I75="Option",LCRenewal*H75*D75*(1+GrowthMarketRent)^9,0))))),IF(F75="",0,IF(AND(F75&gt;=DATE(2026+9,5,1),F75&lt;=DATE(2027+9,4,30)),(IF(I75="Vacate",TINew*D75,IF(I75="Market",Retention*TIRenewal*D75+(1-Retention)*TINew*D75,IF(I75="LeaseUp",TINew*D75,IF(I75="Option",TIRenewal*D75,0)))))+(IF(I75="Vacate",LCNew*H75*D75*(1+GrowthMarketRent)^9,IF(I75="Market",Retention*LCRenewal*H75*D75*(1+GrowthMarketRent)^9+(1-Retention)*LCNew*H75*D75*(1+GrowthMarketRent)^9,IF(I75="LeaseUp",LCNew*H75*D75*(1+GrowthMarketRent)^9,IF(I75="Option",LCRenewal*H75*D75*(1+GrowthMarketRent)^9,0))))),0))),0)</f>
        <v/>
      </c>
      <c r="AI75" s="14">
        <f>IFERROR(IF(AND(I75="LeaseUp",10=0),(IF(I75="Vacate",TINew*D75,IF(I75="Market",Retention*TIRenewal*D75+(1-Retention)*TINew*D75,IF(I75="LeaseUp",TINew*D75,IF(I75="Option",TIRenewal*D75,0)))))+(IF(I75="Vacate",LCNew*H75*D75*(1+GrowthMarketRent)^10,IF(I75="Market",Retention*LCRenewal*H75*D75*(1+GrowthMarketRent)^10+(1-Retention)*LCNew*H75*D75*(1+GrowthMarketRent)^10,IF(I75="LeaseUp",LCNew*H75*D75*(1+GrowthMarketRent)^10,IF(I75="Option",LCRenewal*H75*D75*(1+GrowthMarketRent)^10,0))))),IF(F75="",0,IF(AND(F75&gt;=DATE(2026+10,5,1),F75&lt;=DATE(2027+10,4,30)),(IF(I75="Vacate",TINew*D75,IF(I75="Market",Retention*TIRenewal*D75+(1-Retention)*TINew*D75,IF(I75="LeaseUp",TINew*D75,IF(I75="Option",TIRenewal*D75,0)))))+(IF(I75="Vacate",LCNew*H75*D75*(1+GrowthMarketRent)^10,IF(I75="Market",Retention*LCRenewal*H75*D75*(1+GrowthMarketRent)^10+(1-Retention)*LCNew*H75*D75*(1+GrowthMarketRent)^10,IF(I75="LeaseUp",LCNew*H75*D75*(1+GrowthMarketRent)^10,IF(I75="Option",LCRenewal*H75*D75*(1+GrowthMarketRent)^10,0))))),0))),0)</f>
        <v/>
      </c>
    </row>
    <row r="76">
      <c r="A76" t="inlineStr">
        <is>
          <t>Mesquite</t>
        </is>
      </c>
      <c r="B76" t="inlineStr">
        <is>
          <t>108</t>
        </is>
      </c>
      <c r="C76" t="inlineStr">
        <is>
          <t>Bryan Long Flowers LLC</t>
        </is>
      </c>
      <c r="D76" s="32" t="n">
        <v>2600</v>
      </c>
      <c r="E76" s="33" t="n">
        <v>44805</v>
      </c>
      <c r="F76" s="33" t="n">
        <v>46419</v>
      </c>
      <c r="G76" s="34" t="n">
        <v>14.6253846153846</v>
      </c>
      <c r="H76" s="16">
        <f>VLOOKUP(A76,MLA!$A$5:$L$11,3,FALSE)</f>
        <v/>
      </c>
      <c r="I76" s="11" t="inlineStr">
        <is>
          <t>Option</t>
        </is>
      </c>
      <c r="J76" t="inlineStr">
        <is>
          <t>Shop</t>
        </is>
      </c>
      <c r="K76" t="inlineStr">
        <is>
          <t>Occupied</t>
        </is>
      </c>
      <c r="L76" t="inlineStr">
        <is>
          <t>Shop; Guarantor: Bryan Long; 1yr renewal option @ 102.5%</t>
        </is>
      </c>
      <c r="M76" s="20">
        <f>IF(E76="",0,(AnalysisStart-E76)/365.25)</f>
        <v/>
      </c>
      <c r="N76" s="14">
        <f>IFERROR(IF(I76="LeaseUp",H76*D76*(1+GrowthMarketRent)^0*IF(0=0,(12-DowntimeNew)/12,1),IF(F76="",0,IF(F76&gt;=DATE(2027+0,4,30),G76*D76*(1+EscalatorInLease)^(0+M76),IF(F76&lt;DATE(2026+0,5,1),IF(I76="Vacate",H76*D76*(1+GrowthMarketRent)^0*IF(INT((DATE(2026+0,10,31)-F76)/365.25)=0,(12-DowntimeNew)/12,1),IF(I76="Option",G76*D76*1.025*(1+EscalatorInLease)^0,IF(I76="Market",Retention*G76*D76*(1+EscalatorInLease)^(0+M76)+(1-Retention)*H76*D76*(1+GrowthMarketRent)^0*IF(INT((DATE(2026+0,10,31)-F76)/365.25)=0,(12-DowntimeNew)/12,1),IF(I76="LeaseUp",H76*D76*(1+GrowthMarketRent)^0*IF(0=0,(12-DowntimeNew)/12,1),0)))),((F76-DATE(2026+0,5,1))/365.25)*G76*D76*(1+EscalatorInLease)^(0+M76)+((DATE(2027+0,4,30)-F76)/365.25)*IF(I76="Vacate",H76*D76*(1+GrowthMarketRent)^0*IF(INT((DATE(2026+0,10,31)-F76)/365.25)=0,(12-DowntimeNew)/12,1),IF(I76="Option",G76*D76*1.025*(1+EscalatorInLease)^0,IF(I76="Market",Retention*G76*D76*(1+EscalatorInLease)^(0+M76)+(1-Retention)*H76*D76*(1+GrowthMarketRent)^0*IF(INT((DATE(2026+0,10,31)-F76)/365.25)=0,(12-DowntimeNew)/12,1),IF(I76="LeaseUp",H76*D76*(1+GrowthMarketRent)^0*IF(0=0,(12-DowntimeNew)/12,1),0)))))))),0)</f>
        <v/>
      </c>
      <c r="O76" s="14">
        <f>IFERROR(IF(I76="LeaseUp",H76*D76*(1+GrowthMarketRent)^1*IF(1=0,(12-DowntimeNew)/12,1),IF(F76="",0,IF(F76&gt;=DATE(2027+1,4,30),G76*D76*(1+EscalatorInLease)^(1+M76),IF(F76&lt;DATE(2026+1,5,1),IF(I76="Vacate",H76*D76*(1+GrowthMarketRent)^1*IF(INT((DATE(2026+1,10,31)-F76)/365.25)=0,(12-DowntimeNew)/12,1),IF(I76="Option",G76*D76*1.025*(1+EscalatorInLease)^1,IF(I76="Market",Retention*G76*D76*(1+EscalatorInLease)^(1+M76)+(1-Retention)*H76*D76*(1+GrowthMarketRent)^1*IF(INT((DATE(2026+1,10,31)-F76)/365.25)=0,(12-DowntimeNew)/12,1),IF(I76="LeaseUp",H76*D76*(1+GrowthMarketRent)^1*IF(1=0,(12-DowntimeNew)/12,1),0)))),((F76-DATE(2026+1,5,1))/365.25)*G76*D76*(1+EscalatorInLease)^(1+M76)+((DATE(2027+1,4,30)-F76)/365.25)*IF(I76="Vacate",H76*D76*(1+GrowthMarketRent)^1*IF(INT((DATE(2026+1,10,31)-F76)/365.25)=0,(12-DowntimeNew)/12,1),IF(I76="Option",G76*D76*1.025*(1+EscalatorInLease)^1,IF(I76="Market",Retention*G76*D76*(1+EscalatorInLease)^(1+M76)+(1-Retention)*H76*D76*(1+GrowthMarketRent)^1*IF(INT((DATE(2026+1,10,31)-F76)/365.25)=0,(12-DowntimeNew)/12,1),IF(I76="LeaseUp",H76*D76*(1+GrowthMarketRent)^1*IF(1=0,(12-DowntimeNew)/12,1),0)))))))),0)</f>
        <v/>
      </c>
      <c r="P76" s="14">
        <f>IFERROR(IF(I76="LeaseUp",H76*D76*(1+GrowthMarketRent)^2*IF(2=0,(12-DowntimeNew)/12,1),IF(F76="",0,IF(F76&gt;=DATE(2027+2,4,30),G76*D76*(1+EscalatorInLease)^(2+M76),IF(F76&lt;DATE(2026+2,5,1),IF(I76="Vacate",H76*D76*(1+GrowthMarketRent)^2*IF(INT((DATE(2026+2,10,31)-F76)/365.25)=0,(12-DowntimeNew)/12,1),IF(I76="Option",G76*D76*1.025*(1+EscalatorInLease)^2,IF(I76="Market",Retention*G76*D76*(1+EscalatorInLease)^(2+M76)+(1-Retention)*H76*D76*(1+GrowthMarketRent)^2*IF(INT((DATE(2026+2,10,31)-F76)/365.25)=0,(12-DowntimeNew)/12,1),IF(I76="LeaseUp",H76*D76*(1+GrowthMarketRent)^2*IF(2=0,(12-DowntimeNew)/12,1),0)))),((F76-DATE(2026+2,5,1))/365.25)*G76*D76*(1+EscalatorInLease)^(2+M76)+((DATE(2027+2,4,30)-F76)/365.25)*IF(I76="Vacate",H76*D76*(1+GrowthMarketRent)^2*IF(INT((DATE(2026+2,10,31)-F76)/365.25)=0,(12-DowntimeNew)/12,1),IF(I76="Option",G76*D76*1.025*(1+EscalatorInLease)^2,IF(I76="Market",Retention*G76*D76*(1+EscalatorInLease)^(2+M76)+(1-Retention)*H76*D76*(1+GrowthMarketRent)^2*IF(INT((DATE(2026+2,10,31)-F76)/365.25)=0,(12-DowntimeNew)/12,1),IF(I76="LeaseUp",H76*D76*(1+GrowthMarketRent)^2*IF(2=0,(12-DowntimeNew)/12,1),0)))))))),0)</f>
        <v/>
      </c>
      <c r="Q76" s="14">
        <f>IFERROR(IF(I76="LeaseUp",H76*D76*(1+GrowthMarketRent)^3*IF(3=0,(12-DowntimeNew)/12,1),IF(F76="",0,IF(F76&gt;=DATE(2027+3,4,30),G76*D76*(1+EscalatorInLease)^(3+M76),IF(F76&lt;DATE(2026+3,5,1),IF(I76="Vacate",H76*D76*(1+GrowthMarketRent)^3*IF(INT((DATE(2026+3,10,31)-F76)/365.25)=0,(12-DowntimeNew)/12,1),IF(I76="Option",G76*D76*1.025*(1+EscalatorInLease)^3,IF(I76="Market",Retention*G76*D76*(1+EscalatorInLease)^(3+M76)+(1-Retention)*H76*D76*(1+GrowthMarketRent)^3*IF(INT((DATE(2026+3,10,31)-F76)/365.25)=0,(12-DowntimeNew)/12,1),IF(I76="LeaseUp",H76*D76*(1+GrowthMarketRent)^3*IF(3=0,(12-DowntimeNew)/12,1),0)))),((F76-DATE(2026+3,5,1))/365.25)*G76*D76*(1+EscalatorInLease)^(3+M76)+((DATE(2027+3,4,30)-F76)/365.25)*IF(I76="Vacate",H76*D76*(1+GrowthMarketRent)^3*IF(INT((DATE(2026+3,10,31)-F76)/365.25)=0,(12-DowntimeNew)/12,1),IF(I76="Option",G76*D76*1.025*(1+EscalatorInLease)^3,IF(I76="Market",Retention*G76*D76*(1+EscalatorInLease)^(3+M76)+(1-Retention)*H76*D76*(1+GrowthMarketRent)^3*IF(INT((DATE(2026+3,10,31)-F76)/365.25)=0,(12-DowntimeNew)/12,1),IF(I76="LeaseUp",H76*D76*(1+GrowthMarketRent)^3*IF(3=0,(12-DowntimeNew)/12,1),0)))))))),0)</f>
        <v/>
      </c>
      <c r="R76" s="14">
        <f>IFERROR(IF(I76="LeaseUp",H76*D76*(1+GrowthMarketRent)^4*IF(4=0,(12-DowntimeNew)/12,1),IF(F76="",0,IF(F76&gt;=DATE(2027+4,4,30),G76*D76*(1+EscalatorInLease)^(4+M76),IF(F76&lt;DATE(2026+4,5,1),IF(I76="Vacate",H76*D76*(1+GrowthMarketRent)^4*IF(INT((DATE(2026+4,10,31)-F76)/365.25)=0,(12-DowntimeNew)/12,1),IF(I76="Option",G76*D76*1.025*(1+EscalatorInLease)^4,IF(I76="Market",Retention*G76*D76*(1+EscalatorInLease)^(4+M76)+(1-Retention)*H76*D76*(1+GrowthMarketRent)^4*IF(INT((DATE(2026+4,10,31)-F76)/365.25)=0,(12-DowntimeNew)/12,1),IF(I76="LeaseUp",H76*D76*(1+GrowthMarketRent)^4*IF(4=0,(12-DowntimeNew)/12,1),0)))),((F76-DATE(2026+4,5,1))/365.25)*G76*D76*(1+EscalatorInLease)^(4+M76)+((DATE(2027+4,4,30)-F76)/365.25)*IF(I76="Vacate",H76*D76*(1+GrowthMarketRent)^4*IF(INT((DATE(2026+4,10,31)-F76)/365.25)=0,(12-DowntimeNew)/12,1),IF(I76="Option",G76*D76*1.025*(1+EscalatorInLease)^4,IF(I76="Market",Retention*G76*D76*(1+EscalatorInLease)^(4+M76)+(1-Retention)*H76*D76*(1+GrowthMarketRent)^4*IF(INT((DATE(2026+4,10,31)-F76)/365.25)=0,(12-DowntimeNew)/12,1),IF(I76="LeaseUp",H76*D76*(1+GrowthMarketRent)^4*IF(4=0,(12-DowntimeNew)/12,1),0)))))))),0)</f>
        <v/>
      </c>
      <c r="S76" s="14">
        <f>IFERROR(IF(I76="LeaseUp",H76*D76*(1+GrowthMarketRent)^5*IF(5=0,(12-DowntimeNew)/12,1),IF(F76="",0,IF(F76&gt;=DATE(2027+5,4,30),G76*D76*(1+EscalatorInLease)^(5+M76),IF(F76&lt;DATE(2026+5,5,1),IF(I76="Vacate",H76*D76*(1+GrowthMarketRent)^5*IF(INT((DATE(2026+5,10,31)-F76)/365.25)=0,(12-DowntimeNew)/12,1),IF(I76="Option",G76*D76*1.025*(1+EscalatorInLease)^5,IF(I76="Market",Retention*G76*D76*(1+EscalatorInLease)^(5+M76)+(1-Retention)*H76*D76*(1+GrowthMarketRent)^5*IF(INT((DATE(2026+5,10,31)-F76)/365.25)=0,(12-DowntimeNew)/12,1),IF(I76="LeaseUp",H76*D76*(1+GrowthMarketRent)^5*IF(5=0,(12-DowntimeNew)/12,1),0)))),((F76-DATE(2026+5,5,1))/365.25)*G76*D76*(1+EscalatorInLease)^(5+M76)+((DATE(2027+5,4,30)-F76)/365.25)*IF(I76="Vacate",H76*D76*(1+GrowthMarketRent)^5*IF(INT((DATE(2026+5,10,31)-F76)/365.25)=0,(12-DowntimeNew)/12,1),IF(I76="Option",G76*D76*1.025*(1+EscalatorInLease)^5,IF(I76="Market",Retention*G76*D76*(1+EscalatorInLease)^(5+M76)+(1-Retention)*H76*D76*(1+GrowthMarketRent)^5*IF(INT((DATE(2026+5,10,31)-F76)/365.25)=0,(12-DowntimeNew)/12,1),IF(I76="LeaseUp",H76*D76*(1+GrowthMarketRent)^5*IF(5=0,(12-DowntimeNew)/12,1),0)))))))),0)</f>
        <v/>
      </c>
      <c r="T76" s="14">
        <f>IFERROR(IF(I76="LeaseUp",H76*D76*(1+GrowthMarketRent)^6*IF(6=0,(12-DowntimeNew)/12,1),IF(F76="",0,IF(F76&gt;=DATE(2027+6,4,30),G76*D76*(1+EscalatorInLease)^(6+M76),IF(F76&lt;DATE(2026+6,5,1),IF(I76="Vacate",H76*D76*(1+GrowthMarketRent)^6*IF(INT((DATE(2026+6,10,31)-F76)/365.25)=0,(12-DowntimeNew)/12,1),IF(I76="Option",G76*D76*1.025*(1+EscalatorInLease)^6,IF(I76="Market",Retention*G76*D76*(1+EscalatorInLease)^(6+M76)+(1-Retention)*H76*D76*(1+GrowthMarketRent)^6*IF(INT((DATE(2026+6,10,31)-F76)/365.25)=0,(12-DowntimeNew)/12,1),IF(I76="LeaseUp",H76*D76*(1+GrowthMarketRent)^6*IF(6=0,(12-DowntimeNew)/12,1),0)))),((F76-DATE(2026+6,5,1))/365.25)*G76*D76*(1+EscalatorInLease)^(6+M76)+((DATE(2027+6,4,30)-F76)/365.25)*IF(I76="Vacate",H76*D76*(1+GrowthMarketRent)^6*IF(INT((DATE(2026+6,10,31)-F76)/365.25)=0,(12-DowntimeNew)/12,1),IF(I76="Option",G76*D76*1.025*(1+EscalatorInLease)^6,IF(I76="Market",Retention*G76*D76*(1+EscalatorInLease)^(6+M76)+(1-Retention)*H76*D76*(1+GrowthMarketRent)^6*IF(INT((DATE(2026+6,10,31)-F76)/365.25)=0,(12-DowntimeNew)/12,1),IF(I76="LeaseUp",H76*D76*(1+GrowthMarketRent)^6*IF(6=0,(12-DowntimeNew)/12,1),0)))))))),0)</f>
        <v/>
      </c>
      <c r="U76" s="14">
        <f>IFERROR(IF(I76="LeaseUp",H76*D76*(1+GrowthMarketRent)^7*IF(7=0,(12-DowntimeNew)/12,1),IF(F76="",0,IF(F76&gt;=DATE(2027+7,4,30),G76*D76*(1+EscalatorInLease)^(7+M76),IF(F76&lt;DATE(2026+7,5,1),IF(I76="Vacate",H76*D76*(1+GrowthMarketRent)^7*IF(INT((DATE(2026+7,10,31)-F76)/365.25)=0,(12-DowntimeNew)/12,1),IF(I76="Option",G76*D76*1.025*(1+EscalatorInLease)^7,IF(I76="Market",Retention*G76*D76*(1+EscalatorInLease)^(7+M76)+(1-Retention)*H76*D76*(1+GrowthMarketRent)^7*IF(INT((DATE(2026+7,10,31)-F76)/365.25)=0,(12-DowntimeNew)/12,1),IF(I76="LeaseUp",H76*D76*(1+GrowthMarketRent)^7*IF(7=0,(12-DowntimeNew)/12,1),0)))),((F76-DATE(2026+7,5,1))/365.25)*G76*D76*(1+EscalatorInLease)^(7+M76)+((DATE(2027+7,4,30)-F76)/365.25)*IF(I76="Vacate",H76*D76*(1+GrowthMarketRent)^7*IF(INT((DATE(2026+7,10,31)-F76)/365.25)=0,(12-DowntimeNew)/12,1),IF(I76="Option",G76*D76*1.025*(1+EscalatorInLease)^7,IF(I76="Market",Retention*G76*D76*(1+EscalatorInLease)^(7+M76)+(1-Retention)*H76*D76*(1+GrowthMarketRent)^7*IF(INT((DATE(2026+7,10,31)-F76)/365.25)=0,(12-DowntimeNew)/12,1),IF(I76="LeaseUp",H76*D76*(1+GrowthMarketRent)^7*IF(7=0,(12-DowntimeNew)/12,1),0)))))))),0)</f>
        <v/>
      </c>
      <c r="V76" s="14">
        <f>IFERROR(IF(I76="LeaseUp",H76*D76*(1+GrowthMarketRent)^8*IF(8=0,(12-DowntimeNew)/12,1),IF(F76="",0,IF(F76&gt;=DATE(2027+8,4,30),G76*D76*(1+EscalatorInLease)^(8+M76),IF(F76&lt;DATE(2026+8,5,1),IF(I76="Vacate",H76*D76*(1+GrowthMarketRent)^8*IF(INT((DATE(2026+8,10,31)-F76)/365.25)=0,(12-DowntimeNew)/12,1),IF(I76="Option",G76*D76*1.025*(1+EscalatorInLease)^8,IF(I76="Market",Retention*G76*D76*(1+EscalatorInLease)^(8+M76)+(1-Retention)*H76*D76*(1+GrowthMarketRent)^8*IF(INT((DATE(2026+8,10,31)-F76)/365.25)=0,(12-DowntimeNew)/12,1),IF(I76="LeaseUp",H76*D76*(1+GrowthMarketRent)^8*IF(8=0,(12-DowntimeNew)/12,1),0)))),((F76-DATE(2026+8,5,1))/365.25)*G76*D76*(1+EscalatorInLease)^(8+M76)+((DATE(2027+8,4,30)-F76)/365.25)*IF(I76="Vacate",H76*D76*(1+GrowthMarketRent)^8*IF(INT((DATE(2026+8,10,31)-F76)/365.25)=0,(12-DowntimeNew)/12,1),IF(I76="Option",G76*D76*1.025*(1+EscalatorInLease)^8,IF(I76="Market",Retention*G76*D76*(1+EscalatorInLease)^(8+M76)+(1-Retention)*H76*D76*(1+GrowthMarketRent)^8*IF(INT((DATE(2026+8,10,31)-F76)/365.25)=0,(12-DowntimeNew)/12,1),IF(I76="LeaseUp",H76*D76*(1+GrowthMarketRent)^8*IF(8=0,(12-DowntimeNew)/12,1),0)))))))),0)</f>
        <v/>
      </c>
      <c r="W76" s="14">
        <f>IFERROR(IF(I76="LeaseUp",H76*D76*(1+GrowthMarketRent)^9*IF(9=0,(12-DowntimeNew)/12,1),IF(F76="",0,IF(F76&gt;=DATE(2027+9,4,30),G76*D76*(1+EscalatorInLease)^(9+M76),IF(F76&lt;DATE(2026+9,5,1),IF(I76="Vacate",H76*D76*(1+GrowthMarketRent)^9*IF(INT((DATE(2026+9,10,31)-F76)/365.25)=0,(12-DowntimeNew)/12,1),IF(I76="Option",G76*D76*1.025*(1+EscalatorInLease)^9,IF(I76="Market",Retention*G76*D76*(1+EscalatorInLease)^(9+M76)+(1-Retention)*H76*D76*(1+GrowthMarketRent)^9*IF(INT((DATE(2026+9,10,31)-F76)/365.25)=0,(12-DowntimeNew)/12,1),IF(I76="LeaseUp",H76*D76*(1+GrowthMarketRent)^9*IF(9=0,(12-DowntimeNew)/12,1),0)))),((F76-DATE(2026+9,5,1))/365.25)*G76*D76*(1+EscalatorInLease)^(9+M76)+((DATE(2027+9,4,30)-F76)/365.25)*IF(I76="Vacate",H76*D76*(1+GrowthMarketRent)^9*IF(INT((DATE(2026+9,10,31)-F76)/365.25)=0,(12-DowntimeNew)/12,1),IF(I76="Option",G76*D76*1.025*(1+EscalatorInLease)^9,IF(I76="Market",Retention*G76*D76*(1+EscalatorInLease)^(9+M76)+(1-Retention)*H76*D76*(1+GrowthMarketRent)^9*IF(INT((DATE(2026+9,10,31)-F76)/365.25)=0,(12-DowntimeNew)/12,1),IF(I76="LeaseUp",H76*D76*(1+GrowthMarketRent)^9*IF(9=0,(12-DowntimeNew)/12,1),0)))))))),0)</f>
        <v/>
      </c>
      <c r="X76" s="14">
        <f>IFERROR(IF(I76="LeaseUp",H76*D76*(1+GrowthMarketRent)^10*IF(10=0,(12-DowntimeNew)/12,1),IF(F76="",0,IF(F76&gt;=DATE(2027+10,4,30),G76*D76*(1+EscalatorInLease)^(10+M76),IF(F76&lt;DATE(2026+10,5,1),IF(I76="Vacate",H76*D76*(1+GrowthMarketRent)^10*IF(INT((DATE(2026+10,10,31)-F76)/365.25)=0,(12-DowntimeNew)/12,1),IF(I76="Option",G76*D76*1.025*(1+EscalatorInLease)^10,IF(I76="Market",Retention*G76*D76*(1+EscalatorInLease)^(10+M76)+(1-Retention)*H76*D76*(1+GrowthMarketRent)^10*IF(INT((DATE(2026+10,10,31)-F76)/365.25)=0,(12-DowntimeNew)/12,1),IF(I76="LeaseUp",H76*D76*(1+GrowthMarketRent)^10*IF(10=0,(12-DowntimeNew)/12,1),0)))),((F76-DATE(2026+10,5,1))/365.25)*G76*D76*(1+EscalatorInLease)^(10+M76)+((DATE(2027+10,4,30)-F76)/365.25)*IF(I76="Vacate",H76*D76*(1+GrowthMarketRent)^10*IF(INT((DATE(2026+10,10,31)-F76)/365.25)=0,(12-DowntimeNew)/12,1),IF(I76="Option",G76*D76*1.025*(1+EscalatorInLease)^10,IF(I76="Market",Retention*G76*D76*(1+EscalatorInLease)^(10+M76)+(1-Retention)*H76*D76*(1+GrowthMarketRent)^10*IF(INT((DATE(2026+10,10,31)-F76)/365.25)=0,(12-DowntimeNew)/12,1),IF(I76="LeaseUp",H76*D76*(1+GrowthMarketRent)^10*IF(10=0,(12-DowntimeNew)/12,1),0)))))))),0)</f>
        <v/>
      </c>
      <c r="Y76" s="14">
        <f>IFERROR(IF(AND(I76="LeaseUp",0=0),(IF(I76="Vacate",TINew*D76,IF(I76="Market",Retention*TIRenewal*D76+(1-Retention)*TINew*D76,IF(I76="LeaseUp",TINew*D76,IF(I76="Option",TIRenewal*D76,0)))))+(IF(I76="Vacate",LCNew*H76*D76*(1+GrowthMarketRent)^0,IF(I76="Market",Retention*LCRenewal*H76*D76*(1+GrowthMarketRent)^0+(1-Retention)*LCNew*H76*D76*(1+GrowthMarketRent)^0,IF(I76="LeaseUp",LCNew*H76*D76*(1+GrowthMarketRent)^0,IF(I76="Option",LCRenewal*H76*D76*(1+GrowthMarketRent)^0,0))))),IF(F76="",0,IF(AND(F76&gt;=DATE(2026+0,5,1),F76&lt;=DATE(2027+0,4,30)),(IF(I76="Vacate",TINew*D76,IF(I76="Market",Retention*TIRenewal*D76+(1-Retention)*TINew*D76,IF(I76="LeaseUp",TINew*D76,IF(I76="Option",TIRenewal*D76,0)))))+(IF(I76="Vacate",LCNew*H76*D76*(1+GrowthMarketRent)^0,IF(I76="Market",Retention*LCRenewal*H76*D76*(1+GrowthMarketRent)^0+(1-Retention)*LCNew*H76*D76*(1+GrowthMarketRent)^0,IF(I76="LeaseUp",LCNew*H76*D76*(1+GrowthMarketRent)^0,IF(I76="Option",LCRenewal*H76*D76*(1+GrowthMarketRent)^0,0))))),0))),0)</f>
        <v/>
      </c>
      <c r="Z76" s="14">
        <f>IFERROR(IF(AND(I76="LeaseUp",1=0),(IF(I76="Vacate",TINew*D76,IF(I76="Market",Retention*TIRenewal*D76+(1-Retention)*TINew*D76,IF(I76="LeaseUp",TINew*D76,IF(I76="Option",TIRenewal*D76,0)))))+(IF(I76="Vacate",LCNew*H76*D76*(1+GrowthMarketRent)^1,IF(I76="Market",Retention*LCRenewal*H76*D76*(1+GrowthMarketRent)^1+(1-Retention)*LCNew*H76*D76*(1+GrowthMarketRent)^1,IF(I76="LeaseUp",LCNew*H76*D76*(1+GrowthMarketRent)^1,IF(I76="Option",LCRenewal*H76*D76*(1+GrowthMarketRent)^1,0))))),IF(F76="",0,IF(AND(F76&gt;=DATE(2026+1,5,1),F76&lt;=DATE(2027+1,4,30)),(IF(I76="Vacate",TINew*D76,IF(I76="Market",Retention*TIRenewal*D76+(1-Retention)*TINew*D76,IF(I76="LeaseUp",TINew*D76,IF(I76="Option",TIRenewal*D76,0)))))+(IF(I76="Vacate",LCNew*H76*D76*(1+GrowthMarketRent)^1,IF(I76="Market",Retention*LCRenewal*H76*D76*(1+GrowthMarketRent)^1+(1-Retention)*LCNew*H76*D76*(1+GrowthMarketRent)^1,IF(I76="LeaseUp",LCNew*H76*D76*(1+GrowthMarketRent)^1,IF(I76="Option",LCRenewal*H76*D76*(1+GrowthMarketRent)^1,0))))),0))),0)</f>
        <v/>
      </c>
      <c r="AA76" s="14">
        <f>IFERROR(IF(AND(I76="LeaseUp",2=0),(IF(I76="Vacate",TINew*D76,IF(I76="Market",Retention*TIRenewal*D76+(1-Retention)*TINew*D76,IF(I76="LeaseUp",TINew*D76,IF(I76="Option",TIRenewal*D76,0)))))+(IF(I76="Vacate",LCNew*H76*D76*(1+GrowthMarketRent)^2,IF(I76="Market",Retention*LCRenewal*H76*D76*(1+GrowthMarketRent)^2+(1-Retention)*LCNew*H76*D76*(1+GrowthMarketRent)^2,IF(I76="LeaseUp",LCNew*H76*D76*(1+GrowthMarketRent)^2,IF(I76="Option",LCRenewal*H76*D76*(1+GrowthMarketRent)^2,0))))),IF(F76="",0,IF(AND(F76&gt;=DATE(2026+2,5,1),F76&lt;=DATE(2027+2,4,30)),(IF(I76="Vacate",TINew*D76,IF(I76="Market",Retention*TIRenewal*D76+(1-Retention)*TINew*D76,IF(I76="LeaseUp",TINew*D76,IF(I76="Option",TIRenewal*D76,0)))))+(IF(I76="Vacate",LCNew*H76*D76*(1+GrowthMarketRent)^2,IF(I76="Market",Retention*LCRenewal*H76*D76*(1+GrowthMarketRent)^2+(1-Retention)*LCNew*H76*D76*(1+GrowthMarketRent)^2,IF(I76="LeaseUp",LCNew*H76*D76*(1+GrowthMarketRent)^2,IF(I76="Option",LCRenewal*H76*D76*(1+GrowthMarketRent)^2,0))))),0))),0)</f>
        <v/>
      </c>
      <c r="AB76" s="14">
        <f>IFERROR(IF(AND(I76="LeaseUp",3=0),(IF(I76="Vacate",TINew*D76,IF(I76="Market",Retention*TIRenewal*D76+(1-Retention)*TINew*D76,IF(I76="LeaseUp",TINew*D76,IF(I76="Option",TIRenewal*D76,0)))))+(IF(I76="Vacate",LCNew*H76*D76*(1+GrowthMarketRent)^3,IF(I76="Market",Retention*LCRenewal*H76*D76*(1+GrowthMarketRent)^3+(1-Retention)*LCNew*H76*D76*(1+GrowthMarketRent)^3,IF(I76="LeaseUp",LCNew*H76*D76*(1+GrowthMarketRent)^3,IF(I76="Option",LCRenewal*H76*D76*(1+GrowthMarketRent)^3,0))))),IF(F76="",0,IF(AND(F76&gt;=DATE(2026+3,5,1),F76&lt;=DATE(2027+3,4,30)),(IF(I76="Vacate",TINew*D76,IF(I76="Market",Retention*TIRenewal*D76+(1-Retention)*TINew*D76,IF(I76="LeaseUp",TINew*D76,IF(I76="Option",TIRenewal*D76,0)))))+(IF(I76="Vacate",LCNew*H76*D76*(1+GrowthMarketRent)^3,IF(I76="Market",Retention*LCRenewal*H76*D76*(1+GrowthMarketRent)^3+(1-Retention)*LCNew*H76*D76*(1+GrowthMarketRent)^3,IF(I76="LeaseUp",LCNew*H76*D76*(1+GrowthMarketRent)^3,IF(I76="Option",LCRenewal*H76*D76*(1+GrowthMarketRent)^3,0))))),0))),0)</f>
        <v/>
      </c>
      <c r="AC76" s="14">
        <f>IFERROR(IF(AND(I76="LeaseUp",4=0),(IF(I76="Vacate",TINew*D76,IF(I76="Market",Retention*TIRenewal*D76+(1-Retention)*TINew*D76,IF(I76="LeaseUp",TINew*D76,IF(I76="Option",TIRenewal*D76,0)))))+(IF(I76="Vacate",LCNew*H76*D76*(1+GrowthMarketRent)^4,IF(I76="Market",Retention*LCRenewal*H76*D76*(1+GrowthMarketRent)^4+(1-Retention)*LCNew*H76*D76*(1+GrowthMarketRent)^4,IF(I76="LeaseUp",LCNew*H76*D76*(1+GrowthMarketRent)^4,IF(I76="Option",LCRenewal*H76*D76*(1+GrowthMarketRent)^4,0))))),IF(F76="",0,IF(AND(F76&gt;=DATE(2026+4,5,1),F76&lt;=DATE(2027+4,4,30)),(IF(I76="Vacate",TINew*D76,IF(I76="Market",Retention*TIRenewal*D76+(1-Retention)*TINew*D76,IF(I76="LeaseUp",TINew*D76,IF(I76="Option",TIRenewal*D76,0)))))+(IF(I76="Vacate",LCNew*H76*D76*(1+GrowthMarketRent)^4,IF(I76="Market",Retention*LCRenewal*H76*D76*(1+GrowthMarketRent)^4+(1-Retention)*LCNew*H76*D76*(1+GrowthMarketRent)^4,IF(I76="LeaseUp",LCNew*H76*D76*(1+GrowthMarketRent)^4,IF(I76="Option",LCRenewal*H76*D76*(1+GrowthMarketRent)^4,0))))),0))),0)</f>
        <v/>
      </c>
      <c r="AD76" s="14">
        <f>IFERROR(IF(AND(I76="LeaseUp",5=0),(IF(I76="Vacate",TINew*D76,IF(I76="Market",Retention*TIRenewal*D76+(1-Retention)*TINew*D76,IF(I76="LeaseUp",TINew*D76,IF(I76="Option",TIRenewal*D76,0)))))+(IF(I76="Vacate",LCNew*H76*D76*(1+GrowthMarketRent)^5,IF(I76="Market",Retention*LCRenewal*H76*D76*(1+GrowthMarketRent)^5+(1-Retention)*LCNew*H76*D76*(1+GrowthMarketRent)^5,IF(I76="LeaseUp",LCNew*H76*D76*(1+GrowthMarketRent)^5,IF(I76="Option",LCRenewal*H76*D76*(1+GrowthMarketRent)^5,0))))),IF(F76="",0,IF(AND(F76&gt;=DATE(2026+5,5,1),F76&lt;=DATE(2027+5,4,30)),(IF(I76="Vacate",TINew*D76,IF(I76="Market",Retention*TIRenewal*D76+(1-Retention)*TINew*D76,IF(I76="LeaseUp",TINew*D76,IF(I76="Option",TIRenewal*D76,0)))))+(IF(I76="Vacate",LCNew*H76*D76*(1+GrowthMarketRent)^5,IF(I76="Market",Retention*LCRenewal*H76*D76*(1+GrowthMarketRent)^5+(1-Retention)*LCNew*H76*D76*(1+GrowthMarketRent)^5,IF(I76="LeaseUp",LCNew*H76*D76*(1+GrowthMarketRent)^5,IF(I76="Option",LCRenewal*H76*D76*(1+GrowthMarketRent)^5,0))))),0))),0)</f>
        <v/>
      </c>
      <c r="AE76" s="14">
        <f>IFERROR(IF(AND(I76="LeaseUp",6=0),(IF(I76="Vacate",TINew*D76,IF(I76="Market",Retention*TIRenewal*D76+(1-Retention)*TINew*D76,IF(I76="LeaseUp",TINew*D76,IF(I76="Option",TIRenewal*D76,0)))))+(IF(I76="Vacate",LCNew*H76*D76*(1+GrowthMarketRent)^6,IF(I76="Market",Retention*LCRenewal*H76*D76*(1+GrowthMarketRent)^6+(1-Retention)*LCNew*H76*D76*(1+GrowthMarketRent)^6,IF(I76="LeaseUp",LCNew*H76*D76*(1+GrowthMarketRent)^6,IF(I76="Option",LCRenewal*H76*D76*(1+GrowthMarketRent)^6,0))))),IF(F76="",0,IF(AND(F76&gt;=DATE(2026+6,5,1),F76&lt;=DATE(2027+6,4,30)),(IF(I76="Vacate",TINew*D76,IF(I76="Market",Retention*TIRenewal*D76+(1-Retention)*TINew*D76,IF(I76="LeaseUp",TINew*D76,IF(I76="Option",TIRenewal*D76,0)))))+(IF(I76="Vacate",LCNew*H76*D76*(1+GrowthMarketRent)^6,IF(I76="Market",Retention*LCRenewal*H76*D76*(1+GrowthMarketRent)^6+(1-Retention)*LCNew*H76*D76*(1+GrowthMarketRent)^6,IF(I76="LeaseUp",LCNew*H76*D76*(1+GrowthMarketRent)^6,IF(I76="Option",LCRenewal*H76*D76*(1+GrowthMarketRent)^6,0))))),0))),0)</f>
        <v/>
      </c>
      <c r="AF76" s="14">
        <f>IFERROR(IF(AND(I76="LeaseUp",7=0),(IF(I76="Vacate",TINew*D76,IF(I76="Market",Retention*TIRenewal*D76+(1-Retention)*TINew*D76,IF(I76="LeaseUp",TINew*D76,IF(I76="Option",TIRenewal*D76,0)))))+(IF(I76="Vacate",LCNew*H76*D76*(1+GrowthMarketRent)^7,IF(I76="Market",Retention*LCRenewal*H76*D76*(1+GrowthMarketRent)^7+(1-Retention)*LCNew*H76*D76*(1+GrowthMarketRent)^7,IF(I76="LeaseUp",LCNew*H76*D76*(1+GrowthMarketRent)^7,IF(I76="Option",LCRenewal*H76*D76*(1+GrowthMarketRent)^7,0))))),IF(F76="",0,IF(AND(F76&gt;=DATE(2026+7,5,1),F76&lt;=DATE(2027+7,4,30)),(IF(I76="Vacate",TINew*D76,IF(I76="Market",Retention*TIRenewal*D76+(1-Retention)*TINew*D76,IF(I76="LeaseUp",TINew*D76,IF(I76="Option",TIRenewal*D76,0)))))+(IF(I76="Vacate",LCNew*H76*D76*(1+GrowthMarketRent)^7,IF(I76="Market",Retention*LCRenewal*H76*D76*(1+GrowthMarketRent)^7+(1-Retention)*LCNew*H76*D76*(1+GrowthMarketRent)^7,IF(I76="LeaseUp",LCNew*H76*D76*(1+GrowthMarketRent)^7,IF(I76="Option",LCRenewal*H76*D76*(1+GrowthMarketRent)^7,0))))),0))),0)</f>
        <v/>
      </c>
      <c r="AG76" s="14">
        <f>IFERROR(IF(AND(I76="LeaseUp",8=0),(IF(I76="Vacate",TINew*D76,IF(I76="Market",Retention*TIRenewal*D76+(1-Retention)*TINew*D76,IF(I76="LeaseUp",TINew*D76,IF(I76="Option",TIRenewal*D76,0)))))+(IF(I76="Vacate",LCNew*H76*D76*(1+GrowthMarketRent)^8,IF(I76="Market",Retention*LCRenewal*H76*D76*(1+GrowthMarketRent)^8+(1-Retention)*LCNew*H76*D76*(1+GrowthMarketRent)^8,IF(I76="LeaseUp",LCNew*H76*D76*(1+GrowthMarketRent)^8,IF(I76="Option",LCRenewal*H76*D76*(1+GrowthMarketRent)^8,0))))),IF(F76="",0,IF(AND(F76&gt;=DATE(2026+8,5,1),F76&lt;=DATE(2027+8,4,30)),(IF(I76="Vacate",TINew*D76,IF(I76="Market",Retention*TIRenewal*D76+(1-Retention)*TINew*D76,IF(I76="LeaseUp",TINew*D76,IF(I76="Option",TIRenewal*D76,0)))))+(IF(I76="Vacate",LCNew*H76*D76*(1+GrowthMarketRent)^8,IF(I76="Market",Retention*LCRenewal*H76*D76*(1+GrowthMarketRent)^8+(1-Retention)*LCNew*H76*D76*(1+GrowthMarketRent)^8,IF(I76="LeaseUp",LCNew*H76*D76*(1+GrowthMarketRent)^8,IF(I76="Option",LCRenewal*H76*D76*(1+GrowthMarketRent)^8,0))))),0))),0)</f>
        <v/>
      </c>
      <c r="AH76" s="14">
        <f>IFERROR(IF(AND(I76="LeaseUp",9=0),(IF(I76="Vacate",TINew*D76,IF(I76="Market",Retention*TIRenewal*D76+(1-Retention)*TINew*D76,IF(I76="LeaseUp",TINew*D76,IF(I76="Option",TIRenewal*D76,0)))))+(IF(I76="Vacate",LCNew*H76*D76*(1+GrowthMarketRent)^9,IF(I76="Market",Retention*LCRenewal*H76*D76*(1+GrowthMarketRent)^9+(1-Retention)*LCNew*H76*D76*(1+GrowthMarketRent)^9,IF(I76="LeaseUp",LCNew*H76*D76*(1+GrowthMarketRent)^9,IF(I76="Option",LCRenewal*H76*D76*(1+GrowthMarketRent)^9,0))))),IF(F76="",0,IF(AND(F76&gt;=DATE(2026+9,5,1),F76&lt;=DATE(2027+9,4,30)),(IF(I76="Vacate",TINew*D76,IF(I76="Market",Retention*TIRenewal*D76+(1-Retention)*TINew*D76,IF(I76="LeaseUp",TINew*D76,IF(I76="Option",TIRenewal*D76,0)))))+(IF(I76="Vacate",LCNew*H76*D76*(1+GrowthMarketRent)^9,IF(I76="Market",Retention*LCRenewal*H76*D76*(1+GrowthMarketRent)^9+(1-Retention)*LCNew*H76*D76*(1+GrowthMarketRent)^9,IF(I76="LeaseUp",LCNew*H76*D76*(1+GrowthMarketRent)^9,IF(I76="Option",LCRenewal*H76*D76*(1+GrowthMarketRent)^9,0))))),0))),0)</f>
        <v/>
      </c>
      <c r="AI76" s="14">
        <f>IFERROR(IF(AND(I76="LeaseUp",10=0),(IF(I76="Vacate",TINew*D76,IF(I76="Market",Retention*TIRenewal*D76+(1-Retention)*TINew*D76,IF(I76="LeaseUp",TINew*D76,IF(I76="Option",TIRenewal*D76,0)))))+(IF(I76="Vacate",LCNew*H76*D76*(1+GrowthMarketRent)^10,IF(I76="Market",Retention*LCRenewal*H76*D76*(1+GrowthMarketRent)^10+(1-Retention)*LCNew*H76*D76*(1+GrowthMarketRent)^10,IF(I76="LeaseUp",LCNew*H76*D76*(1+GrowthMarketRent)^10,IF(I76="Option",LCRenewal*H76*D76*(1+GrowthMarketRent)^10,0))))),IF(F76="",0,IF(AND(F76&gt;=DATE(2026+10,5,1),F76&lt;=DATE(2027+10,4,30)),(IF(I76="Vacate",TINew*D76,IF(I76="Market",Retention*TIRenewal*D76+(1-Retention)*TINew*D76,IF(I76="LeaseUp",TINew*D76,IF(I76="Option",TIRenewal*D76,0)))))+(IF(I76="Vacate",LCNew*H76*D76*(1+GrowthMarketRent)^10,IF(I76="Market",Retention*LCRenewal*H76*D76*(1+GrowthMarketRent)^10+(1-Retention)*LCNew*H76*D76*(1+GrowthMarketRent)^10,IF(I76="LeaseUp",LCNew*H76*D76*(1+GrowthMarketRent)^10,IF(I76="Option",LCRenewal*H76*D76*(1+GrowthMarketRent)^10,0))))),0))),0)</f>
        <v/>
      </c>
    </row>
    <row r="77">
      <c r="A77" t="inlineStr">
        <is>
          <t>Mesquite</t>
        </is>
      </c>
      <c r="B77" t="inlineStr">
        <is>
          <t>109</t>
        </is>
      </c>
      <c r="C77" t="inlineStr">
        <is>
          <t>Bryan Long Flowers LLC</t>
        </is>
      </c>
      <c r="D77" s="32" t="n">
        <v>2600</v>
      </c>
      <c r="E77" s="33" t="n">
        <v>44805</v>
      </c>
      <c r="F77" s="33" t="n">
        <v>46419</v>
      </c>
      <c r="G77" s="34" t="n">
        <v>14.6253846153846</v>
      </c>
      <c r="H77" s="16">
        <f>VLOOKUP(A77,MLA!$A$5:$L$11,3,FALSE)</f>
        <v/>
      </c>
      <c r="I77" s="11" t="inlineStr">
        <is>
          <t>Option</t>
        </is>
      </c>
      <c r="J77" t="inlineStr">
        <is>
          <t>Shop</t>
        </is>
      </c>
      <c r="K77" t="inlineStr">
        <is>
          <t>Occupied</t>
        </is>
      </c>
      <c r="L77" t="inlineStr">
        <is>
          <t>Shop; Guarantor: Bryan Long; 3yr option @ 102.5% with 2.5% annual increases</t>
        </is>
      </c>
      <c r="M77" s="20">
        <f>IF(E77="",0,(AnalysisStart-E77)/365.25)</f>
        <v/>
      </c>
      <c r="N77" s="14">
        <f>IFERROR(IF(I77="LeaseUp",H77*D77*(1+GrowthMarketRent)^0*IF(0=0,(12-DowntimeNew)/12,1),IF(F77="",0,IF(F77&gt;=DATE(2027+0,4,30),G77*D77*(1+EscalatorInLease)^(0+M77),IF(F77&lt;DATE(2026+0,5,1),IF(I77="Vacate",H77*D77*(1+GrowthMarketRent)^0*IF(INT((DATE(2026+0,10,31)-F77)/365.25)=0,(12-DowntimeNew)/12,1),IF(I77="Option",G77*D77*1.025*(1+EscalatorInLease)^0,IF(I77="Market",Retention*G77*D77*(1+EscalatorInLease)^(0+M77)+(1-Retention)*H77*D77*(1+GrowthMarketRent)^0*IF(INT((DATE(2026+0,10,31)-F77)/365.25)=0,(12-DowntimeNew)/12,1),IF(I77="LeaseUp",H77*D77*(1+GrowthMarketRent)^0*IF(0=0,(12-DowntimeNew)/12,1),0)))),((F77-DATE(2026+0,5,1))/365.25)*G77*D77*(1+EscalatorInLease)^(0+M77)+((DATE(2027+0,4,30)-F77)/365.25)*IF(I77="Vacate",H77*D77*(1+GrowthMarketRent)^0*IF(INT((DATE(2026+0,10,31)-F77)/365.25)=0,(12-DowntimeNew)/12,1),IF(I77="Option",G77*D77*1.025*(1+EscalatorInLease)^0,IF(I77="Market",Retention*G77*D77*(1+EscalatorInLease)^(0+M77)+(1-Retention)*H77*D77*(1+GrowthMarketRent)^0*IF(INT((DATE(2026+0,10,31)-F77)/365.25)=0,(12-DowntimeNew)/12,1),IF(I77="LeaseUp",H77*D77*(1+GrowthMarketRent)^0*IF(0=0,(12-DowntimeNew)/12,1),0)))))))),0)</f>
        <v/>
      </c>
      <c r="O77" s="14">
        <f>IFERROR(IF(I77="LeaseUp",H77*D77*(1+GrowthMarketRent)^1*IF(1=0,(12-DowntimeNew)/12,1),IF(F77="",0,IF(F77&gt;=DATE(2027+1,4,30),G77*D77*(1+EscalatorInLease)^(1+M77),IF(F77&lt;DATE(2026+1,5,1),IF(I77="Vacate",H77*D77*(1+GrowthMarketRent)^1*IF(INT((DATE(2026+1,10,31)-F77)/365.25)=0,(12-DowntimeNew)/12,1),IF(I77="Option",G77*D77*1.025*(1+EscalatorInLease)^1,IF(I77="Market",Retention*G77*D77*(1+EscalatorInLease)^(1+M77)+(1-Retention)*H77*D77*(1+GrowthMarketRent)^1*IF(INT((DATE(2026+1,10,31)-F77)/365.25)=0,(12-DowntimeNew)/12,1),IF(I77="LeaseUp",H77*D77*(1+GrowthMarketRent)^1*IF(1=0,(12-DowntimeNew)/12,1),0)))),((F77-DATE(2026+1,5,1))/365.25)*G77*D77*(1+EscalatorInLease)^(1+M77)+((DATE(2027+1,4,30)-F77)/365.25)*IF(I77="Vacate",H77*D77*(1+GrowthMarketRent)^1*IF(INT((DATE(2026+1,10,31)-F77)/365.25)=0,(12-DowntimeNew)/12,1),IF(I77="Option",G77*D77*1.025*(1+EscalatorInLease)^1,IF(I77="Market",Retention*G77*D77*(1+EscalatorInLease)^(1+M77)+(1-Retention)*H77*D77*(1+GrowthMarketRent)^1*IF(INT((DATE(2026+1,10,31)-F77)/365.25)=0,(12-DowntimeNew)/12,1),IF(I77="LeaseUp",H77*D77*(1+GrowthMarketRent)^1*IF(1=0,(12-DowntimeNew)/12,1),0)))))))),0)</f>
        <v/>
      </c>
      <c r="P77" s="14">
        <f>IFERROR(IF(I77="LeaseUp",H77*D77*(1+GrowthMarketRent)^2*IF(2=0,(12-DowntimeNew)/12,1),IF(F77="",0,IF(F77&gt;=DATE(2027+2,4,30),G77*D77*(1+EscalatorInLease)^(2+M77),IF(F77&lt;DATE(2026+2,5,1),IF(I77="Vacate",H77*D77*(1+GrowthMarketRent)^2*IF(INT((DATE(2026+2,10,31)-F77)/365.25)=0,(12-DowntimeNew)/12,1),IF(I77="Option",G77*D77*1.025*(1+EscalatorInLease)^2,IF(I77="Market",Retention*G77*D77*(1+EscalatorInLease)^(2+M77)+(1-Retention)*H77*D77*(1+GrowthMarketRent)^2*IF(INT((DATE(2026+2,10,31)-F77)/365.25)=0,(12-DowntimeNew)/12,1),IF(I77="LeaseUp",H77*D77*(1+GrowthMarketRent)^2*IF(2=0,(12-DowntimeNew)/12,1),0)))),((F77-DATE(2026+2,5,1))/365.25)*G77*D77*(1+EscalatorInLease)^(2+M77)+((DATE(2027+2,4,30)-F77)/365.25)*IF(I77="Vacate",H77*D77*(1+GrowthMarketRent)^2*IF(INT((DATE(2026+2,10,31)-F77)/365.25)=0,(12-DowntimeNew)/12,1),IF(I77="Option",G77*D77*1.025*(1+EscalatorInLease)^2,IF(I77="Market",Retention*G77*D77*(1+EscalatorInLease)^(2+M77)+(1-Retention)*H77*D77*(1+GrowthMarketRent)^2*IF(INT((DATE(2026+2,10,31)-F77)/365.25)=0,(12-DowntimeNew)/12,1),IF(I77="LeaseUp",H77*D77*(1+GrowthMarketRent)^2*IF(2=0,(12-DowntimeNew)/12,1),0)))))))),0)</f>
        <v/>
      </c>
      <c r="Q77" s="14">
        <f>IFERROR(IF(I77="LeaseUp",H77*D77*(1+GrowthMarketRent)^3*IF(3=0,(12-DowntimeNew)/12,1),IF(F77="",0,IF(F77&gt;=DATE(2027+3,4,30),G77*D77*(1+EscalatorInLease)^(3+M77),IF(F77&lt;DATE(2026+3,5,1),IF(I77="Vacate",H77*D77*(1+GrowthMarketRent)^3*IF(INT((DATE(2026+3,10,31)-F77)/365.25)=0,(12-DowntimeNew)/12,1),IF(I77="Option",G77*D77*1.025*(1+EscalatorInLease)^3,IF(I77="Market",Retention*G77*D77*(1+EscalatorInLease)^(3+M77)+(1-Retention)*H77*D77*(1+GrowthMarketRent)^3*IF(INT((DATE(2026+3,10,31)-F77)/365.25)=0,(12-DowntimeNew)/12,1),IF(I77="LeaseUp",H77*D77*(1+GrowthMarketRent)^3*IF(3=0,(12-DowntimeNew)/12,1),0)))),((F77-DATE(2026+3,5,1))/365.25)*G77*D77*(1+EscalatorInLease)^(3+M77)+((DATE(2027+3,4,30)-F77)/365.25)*IF(I77="Vacate",H77*D77*(1+GrowthMarketRent)^3*IF(INT((DATE(2026+3,10,31)-F77)/365.25)=0,(12-DowntimeNew)/12,1),IF(I77="Option",G77*D77*1.025*(1+EscalatorInLease)^3,IF(I77="Market",Retention*G77*D77*(1+EscalatorInLease)^(3+M77)+(1-Retention)*H77*D77*(1+GrowthMarketRent)^3*IF(INT((DATE(2026+3,10,31)-F77)/365.25)=0,(12-DowntimeNew)/12,1),IF(I77="LeaseUp",H77*D77*(1+GrowthMarketRent)^3*IF(3=0,(12-DowntimeNew)/12,1),0)))))))),0)</f>
        <v/>
      </c>
      <c r="R77" s="14">
        <f>IFERROR(IF(I77="LeaseUp",H77*D77*(1+GrowthMarketRent)^4*IF(4=0,(12-DowntimeNew)/12,1),IF(F77="",0,IF(F77&gt;=DATE(2027+4,4,30),G77*D77*(1+EscalatorInLease)^(4+M77),IF(F77&lt;DATE(2026+4,5,1),IF(I77="Vacate",H77*D77*(1+GrowthMarketRent)^4*IF(INT((DATE(2026+4,10,31)-F77)/365.25)=0,(12-DowntimeNew)/12,1),IF(I77="Option",G77*D77*1.025*(1+EscalatorInLease)^4,IF(I77="Market",Retention*G77*D77*(1+EscalatorInLease)^(4+M77)+(1-Retention)*H77*D77*(1+GrowthMarketRent)^4*IF(INT((DATE(2026+4,10,31)-F77)/365.25)=0,(12-DowntimeNew)/12,1),IF(I77="LeaseUp",H77*D77*(1+GrowthMarketRent)^4*IF(4=0,(12-DowntimeNew)/12,1),0)))),((F77-DATE(2026+4,5,1))/365.25)*G77*D77*(1+EscalatorInLease)^(4+M77)+((DATE(2027+4,4,30)-F77)/365.25)*IF(I77="Vacate",H77*D77*(1+GrowthMarketRent)^4*IF(INT((DATE(2026+4,10,31)-F77)/365.25)=0,(12-DowntimeNew)/12,1),IF(I77="Option",G77*D77*1.025*(1+EscalatorInLease)^4,IF(I77="Market",Retention*G77*D77*(1+EscalatorInLease)^(4+M77)+(1-Retention)*H77*D77*(1+GrowthMarketRent)^4*IF(INT((DATE(2026+4,10,31)-F77)/365.25)=0,(12-DowntimeNew)/12,1),IF(I77="LeaseUp",H77*D77*(1+GrowthMarketRent)^4*IF(4=0,(12-DowntimeNew)/12,1),0)))))))),0)</f>
        <v/>
      </c>
      <c r="S77" s="14">
        <f>IFERROR(IF(I77="LeaseUp",H77*D77*(1+GrowthMarketRent)^5*IF(5=0,(12-DowntimeNew)/12,1),IF(F77="",0,IF(F77&gt;=DATE(2027+5,4,30),G77*D77*(1+EscalatorInLease)^(5+M77),IF(F77&lt;DATE(2026+5,5,1),IF(I77="Vacate",H77*D77*(1+GrowthMarketRent)^5*IF(INT((DATE(2026+5,10,31)-F77)/365.25)=0,(12-DowntimeNew)/12,1),IF(I77="Option",G77*D77*1.025*(1+EscalatorInLease)^5,IF(I77="Market",Retention*G77*D77*(1+EscalatorInLease)^(5+M77)+(1-Retention)*H77*D77*(1+GrowthMarketRent)^5*IF(INT((DATE(2026+5,10,31)-F77)/365.25)=0,(12-DowntimeNew)/12,1),IF(I77="LeaseUp",H77*D77*(1+GrowthMarketRent)^5*IF(5=0,(12-DowntimeNew)/12,1),0)))),((F77-DATE(2026+5,5,1))/365.25)*G77*D77*(1+EscalatorInLease)^(5+M77)+((DATE(2027+5,4,30)-F77)/365.25)*IF(I77="Vacate",H77*D77*(1+GrowthMarketRent)^5*IF(INT((DATE(2026+5,10,31)-F77)/365.25)=0,(12-DowntimeNew)/12,1),IF(I77="Option",G77*D77*1.025*(1+EscalatorInLease)^5,IF(I77="Market",Retention*G77*D77*(1+EscalatorInLease)^(5+M77)+(1-Retention)*H77*D77*(1+GrowthMarketRent)^5*IF(INT((DATE(2026+5,10,31)-F77)/365.25)=0,(12-DowntimeNew)/12,1),IF(I77="LeaseUp",H77*D77*(1+GrowthMarketRent)^5*IF(5=0,(12-DowntimeNew)/12,1),0)))))))),0)</f>
        <v/>
      </c>
      <c r="T77" s="14">
        <f>IFERROR(IF(I77="LeaseUp",H77*D77*(1+GrowthMarketRent)^6*IF(6=0,(12-DowntimeNew)/12,1),IF(F77="",0,IF(F77&gt;=DATE(2027+6,4,30),G77*D77*(1+EscalatorInLease)^(6+M77),IF(F77&lt;DATE(2026+6,5,1),IF(I77="Vacate",H77*D77*(1+GrowthMarketRent)^6*IF(INT((DATE(2026+6,10,31)-F77)/365.25)=0,(12-DowntimeNew)/12,1),IF(I77="Option",G77*D77*1.025*(1+EscalatorInLease)^6,IF(I77="Market",Retention*G77*D77*(1+EscalatorInLease)^(6+M77)+(1-Retention)*H77*D77*(1+GrowthMarketRent)^6*IF(INT((DATE(2026+6,10,31)-F77)/365.25)=0,(12-DowntimeNew)/12,1),IF(I77="LeaseUp",H77*D77*(1+GrowthMarketRent)^6*IF(6=0,(12-DowntimeNew)/12,1),0)))),((F77-DATE(2026+6,5,1))/365.25)*G77*D77*(1+EscalatorInLease)^(6+M77)+((DATE(2027+6,4,30)-F77)/365.25)*IF(I77="Vacate",H77*D77*(1+GrowthMarketRent)^6*IF(INT((DATE(2026+6,10,31)-F77)/365.25)=0,(12-DowntimeNew)/12,1),IF(I77="Option",G77*D77*1.025*(1+EscalatorInLease)^6,IF(I77="Market",Retention*G77*D77*(1+EscalatorInLease)^(6+M77)+(1-Retention)*H77*D77*(1+GrowthMarketRent)^6*IF(INT((DATE(2026+6,10,31)-F77)/365.25)=0,(12-DowntimeNew)/12,1),IF(I77="LeaseUp",H77*D77*(1+GrowthMarketRent)^6*IF(6=0,(12-DowntimeNew)/12,1),0)))))))),0)</f>
        <v/>
      </c>
      <c r="U77" s="14">
        <f>IFERROR(IF(I77="LeaseUp",H77*D77*(1+GrowthMarketRent)^7*IF(7=0,(12-DowntimeNew)/12,1),IF(F77="",0,IF(F77&gt;=DATE(2027+7,4,30),G77*D77*(1+EscalatorInLease)^(7+M77),IF(F77&lt;DATE(2026+7,5,1),IF(I77="Vacate",H77*D77*(1+GrowthMarketRent)^7*IF(INT((DATE(2026+7,10,31)-F77)/365.25)=0,(12-DowntimeNew)/12,1),IF(I77="Option",G77*D77*1.025*(1+EscalatorInLease)^7,IF(I77="Market",Retention*G77*D77*(1+EscalatorInLease)^(7+M77)+(1-Retention)*H77*D77*(1+GrowthMarketRent)^7*IF(INT((DATE(2026+7,10,31)-F77)/365.25)=0,(12-DowntimeNew)/12,1),IF(I77="LeaseUp",H77*D77*(1+GrowthMarketRent)^7*IF(7=0,(12-DowntimeNew)/12,1),0)))),((F77-DATE(2026+7,5,1))/365.25)*G77*D77*(1+EscalatorInLease)^(7+M77)+((DATE(2027+7,4,30)-F77)/365.25)*IF(I77="Vacate",H77*D77*(1+GrowthMarketRent)^7*IF(INT((DATE(2026+7,10,31)-F77)/365.25)=0,(12-DowntimeNew)/12,1),IF(I77="Option",G77*D77*1.025*(1+EscalatorInLease)^7,IF(I77="Market",Retention*G77*D77*(1+EscalatorInLease)^(7+M77)+(1-Retention)*H77*D77*(1+GrowthMarketRent)^7*IF(INT((DATE(2026+7,10,31)-F77)/365.25)=0,(12-DowntimeNew)/12,1),IF(I77="LeaseUp",H77*D77*(1+GrowthMarketRent)^7*IF(7=0,(12-DowntimeNew)/12,1),0)))))))),0)</f>
        <v/>
      </c>
      <c r="V77" s="14">
        <f>IFERROR(IF(I77="LeaseUp",H77*D77*(1+GrowthMarketRent)^8*IF(8=0,(12-DowntimeNew)/12,1),IF(F77="",0,IF(F77&gt;=DATE(2027+8,4,30),G77*D77*(1+EscalatorInLease)^(8+M77),IF(F77&lt;DATE(2026+8,5,1),IF(I77="Vacate",H77*D77*(1+GrowthMarketRent)^8*IF(INT((DATE(2026+8,10,31)-F77)/365.25)=0,(12-DowntimeNew)/12,1),IF(I77="Option",G77*D77*1.025*(1+EscalatorInLease)^8,IF(I77="Market",Retention*G77*D77*(1+EscalatorInLease)^(8+M77)+(1-Retention)*H77*D77*(1+GrowthMarketRent)^8*IF(INT((DATE(2026+8,10,31)-F77)/365.25)=0,(12-DowntimeNew)/12,1),IF(I77="LeaseUp",H77*D77*(1+GrowthMarketRent)^8*IF(8=0,(12-DowntimeNew)/12,1),0)))),((F77-DATE(2026+8,5,1))/365.25)*G77*D77*(1+EscalatorInLease)^(8+M77)+((DATE(2027+8,4,30)-F77)/365.25)*IF(I77="Vacate",H77*D77*(1+GrowthMarketRent)^8*IF(INT((DATE(2026+8,10,31)-F77)/365.25)=0,(12-DowntimeNew)/12,1),IF(I77="Option",G77*D77*1.025*(1+EscalatorInLease)^8,IF(I77="Market",Retention*G77*D77*(1+EscalatorInLease)^(8+M77)+(1-Retention)*H77*D77*(1+GrowthMarketRent)^8*IF(INT((DATE(2026+8,10,31)-F77)/365.25)=0,(12-DowntimeNew)/12,1),IF(I77="LeaseUp",H77*D77*(1+GrowthMarketRent)^8*IF(8=0,(12-DowntimeNew)/12,1),0)))))))),0)</f>
        <v/>
      </c>
      <c r="W77" s="14">
        <f>IFERROR(IF(I77="LeaseUp",H77*D77*(1+GrowthMarketRent)^9*IF(9=0,(12-DowntimeNew)/12,1),IF(F77="",0,IF(F77&gt;=DATE(2027+9,4,30),G77*D77*(1+EscalatorInLease)^(9+M77),IF(F77&lt;DATE(2026+9,5,1),IF(I77="Vacate",H77*D77*(1+GrowthMarketRent)^9*IF(INT((DATE(2026+9,10,31)-F77)/365.25)=0,(12-DowntimeNew)/12,1),IF(I77="Option",G77*D77*1.025*(1+EscalatorInLease)^9,IF(I77="Market",Retention*G77*D77*(1+EscalatorInLease)^(9+M77)+(1-Retention)*H77*D77*(1+GrowthMarketRent)^9*IF(INT((DATE(2026+9,10,31)-F77)/365.25)=0,(12-DowntimeNew)/12,1),IF(I77="LeaseUp",H77*D77*(1+GrowthMarketRent)^9*IF(9=0,(12-DowntimeNew)/12,1),0)))),((F77-DATE(2026+9,5,1))/365.25)*G77*D77*(1+EscalatorInLease)^(9+M77)+((DATE(2027+9,4,30)-F77)/365.25)*IF(I77="Vacate",H77*D77*(1+GrowthMarketRent)^9*IF(INT((DATE(2026+9,10,31)-F77)/365.25)=0,(12-DowntimeNew)/12,1),IF(I77="Option",G77*D77*1.025*(1+EscalatorInLease)^9,IF(I77="Market",Retention*G77*D77*(1+EscalatorInLease)^(9+M77)+(1-Retention)*H77*D77*(1+GrowthMarketRent)^9*IF(INT((DATE(2026+9,10,31)-F77)/365.25)=0,(12-DowntimeNew)/12,1),IF(I77="LeaseUp",H77*D77*(1+GrowthMarketRent)^9*IF(9=0,(12-DowntimeNew)/12,1),0)))))))),0)</f>
        <v/>
      </c>
      <c r="X77" s="14">
        <f>IFERROR(IF(I77="LeaseUp",H77*D77*(1+GrowthMarketRent)^10*IF(10=0,(12-DowntimeNew)/12,1),IF(F77="",0,IF(F77&gt;=DATE(2027+10,4,30),G77*D77*(1+EscalatorInLease)^(10+M77),IF(F77&lt;DATE(2026+10,5,1),IF(I77="Vacate",H77*D77*(1+GrowthMarketRent)^10*IF(INT((DATE(2026+10,10,31)-F77)/365.25)=0,(12-DowntimeNew)/12,1),IF(I77="Option",G77*D77*1.025*(1+EscalatorInLease)^10,IF(I77="Market",Retention*G77*D77*(1+EscalatorInLease)^(10+M77)+(1-Retention)*H77*D77*(1+GrowthMarketRent)^10*IF(INT((DATE(2026+10,10,31)-F77)/365.25)=0,(12-DowntimeNew)/12,1),IF(I77="LeaseUp",H77*D77*(1+GrowthMarketRent)^10*IF(10=0,(12-DowntimeNew)/12,1),0)))),((F77-DATE(2026+10,5,1))/365.25)*G77*D77*(1+EscalatorInLease)^(10+M77)+((DATE(2027+10,4,30)-F77)/365.25)*IF(I77="Vacate",H77*D77*(1+GrowthMarketRent)^10*IF(INT((DATE(2026+10,10,31)-F77)/365.25)=0,(12-DowntimeNew)/12,1),IF(I77="Option",G77*D77*1.025*(1+EscalatorInLease)^10,IF(I77="Market",Retention*G77*D77*(1+EscalatorInLease)^(10+M77)+(1-Retention)*H77*D77*(1+GrowthMarketRent)^10*IF(INT((DATE(2026+10,10,31)-F77)/365.25)=0,(12-DowntimeNew)/12,1),IF(I77="LeaseUp",H77*D77*(1+GrowthMarketRent)^10*IF(10=0,(12-DowntimeNew)/12,1),0)))))))),0)</f>
        <v/>
      </c>
      <c r="Y77" s="14">
        <f>IFERROR(IF(AND(I77="LeaseUp",0=0),(IF(I77="Vacate",TINew*D77,IF(I77="Market",Retention*TIRenewal*D77+(1-Retention)*TINew*D77,IF(I77="LeaseUp",TINew*D77,IF(I77="Option",TIRenewal*D77,0)))))+(IF(I77="Vacate",LCNew*H77*D77*(1+GrowthMarketRent)^0,IF(I77="Market",Retention*LCRenewal*H77*D77*(1+GrowthMarketRent)^0+(1-Retention)*LCNew*H77*D77*(1+GrowthMarketRent)^0,IF(I77="LeaseUp",LCNew*H77*D77*(1+GrowthMarketRent)^0,IF(I77="Option",LCRenewal*H77*D77*(1+GrowthMarketRent)^0,0))))),IF(F77="",0,IF(AND(F77&gt;=DATE(2026+0,5,1),F77&lt;=DATE(2027+0,4,30)),(IF(I77="Vacate",TINew*D77,IF(I77="Market",Retention*TIRenewal*D77+(1-Retention)*TINew*D77,IF(I77="LeaseUp",TINew*D77,IF(I77="Option",TIRenewal*D77,0)))))+(IF(I77="Vacate",LCNew*H77*D77*(1+GrowthMarketRent)^0,IF(I77="Market",Retention*LCRenewal*H77*D77*(1+GrowthMarketRent)^0+(1-Retention)*LCNew*H77*D77*(1+GrowthMarketRent)^0,IF(I77="LeaseUp",LCNew*H77*D77*(1+GrowthMarketRent)^0,IF(I77="Option",LCRenewal*H77*D77*(1+GrowthMarketRent)^0,0))))),0))),0)</f>
        <v/>
      </c>
      <c r="Z77" s="14">
        <f>IFERROR(IF(AND(I77="LeaseUp",1=0),(IF(I77="Vacate",TINew*D77,IF(I77="Market",Retention*TIRenewal*D77+(1-Retention)*TINew*D77,IF(I77="LeaseUp",TINew*D77,IF(I77="Option",TIRenewal*D77,0)))))+(IF(I77="Vacate",LCNew*H77*D77*(1+GrowthMarketRent)^1,IF(I77="Market",Retention*LCRenewal*H77*D77*(1+GrowthMarketRent)^1+(1-Retention)*LCNew*H77*D77*(1+GrowthMarketRent)^1,IF(I77="LeaseUp",LCNew*H77*D77*(1+GrowthMarketRent)^1,IF(I77="Option",LCRenewal*H77*D77*(1+GrowthMarketRent)^1,0))))),IF(F77="",0,IF(AND(F77&gt;=DATE(2026+1,5,1),F77&lt;=DATE(2027+1,4,30)),(IF(I77="Vacate",TINew*D77,IF(I77="Market",Retention*TIRenewal*D77+(1-Retention)*TINew*D77,IF(I77="LeaseUp",TINew*D77,IF(I77="Option",TIRenewal*D77,0)))))+(IF(I77="Vacate",LCNew*H77*D77*(1+GrowthMarketRent)^1,IF(I77="Market",Retention*LCRenewal*H77*D77*(1+GrowthMarketRent)^1+(1-Retention)*LCNew*H77*D77*(1+GrowthMarketRent)^1,IF(I77="LeaseUp",LCNew*H77*D77*(1+GrowthMarketRent)^1,IF(I77="Option",LCRenewal*H77*D77*(1+GrowthMarketRent)^1,0))))),0))),0)</f>
        <v/>
      </c>
      <c r="AA77" s="14">
        <f>IFERROR(IF(AND(I77="LeaseUp",2=0),(IF(I77="Vacate",TINew*D77,IF(I77="Market",Retention*TIRenewal*D77+(1-Retention)*TINew*D77,IF(I77="LeaseUp",TINew*D77,IF(I77="Option",TIRenewal*D77,0)))))+(IF(I77="Vacate",LCNew*H77*D77*(1+GrowthMarketRent)^2,IF(I77="Market",Retention*LCRenewal*H77*D77*(1+GrowthMarketRent)^2+(1-Retention)*LCNew*H77*D77*(1+GrowthMarketRent)^2,IF(I77="LeaseUp",LCNew*H77*D77*(1+GrowthMarketRent)^2,IF(I77="Option",LCRenewal*H77*D77*(1+GrowthMarketRent)^2,0))))),IF(F77="",0,IF(AND(F77&gt;=DATE(2026+2,5,1),F77&lt;=DATE(2027+2,4,30)),(IF(I77="Vacate",TINew*D77,IF(I77="Market",Retention*TIRenewal*D77+(1-Retention)*TINew*D77,IF(I77="LeaseUp",TINew*D77,IF(I77="Option",TIRenewal*D77,0)))))+(IF(I77="Vacate",LCNew*H77*D77*(1+GrowthMarketRent)^2,IF(I77="Market",Retention*LCRenewal*H77*D77*(1+GrowthMarketRent)^2+(1-Retention)*LCNew*H77*D77*(1+GrowthMarketRent)^2,IF(I77="LeaseUp",LCNew*H77*D77*(1+GrowthMarketRent)^2,IF(I77="Option",LCRenewal*H77*D77*(1+GrowthMarketRent)^2,0))))),0))),0)</f>
        <v/>
      </c>
      <c r="AB77" s="14">
        <f>IFERROR(IF(AND(I77="LeaseUp",3=0),(IF(I77="Vacate",TINew*D77,IF(I77="Market",Retention*TIRenewal*D77+(1-Retention)*TINew*D77,IF(I77="LeaseUp",TINew*D77,IF(I77="Option",TIRenewal*D77,0)))))+(IF(I77="Vacate",LCNew*H77*D77*(1+GrowthMarketRent)^3,IF(I77="Market",Retention*LCRenewal*H77*D77*(1+GrowthMarketRent)^3+(1-Retention)*LCNew*H77*D77*(1+GrowthMarketRent)^3,IF(I77="LeaseUp",LCNew*H77*D77*(1+GrowthMarketRent)^3,IF(I77="Option",LCRenewal*H77*D77*(1+GrowthMarketRent)^3,0))))),IF(F77="",0,IF(AND(F77&gt;=DATE(2026+3,5,1),F77&lt;=DATE(2027+3,4,30)),(IF(I77="Vacate",TINew*D77,IF(I77="Market",Retention*TIRenewal*D77+(1-Retention)*TINew*D77,IF(I77="LeaseUp",TINew*D77,IF(I77="Option",TIRenewal*D77,0)))))+(IF(I77="Vacate",LCNew*H77*D77*(1+GrowthMarketRent)^3,IF(I77="Market",Retention*LCRenewal*H77*D77*(1+GrowthMarketRent)^3+(1-Retention)*LCNew*H77*D77*(1+GrowthMarketRent)^3,IF(I77="LeaseUp",LCNew*H77*D77*(1+GrowthMarketRent)^3,IF(I77="Option",LCRenewal*H77*D77*(1+GrowthMarketRent)^3,0))))),0))),0)</f>
        <v/>
      </c>
      <c r="AC77" s="14">
        <f>IFERROR(IF(AND(I77="LeaseUp",4=0),(IF(I77="Vacate",TINew*D77,IF(I77="Market",Retention*TIRenewal*D77+(1-Retention)*TINew*D77,IF(I77="LeaseUp",TINew*D77,IF(I77="Option",TIRenewal*D77,0)))))+(IF(I77="Vacate",LCNew*H77*D77*(1+GrowthMarketRent)^4,IF(I77="Market",Retention*LCRenewal*H77*D77*(1+GrowthMarketRent)^4+(1-Retention)*LCNew*H77*D77*(1+GrowthMarketRent)^4,IF(I77="LeaseUp",LCNew*H77*D77*(1+GrowthMarketRent)^4,IF(I77="Option",LCRenewal*H77*D77*(1+GrowthMarketRent)^4,0))))),IF(F77="",0,IF(AND(F77&gt;=DATE(2026+4,5,1),F77&lt;=DATE(2027+4,4,30)),(IF(I77="Vacate",TINew*D77,IF(I77="Market",Retention*TIRenewal*D77+(1-Retention)*TINew*D77,IF(I77="LeaseUp",TINew*D77,IF(I77="Option",TIRenewal*D77,0)))))+(IF(I77="Vacate",LCNew*H77*D77*(1+GrowthMarketRent)^4,IF(I77="Market",Retention*LCRenewal*H77*D77*(1+GrowthMarketRent)^4+(1-Retention)*LCNew*H77*D77*(1+GrowthMarketRent)^4,IF(I77="LeaseUp",LCNew*H77*D77*(1+GrowthMarketRent)^4,IF(I77="Option",LCRenewal*H77*D77*(1+GrowthMarketRent)^4,0))))),0))),0)</f>
        <v/>
      </c>
      <c r="AD77" s="14">
        <f>IFERROR(IF(AND(I77="LeaseUp",5=0),(IF(I77="Vacate",TINew*D77,IF(I77="Market",Retention*TIRenewal*D77+(1-Retention)*TINew*D77,IF(I77="LeaseUp",TINew*D77,IF(I77="Option",TIRenewal*D77,0)))))+(IF(I77="Vacate",LCNew*H77*D77*(1+GrowthMarketRent)^5,IF(I77="Market",Retention*LCRenewal*H77*D77*(1+GrowthMarketRent)^5+(1-Retention)*LCNew*H77*D77*(1+GrowthMarketRent)^5,IF(I77="LeaseUp",LCNew*H77*D77*(1+GrowthMarketRent)^5,IF(I77="Option",LCRenewal*H77*D77*(1+GrowthMarketRent)^5,0))))),IF(F77="",0,IF(AND(F77&gt;=DATE(2026+5,5,1),F77&lt;=DATE(2027+5,4,30)),(IF(I77="Vacate",TINew*D77,IF(I77="Market",Retention*TIRenewal*D77+(1-Retention)*TINew*D77,IF(I77="LeaseUp",TINew*D77,IF(I77="Option",TIRenewal*D77,0)))))+(IF(I77="Vacate",LCNew*H77*D77*(1+GrowthMarketRent)^5,IF(I77="Market",Retention*LCRenewal*H77*D77*(1+GrowthMarketRent)^5+(1-Retention)*LCNew*H77*D77*(1+GrowthMarketRent)^5,IF(I77="LeaseUp",LCNew*H77*D77*(1+GrowthMarketRent)^5,IF(I77="Option",LCRenewal*H77*D77*(1+GrowthMarketRent)^5,0))))),0))),0)</f>
        <v/>
      </c>
      <c r="AE77" s="14">
        <f>IFERROR(IF(AND(I77="LeaseUp",6=0),(IF(I77="Vacate",TINew*D77,IF(I77="Market",Retention*TIRenewal*D77+(1-Retention)*TINew*D77,IF(I77="LeaseUp",TINew*D77,IF(I77="Option",TIRenewal*D77,0)))))+(IF(I77="Vacate",LCNew*H77*D77*(1+GrowthMarketRent)^6,IF(I77="Market",Retention*LCRenewal*H77*D77*(1+GrowthMarketRent)^6+(1-Retention)*LCNew*H77*D77*(1+GrowthMarketRent)^6,IF(I77="LeaseUp",LCNew*H77*D77*(1+GrowthMarketRent)^6,IF(I77="Option",LCRenewal*H77*D77*(1+GrowthMarketRent)^6,0))))),IF(F77="",0,IF(AND(F77&gt;=DATE(2026+6,5,1),F77&lt;=DATE(2027+6,4,30)),(IF(I77="Vacate",TINew*D77,IF(I77="Market",Retention*TIRenewal*D77+(1-Retention)*TINew*D77,IF(I77="LeaseUp",TINew*D77,IF(I77="Option",TIRenewal*D77,0)))))+(IF(I77="Vacate",LCNew*H77*D77*(1+GrowthMarketRent)^6,IF(I77="Market",Retention*LCRenewal*H77*D77*(1+GrowthMarketRent)^6+(1-Retention)*LCNew*H77*D77*(1+GrowthMarketRent)^6,IF(I77="LeaseUp",LCNew*H77*D77*(1+GrowthMarketRent)^6,IF(I77="Option",LCRenewal*H77*D77*(1+GrowthMarketRent)^6,0))))),0))),0)</f>
        <v/>
      </c>
      <c r="AF77" s="14">
        <f>IFERROR(IF(AND(I77="LeaseUp",7=0),(IF(I77="Vacate",TINew*D77,IF(I77="Market",Retention*TIRenewal*D77+(1-Retention)*TINew*D77,IF(I77="LeaseUp",TINew*D77,IF(I77="Option",TIRenewal*D77,0)))))+(IF(I77="Vacate",LCNew*H77*D77*(1+GrowthMarketRent)^7,IF(I77="Market",Retention*LCRenewal*H77*D77*(1+GrowthMarketRent)^7+(1-Retention)*LCNew*H77*D77*(1+GrowthMarketRent)^7,IF(I77="LeaseUp",LCNew*H77*D77*(1+GrowthMarketRent)^7,IF(I77="Option",LCRenewal*H77*D77*(1+GrowthMarketRent)^7,0))))),IF(F77="",0,IF(AND(F77&gt;=DATE(2026+7,5,1),F77&lt;=DATE(2027+7,4,30)),(IF(I77="Vacate",TINew*D77,IF(I77="Market",Retention*TIRenewal*D77+(1-Retention)*TINew*D77,IF(I77="LeaseUp",TINew*D77,IF(I77="Option",TIRenewal*D77,0)))))+(IF(I77="Vacate",LCNew*H77*D77*(1+GrowthMarketRent)^7,IF(I77="Market",Retention*LCRenewal*H77*D77*(1+GrowthMarketRent)^7+(1-Retention)*LCNew*H77*D77*(1+GrowthMarketRent)^7,IF(I77="LeaseUp",LCNew*H77*D77*(1+GrowthMarketRent)^7,IF(I77="Option",LCRenewal*H77*D77*(1+GrowthMarketRent)^7,0))))),0))),0)</f>
        <v/>
      </c>
      <c r="AG77" s="14">
        <f>IFERROR(IF(AND(I77="LeaseUp",8=0),(IF(I77="Vacate",TINew*D77,IF(I77="Market",Retention*TIRenewal*D77+(1-Retention)*TINew*D77,IF(I77="LeaseUp",TINew*D77,IF(I77="Option",TIRenewal*D77,0)))))+(IF(I77="Vacate",LCNew*H77*D77*(1+GrowthMarketRent)^8,IF(I77="Market",Retention*LCRenewal*H77*D77*(1+GrowthMarketRent)^8+(1-Retention)*LCNew*H77*D77*(1+GrowthMarketRent)^8,IF(I77="LeaseUp",LCNew*H77*D77*(1+GrowthMarketRent)^8,IF(I77="Option",LCRenewal*H77*D77*(1+GrowthMarketRent)^8,0))))),IF(F77="",0,IF(AND(F77&gt;=DATE(2026+8,5,1),F77&lt;=DATE(2027+8,4,30)),(IF(I77="Vacate",TINew*D77,IF(I77="Market",Retention*TIRenewal*D77+(1-Retention)*TINew*D77,IF(I77="LeaseUp",TINew*D77,IF(I77="Option",TIRenewal*D77,0)))))+(IF(I77="Vacate",LCNew*H77*D77*(1+GrowthMarketRent)^8,IF(I77="Market",Retention*LCRenewal*H77*D77*(1+GrowthMarketRent)^8+(1-Retention)*LCNew*H77*D77*(1+GrowthMarketRent)^8,IF(I77="LeaseUp",LCNew*H77*D77*(1+GrowthMarketRent)^8,IF(I77="Option",LCRenewal*H77*D77*(1+GrowthMarketRent)^8,0))))),0))),0)</f>
        <v/>
      </c>
      <c r="AH77" s="14">
        <f>IFERROR(IF(AND(I77="LeaseUp",9=0),(IF(I77="Vacate",TINew*D77,IF(I77="Market",Retention*TIRenewal*D77+(1-Retention)*TINew*D77,IF(I77="LeaseUp",TINew*D77,IF(I77="Option",TIRenewal*D77,0)))))+(IF(I77="Vacate",LCNew*H77*D77*(1+GrowthMarketRent)^9,IF(I77="Market",Retention*LCRenewal*H77*D77*(1+GrowthMarketRent)^9+(1-Retention)*LCNew*H77*D77*(1+GrowthMarketRent)^9,IF(I77="LeaseUp",LCNew*H77*D77*(1+GrowthMarketRent)^9,IF(I77="Option",LCRenewal*H77*D77*(1+GrowthMarketRent)^9,0))))),IF(F77="",0,IF(AND(F77&gt;=DATE(2026+9,5,1),F77&lt;=DATE(2027+9,4,30)),(IF(I77="Vacate",TINew*D77,IF(I77="Market",Retention*TIRenewal*D77+(1-Retention)*TINew*D77,IF(I77="LeaseUp",TINew*D77,IF(I77="Option",TIRenewal*D77,0)))))+(IF(I77="Vacate",LCNew*H77*D77*(1+GrowthMarketRent)^9,IF(I77="Market",Retention*LCRenewal*H77*D77*(1+GrowthMarketRent)^9+(1-Retention)*LCNew*H77*D77*(1+GrowthMarketRent)^9,IF(I77="LeaseUp",LCNew*H77*D77*(1+GrowthMarketRent)^9,IF(I77="Option",LCRenewal*H77*D77*(1+GrowthMarketRent)^9,0))))),0))),0)</f>
        <v/>
      </c>
      <c r="AI77" s="14">
        <f>IFERROR(IF(AND(I77="LeaseUp",10=0),(IF(I77="Vacate",TINew*D77,IF(I77="Market",Retention*TIRenewal*D77+(1-Retention)*TINew*D77,IF(I77="LeaseUp",TINew*D77,IF(I77="Option",TIRenewal*D77,0)))))+(IF(I77="Vacate",LCNew*H77*D77*(1+GrowthMarketRent)^10,IF(I77="Market",Retention*LCRenewal*H77*D77*(1+GrowthMarketRent)^10+(1-Retention)*LCNew*H77*D77*(1+GrowthMarketRent)^10,IF(I77="LeaseUp",LCNew*H77*D77*(1+GrowthMarketRent)^10,IF(I77="Option",LCRenewal*H77*D77*(1+GrowthMarketRent)^10,0))))),IF(F77="",0,IF(AND(F77&gt;=DATE(2026+10,5,1),F77&lt;=DATE(2027+10,4,30)),(IF(I77="Vacate",TINew*D77,IF(I77="Market",Retention*TIRenewal*D77+(1-Retention)*TINew*D77,IF(I77="LeaseUp",TINew*D77,IF(I77="Option",TIRenewal*D77,0)))))+(IF(I77="Vacate",LCNew*H77*D77*(1+GrowthMarketRent)^10,IF(I77="Market",Retention*LCRenewal*H77*D77*(1+GrowthMarketRent)^10+(1-Retention)*LCNew*H77*D77*(1+GrowthMarketRent)^10,IF(I77="LeaseUp",LCNew*H77*D77*(1+GrowthMarketRent)^10,IF(I77="Option",LCRenewal*H77*D77*(1+GrowthMarketRent)^10,0))))),0))),0)</f>
        <v/>
      </c>
    </row>
    <row r="78">
      <c r="A78" t="inlineStr">
        <is>
          <t>Mesquite</t>
        </is>
      </c>
      <c r="B78" t="inlineStr">
        <is>
          <t>110</t>
        </is>
      </c>
      <c r="C78" t="inlineStr">
        <is>
          <t>Power Engineering Services Inc.</t>
        </is>
      </c>
      <c r="D78" s="32" t="n">
        <v>2600</v>
      </c>
      <c r="E78" s="33" t="n">
        <v>45017</v>
      </c>
      <c r="F78" s="33" t="n">
        <v>46296</v>
      </c>
      <c r="G78" s="34" t="n">
        <v>16.1534615384615</v>
      </c>
      <c r="H78" s="16">
        <f>VLOOKUP(A78,MLA!$A$5:$L$11,3,FALSE)</f>
        <v/>
      </c>
      <c r="I78" s="11" t="inlineStr">
        <is>
          <t>Option</t>
        </is>
      </c>
      <c r="J78" t="inlineStr">
        <is>
          <t>Shop</t>
        </is>
      </c>
      <c r="K78" t="inlineStr">
        <is>
          <t>Occupied</t>
        </is>
      </c>
      <c r="L78" t="inlineStr">
        <is>
          <t>Shop; Guarantor: Daniel Staudt; Two 3yr options</t>
        </is>
      </c>
      <c r="M78" s="20">
        <f>IF(E78="",0,(AnalysisStart-E78)/365.25)</f>
        <v/>
      </c>
      <c r="N78" s="14">
        <f>IFERROR(IF(I78="LeaseUp",H78*D78*(1+GrowthMarketRent)^0*IF(0=0,(12-DowntimeNew)/12,1),IF(F78="",0,IF(F78&gt;=DATE(2027+0,4,30),G78*D78*(1+EscalatorInLease)^(0+M78),IF(F78&lt;DATE(2026+0,5,1),IF(I78="Vacate",H78*D78*(1+GrowthMarketRent)^0*IF(INT((DATE(2026+0,10,31)-F78)/365.25)=0,(12-DowntimeNew)/12,1),IF(I78="Option",G78*D78*1.025*(1+EscalatorInLease)^0,IF(I78="Market",Retention*G78*D78*(1+EscalatorInLease)^(0+M78)+(1-Retention)*H78*D78*(1+GrowthMarketRent)^0*IF(INT((DATE(2026+0,10,31)-F78)/365.25)=0,(12-DowntimeNew)/12,1),IF(I78="LeaseUp",H78*D78*(1+GrowthMarketRent)^0*IF(0=0,(12-DowntimeNew)/12,1),0)))),((F78-DATE(2026+0,5,1))/365.25)*G78*D78*(1+EscalatorInLease)^(0+M78)+((DATE(2027+0,4,30)-F78)/365.25)*IF(I78="Vacate",H78*D78*(1+GrowthMarketRent)^0*IF(INT((DATE(2026+0,10,31)-F78)/365.25)=0,(12-DowntimeNew)/12,1),IF(I78="Option",G78*D78*1.025*(1+EscalatorInLease)^0,IF(I78="Market",Retention*G78*D78*(1+EscalatorInLease)^(0+M78)+(1-Retention)*H78*D78*(1+GrowthMarketRent)^0*IF(INT((DATE(2026+0,10,31)-F78)/365.25)=0,(12-DowntimeNew)/12,1),IF(I78="LeaseUp",H78*D78*(1+GrowthMarketRent)^0*IF(0=0,(12-DowntimeNew)/12,1),0)))))))),0)</f>
        <v/>
      </c>
      <c r="O78" s="14">
        <f>IFERROR(IF(I78="LeaseUp",H78*D78*(1+GrowthMarketRent)^1*IF(1=0,(12-DowntimeNew)/12,1),IF(F78="",0,IF(F78&gt;=DATE(2027+1,4,30),G78*D78*(1+EscalatorInLease)^(1+M78),IF(F78&lt;DATE(2026+1,5,1),IF(I78="Vacate",H78*D78*(1+GrowthMarketRent)^1*IF(INT((DATE(2026+1,10,31)-F78)/365.25)=0,(12-DowntimeNew)/12,1),IF(I78="Option",G78*D78*1.025*(1+EscalatorInLease)^1,IF(I78="Market",Retention*G78*D78*(1+EscalatorInLease)^(1+M78)+(1-Retention)*H78*D78*(1+GrowthMarketRent)^1*IF(INT((DATE(2026+1,10,31)-F78)/365.25)=0,(12-DowntimeNew)/12,1),IF(I78="LeaseUp",H78*D78*(1+GrowthMarketRent)^1*IF(1=0,(12-DowntimeNew)/12,1),0)))),((F78-DATE(2026+1,5,1))/365.25)*G78*D78*(1+EscalatorInLease)^(1+M78)+((DATE(2027+1,4,30)-F78)/365.25)*IF(I78="Vacate",H78*D78*(1+GrowthMarketRent)^1*IF(INT((DATE(2026+1,10,31)-F78)/365.25)=0,(12-DowntimeNew)/12,1),IF(I78="Option",G78*D78*1.025*(1+EscalatorInLease)^1,IF(I78="Market",Retention*G78*D78*(1+EscalatorInLease)^(1+M78)+(1-Retention)*H78*D78*(1+GrowthMarketRent)^1*IF(INT((DATE(2026+1,10,31)-F78)/365.25)=0,(12-DowntimeNew)/12,1),IF(I78="LeaseUp",H78*D78*(1+GrowthMarketRent)^1*IF(1=0,(12-DowntimeNew)/12,1),0)))))))),0)</f>
        <v/>
      </c>
      <c r="P78" s="14">
        <f>IFERROR(IF(I78="LeaseUp",H78*D78*(1+GrowthMarketRent)^2*IF(2=0,(12-DowntimeNew)/12,1),IF(F78="",0,IF(F78&gt;=DATE(2027+2,4,30),G78*D78*(1+EscalatorInLease)^(2+M78),IF(F78&lt;DATE(2026+2,5,1),IF(I78="Vacate",H78*D78*(1+GrowthMarketRent)^2*IF(INT((DATE(2026+2,10,31)-F78)/365.25)=0,(12-DowntimeNew)/12,1),IF(I78="Option",G78*D78*1.025*(1+EscalatorInLease)^2,IF(I78="Market",Retention*G78*D78*(1+EscalatorInLease)^(2+M78)+(1-Retention)*H78*D78*(1+GrowthMarketRent)^2*IF(INT((DATE(2026+2,10,31)-F78)/365.25)=0,(12-DowntimeNew)/12,1),IF(I78="LeaseUp",H78*D78*(1+GrowthMarketRent)^2*IF(2=0,(12-DowntimeNew)/12,1),0)))),((F78-DATE(2026+2,5,1))/365.25)*G78*D78*(1+EscalatorInLease)^(2+M78)+((DATE(2027+2,4,30)-F78)/365.25)*IF(I78="Vacate",H78*D78*(1+GrowthMarketRent)^2*IF(INT((DATE(2026+2,10,31)-F78)/365.25)=0,(12-DowntimeNew)/12,1),IF(I78="Option",G78*D78*1.025*(1+EscalatorInLease)^2,IF(I78="Market",Retention*G78*D78*(1+EscalatorInLease)^(2+M78)+(1-Retention)*H78*D78*(1+GrowthMarketRent)^2*IF(INT((DATE(2026+2,10,31)-F78)/365.25)=0,(12-DowntimeNew)/12,1),IF(I78="LeaseUp",H78*D78*(1+GrowthMarketRent)^2*IF(2=0,(12-DowntimeNew)/12,1),0)))))))),0)</f>
        <v/>
      </c>
      <c r="Q78" s="14">
        <f>IFERROR(IF(I78="LeaseUp",H78*D78*(1+GrowthMarketRent)^3*IF(3=0,(12-DowntimeNew)/12,1),IF(F78="",0,IF(F78&gt;=DATE(2027+3,4,30),G78*D78*(1+EscalatorInLease)^(3+M78),IF(F78&lt;DATE(2026+3,5,1),IF(I78="Vacate",H78*D78*(1+GrowthMarketRent)^3*IF(INT((DATE(2026+3,10,31)-F78)/365.25)=0,(12-DowntimeNew)/12,1),IF(I78="Option",G78*D78*1.025*(1+EscalatorInLease)^3,IF(I78="Market",Retention*G78*D78*(1+EscalatorInLease)^(3+M78)+(1-Retention)*H78*D78*(1+GrowthMarketRent)^3*IF(INT((DATE(2026+3,10,31)-F78)/365.25)=0,(12-DowntimeNew)/12,1),IF(I78="LeaseUp",H78*D78*(1+GrowthMarketRent)^3*IF(3=0,(12-DowntimeNew)/12,1),0)))),((F78-DATE(2026+3,5,1))/365.25)*G78*D78*(1+EscalatorInLease)^(3+M78)+((DATE(2027+3,4,30)-F78)/365.25)*IF(I78="Vacate",H78*D78*(1+GrowthMarketRent)^3*IF(INT((DATE(2026+3,10,31)-F78)/365.25)=0,(12-DowntimeNew)/12,1),IF(I78="Option",G78*D78*1.025*(1+EscalatorInLease)^3,IF(I78="Market",Retention*G78*D78*(1+EscalatorInLease)^(3+M78)+(1-Retention)*H78*D78*(1+GrowthMarketRent)^3*IF(INT((DATE(2026+3,10,31)-F78)/365.25)=0,(12-DowntimeNew)/12,1),IF(I78="LeaseUp",H78*D78*(1+GrowthMarketRent)^3*IF(3=0,(12-DowntimeNew)/12,1),0)))))))),0)</f>
        <v/>
      </c>
      <c r="R78" s="14">
        <f>IFERROR(IF(I78="LeaseUp",H78*D78*(1+GrowthMarketRent)^4*IF(4=0,(12-DowntimeNew)/12,1),IF(F78="",0,IF(F78&gt;=DATE(2027+4,4,30),G78*D78*(1+EscalatorInLease)^(4+M78),IF(F78&lt;DATE(2026+4,5,1),IF(I78="Vacate",H78*D78*(1+GrowthMarketRent)^4*IF(INT((DATE(2026+4,10,31)-F78)/365.25)=0,(12-DowntimeNew)/12,1),IF(I78="Option",G78*D78*1.025*(1+EscalatorInLease)^4,IF(I78="Market",Retention*G78*D78*(1+EscalatorInLease)^(4+M78)+(1-Retention)*H78*D78*(1+GrowthMarketRent)^4*IF(INT((DATE(2026+4,10,31)-F78)/365.25)=0,(12-DowntimeNew)/12,1),IF(I78="LeaseUp",H78*D78*(1+GrowthMarketRent)^4*IF(4=0,(12-DowntimeNew)/12,1),0)))),((F78-DATE(2026+4,5,1))/365.25)*G78*D78*(1+EscalatorInLease)^(4+M78)+((DATE(2027+4,4,30)-F78)/365.25)*IF(I78="Vacate",H78*D78*(1+GrowthMarketRent)^4*IF(INT((DATE(2026+4,10,31)-F78)/365.25)=0,(12-DowntimeNew)/12,1),IF(I78="Option",G78*D78*1.025*(1+EscalatorInLease)^4,IF(I78="Market",Retention*G78*D78*(1+EscalatorInLease)^(4+M78)+(1-Retention)*H78*D78*(1+GrowthMarketRent)^4*IF(INT((DATE(2026+4,10,31)-F78)/365.25)=0,(12-DowntimeNew)/12,1),IF(I78="LeaseUp",H78*D78*(1+GrowthMarketRent)^4*IF(4=0,(12-DowntimeNew)/12,1),0)))))))),0)</f>
        <v/>
      </c>
      <c r="S78" s="14">
        <f>IFERROR(IF(I78="LeaseUp",H78*D78*(1+GrowthMarketRent)^5*IF(5=0,(12-DowntimeNew)/12,1),IF(F78="",0,IF(F78&gt;=DATE(2027+5,4,30),G78*D78*(1+EscalatorInLease)^(5+M78),IF(F78&lt;DATE(2026+5,5,1),IF(I78="Vacate",H78*D78*(1+GrowthMarketRent)^5*IF(INT((DATE(2026+5,10,31)-F78)/365.25)=0,(12-DowntimeNew)/12,1),IF(I78="Option",G78*D78*1.025*(1+EscalatorInLease)^5,IF(I78="Market",Retention*G78*D78*(1+EscalatorInLease)^(5+M78)+(1-Retention)*H78*D78*(1+GrowthMarketRent)^5*IF(INT((DATE(2026+5,10,31)-F78)/365.25)=0,(12-DowntimeNew)/12,1),IF(I78="LeaseUp",H78*D78*(1+GrowthMarketRent)^5*IF(5=0,(12-DowntimeNew)/12,1),0)))),((F78-DATE(2026+5,5,1))/365.25)*G78*D78*(1+EscalatorInLease)^(5+M78)+((DATE(2027+5,4,30)-F78)/365.25)*IF(I78="Vacate",H78*D78*(1+GrowthMarketRent)^5*IF(INT((DATE(2026+5,10,31)-F78)/365.25)=0,(12-DowntimeNew)/12,1),IF(I78="Option",G78*D78*1.025*(1+EscalatorInLease)^5,IF(I78="Market",Retention*G78*D78*(1+EscalatorInLease)^(5+M78)+(1-Retention)*H78*D78*(1+GrowthMarketRent)^5*IF(INT((DATE(2026+5,10,31)-F78)/365.25)=0,(12-DowntimeNew)/12,1),IF(I78="LeaseUp",H78*D78*(1+GrowthMarketRent)^5*IF(5=0,(12-DowntimeNew)/12,1),0)))))))),0)</f>
        <v/>
      </c>
      <c r="T78" s="14">
        <f>IFERROR(IF(I78="LeaseUp",H78*D78*(1+GrowthMarketRent)^6*IF(6=0,(12-DowntimeNew)/12,1),IF(F78="",0,IF(F78&gt;=DATE(2027+6,4,30),G78*D78*(1+EscalatorInLease)^(6+M78),IF(F78&lt;DATE(2026+6,5,1),IF(I78="Vacate",H78*D78*(1+GrowthMarketRent)^6*IF(INT((DATE(2026+6,10,31)-F78)/365.25)=0,(12-DowntimeNew)/12,1),IF(I78="Option",G78*D78*1.025*(1+EscalatorInLease)^6,IF(I78="Market",Retention*G78*D78*(1+EscalatorInLease)^(6+M78)+(1-Retention)*H78*D78*(1+GrowthMarketRent)^6*IF(INT((DATE(2026+6,10,31)-F78)/365.25)=0,(12-DowntimeNew)/12,1),IF(I78="LeaseUp",H78*D78*(1+GrowthMarketRent)^6*IF(6=0,(12-DowntimeNew)/12,1),0)))),((F78-DATE(2026+6,5,1))/365.25)*G78*D78*(1+EscalatorInLease)^(6+M78)+((DATE(2027+6,4,30)-F78)/365.25)*IF(I78="Vacate",H78*D78*(1+GrowthMarketRent)^6*IF(INT((DATE(2026+6,10,31)-F78)/365.25)=0,(12-DowntimeNew)/12,1),IF(I78="Option",G78*D78*1.025*(1+EscalatorInLease)^6,IF(I78="Market",Retention*G78*D78*(1+EscalatorInLease)^(6+M78)+(1-Retention)*H78*D78*(1+GrowthMarketRent)^6*IF(INT((DATE(2026+6,10,31)-F78)/365.25)=0,(12-DowntimeNew)/12,1),IF(I78="LeaseUp",H78*D78*(1+GrowthMarketRent)^6*IF(6=0,(12-DowntimeNew)/12,1),0)))))))),0)</f>
        <v/>
      </c>
      <c r="U78" s="14">
        <f>IFERROR(IF(I78="LeaseUp",H78*D78*(1+GrowthMarketRent)^7*IF(7=0,(12-DowntimeNew)/12,1),IF(F78="",0,IF(F78&gt;=DATE(2027+7,4,30),G78*D78*(1+EscalatorInLease)^(7+M78),IF(F78&lt;DATE(2026+7,5,1),IF(I78="Vacate",H78*D78*(1+GrowthMarketRent)^7*IF(INT((DATE(2026+7,10,31)-F78)/365.25)=0,(12-DowntimeNew)/12,1),IF(I78="Option",G78*D78*1.025*(1+EscalatorInLease)^7,IF(I78="Market",Retention*G78*D78*(1+EscalatorInLease)^(7+M78)+(1-Retention)*H78*D78*(1+GrowthMarketRent)^7*IF(INT((DATE(2026+7,10,31)-F78)/365.25)=0,(12-DowntimeNew)/12,1),IF(I78="LeaseUp",H78*D78*(1+GrowthMarketRent)^7*IF(7=0,(12-DowntimeNew)/12,1),0)))),((F78-DATE(2026+7,5,1))/365.25)*G78*D78*(1+EscalatorInLease)^(7+M78)+((DATE(2027+7,4,30)-F78)/365.25)*IF(I78="Vacate",H78*D78*(1+GrowthMarketRent)^7*IF(INT((DATE(2026+7,10,31)-F78)/365.25)=0,(12-DowntimeNew)/12,1),IF(I78="Option",G78*D78*1.025*(1+EscalatorInLease)^7,IF(I78="Market",Retention*G78*D78*(1+EscalatorInLease)^(7+M78)+(1-Retention)*H78*D78*(1+GrowthMarketRent)^7*IF(INT((DATE(2026+7,10,31)-F78)/365.25)=0,(12-DowntimeNew)/12,1),IF(I78="LeaseUp",H78*D78*(1+GrowthMarketRent)^7*IF(7=0,(12-DowntimeNew)/12,1),0)))))))),0)</f>
        <v/>
      </c>
      <c r="V78" s="14">
        <f>IFERROR(IF(I78="LeaseUp",H78*D78*(1+GrowthMarketRent)^8*IF(8=0,(12-DowntimeNew)/12,1),IF(F78="",0,IF(F78&gt;=DATE(2027+8,4,30),G78*D78*(1+EscalatorInLease)^(8+M78),IF(F78&lt;DATE(2026+8,5,1),IF(I78="Vacate",H78*D78*(1+GrowthMarketRent)^8*IF(INT((DATE(2026+8,10,31)-F78)/365.25)=0,(12-DowntimeNew)/12,1),IF(I78="Option",G78*D78*1.025*(1+EscalatorInLease)^8,IF(I78="Market",Retention*G78*D78*(1+EscalatorInLease)^(8+M78)+(1-Retention)*H78*D78*(1+GrowthMarketRent)^8*IF(INT((DATE(2026+8,10,31)-F78)/365.25)=0,(12-DowntimeNew)/12,1),IF(I78="LeaseUp",H78*D78*(1+GrowthMarketRent)^8*IF(8=0,(12-DowntimeNew)/12,1),0)))),((F78-DATE(2026+8,5,1))/365.25)*G78*D78*(1+EscalatorInLease)^(8+M78)+((DATE(2027+8,4,30)-F78)/365.25)*IF(I78="Vacate",H78*D78*(1+GrowthMarketRent)^8*IF(INT((DATE(2026+8,10,31)-F78)/365.25)=0,(12-DowntimeNew)/12,1),IF(I78="Option",G78*D78*1.025*(1+EscalatorInLease)^8,IF(I78="Market",Retention*G78*D78*(1+EscalatorInLease)^(8+M78)+(1-Retention)*H78*D78*(1+GrowthMarketRent)^8*IF(INT((DATE(2026+8,10,31)-F78)/365.25)=0,(12-DowntimeNew)/12,1),IF(I78="LeaseUp",H78*D78*(1+GrowthMarketRent)^8*IF(8=0,(12-DowntimeNew)/12,1),0)))))))),0)</f>
        <v/>
      </c>
      <c r="W78" s="14">
        <f>IFERROR(IF(I78="LeaseUp",H78*D78*(1+GrowthMarketRent)^9*IF(9=0,(12-DowntimeNew)/12,1),IF(F78="",0,IF(F78&gt;=DATE(2027+9,4,30),G78*D78*(1+EscalatorInLease)^(9+M78),IF(F78&lt;DATE(2026+9,5,1),IF(I78="Vacate",H78*D78*(1+GrowthMarketRent)^9*IF(INT((DATE(2026+9,10,31)-F78)/365.25)=0,(12-DowntimeNew)/12,1),IF(I78="Option",G78*D78*1.025*(1+EscalatorInLease)^9,IF(I78="Market",Retention*G78*D78*(1+EscalatorInLease)^(9+M78)+(1-Retention)*H78*D78*(1+GrowthMarketRent)^9*IF(INT((DATE(2026+9,10,31)-F78)/365.25)=0,(12-DowntimeNew)/12,1),IF(I78="LeaseUp",H78*D78*(1+GrowthMarketRent)^9*IF(9=0,(12-DowntimeNew)/12,1),0)))),((F78-DATE(2026+9,5,1))/365.25)*G78*D78*(1+EscalatorInLease)^(9+M78)+((DATE(2027+9,4,30)-F78)/365.25)*IF(I78="Vacate",H78*D78*(1+GrowthMarketRent)^9*IF(INT((DATE(2026+9,10,31)-F78)/365.25)=0,(12-DowntimeNew)/12,1),IF(I78="Option",G78*D78*1.025*(1+EscalatorInLease)^9,IF(I78="Market",Retention*G78*D78*(1+EscalatorInLease)^(9+M78)+(1-Retention)*H78*D78*(1+GrowthMarketRent)^9*IF(INT((DATE(2026+9,10,31)-F78)/365.25)=0,(12-DowntimeNew)/12,1),IF(I78="LeaseUp",H78*D78*(1+GrowthMarketRent)^9*IF(9=0,(12-DowntimeNew)/12,1),0)))))))),0)</f>
        <v/>
      </c>
      <c r="X78" s="14">
        <f>IFERROR(IF(I78="LeaseUp",H78*D78*(1+GrowthMarketRent)^10*IF(10=0,(12-DowntimeNew)/12,1),IF(F78="",0,IF(F78&gt;=DATE(2027+10,4,30),G78*D78*(1+EscalatorInLease)^(10+M78),IF(F78&lt;DATE(2026+10,5,1),IF(I78="Vacate",H78*D78*(1+GrowthMarketRent)^10*IF(INT((DATE(2026+10,10,31)-F78)/365.25)=0,(12-DowntimeNew)/12,1),IF(I78="Option",G78*D78*1.025*(1+EscalatorInLease)^10,IF(I78="Market",Retention*G78*D78*(1+EscalatorInLease)^(10+M78)+(1-Retention)*H78*D78*(1+GrowthMarketRent)^10*IF(INT((DATE(2026+10,10,31)-F78)/365.25)=0,(12-DowntimeNew)/12,1),IF(I78="LeaseUp",H78*D78*(1+GrowthMarketRent)^10*IF(10=0,(12-DowntimeNew)/12,1),0)))),((F78-DATE(2026+10,5,1))/365.25)*G78*D78*(1+EscalatorInLease)^(10+M78)+((DATE(2027+10,4,30)-F78)/365.25)*IF(I78="Vacate",H78*D78*(1+GrowthMarketRent)^10*IF(INT((DATE(2026+10,10,31)-F78)/365.25)=0,(12-DowntimeNew)/12,1),IF(I78="Option",G78*D78*1.025*(1+EscalatorInLease)^10,IF(I78="Market",Retention*G78*D78*(1+EscalatorInLease)^(10+M78)+(1-Retention)*H78*D78*(1+GrowthMarketRent)^10*IF(INT((DATE(2026+10,10,31)-F78)/365.25)=0,(12-DowntimeNew)/12,1),IF(I78="LeaseUp",H78*D78*(1+GrowthMarketRent)^10*IF(10=0,(12-DowntimeNew)/12,1),0)))))))),0)</f>
        <v/>
      </c>
      <c r="Y78" s="14">
        <f>IFERROR(IF(AND(I78="LeaseUp",0=0),(IF(I78="Vacate",TINew*D78,IF(I78="Market",Retention*TIRenewal*D78+(1-Retention)*TINew*D78,IF(I78="LeaseUp",TINew*D78,IF(I78="Option",TIRenewal*D78,0)))))+(IF(I78="Vacate",LCNew*H78*D78*(1+GrowthMarketRent)^0,IF(I78="Market",Retention*LCRenewal*H78*D78*(1+GrowthMarketRent)^0+(1-Retention)*LCNew*H78*D78*(1+GrowthMarketRent)^0,IF(I78="LeaseUp",LCNew*H78*D78*(1+GrowthMarketRent)^0,IF(I78="Option",LCRenewal*H78*D78*(1+GrowthMarketRent)^0,0))))),IF(F78="",0,IF(AND(F78&gt;=DATE(2026+0,5,1),F78&lt;=DATE(2027+0,4,30)),(IF(I78="Vacate",TINew*D78,IF(I78="Market",Retention*TIRenewal*D78+(1-Retention)*TINew*D78,IF(I78="LeaseUp",TINew*D78,IF(I78="Option",TIRenewal*D78,0)))))+(IF(I78="Vacate",LCNew*H78*D78*(1+GrowthMarketRent)^0,IF(I78="Market",Retention*LCRenewal*H78*D78*(1+GrowthMarketRent)^0+(1-Retention)*LCNew*H78*D78*(1+GrowthMarketRent)^0,IF(I78="LeaseUp",LCNew*H78*D78*(1+GrowthMarketRent)^0,IF(I78="Option",LCRenewal*H78*D78*(1+GrowthMarketRent)^0,0))))),0))),0)</f>
        <v/>
      </c>
      <c r="Z78" s="14">
        <f>IFERROR(IF(AND(I78="LeaseUp",1=0),(IF(I78="Vacate",TINew*D78,IF(I78="Market",Retention*TIRenewal*D78+(1-Retention)*TINew*D78,IF(I78="LeaseUp",TINew*D78,IF(I78="Option",TIRenewal*D78,0)))))+(IF(I78="Vacate",LCNew*H78*D78*(1+GrowthMarketRent)^1,IF(I78="Market",Retention*LCRenewal*H78*D78*(1+GrowthMarketRent)^1+(1-Retention)*LCNew*H78*D78*(1+GrowthMarketRent)^1,IF(I78="LeaseUp",LCNew*H78*D78*(1+GrowthMarketRent)^1,IF(I78="Option",LCRenewal*H78*D78*(1+GrowthMarketRent)^1,0))))),IF(F78="",0,IF(AND(F78&gt;=DATE(2026+1,5,1),F78&lt;=DATE(2027+1,4,30)),(IF(I78="Vacate",TINew*D78,IF(I78="Market",Retention*TIRenewal*D78+(1-Retention)*TINew*D78,IF(I78="LeaseUp",TINew*D78,IF(I78="Option",TIRenewal*D78,0)))))+(IF(I78="Vacate",LCNew*H78*D78*(1+GrowthMarketRent)^1,IF(I78="Market",Retention*LCRenewal*H78*D78*(1+GrowthMarketRent)^1+(1-Retention)*LCNew*H78*D78*(1+GrowthMarketRent)^1,IF(I78="LeaseUp",LCNew*H78*D78*(1+GrowthMarketRent)^1,IF(I78="Option",LCRenewal*H78*D78*(1+GrowthMarketRent)^1,0))))),0))),0)</f>
        <v/>
      </c>
      <c r="AA78" s="14">
        <f>IFERROR(IF(AND(I78="LeaseUp",2=0),(IF(I78="Vacate",TINew*D78,IF(I78="Market",Retention*TIRenewal*D78+(1-Retention)*TINew*D78,IF(I78="LeaseUp",TINew*D78,IF(I78="Option",TIRenewal*D78,0)))))+(IF(I78="Vacate",LCNew*H78*D78*(1+GrowthMarketRent)^2,IF(I78="Market",Retention*LCRenewal*H78*D78*(1+GrowthMarketRent)^2+(1-Retention)*LCNew*H78*D78*(1+GrowthMarketRent)^2,IF(I78="LeaseUp",LCNew*H78*D78*(1+GrowthMarketRent)^2,IF(I78="Option",LCRenewal*H78*D78*(1+GrowthMarketRent)^2,0))))),IF(F78="",0,IF(AND(F78&gt;=DATE(2026+2,5,1),F78&lt;=DATE(2027+2,4,30)),(IF(I78="Vacate",TINew*D78,IF(I78="Market",Retention*TIRenewal*D78+(1-Retention)*TINew*D78,IF(I78="LeaseUp",TINew*D78,IF(I78="Option",TIRenewal*D78,0)))))+(IF(I78="Vacate",LCNew*H78*D78*(1+GrowthMarketRent)^2,IF(I78="Market",Retention*LCRenewal*H78*D78*(1+GrowthMarketRent)^2+(1-Retention)*LCNew*H78*D78*(1+GrowthMarketRent)^2,IF(I78="LeaseUp",LCNew*H78*D78*(1+GrowthMarketRent)^2,IF(I78="Option",LCRenewal*H78*D78*(1+GrowthMarketRent)^2,0))))),0))),0)</f>
        <v/>
      </c>
      <c r="AB78" s="14">
        <f>IFERROR(IF(AND(I78="LeaseUp",3=0),(IF(I78="Vacate",TINew*D78,IF(I78="Market",Retention*TIRenewal*D78+(1-Retention)*TINew*D78,IF(I78="LeaseUp",TINew*D78,IF(I78="Option",TIRenewal*D78,0)))))+(IF(I78="Vacate",LCNew*H78*D78*(1+GrowthMarketRent)^3,IF(I78="Market",Retention*LCRenewal*H78*D78*(1+GrowthMarketRent)^3+(1-Retention)*LCNew*H78*D78*(1+GrowthMarketRent)^3,IF(I78="LeaseUp",LCNew*H78*D78*(1+GrowthMarketRent)^3,IF(I78="Option",LCRenewal*H78*D78*(1+GrowthMarketRent)^3,0))))),IF(F78="",0,IF(AND(F78&gt;=DATE(2026+3,5,1),F78&lt;=DATE(2027+3,4,30)),(IF(I78="Vacate",TINew*D78,IF(I78="Market",Retention*TIRenewal*D78+(1-Retention)*TINew*D78,IF(I78="LeaseUp",TINew*D78,IF(I78="Option",TIRenewal*D78,0)))))+(IF(I78="Vacate",LCNew*H78*D78*(1+GrowthMarketRent)^3,IF(I78="Market",Retention*LCRenewal*H78*D78*(1+GrowthMarketRent)^3+(1-Retention)*LCNew*H78*D78*(1+GrowthMarketRent)^3,IF(I78="LeaseUp",LCNew*H78*D78*(1+GrowthMarketRent)^3,IF(I78="Option",LCRenewal*H78*D78*(1+GrowthMarketRent)^3,0))))),0))),0)</f>
        <v/>
      </c>
      <c r="AC78" s="14">
        <f>IFERROR(IF(AND(I78="LeaseUp",4=0),(IF(I78="Vacate",TINew*D78,IF(I78="Market",Retention*TIRenewal*D78+(1-Retention)*TINew*D78,IF(I78="LeaseUp",TINew*D78,IF(I78="Option",TIRenewal*D78,0)))))+(IF(I78="Vacate",LCNew*H78*D78*(1+GrowthMarketRent)^4,IF(I78="Market",Retention*LCRenewal*H78*D78*(1+GrowthMarketRent)^4+(1-Retention)*LCNew*H78*D78*(1+GrowthMarketRent)^4,IF(I78="LeaseUp",LCNew*H78*D78*(1+GrowthMarketRent)^4,IF(I78="Option",LCRenewal*H78*D78*(1+GrowthMarketRent)^4,0))))),IF(F78="",0,IF(AND(F78&gt;=DATE(2026+4,5,1),F78&lt;=DATE(2027+4,4,30)),(IF(I78="Vacate",TINew*D78,IF(I78="Market",Retention*TIRenewal*D78+(1-Retention)*TINew*D78,IF(I78="LeaseUp",TINew*D78,IF(I78="Option",TIRenewal*D78,0)))))+(IF(I78="Vacate",LCNew*H78*D78*(1+GrowthMarketRent)^4,IF(I78="Market",Retention*LCRenewal*H78*D78*(1+GrowthMarketRent)^4+(1-Retention)*LCNew*H78*D78*(1+GrowthMarketRent)^4,IF(I78="LeaseUp",LCNew*H78*D78*(1+GrowthMarketRent)^4,IF(I78="Option",LCRenewal*H78*D78*(1+GrowthMarketRent)^4,0))))),0))),0)</f>
        <v/>
      </c>
      <c r="AD78" s="14">
        <f>IFERROR(IF(AND(I78="LeaseUp",5=0),(IF(I78="Vacate",TINew*D78,IF(I78="Market",Retention*TIRenewal*D78+(1-Retention)*TINew*D78,IF(I78="LeaseUp",TINew*D78,IF(I78="Option",TIRenewal*D78,0)))))+(IF(I78="Vacate",LCNew*H78*D78*(1+GrowthMarketRent)^5,IF(I78="Market",Retention*LCRenewal*H78*D78*(1+GrowthMarketRent)^5+(1-Retention)*LCNew*H78*D78*(1+GrowthMarketRent)^5,IF(I78="LeaseUp",LCNew*H78*D78*(1+GrowthMarketRent)^5,IF(I78="Option",LCRenewal*H78*D78*(1+GrowthMarketRent)^5,0))))),IF(F78="",0,IF(AND(F78&gt;=DATE(2026+5,5,1),F78&lt;=DATE(2027+5,4,30)),(IF(I78="Vacate",TINew*D78,IF(I78="Market",Retention*TIRenewal*D78+(1-Retention)*TINew*D78,IF(I78="LeaseUp",TINew*D78,IF(I78="Option",TIRenewal*D78,0)))))+(IF(I78="Vacate",LCNew*H78*D78*(1+GrowthMarketRent)^5,IF(I78="Market",Retention*LCRenewal*H78*D78*(1+GrowthMarketRent)^5+(1-Retention)*LCNew*H78*D78*(1+GrowthMarketRent)^5,IF(I78="LeaseUp",LCNew*H78*D78*(1+GrowthMarketRent)^5,IF(I78="Option",LCRenewal*H78*D78*(1+GrowthMarketRent)^5,0))))),0))),0)</f>
        <v/>
      </c>
      <c r="AE78" s="14">
        <f>IFERROR(IF(AND(I78="LeaseUp",6=0),(IF(I78="Vacate",TINew*D78,IF(I78="Market",Retention*TIRenewal*D78+(1-Retention)*TINew*D78,IF(I78="LeaseUp",TINew*D78,IF(I78="Option",TIRenewal*D78,0)))))+(IF(I78="Vacate",LCNew*H78*D78*(1+GrowthMarketRent)^6,IF(I78="Market",Retention*LCRenewal*H78*D78*(1+GrowthMarketRent)^6+(1-Retention)*LCNew*H78*D78*(1+GrowthMarketRent)^6,IF(I78="LeaseUp",LCNew*H78*D78*(1+GrowthMarketRent)^6,IF(I78="Option",LCRenewal*H78*D78*(1+GrowthMarketRent)^6,0))))),IF(F78="",0,IF(AND(F78&gt;=DATE(2026+6,5,1),F78&lt;=DATE(2027+6,4,30)),(IF(I78="Vacate",TINew*D78,IF(I78="Market",Retention*TIRenewal*D78+(1-Retention)*TINew*D78,IF(I78="LeaseUp",TINew*D78,IF(I78="Option",TIRenewal*D78,0)))))+(IF(I78="Vacate",LCNew*H78*D78*(1+GrowthMarketRent)^6,IF(I78="Market",Retention*LCRenewal*H78*D78*(1+GrowthMarketRent)^6+(1-Retention)*LCNew*H78*D78*(1+GrowthMarketRent)^6,IF(I78="LeaseUp",LCNew*H78*D78*(1+GrowthMarketRent)^6,IF(I78="Option",LCRenewal*H78*D78*(1+GrowthMarketRent)^6,0))))),0))),0)</f>
        <v/>
      </c>
      <c r="AF78" s="14">
        <f>IFERROR(IF(AND(I78="LeaseUp",7=0),(IF(I78="Vacate",TINew*D78,IF(I78="Market",Retention*TIRenewal*D78+(1-Retention)*TINew*D78,IF(I78="LeaseUp",TINew*D78,IF(I78="Option",TIRenewal*D78,0)))))+(IF(I78="Vacate",LCNew*H78*D78*(1+GrowthMarketRent)^7,IF(I78="Market",Retention*LCRenewal*H78*D78*(1+GrowthMarketRent)^7+(1-Retention)*LCNew*H78*D78*(1+GrowthMarketRent)^7,IF(I78="LeaseUp",LCNew*H78*D78*(1+GrowthMarketRent)^7,IF(I78="Option",LCRenewal*H78*D78*(1+GrowthMarketRent)^7,0))))),IF(F78="",0,IF(AND(F78&gt;=DATE(2026+7,5,1),F78&lt;=DATE(2027+7,4,30)),(IF(I78="Vacate",TINew*D78,IF(I78="Market",Retention*TIRenewal*D78+(1-Retention)*TINew*D78,IF(I78="LeaseUp",TINew*D78,IF(I78="Option",TIRenewal*D78,0)))))+(IF(I78="Vacate",LCNew*H78*D78*(1+GrowthMarketRent)^7,IF(I78="Market",Retention*LCRenewal*H78*D78*(1+GrowthMarketRent)^7+(1-Retention)*LCNew*H78*D78*(1+GrowthMarketRent)^7,IF(I78="LeaseUp",LCNew*H78*D78*(1+GrowthMarketRent)^7,IF(I78="Option",LCRenewal*H78*D78*(1+GrowthMarketRent)^7,0))))),0))),0)</f>
        <v/>
      </c>
      <c r="AG78" s="14">
        <f>IFERROR(IF(AND(I78="LeaseUp",8=0),(IF(I78="Vacate",TINew*D78,IF(I78="Market",Retention*TIRenewal*D78+(1-Retention)*TINew*D78,IF(I78="LeaseUp",TINew*D78,IF(I78="Option",TIRenewal*D78,0)))))+(IF(I78="Vacate",LCNew*H78*D78*(1+GrowthMarketRent)^8,IF(I78="Market",Retention*LCRenewal*H78*D78*(1+GrowthMarketRent)^8+(1-Retention)*LCNew*H78*D78*(1+GrowthMarketRent)^8,IF(I78="LeaseUp",LCNew*H78*D78*(1+GrowthMarketRent)^8,IF(I78="Option",LCRenewal*H78*D78*(1+GrowthMarketRent)^8,0))))),IF(F78="",0,IF(AND(F78&gt;=DATE(2026+8,5,1),F78&lt;=DATE(2027+8,4,30)),(IF(I78="Vacate",TINew*D78,IF(I78="Market",Retention*TIRenewal*D78+(1-Retention)*TINew*D78,IF(I78="LeaseUp",TINew*D78,IF(I78="Option",TIRenewal*D78,0)))))+(IF(I78="Vacate",LCNew*H78*D78*(1+GrowthMarketRent)^8,IF(I78="Market",Retention*LCRenewal*H78*D78*(1+GrowthMarketRent)^8+(1-Retention)*LCNew*H78*D78*(1+GrowthMarketRent)^8,IF(I78="LeaseUp",LCNew*H78*D78*(1+GrowthMarketRent)^8,IF(I78="Option",LCRenewal*H78*D78*(1+GrowthMarketRent)^8,0))))),0))),0)</f>
        <v/>
      </c>
      <c r="AH78" s="14">
        <f>IFERROR(IF(AND(I78="LeaseUp",9=0),(IF(I78="Vacate",TINew*D78,IF(I78="Market",Retention*TIRenewal*D78+(1-Retention)*TINew*D78,IF(I78="LeaseUp",TINew*D78,IF(I78="Option",TIRenewal*D78,0)))))+(IF(I78="Vacate",LCNew*H78*D78*(1+GrowthMarketRent)^9,IF(I78="Market",Retention*LCRenewal*H78*D78*(1+GrowthMarketRent)^9+(1-Retention)*LCNew*H78*D78*(1+GrowthMarketRent)^9,IF(I78="LeaseUp",LCNew*H78*D78*(1+GrowthMarketRent)^9,IF(I78="Option",LCRenewal*H78*D78*(1+GrowthMarketRent)^9,0))))),IF(F78="",0,IF(AND(F78&gt;=DATE(2026+9,5,1),F78&lt;=DATE(2027+9,4,30)),(IF(I78="Vacate",TINew*D78,IF(I78="Market",Retention*TIRenewal*D78+(1-Retention)*TINew*D78,IF(I78="LeaseUp",TINew*D78,IF(I78="Option",TIRenewal*D78,0)))))+(IF(I78="Vacate",LCNew*H78*D78*(1+GrowthMarketRent)^9,IF(I78="Market",Retention*LCRenewal*H78*D78*(1+GrowthMarketRent)^9+(1-Retention)*LCNew*H78*D78*(1+GrowthMarketRent)^9,IF(I78="LeaseUp",LCNew*H78*D78*(1+GrowthMarketRent)^9,IF(I78="Option",LCRenewal*H78*D78*(1+GrowthMarketRent)^9,0))))),0))),0)</f>
        <v/>
      </c>
      <c r="AI78" s="14">
        <f>IFERROR(IF(AND(I78="LeaseUp",10=0),(IF(I78="Vacate",TINew*D78,IF(I78="Market",Retention*TIRenewal*D78+(1-Retention)*TINew*D78,IF(I78="LeaseUp",TINew*D78,IF(I78="Option",TIRenewal*D78,0)))))+(IF(I78="Vacate",LCNew*H78*D78*(1+GrowthMarketRent)^10,IF(I78="Market",Retention*LCRenewal*H78*D78*(1+GrowthMarketRent)^10+(1-Retention)*LCNew*H78*D78*(1+GrowthMarketRent)^10,IF(I78="LeaseUp",LCNew*H78*D78*(1+GrowthMarketRent)^10,IF(I78="Option",LCRenewal*H78*D78*(1+GrowthMarketRent)^10,0))))),IF(F78="",0,IF(AND(F78&gt;=DATE(2026+10,5,1),F78&lt;=DATE(2027+10,4,30)),(IF(I78="Vacate",TINew*D78,IF(I78="Market",Retention*TIRenewal*D78+(1-Retention)*TINew*D78,IF(I78="LeaseUp",TINew*D78,IF(I78="Option",TIRenewal*D78,0)))))+(IF(I78="Vacate",LCNew*H78*D78*(1+GrowthMarketRent)^10,IF(I78="Market",Retention*LCRenewal*H78*D78*(1+GrowthMarketRent)^10+(1-Retention)*LCNew*H78*D78*(1+GrowthMarketRent)^10,IF(I78="LeaseUp",LCNew*H78*D78*(1+GrowthMarketRent)^10,IF(I78="Option",LCRenewal*H78*D78*(1+GrowthMarketRent)^10,0))))),0))),0)</f>
        <v/>
      </c>
    </row>
    <row r="79">
      <c r="A79" t="inlineStr">
        <is>
          <t>Mesquite</t>
        </is>
      </c>
      <c r="B79" t="inlineStr">
        <is>
          <t>111</t>
        </is>
      </c>
      <c r="C79" t="inlineStr">
        <is>
          <t>A&amp;G Dental Ceramics Inc.</t>
        </is>
      </c>
      <c r="D79" s="32" t="n">
        <v>2600</v>
      </c>
      <c r="E79" s="33" t="n">
        <v>46023</v>
      </c>
      <c r="F79" s="33" t="n">
        <v>47453</v>
      </c>
      <c r="G79" s="34" t="n">
        <v>15.04</v>
      </c>
      <c r="H79" s="16">
        <f>VLOOKUP(A79,MLA!$A$5:$L$11,3,FALSE)</f>
        <v/>
      </c>
      <c r="I79" s="11" t="inlineStr">
        <is>
          <t>Option</t>
        </is>
      </c>
      <c r="J79" t="inlineStr">
        <is>
          <t>Shop</t>
        </is>
      </c>
      <c r="K79" t="inlineStr">
        <is>
          <t>Occupied</t>
        </is>
      </c>
      <c r="L79" t="inlineStr">
        <is>
          <t>Shop; Guarantor: Jose S. Alvarez; Two 3yr options @ FMV</t>
        </is>
      </c>
      <c r="M79" s="20">
        <f>IF(E79="",0,(AnalysisStart-E79)/365.25)</f>
        <v/>
      </c>
      <c r="N79" s="14">
        <f>IFERROR(IF(I79="LeaseUp",H79*D79*(1+GrowthMarketRent)^0*IF(0=0,(12-DowntimeNew)/12,1),IF(F79="",0,IF(F79&gt;=DATE(2027+0,4,30),G79*D79*(1+EscalatorInLease)^(0+M79),IF(F79&lt;DATE(2026+0,5,1),IF(I79="Vacate",H79*D79*(1+GrowthMarketRent)^0*IF(INT((DATE(2026+0,10,31)-F79)/365.25)=0,(12-DowntimeNew)/12,1),IF(I79="Option",G79*D79*1.025*(1+EscalatorInLease)^0,IF(I79="Market",Retention*G79*D79*(1+EscalatorInLease)^(0+M79)+(1-Retention)*H79*D79*(1+GrowthMarketRent)^0*IF(INT((DATE(2026+0,10,31)-F79)/365.25)=0,(12-DowntimeNew)/12,1),IF(I79="LeaseUp",H79*D79*(1+GrowthMarketRent)^0*IF(0=0,(12-DowntimeNew)/12,1),0)))),((F79-DATE(2026+0,5,1))/365.25)*G79*D79*(1+EscalatorInLease)^(0+M79)+((DATE(2027+0,4,30)-F79)/365.25)*IF(I79="Vacate",H79*D79*(1+GrowthMarketRent)^0*IF(INT((DATE(2026+0,10,31)-F79)/365.25)=0,(12-DowntimeNew)/12,1),IF(I79="Option",G79*D79*1.025*(1+EscalatorInLease)^0,IF(I79="Market",Retention*G79*D79*(1+EscalatorInLease)^(0+M79)+(1-Retention)*H79*D79*(1+GrowthMarketRent)^0*IF(INT((DATE(2026+0,10,31)-F79)/365.25)=0,(12-DowntimeNew)/12,1),IF(I79="LeaseUp",H79*D79*(1+GrowthMarketRent)^0*IF(0=0,(12-DowntimeNew)/12,1),0)))))))),0)</f>
        <v/>
      </c>
      <c r="O79" s="14">
        <f>IFERROR(IF(I79="LeaseUp",H79*D79*(1+GrowthMarketRent)^1*IF(1=0,(12-DowntimeNew)/12,1),IF(F79="",0,IF(F79&gt;=DATE(2027+1,4,30),G79*D79*(1+EscalatorInLease)^(1+M79),IF(F79&lt;DATE(2026+1,5,1),IF(I79="Vacate",H79*D79*(1+GrowthMarketRent)^1*IF(INT((DATE(2026+1,10,31)-F79)/365.25)=0,(12-DowntimeNew)/12,1),IF(I79="Option",G79*D79*1.025*(1+EscalatorInLease)^1,IF(I79="Market",Retention*G79*D79*(1+EscalatorInLease)^(1+M79)+(1-Retention)*H79*D79*(1+GrowthMarketRent)^1*IF(INT((DATE(2026+1,10,31)-F79)/365.25)=0,(12-DowntimeNew)/12,1),IF(I79="LeaseUp",H79*D79*(1+GrowthMarketRent)^1*IF(1=0,(12-DowntimeNew)/12,1),0)))),((F79-DATE(2026+1,5,1))/365.25)*G79*D79*(1+EscalatorInLease)^(1+M79)+((DATE(2027+1,4,30)-F79)/365.25)*IF(I79="Vacate",H79*D79*(1+GrowthMarketRent)^1*IF(INT((DATE(2026+1,10,31)-F79)/365.25)=0,(12-DowntimeNew)/12,1),IF(I79="Option",G79*D79*1.025*(1+EscalatorInLease)^1,IF(I79="Market",Retention*G79*D79*(1+EscalatorInLease)^(1+M79)+(1-Retention)*H79*D79*(1+GrowthMarketRent)^1*IF(INT((DATE(2026+1,10,31)-F79)/365.25)=0,(12-DowntimeNew)/12,1),IF(I79="LeaseUp",H79*D79*(1+GrowthMarketRent)^1*IF(1=0,(12-DowntimeNew)/12,1),0)))))))),0)</f>
        <v/>
      </c>
      <c r="P79" s="14">
        <f>IFERROR(IF(I79="LeaseUp",H79*D79*(1+GrowthMarketRent)^2*IF(2=0,(12-DowntimeNew)/12,1),IF(F79="",0,IF(F79&gt;=DATE(2027+2,4,30),G79*D79*(1+EscalatorInLease)^(2+M79),IF(F79&lt;DATE(2026+2,5,1),IF(I79="Vacate",H79*D79*(1+GrowthMarketRent)^2*IF(INT((DATE(2026+2,10,31)-F79)/365.25)=0,(12-DowntimeNew)/12,1),IF(I79="Option",G79*D79*1.025*(1+EscalatorInLease)^2,IF(I79="Market",Retention*G79*D79*(1+EscalatorInLease)^(2+M79)+(1-Retention)*H79*D79*(1+GrowthMarketRent)^2*IF(INT((DATE(2026+2,10,31)-F79)/365.25)=0,(12-DowntimeNew)/12,1),IF(I79="LeaseUp",H79*D79*(1+GrowthMarketRent)^2*IF(2=0,(12-DowntimeNew)/12,1),0)))),((F79-DATE(2026+2,5,1))/365.25)*G79*D79*(1+EscalatorInLease)^(2+M79)+((DATE(2027+2,4,30)-F79)/365.25)*IF(I79="Vacate",H79*D79*(1+GrowthMarketRent)^2*IF(INT((DATE(2026+2,10,31)-F79)/365.25)=0,(12-DowntimeNew)/12,1),IF(I79="Option",G79*D79*1.025*(1+EscalatorInLease)^2,IF(I79="Market",Retention*G79*D79*(1+EscalatorInLease)^(2+M79)+(1-Retention)*H79*D79*(1+GrowthMarketRent)^2*IF(INT((DATE(2026+2,10,31)-F79)/365.25)=0,(12-DowntimeNew)/12,1),IF(I79="LeaseUp",H79*D79*(1+GrowthMarketRent)^2*IF(2=0,(12-DowntimeNew)/12,1),0)))))))),0)</f>
        <v/>
      </c>
      <c r="Q79" s="14">
        <f>IFERROR(IF(I79="LeaseUp",H79*D79*(1+GrowthMarketRent)^3*IF(3=0,(12-DowntimeNew)/12,1),IF(F79="",0,IF(F79&gt;=DATE(2027+3,4,30),G79*D79*(1+EscalatorInLease)^(3+M79),IF(F79&lt;DATE(2026+3,5,1),IF(I79="Vacate",H79*D79*(1+GrowthMarketRent)^3*IF(INT((DATE(2026+3,10,31)-F79)/365.25)=0,(12-DowntimeNew)/12,1),IF(I79="Option",G79*D79*1.025*(1+EscalatorInLease)^3,IF(I79="Market",Retention*G79*D79*(1+EscalatorInLease)^(3+M79)+(1-Retention)*H79*D79*(1+GrowthMarketRent)^3*IF(INT((DATE(2026+3,10,31)-F79)/365.25)=0,(12-DowntimeNew)/12,1),IF(I79="LeaseUp",H79*D79*(1+GrowthMarketRent)^3*IF(3=0,(12-DowntimeNew)/12,1),0)))),((F79-DATE(2026+3,5,1))/365.25)*G79*D79*(1+EscalatorInLease)^(3+M79)+((DATE(2027+3,4,30)-F79)/365.25)*IF(I79="Vacate",H79*D79*(1+GrowthMarketRent)^3*IF(INT((DATE(2026+3,10,31)-F79)/365.25)=0,(12-DowntimeNew)/12,1),IF(I79="Option",G79*D79*1.025*(1+EscalatorInLease)^3,IF(I79="Market",Retention*G79*D79*(1+EscalatorInLease)^(3+M79)+(1-Retention)*H79*D79*(1+GrowthMarketRent)^3*IF(INT((DATE(2026+3,10,31)-F79)/365.25)=0,(12-DowntimeNew)/12,1),IF(I79="LeaseUp",H79*D79*(1+GrowthMarketRent)^3*IF(3=0,(12-DowntimeNew)/12,1),0)))))))),0)</f>
        <v/>
      </c>
      <c r="R79" s="14">
        <f>IFERROR(IF(I79="LeaseUp",H79*D79*(1+GrowthMarketRent)^4*IF(4=0,(12-DowntimeNew)/12,1),IF(F79="",0,IF(F79&gt;=DATE(2027+4,4,30),G79*D79*(1+EscalatorInLease)^(4+M79),IF(F79&lt;DATE(2026+4,5,1),IF(I79="Vacate",H79*D79*(1+GrowthMarketRent)^4*IF(INT((DATE(2026+4,10,31)-F79)/365.25)=0,(12-DowntimeNew)/12,1),IF(I79="Option",G79*D79*1.025*(1+EscalatorInLease)^4,IF(I79="Market",Retention*G79*D79*(1+EscalatorInLease)^(4+M79)+(1-Retention)*H79*D79*(1+GrowthMarketRent)^4*IF(INT((DATE(2026+4,10,31)-F79)/365.25)=0,(12-DowntimeNew)/12,1),IF(I79="LeaseUp",H79*D79*(1+GrowthMarketRent)^4*IF(4=0,(12-DowntimeNew)/12,1),0)))),((F79-DATE(2026+4,5,1))/365.25)*G79*D79*(1+EscalatorInLease)^(4+M79)+((DATE(2027+4,4,30)-F79)/365.25)*IF(I79="Vacate",H79*D79*(1+GrowthMarketRent)^4*IF(INT((DATE(2026+4,10,31)-F79)/365.25)=0,(12-DowntimeNew)/12,1),IF(I79="Option",G79*D79*1.025*(1+EscalatorInLease)^4,IF(I79="Market",Retention*G79*D79*(1+EscalatorInLease)^(4+M79)+(1-Retention)*H79*D79*(1+GrowthMarketRent)^4*IF(INT((DATE(2026+4,10,31)-F79)/365.25)=0,(12-DowntimeNew)/12,1),IF(I79="LeaseUp",H79*D79*(1+GrowthMarketRent)^4*IF(4=0,(12-DowntimeNew)/12,1),0)))))))),0)</f>
        <v/>
      </c>
      <c r="S79" s="14">
        <f>IFERROR(IF(I79="LeaseUp",H79*D79*(1+GrowthMarketRent)^5*IF(5=0,(12-DowntimeNew)/12,1),IF(F79="",0,IF(F79&gt;=DATE(2027+5,4,30),G79*D79*(1+EscalatorInLease)^(5+M79),IF(F79&lt;DATE(2026+5,5,1),IF(I79="Vacate",H79*D79*(1+GrowthMarketRent)^5*IF(INT((DATE(2026+5,10,31)-F79)/365.25)=0,(12-DowntimeNew)/12,1),IF(I79="Option",G79*D79*1.025*(1+EscalatorInLease)^5,IF(I79="Market",Retention*G79*D79*(1+EscalatorInLease)^(5+M79)+(1-Retention)*H79*D79*(1+GrowthMarketRent)^5*IF(INT((DATE(2026+5,10,31)-F79)/365.25)=0,(12-DowntimeNew)/12,1),IF(I79="LeaseUp",H79*D79*(1+GrowthMarketRent)^5*IF(5=0,(12-DowntimeNew)/12,1),0)))),((F79-DATE(2026+5,5,1))/365.25)*G79*D79*(1+EscalatorInLease)^(5+M79)+((DATE(2027+5,4,30)-F79)/365.25)*IF(I79="Vacate",H79*D79*(1+GrowthMarketRent)^5*IF(INT((DATE(2026+5,10,31)-F79)/365.25)=0,(12-DowntimeNew)/12,1),IF(I79="Option",G79*D79*1.025*(1+EscalatorInLease)^5,IF(I79="Market",Retention*G79*D79*(1+EscalatorInLease)^(5+M79)+(1-Retention)*H79*D79*(1+GrowthMarketRent)^5*IF(INT((DATE(2026+5,10,31)-F79)/365.25)=0,(12-DowntimeNew)/12,1),IF(I79="LeaseUp",H79*D79*(1+GrowthMarketRent)^5*IF(5=0,(12-DowntimeNew)/12,1),0)))))))),0)</f>
        <v/>
      </c>
      <c r="T79" s="14">
        <f>IFERROR(IF(I79="LeaseUp",H79*D79*(1+GrowthMarketRent)^6*IF(6=0,(12-DowntimeNew)/12,1),IF(F79="",0,IF(F79&gt;=DATE(2027+6,4,30),G79*D79*(1+EscalatorInLease)^(6+M79),IF(F79&lt;DATE(2026+6,5,1),IF(I79="Vacate",H79*D79*(1+GrowthMarketRent)^6*IF(INT((DATE(2026+6,10,31)-F79)/365.25)=0,(12-DowntimeNew)/12,1),IF(I79="Option",G79*D79*1.025*(1+EscalatorInLease)^6,IF(I79="Market",Retention*G79*D79*(1+EscalatorInLease)^(6+M79)+(1-Retention)*H79*D79*(1+GrowthMarketRent)^6*IF(INT((DATE(2026+6,10,31)-F79)/365.25)=0,(12-DowntimeNew)/12,1),IF(I79="LeaseUp",H79*D79*(1+GrowthMarketRent)^6*IF(6=0,(12-DowntimeNew)/12,1),0)))),((F79-DATE(2026+6,5,1))/365.25)*G79*D79*(1+EscalatorInLease)^(6+M79)+((DATE(2027+6,4,30)-F79)/365.25)*IF(I79="Vacate",H79*D79*(1+GrowthMarketRent)^6*IF(INT((DATE(2026+6,10,31)-F79)/365.25)=0,(12-DowntimeNew)/12,1),IF(I79="Option",G79*D79*1.025*(1+EscalatorInLease)^6,IF(I79="Market",Retention*G79*D79*(1+EscalatorInLease)^(6+M79)+(1-Retention)*H79*D79*(1+GrowthMarketRent)^6*IF(INT((DATE(2026+6,10,31)-F79)/365.25)=0,(12-DowntimeNew)/12,1),IF(I79="LeaseUp",H79*D79*(1+GrowthMarketRent)^6*IF(6=0,(12-DowntimeNew)/12,1),0)))))))),0)</f>
        <v/>
      </c>
      <c r="U79" s="14">
        <f>IFERROR(IF(I79="LeaseUp",H79*D79*(1+GrowthMarketRent)^7*IF(7=0,(12-DowntimeNew)/12,1),IF(F79="",0,IF(F79&gt;=DATE(2027+7,4,30),G79*D79*(1+EscalatorInLease)^(7+M79),IF(F79&lt;DATE(2026+7,5,1),IF(I79="Vacate",H79*D79*(1+GrowthMarketRent)^7*IF(INT((DATE(2026+7,10,31)-F79)/365.25)=0,(12-DowntimeNew)/12,1),IF(I79="Option",G79*D79*1.025*(1+EscalatorInLease)^7,IF(I79="Market",Retention*G79*D79*(1+EscalatorInLease)^(7+M79)+(1-Retention)*H79*D79*(1+GrowthMarketRent)^7*IF(INT((DATE(2026+7,10,31)-F79)/365.25)=0,(12-DowntimeNew)/12,1),IF(I79="LeaseUp",H79*D79*(1+GrowthMarketRent)^7*IF(7=0,(12-DowntimeNew)/12,1),0)))),((F79-DATE(2026+7,5,1))/365.25)*G79*D79*(1+EscalatorInLease)^(7+M79)+((DATE(2027+7,4,30)-F79)/365.25)*IF(I79="Vacate",H79*D79*(1+GrowthMarketRent)^7*IF(INT((DATE(2026+7,10,31)-F79)/365.25)=0,(12-DowntimeNew)/12,1),IF(I79="Option",G79*D79*1.025*(1+EscalatorInLease)^7,IF(I79="Market",Retention*G79*D79*(1+EscalatorInLease)^(7+M79)+(1-Retention)*H79*D79*(1+GrowthMarketRent)^7*IF(INT((DATE(2026+7,10,31)-F79)/365.25)=0,(12-DowntimeNew)/12,1),IF(I79="LeaseUp",H79*D79*(1+GrowthMarketRent)^7*IF(7=0,(12-DowntimeNew)/12,1),0)))))))),0)</f>
        <v/>
      </c>
      <c r="V79" s="14">
        <f>IFERROR(IF(I79="LeaseUp",H79*D79*(1+GrowthMarketRent)^8*IF(8=0,(12-DowntimeNew)/12,1),IF(F79="",0,IF(F79&gt;=DATE(2027+8,4,30),G79*D79*(1+EscalatorInLease)^(8+M79),IF(F79&lt;DATE(2026+8,5,1),IF(I79="Vacate",H79*D79*(1+GrowthMarketRent)^8*IF(INT((DATE(2026+8,10,31)-F79)/365.25)=0,(12-DowntimeNew)/12,1),IF(I79="Option",G79*D79*1.025*(1+EscalatorInLease)^8,IF(I79="Market",Retention*G79*D79*(1+EscalatorInLease)^(8+M79)+(1-Retention)*H79*D79*(1+GrowthMarketRent)^8*IF(INT((DATE(2026+8,10,31)-F79)/365.25)=0,(12-DowntimeNew)/12,1),IF(I79="LeaseUp",H79*D79*(1+GrowthMarketRent)^8*IF(8=0,(12-DowntimeNew)/12,1),0)))),((F79-DATE(2026+8,5,1))/365.25)*G79*D79*(1+EscalatorInLease)^(8+M79)+((DATE(2027+8,4,30)-F79)/365.25)*IF(I79="Vacate",H79*D79*(1+GrowthMarketRent)^8*IF(INT((DATE(2026+8,10,31)-F79)/365.25)=0,(12-DowntimeNew)/12,1),IF(I79="Option",G79*D79*1.025*(1+EscalatorInLease)^8,IF(I79="Market",Retention*G79*D79*(1+EscalatorInLease)^(8+M79)+(1-Retention)*H79*D79*(1+GrowthMarketRent)^8*IF(INT((DATE(2026+8,10,31)-F79)/365.25)=0,(12-DowntimeNew)/12,1),IF(I79="LeaseUp",H79*D79*(1+GrowthMarketRent)^8*IF(8=0,(12-DowntimeNew)/12,1),0)))))))),0)</f>
        <v/>
      </c>
      <c r="W79" s="14">
        <f>IFERROR(IF(I79="LeaseUp",H79*D79*(1+GrowthMarketRent)^9*IF(9=0,(12-DowntimeNew)/12,1),IF(F79="",0,IF(F79&gt;=DATE(2027+9,4,30),G79*D79*(1+EscalatorInLease)^(9+M79),IF(F79&lt;DATE(2026+9,5,1),IF(I79="Vacate",H79*D79*(1+GrowthMarketRent)^9*IF(INT((DATE(2026+9,10,31)-F79)/365.25)=0,(12-DowntimeNew)/12,1),IF(I79="Option",G79*D79*1.025*(1+EscalatorInLease)^9,IF(I79="Market",Retention*G79*D79*(1+EscalatorInLease)^(9+M79)+(1-Retention)*H79*D79*(1+GrowthMarketRent)^9*IF(INT((DATE(2026+9,10,31)-F79)/365.25)=0,(12-DowntimeNew)/12,1),IF(I79="LeaseUp",H79*D79*(1+GrowthMarketRent)^9*IF(9=0,(12-DowntimeNew)/12,1),0)))),((F79-DATE(2026+9,5,1))/365.25)*G79*D79*(1+EscalatorInLease)^(9+M79)+((DATE(2027+9,4,30)-F79)/365.25)*IF(I79="Vacate",H79*D79*(1+GrowthMarketRent)^9*IF(INT((DATE(2026+9,10,31)-F79)/365.25)=0,(12-DowntimeNew)/12,1),IF(I79="Option",G79*D79*1.025*(1+EscalatorInLease)^9,IF(I79="Market",Retention*G79*D79*(1+EscalatorInLease)^(9+M79)+(1-Retention)*H79*D79*(1+GrowthMarketRent)^9*IF(INT((DATE(2026+9,10,31)-F79)/365.25)=0,(12-DowntimeNew)/12,1),IF(I79="LeaseUp",H79*D79*(1+GrowthMarketRent)^9*IF(9=0,(12-DowntimeNew)/12,1),0)))))))),0)</f>
        <v/>
      </c>
      <c r="X79" s="14">
        <f>IFERROR(IF(I79="LeaseUp",H79*D79*(1+GrowthMarketRent)^10*IF(10=0,(12-DowntimeNew)/12,1),IF(F79="",0,IF(F79&gt;=DATE(2027+10,4,30),G79*D79*(1+EscalatorInLease)^(10+M79),IF(F79&lt;DATE(2026+10,5,1),IF(I79="Vacate",H79*D79*(1+GrowthMarketRent)^10*IF(INT((DATE(2026+10,10,31)-F79)/365.25)=0,(12-DowntimeNew)/12,1),IF(I79="Option",G79*D79*1.025*(1+EscalatorInLease)^10,IF(I79="Market",Retention*G79*D79*(1+EscalatorInLease)^(10+M79)+(1-Retention)*H79*D79*(1+GrowthMarketRent)^10*IF(INT((DATE(2026+10,10,31)-F79)/365.25)=0,(12-DowntimeNew)/12,1),IF(I79="LeaseUp",H79*D79*(1+GrowthMarketRent)^10*IF(10=0,(12-DowntimeNew)/12,1),0)))),((F79-DATE(2026+10,5,1))/365.25)*G79*D79*(1+EscalatorInLease)^(10+M79)+((DATE(2027+10,4,30)-F79)/365.25)*IF(I79="Vacate",H79*D79*(1+GrowthMarketRent)^10*IF(INT((DATE(2026+10,10,31)-F79)/365.25)=0,(12-DowntimeNew)/12,1),IF(I79="Option",G79*D79*1.025*(1+EscalatorInLease)^10,IF(I79="Market",Retention*G79*D79*(1+EscalatorInLease)^(10+M79)+(1-Retention)*H79*D79*(1+GrowthMarketRent)^10*IF(INT((DATE(2026+10,10,31)-F79)/365.25)=0,(12-DowntimeNew)/12,1),IF(I79="LeaseUp",H79*D79*(1+GrowthMarketRent)^10*IF(10=0,(12-DowntimeNew)/12,1),0)))))))),0)</f>
        <v/>
      </c>
      <c r="Y79" s="14">
        <f>IFERROR(IF(AND(I79="LeaseUp",0=0),(IF(I79="Vacate",TINew*D79,IF(I79="Market",Retention*TIRenewal*D79+(1-Retention)*TINew*D79,IF(I79="LeaseUp",TINew*D79,IF(I79="Option",TIRenewal*D79,0)))))+(IF(I79="Vacate",LCNew*H79*D79*(1+GrowthMarketRent)^0,IF(I79="Market",Retention*LCRenewal*H79*D79*(1+GrowthMarketRent)^0+(1-Retention)*LCNew*H79*D79*(1+GrowthMarketRent)^0,IF(I79="LeaseUp",LCNew*H79*D79*(1+GrowthMarketRent)^0,IF(I79="Option",LCRenewal*H79*D79*(1+GrowthMarketRent)^0,0))))),IF(F79="",0,IF(AND(F79&gt;=DATE(2026+0,5,1),F79&lt;=DATE(2027+0,4,30)),(IF(I79="Vacate",TINew*D79,IF(I79="Market",Retention*TIRenewal*D79+(1-Retention)*TINew*D79,IF(I79="LeaseUp",TINew*D79,IF(I79="Option",TIRenewal*D79,0)))))+(IF(I79="Vacate",LCNew*H79*D79*(1+GrowthMarketRent)^0,IF(I79="Market",Retention*LCRenewal*H79*D79*(1+GrowthMarketRent)^0+(1-Retention)*LCNew*H79*D79*(1+GrowthMarketRent)^0,IF(I79="LeaseUp",LCNew*H79*D79*(1+GrowthMarketRent)^0,IF(I79="Option",LCRenewal*H79*D79*(1+GrowthMarketRent)^0,0))))),0))),0)</f>
        <v/>
      </c>
      <c r="Z79" s="14">
        <f>IFERROR(IF(AND(I79="LeaseUp",1=0),(IF(I79="Vacate",TINew*D79,IF(I79="Market",Retention*TIRenewal*D79+(1-Retention)*TINew*D79,IF(I79="LeaseUp",TINew*D79,IF(I79="Option",TIRenewal*D79,0)))))+(IF(I79="Vacate",LCNew*H79*D79*(1+GrowthMarketRent)^1,IF(I79="Market",Retention*LCRenewal*H79*D79*(1+GrowthMarketRent)^1+(1-Retention)*LCNew*H79*D79*(1+GrowthMarketRent)^1,IF(I79="LeaseUp",LCNew*H79*D79*(1+GrowthMarketRent)^1,IF(I79="Option",LCRenewal*H79*D79*(1+GrowthMarketRent)^1,0))))),IF(F79="",0,IF(AND(F79&gt;=DATE(2026+1,5,1),F79&lt;=DATE(2027+1,4,30)),(IF(I79="Vacate",TINew*D79,IF(I79="Market",Retention*TIRenewal*D79+(1-Retention)*TINew*D79,IF(I79="LeaseUp",TINew*D79,IF(I79="Option",TIRenewal*D79,0)))))+(IF(I79="Vacate",LCNew*H79*D79*(1+GrowthMarketRent)^1,IF(I79="Market",Retention*LCRenewal*H79*D79*(1+GrowthMarketRent)^1+(1-Retention)*LCNew*H79*D79*(1+GrowthMarketRent)^1,IF(I79="LeaseUp",LCNew*H79*D79*(1+GrowthMarketRent)^1,IF(I79="Option",LCRenewal*H79*D79*(1+GrowthMarketRent)^1,0))))),0))),0)</f>
        <v/>
      </c>
      <c r="AA79" s="14">
        <f>IFERROR(IF(AND(I79="LeaseUp",2=0),(IF(I79="Vacate",TINew*D79,IF(I79="Market",Retention*TIRenewal*D79+(1-Retention)*TINew*D79,IF(I79="LeaseUp",TINew*D79,IF(I79="Option",TIRenewal*D79,0)))))+(IF(I79="Vacate",LCNew*H79*D79*(1+GrowthMarketRent)^2,IF(I79="Market",Retention*LCRenewal*H79*D79*(1+GrowthMarketRent)^2+(1-Retention)*LCNew*H79*D79*(1+GrowthMarketRent)^2,IF(I79="LeaseUp",LCNew*H79*D79*(1+GrowthMarketRent)^2,IF(I79="Option",LCRenewal*H79*D79*(1+GrowthMarketRent)^2,0))))),IF(F79="",0,IF(AND(F79&gt;=DATE(2026+2,5,1),F79&lt;=DATE(2027+2,4,30)),(IF(I79="Vacate",TINew*D79,IF(I79="Market",Retention*TIRenewal*D79+(1-Retention)*TINew*D79,IF(I79="LeaseUp",TINew*D79,IF(I79="Option",TIRenewal*D79,0)))))+(IF(I79="Vacate",LCNew*H79*D79*(1+GrowthMarketRent)^2,IF(I79="Market",Retention*LCRenewal*H79*D79*(1+GrowthMarketRent)^2+(1-Retention)*LCNew*H79*D79*(1+GrowthMarketRent)^2,IF(I79="LeaseUp",LCNew*H79*D79*(1+GrowthMarketRent)^2,IF(I79="Option",LCRenewal*H79*D79*(1+GrowthMarketRent)^2,0))))),0))),0)</f>
        <v/>
      </c>
      <c r="AB79" s="14">
        <f>IFERROR(IF(AND(I79="LeaseUp",3=0),(IF(I79="Vacate",TINew*D79,IF(I79="Market",Retention*TIRenewal*D79+(1-Retention)*TINew*D79,IF(I79="LeaseUp",TINew*D79,IF(I79="Option",TIRenewal*D79,0)))))+(IF(I79="Vacate",LCNew*H79*D79*(1+GrowthMarketRent)^3,IF(I79="Market",Retention*LCRenewal*H79*D79*(1+GrowthMarketRent)^3+(1-Retention)*LCNew*H79*D79*(1+GrowthMarketRent)^3,IF(I79="LeaseUp",LCNew*H79*D79*(1+GrowthMarketRent)^3,IF(I79="Option",LCRenewal*H79*D79*(1+GrowthMarketRent)^3,0))))),IF(F79="",0,IF(AND(F79&gt;=DATE(2026+3,5,1),F79&lt;=DATE(2027+3,4,30)),(IF(I79="Vacate",TINew*D79,IF(I79="Market",Retention*TIRenewal*D79+(1-Retention)*TINew*D79,IF(I79="LeaseUp",TINew*D79,IF(I79="Option",TIRenewal*D79,0)))))+(IF(I79="Vacate",LCNew*H79*D79*(1+GrowthMarketRent)^3,IF(I79="Market",Retention*LCRenewal*H79*D79*(1+GrowthMarketRent)^3+(1-Retention)*LCNew*H79*D79*(1+GrowthMarketRent)^3,IF(I79="LeaseUp",LCNew*H79*D79*(1+GrowthMarketRent)^3,IF(I79="Option",LCRenewal*H79*D79*(1+GrowthMarketRent)^3,0))))),0))),0)</f>
        <v/>
      </c>
      <c r="AC79" s="14">
        <f>IFERROR(IF(AND(I79="LeaseUp",4=0),(IF(I79="Vacate",TINew*D79,IF(I79="Market",Retention*TIRenewal*D79+(1-Retention)*TINew*D79,IF(I79="LeaseUp",TINew*D79,IF(I79="Option",TIRenewal*D79,0)))))+(IF(I79="Vacate",LCNew*H79*D79*(1+GrowthMarketRent)^4,IF(I79="Market",Retention*LCRenewal*H79*D79*(1+GrowthMarketRent)^4+(1-Retention)*LCNew*H79*D79*(1+GrowthMarketRent)^4,IF(I79="LeaseUp",LCNew*H79*D79*(1+GrowthMarketRent)^4,IF(I79="Option",LCRenewal*H79*D79*(1+GrowthMarketRent)^4,0))))),IF(F79="",0,IF(AND(F79&gt;=DATE(2026+4,5,1),F79&lt;=DATE(2027+4,4,30)),(IF(I79="Vacate",TINew*D79,IF(I79="Market",Retention*TIRenewal*D79+(1-Retention)*TINew*D79,IF(I79="LeaseUp",TINew*D79,IF(I79="Option",TIRenewal*D79,0)))))+(IF(I79="Vacate",LCNew*H79*D79*(1+GrowthMarketRent)^4,IF(I79="Market",Retention*LCRenewal*H79*D79*(1+GrowthMarketRent)^4+(1-Retention)*LCNew*H79*D79*(1+GrowthMarketRent)^4,IF(I79="LeaseUp",LCNew*H79*D79*(1+GrowthMarketRent)^4,IF(I79="Option",LCRenewal*H79*D79*(1+GrowthMarketRent)^4,0))))),0))),0)</f>
        <v/>
      </c>
      <c r="AD79" s="14">
        <f>IFERROR(IF(AND(I79="LeaseUp",5=0),(IF(I79="Vacate",TINew*D79,IF(I79="Market",Retention*TIRenewal*D79+(1-Retention)*TINew*D79,IF(I79="LeaseUp",TINew*D79,IF(I79="Option",TIRenewal*D79,0)))))+(IF(I79="Vacate",LCNew*H79*D79*(1+GrowthMarketRent)^5,IF(I79="Market",Retention*LCRenewal*H79*D79*(1+GrowthMarketRent)^5+(1-Retention)*LCNew*H79*D79*(1+GrowthMarketRent)^5,IF(I79="LeaseUp",LCNew*H79*D79*(1+GrowthMarketRent)^5,IF(I79="Option",LCRenewal*H79*D79*(1+GrowthMarketRent)^5,0))))),IF(F79="",0,IF(AND(F79&gt;=DATE(2026+5,5,1),F79&lt;=DATE(2027+5,4,30)),(IF(I79="Vacate",TINew*D79,IF(I79="Market",Retention*TIRenewal*D79+(1-Retention)*TINew*D79,IF(I79="LeaseUp",TINew*D79,IF(I79="Option",TIRenewal*D79,0)))))+(IF(I79="Vacate",LCNew*H79*D79*(1+GrowthMarketRent)^5,IF(I79="Market",Retention*LCRenewal*H79*D79*(1+GrowthMarketRent)^5+(1-Retention)*LCNew*H79*D79*(1+GrowthMarketRent)^5,IF(I79="LeaseUp",LCNew*H79*D79*(1+GrowthMarketRent)^5,IF(I79="Option",LCRenewal*H79*D79*(1+GrowthMarketRent)^5,0))))),0))),0)</f>
        <v/>
      </c>
      <c r="AE79" s="14">
        <f>IFERROR(IF(AND(I79="LeaseUp",6=0),(IF(I79="Vacate",TINew*D79,IF(I79="Market",Retention*TIRenewal*D79+(1-Retention)*TINew*D79,IF(I79="LeaseUp",TINew*D79,IF(I79="Option",TIRenewal*D79,0)))))+(IF(I79="Vacate",LCNew*H79*D79*(1+GrowthMarketRent)^6,IF(I79="Market",Retention*LCRenewal*H79*D79*(1+GrowthMarketRent)^6+(1-Retention)*LCNew*H79*D79*(1+GrowthMarketRent)^6,IF(I79="LeaseUp",LCNew*H79*D79*(1+GrowthMarketRent)^6,IF(I79="Option",LCRenewal*H79*D79*(1+GrowthMarketRent)^6,0))))),IF(F79="",0,IF(AND(F79&gt;=DATE(2026+6,5,1),F79&lt;=DATE(2027+6,4,30)),(IF(I79="Vacate",TINew*D79,IF(I79="Market",Retention*TIRenewal*D79+(1-Retention)*TINew*D79,IF(I79="LeaseUp",TINew*D79,IF(I79="Option",TIRenewal*D79,0)))))+(IF(I79="Vacate",LCNew*H79*D79*(1+GrowthMarketRent)^6,IF(I79="Market",Retention*LCRenewal*H79*D79*(1+GrowthMarketRent)^6+(1-Retention)*LCNew*H79*D79*(1+GrowthMarketRent)^6,IF(I79="LeaseUp",LCNew*H79*D79*(1+GrowthMarketRent)^6,IF(I79="Option",LCRenewal*H79*D79*(1+GrowthMarketRent)^6,0))))),0))),0)</f>
        <v/>
      </c>
      <c r="AF79" s="14">
        <f>IFERROR(IF(AND(I79="LeaseUp",7=0),(IF(I79="Vacate",TINew*D79,IF(I79="Market",Retention*TIRenewal*D79+(1-Retention)*TINew*D79,IF(I79="LeaseUp",TINew*D79,IF(I79="Option",TIRenewal*D79,0)))))+(IF(I79="Vacate",LCNew*H79*D79*(1+GrowthMarketRent)^7,IF(I79="Market",Retention*LCRenewal*H79*D79*(1+GrowthMarketRent)^7+(1-Retention)*LCNew*H79*D79*(1+GrowthMarketRent)^7,IF(I79="LeaseUp",LCNew*H79*D79*(1+GrowthMarketRent)^7,IF(I79="Option",LCRenewal*H79*D79*(1+GrowthMarketRent)^7,0))))),IF(F79="",0,IF(AND(F79&gt;=DATE(2026+7,5,1),F79&lt;=DATE(2027+7,4,30)),(IF(I79="Vacate",TINew*D79,IF(I79="Market",Retention*TIRenewal*D79+(1-Retention)*TINew*D79,IF(I79="LeaseUp",TINew*D79,IF(I79="Option",TIRenewal*D79,0)))))+(IF(I79="Vacate",LCNew*H79*D79*(1+GrowthMarketRent)^7,IF(I79="Market",Retention*LCRenewal*H79*D79*(1+GrowthMarketRent)^7+(1-Retention)*LCNew*H79*D79*(1+GrowthMarketRent)^7,IF(I79="LeaseUp",LCNew*H79*D79*(1+GrowthMarketRent)^7,IF(I79="Option",LCRenewal*H79*D79*(1+GrowthMarketRent)^7,0))))),0))),0)</f>
        <v/>
      </c>
      <c r="AG79" s="14">
        <f>IFERROR(IF(AND(I79="LeaseUp",8=0),(IF(I79="Vacate",TINew*D79,IF(I79="Market",Retention*TIRenewal*D79+(1-Retention)*TINew*D79,IF(I79="LeaseUp",TINew*D79,IF(I79="Option",TIRenewal*D79,0)))))+(IF(I79="Vacate",LCNew*H79*D79*(1+GrowthMarketRent)^8,IF(I79="Market",Retention*LCRenewal*H79*D79*(1+GrowthMarketRent)^8+(1-Retention)*LCNew*H79*D79*(1+GrowthMarketRent)^8,IF(I79="LeaseUp",LCNew*H79*D79*(1+GrowthMarketRent)^8,IF(I79="Option",LCRenewal*H79*D79*(1+GrowthMarketRent)^8,0))))),IF(F79="",0,IF(AND(F79&gt;=DATE(2026+8,5,1),F79&lt;=DATE(2027+8,4,30)),(IF(I79="Vacate",TINew*D79,IF(I79="Market",Retention*TIRenewal*D79+(1-Retention)*TINew*D79,IF(I79="LeaseUp",TINew*D79,IF(I79="Option",TIRenewal*D79,0)))))+(IF(I79="Vacate",LCNew*H79*D79*(1+GrowthMarketRent)^8,IF(I79="Market",Retention*LCRenewal*H79*D79*(1+GrowthMarketRent)^8+(1-Retention)*LCNew*H79*D79*(1+GrowthMarketRent)^8,IF(I79="LeaseUp",LCNew*H79*D79*(1+GrowthMarketRent)^8,IF(I79="Option",LCRenewal*H79*D79*(1+GrowthMarketRent)^8,0))))),0))),0)</f>
        <v/>
      </c>
      <c r="AH79" s="14">
        <f>IFERROR(IF(AND(I79="LeaseUp",9=0),(IF(I79="Vacate",TINew*D79,IF(I79="Market",Retention*TIRenewal*D79+(1-Retention)*TINew*D79,IF(I79="LeaseUp",TINew*D79,IF(I79="Option",TIRenewal*D79,0)))))+(IF(I79="Vacate",LCNew*H79*D79*(1+GrowthMarketRent)^9,IF(I79="Market",Retention*LCRenewal*H79*D79*(1+GrowthMarketRent)^9+(1-Retention)*LCNew*H79*D79*(1+GrowthMarketRent)^9,IF(I79="LeaseUp",LCNew*H79*D79*(1+GrowthMarketRent)^9,IF(I79="Option",LCRenewal*H79*D79*(1+GrowthMarketRent)^9,0))))),IF(F79="",0,IF(AND(F79&gt;=DATE(2026+9,5,1),F79&lt;=DATE(2027+9,4,30)),(IF(I79="Vacate",TINew*D79,IF(I79="Market",Retention*TIRenewal*D79+(1-Retention)*TINew*D79,IF(I79="LeaseUp",TINew*D79,IF(I79="Option",TIRenewal*D79,0)))))+(IF(I79="Vacate",LCNew*H79*D79*(1+GrowthMarketRent)^9,IF(I79="Market",Retention*LCRenewal*H79*D79*(1+GrowthMarketRent)^9+(1-Retention)*LCNew*H79*D79*(1+GrowthMarketRent)^9,IF(I79="LeaseUp",LCNew*H79*D79*(1+GrowthMarketRent)^9,IF(I79="Option",LCRenewal*H79*D79*(1+GrowthMarketRent)^9,0))))),0))),0)</f>
        <v/>
      </c>
      <c r="AI79" s="14">
        <f>IFERROR(IF(AND(I79="LeaseUp",10=0),(IF(I79="Vacate",TINew*D79,IF(I79="Market",Retention*TIRenewal*D79+(1-Retention)*TINew*D79,IF(I79="LeaseUp",TINew*D79,IF(I79="Option",TIRenewal*D79,0)))))+(IF(I79="Vacate",LCNew*H79*D79*(1+GrowthMarketRent)^10,IF(I79="Market",Retention*LCRenewal*H79*D79*(1+GrowthMarketRent)^10+(1-Retention)*LCNew*H79*D79*(1+GrowthMarketRent)^10,IF(I79="LeaseUp",LCNew*H79*D79*(1+GrowthMarketRent)^10,IF(I79="Option",LCRenewal*H79*D79*(1+GrowthMarketRent)^10,0))))),IF(F79="",0,IF(AND(F79&gt;=DATE(2026+10,5,1),F79&lt;=DATE(2027+10,4,30)),(IF(I79="Vacate",TINew*D79,IF(I79="Market",Retention*TIRenewal*D79+(1-Retention)*TINew*D79,IF(I79="LeaseUp",TINew*D79,IF(I79="Option",TIRenewal*D79,0)))))+(IF(I79="Vacate",LCNew*H79*D79*(1+GrowthMarketRent)^10,IF(I79="Market",Retention*LCRenewal*H79*D79*(1+GrowthMarketRent)^10+(1-Retention)*LCNew*H79*D79*(1+GrowthMarketRent)^10,IF(I79="LeaseUp",LCNew*H79*D79*(1+GrowthMarketRent)^10,IF(I79="Option",LCRenewal*H79*D79*(1+GrowthMarketRent)^10,0))))),0))),0)</f>
        <v/>
      </c>
    </row>
    <row r="80">
      <c r="A80" t="inlineStr">
        <is>
          <t>Mesquite</t>
        </is>
      </c>
      <c r="B80" t="inlineStr">
        <is>
          <t>112</t>
        </is>
      </c>
      <c r="C80" t="inlineStr">
        <is>
          <t>Madd Cheer Inc.</t>
        </is>
      </c>
      <c r="D80" s="32" t="n">
        <v>2600</v>
      </c>
      <c r="E80" s="33" t="n">
        <v>44805</v>
      </c>
      <c r="F80" s="33" t="n">
        <v>47150</v>
      </c>
      <c r="G80" s="34" t="n">
        <v>14.6253846153846</v>
      </c>
      <c r="H80" s="16">
        <f>VLOOKUP(A80,MLA!$A$5:$L$11,3,FALSE)</f>
        <v/>
      </c>
      <c r="I80" s="11" t="inlineStr">
        <is>
          <t>Option</t>
        </is>
      </c>
      <c r="J80" t="inlineStr">
        <is>
          <t>Shop</t>
        </is>
      </c>
      <c r="K80" t="inlineStr">
        <is>
          <t>Occupied</t>
        </is>
      </c>
      <c r="L80" t="inlineStr">
        <is>
          <t>Shop; SPEC RENEW; Guarantor: Jasmine Masters</t>
        </is>
      </c>
      <c r="M80" s="20">
        <f>IF(E80="",0,(AnalysisStart-E80)/365.25)</f>
        <v/>
      </c>
      <c r="N80" s="14">
        <f>IFERROR(IF(I80="LeaseUp",H80*D80*(1+GrowthMarketRent)^0*IF(0=0,(12-DowntimeNew)/12,1),IF(F80="",0,IF(F80&gt;=DATE(2027+0,4,30),G80*D80*(1+EscalatorInLease)^(0+M80),IF(F80&lt;DATE(2026+0,5,1),IF(I80="Vacate",H80*D80*(1+GrowthMarketRent)^0*IF(INT((DATE(2026+0,10,31)-F80)/365.25)=0,(12-DowntimeNew)/12,1),IF(I80="Option",G80*D80*1.025*(1+EscalatorInLease)^0,IF(I80="Market",Retention*G80*D80*(1+EscalatorInLease)^(0+M80)+(1-Retention)*H80*D80*(1+GrowthMarketRent)^0*IF(INT((DATE(2026+0,10,31)-F80)/365.25)=0,(12-DowntimeNew)/12,1),IF(I80="LeaseUp",H80*D80*(1+GrowthMarketRent)^0*IF(0=0,(12-DowntimeNew)/12,1),0)))),((F80-DATE(2026+0,5,1))/365.25)*G80*D80*(1+EscalatorInLease)^(0+M80)+((DATE(2027+0,4,30)-F80)/365.25)*IF(I80="Vacate",H80*D80*(1+GrowthMarketRent)^0*IF(INT((DATE(2026+0,10,31)-F80)/365.25)=0,(12-DowntimeNew)/12,1),IF(I80="Option",G80*D80*1.025*(1+EscalatorInLease)^0,IF(I80="Market",Retention*G80*D80*(1+EscalatorInLease)^(0+M80)+(1-Retention)*H80*D80*(1+GrowthMarketRent)^0*IF(INT((DATE(2026+0,10,31)-F80)/365.25)=0,(12-DowntimeNew)/12,1),IF(I80="LeaseUp",H80*D80*(1+GrowthMarketRent)^0*IF(0=0,(12-DowntimeNew)/12,1),0)))))))),0)</f>
        <v/>
      </c>
      <c r="O80" s="14">
        <f>IFERROR(IF(I80="LeaseUp",H80*D80*(1+GrowthMarketRent)^1*IF(1=0,(12-DowntimeNew)/12,1),IF(F80="",0,IF(F80&gt;=DATE(2027+1,4,30),G80*D80*(1+EscalatorInLease)^(1+M80),IF(F80&lt;DATE(2026+1,5,1),IF(I80="Vacate",H80*D80*(1+GrowthMarketRent)^1*IF(INT((DATE(2026+1,10,31)-F80)/365.25)=0,(12-DowntimeNew)/12,1),IF(I80="Option",G80*D80*1.025*(1+EscalatorInLease)^1,IF(I80="Market",Retention*G80*D80*(1+EscalatorInLease)^(1+M80)+(1-Retention)*H80*D80*(1+GrowthMarketRent)^1*IF(INT((DATE(2026+1,10,31)-F80)/365.25)=0,(12-DowntimeNew)/12,1),IF(I80="LeaseUp",H80*D80*(1+GrowthMarketRent)^1*IF(1=0,(12-DowntimeNew)/12,1),0)))),((F80-DATE(2026+1,5,1))/365.25)*G80*D80*(1+EscalatorInLease)^(1+M80)+((DATE(2027+1,4,30)-F80)/365.25)*IF(I80="Vacate",H80*D80*(1+GrowthMarketRent)^1*IF(INT((DATE(2026+1,10,31)-F80)/365.25)=0,(12-DowntimeNew)/12,1),IF(I80="Option",G80*D80*1.025*(1+EscalatorInLease)^1,IF(I80="Market",Retention*G80*D80*(1+EscalatorInLease)^(1+M80)+(1-Retention)*H80*D80*(1+GrowthMarketRent)^1*IF(INT((DATE(2026+1,10,31)-F80)/365.25)=0,(12-DowntimeNew)/12,1),IF(I80="LeaseUp",H80*D80*(1+GrowthMarketRent)^1*IF(1=0,(12-DowntimeNew)/12,1),0)))))))),0)</f>
        <v/>
      </c>
      <c r="P80" s="14">
        <f>IFERROR(IF(I80="LeaseUp",H80*D80*(1+GrowthMarketRent)^2*IF(2=0,(12-DowntimeNew)/12,1),IF(F80="",0,IF(F80&gt;=DATE(2027+2,4,30),G80*D80*(1+EscalatorInLease)^(2+M80),IF(F80&lt;DATE(2026+2,5,1),IF(I80="Vacate",H80*D80*(1+GrowthMarketRent)^2*IF(INT((DATE(2026+2,10,31)-F80)/365.25)=0,(12-DowntimeNew)/12,1),IF(I80="Option",G80*D80*1.025*(1+EscalatorInLease)^2,IF(I80="Market",Retention*G80*D80*(1+EscalatorInLease)^(2+M80)+(1-Retention)*H80*D80*(1+GrowthMarketRent)^2*IF(INT((DATE(2026+2,10,31)-F80)/365.25)=0,(12-DowntimeNew)/12,1),IF(I80="LeaseUp",H80*D80*(1+GrowthMarketRent)^2*IF(2=0,(12-DowntimeNew)/12,1),0)))),((F80-DATE(2026+2,5,1))/365.25)*G80*D80*(1+EscalatorInLease)^(2+M80)+((DATE(2027+2,4,30)-F80)/365.25)*IF(I80="Vacate",H80*D80*(1+GrowthMarketRent)^2*IF(INT((DATE(2026+2,10,31)-F80)/365.25)=0,(12-DowntimeNew)/12,1),IF(I80="Option",G80*D80*1.025*(1+EscalatorInLease)^2,IF(I80="Market",Retention*G80*D80*(1+EscalatorInLease)^(2+M80)+(1-Retention)*H80*D80*(1+GrowthMarketRent)^2*IF(INT((DATE(2026+2,10,31)-F80)/365.25)=0,(12-DowntimeNew)/12,1),IF(I80="LeaseUp",H80*D80*(1+GrowthMarketRent)^2*IF(2=0,(12-DowntimeNew)/12,1),0)))))))),0)</f>
        <v/>
      </c>
      <c r="Q80" s="14">
        <f>IFERROR(IF(I80="LeaseUp",H80*D80*(1+GrowthMarketRent)^3*IF(3=0,(12-DowntimeNew)/12,1),IF(F80="",0,IF(F80&gt;=DATE(2027+3,4,30),G80*D80*(1+EscalatorInLease)^(3+M80),IF(F80&lt;DATE(2026+3,5,1),IF(I80="Vacate",H80*D80*(1+GrowthMarketRent)^3*IF(INT((DATE(2026+3,10,31)-F80)/365.25)=0,(12-DowntimeNew)/12,1),IF(I80="Option",G80*D80*1.025*(1+EscalatorInLease)^3,IF(I80="Market",Retention*G80*D80*(1+EscalatorInLease)^(3+M80)+(1-Retention)*H80*D80*(1+GrowthMarketRent)^3*IF(INT((DATE(2026+3,10,31)-F80)/365.25)=0,(12-DowntimeNew)/12,1),IF(I80="LeaseUp",H80*D80*(1+GrowthMarketRent)^3*IF(3=0,(12-DowntimeNew)/12,1),0)))),((F80-DATE(2026+3,5,1))/365.25)*G80*D80*(1+EscalatorInLease)^(3+M80)+((DATE(2027+3,4,30)-F80)/365.25)*IF(I80="Vacate",H80*D80*(1+GrowthMarketRent)^3*IF(INT((DATE(2026+3,10,31)-F80)/365.25)=0,(12-DowntimeNew)/12,1),IF(I80="Option",G80*D80*1.025*(1+EscalatorInLease)^3,IF(I80="Market",Retention*G80*D80*(1+EscalatorInLease)^(3+M80)+(1-Retention)*H80*D80*(1+GrowthMarketRent)^3*IF(INT((DATE(2026+3,10,31)-F80)/365.25)=0,(12-DowntimeNew)/12,1),IF(I80="LeaseUp",H80*D80*(1+GrowthMarketRent)^3*IF(3=0,(12-DowntimeNew)/12,1),0)))))))),0)</f>
        <v/>
      </c>
      <c r="R80" s="14">
        <f>IFERROR(IF(I80="LeaseUp",H80*D80*(1+GrowthMarketRent)^4*IF(4=0,(12-DowntimeNew)/12,1),IF(F80="",0,IF(F80&gt;=DATE(2027+4,4,30),G80*D80*(1+EscalatorInLease)^(4+M80),IF(F80&lt;DATE(2026+4,5,1),IF(I80="Vacate",H80*D80*(1+GrowthMarketRent)^4*IF(INT((DATE(2026+4,10,31)-F80)/365.25)=0,(12-DowntimeNew)/12,1),IF(I80="Option",G80*D80*1.025*(1+EscalatorInLease)^4,IF(I80="Market",Retention*G80*D80*(1+EscalatorInLease)^(4+M80)+(1-Retention)*H80*D80*(1+GrowthMarketRent)^4*IF(INT((DATE(2026+4,10,31)-F80)/365.25)=0,(12-DowntimeNew)/12,1),IF(I80="LeaseUp",H80*D80*(1+GrowthMarketRent)^4*IF(4=0,(12-DowntimeNew)/12,1),0)))),((F80-DATE(2026+4,5,1))/365.25)*G80*D80*(1+EscalatorInLease)^(4+M80)+((DATE(2027+4,4,30)-F80)/365.25)*IF(I80="Vacate",H80*D80*(1+GrowthMarketRent)^4*IF(INT((DATE(2026+4,10,31)-F80)/365.25)=0,(12-DowntimeNew)/12,1),IF(I80="Option",G80*D80*1.025*(1+EscalatorInLease)^4,IF(I80="Market",Retention*G80*D80*(1+EscalatorInLease)^(4+M80)+(1-Retention)*H80*D80*(1+GrowthMarketRent)^4*IF(INT((DATE(2026+4,10,31)-F80)/365.25)=0,(12-DowntimeNew)/12,1),IF(I80="LeaseUp",H80*D80*(1+GrowthMarketRent)^4*IF(4=0,(12-DowntimeNew)/12,1),0)))))))),0)</f>
        <v/>
      </c>
      <c r="S80" s="14">
        <f>IFERROR(IF(I80="LeaseUp",H80*D80*(1+GrowthMarketRent)^5*IF(5=0,(12-DowntimeNew)/12,1),IF(F80="",0,IF(F80&gt;=DATE(2027+5,4,30),G80*D80*(1+EscalatorInLease)^(5+M80),IF(F80&lt;DATE(2026+5,5,1),IF(I80="Vacate",H80*D80*(1+GrowthMarketRent)^5*IF(INT((DATE(2026+5,10,31)-F80)/365.25)=0,(12-DowntimeNew)/12,1),IF(I80="Option",G80*D80*1.025*(1+EscalatorInLease)^5,IF(I80="Market",Retention*G80*D80*(1+EscalatorInLease)^(5+M80)+(1-Retention)*H80*D80*(1+GrowthMarketRent)^5*IF(INT((DATE(2026+5,10,31)-F80)/365.25)=0,(12-DowntimeNew)/12,1),IF(I80="LeaseUp",H80*D80*(1+GrowthMarketRent)^5*IF(5=0,(12-DowntimeNew)/12,1),0)))),((F80-DATE(2026+5,5,1))/365.25)*G80*D80*(1+EscalatorInLease)^(5+M80)+((DATE(2027+5,4,30)-F80)/365.25)*IF(I80="Vacate",H80*D80*(1+GrowthMarketRent)^5*IF(INT((DATE(2026+5,10,31)-F80)/365.25)=0,(12-DowntimeNew)/12,1),IF(I80="Option",G80*D80*1.025*(1+EscalatorInLease)^5,IF(I80="Market",Retention*G80*D80*(1+EscalatorInLease)^(5+M80)+(1-Retention)*H80*D80*(1+GrowthMarketRent)^5*IF(INT((DATE(2026+5,10,31)-F80)/365.25)=0,(12-DowntimeNew)/12,1),IF(I80="LeaseUp",H80*D80*(1+GrowthMarketRent)^5*IF(5=0,(12-DowntimeNew)/12,1),0)))))))),0)</f>
        <v/>
      </c>
      <c r="T80" s="14">
        <f>IFERROR(IF(I80="LeaseUp",H80*D80*(1+GrowthMarketRent)^6*IF(6=0,(12-DowntimeNew)/12,1),IF(F80="",0,IF(F80&gt;=DATE(2027+6,4,30),G80*D80*(1+EscalatorInLease)^(6+M80),IF(F80&lt;DATE(2026+6,5,1),IF(I80="Vacate",H80*D80*(1+GrowthMarketRent)^6*IF(INT((DATE(2026+6,10,31)-F80)/365.25)=0,(12-DowntimeNew)/12,1),IF(I80="Option",G80*D80*1.025*(1+EscalatorInLease)^6,IF(I80="Market",Retention*G80*D80*(1+EscalatorInLease)^(6+M80)+(1-Retention)*H80*D80*(1+GrowthMarketRent)^6*IF(INT((DATE(2026+6,10,31)-F80)/365.25)=0,(12-DowntimeNew)/12,1),IF(I80="LeaseUp",H80*D80*(1+GrowthMarketRent)^6*IF(6=0,(12-DowntimeNew)/12,1),0)))),((F80-DATE(2026+6,5,1))/365.25)*G80*D80*(1+EscalatorInLease)^(6+M80)+((DATE(2027+6,4,30)-F80)/365.25)*IF(I80="Vacate",H80*D80*(1+GrowthMarketRent)^6*IF(INT((DATE(2026+6,10,31)-F80)/365.25)=0,(12-DowntimeNew)/12,1),IF(I80="Option",G80*D80*1.025*(1+EscalatorInLease)^6,IF(I80="Market",Retention*G80*D80*(1+EscalatorInLease)^(6+M80)+(1-Retention)*H80*D80*(1+GrowthMarketRent)^6*IF(INT((DATE(2026+6,10,31)-F80)/365.25)=0,(12-DowntimeNew)/12,1),IF(I80="LeaseUp",H80*D80*(1+GrowthMarketRent)^6*IF(6=0,(12-DowntimeNew)/12,1),0)))))))),0)</f>
        <v/>
      </c>
      <c r="U80" s="14">
        <f>IFERROR(IF(I80="LeaseUp",H80*D80*(1+GrowthMarketRent)^7*IF(7=0,(12-DowntimeNew)/12,1),IF(F80="",0,IF(F80&gt;=DATE(2027+7,4,30),G80*D80*(1+EscalatorInLease)^(7+M80),IF(F80&lt;DATE(2026+7,5,1),IF(I80="Vacate",H80*D80*(1+GrowthMarketRent)^7*IF(INT((DATE(2026+7,10,31)-F80)/365.25)=0,(12-DowntimeNew)/12,1),IF(I80="Option",G80*D80*1.025*(1+EscalatorInLease)^7,IF(I80="Market",Retention*G80*D80*(1+EscalatorInLease)^(7+M80)+(1-Retention)*H80*D80*(1+GrowthMarketRent)^7*IF(INT((DATE(2026+7,10,31)-F80)/365.25)=0,(12-DowntimeNew)/12,1),IF(I80="LeaseUp",H80*D80*(1+GrowthMarketRent)^7*IF(7=0,(12-DowntimeNew)/12,1),0)))),((F80-DATE(2026+7,5,1))/365.25)*G80*D80*(1+EscalatorInLease)^(7+M80)+((DATE(2027+7,4,30)-F80)/365.25)*IF(I80="Vacate",H80*D80*(1+GrowthMarketRent)^7*IF(INT((DATE(2026+7,10,31)-F80)/365.25)=0,(12-DowntimeNew)/12,1),IF(I80="Option",G80*D80*1.025*(1+EscalatorInLease)^7,IF(I80="Market",Retention*G80*D80*(1+EscalatorInLease)^(7+M80)+(1-Retention)*H80*D80*(1+GrowthMarketRent)^7*IF(INT((DATE(2026+7,10,31)-F80)/365.25)=0,(12-DowntimeNew)/12,1),IF(I80="LeaseUp",H80*D80*(1+GrowthMarketRent)^7*IF(7=0,(12-DowntimeNew)/12,1),0)))))))),0)</f>
        <v/>
      </c>
      <c r="V80" s="14">
        <f>IFERROR(IF(I80="LeaseUp",H80*D80*(1+GrowthMarketRent)^8*IF(8=0,(12-DowntimeNew)/12,1),IF(F80="",0,IF(F80&gt;=DATE(2027+8,4,30),G80*D80*(1+EscalatorInLease)^(8+M80),IF(F80&lt;DATE(2026+8,5,1),IF(I80="Vacate",H80*D80*(1+GrowthMarketRent)^8*IF(INT((DATE(2026+8,10,31)-F80)/365.25)=0,(12-DowntimeNew)/12,1),IF(I80="Option",G80*D80*1.025*(1+EscalatorInLease)^8,IF(I80="Market",Retention*G80*D80*(1+EscalatorInLease)^(8+M80)+(1-Retention)*H80*D80*(1+GrowthMarketRent)^8*IF(INT((DATE(2026+8,10,31)-F80)/365.25)=0,(12-DowntimeNew)/12,1),IF(I80="LeaseUp",H80*D80*(1+GrowthMarketRent)^8*IF(8=0,(12-DowntimeNew)/12,1),0)))),((F80-DATE(2026+8,5,1))/365.25)*G80*D80*(1+EscalatorInLease)^(8+M80)+((DATE(2027+8,4,30)-F80)/365.25)*IF(I80="Vacate",H80*D80*(1+GrowthMarketRent)^8*IF(INT((DATE(2026+8,10,31)-F80)/365.25)=0,(12-DowntimeNew)/12,1),IF(I80="Option",G80*D80*1.025*(1+EscalatorInLease)^8,IF(I80="Market",Retention*G80*D80*(1+EscalatorInLease)^(8+M80)+(1-Retention)*H80*D80*(1+GrowthMarketRent)^8*IF(INT((DATE(2026+8,10,31)-F80)/365.25)=0,(12-DowntimeNew)/12,1),IF(I80="LeaseUp",H80*D80*(1+GrowthMarketRent)^8*IF(8=0,(12-DowntimeNew)/12,1),0)))))))),0)</f>
        <v/>
      </c>
      <c r="W80" s="14">
        <f>IFERROR(IF(I80="LeaseUp",H80*D80*(1+GrowthMarketRent)^9*IF(9=0,(12-DowntimeNew)/12,1),IF(F80="",0,IF(F80&gt;=DATE(2027+9,4,30),G80*D80*(1+EscalatorInLease)^(9+M80),IF(F80&lt;DATE(2026+9,5,1),IF(I80="Vacate",H80*D80*(1+GrowthMarketRent)^9*IF(INT((DATE(2026+9,10,31)-F80)/365.25)=0,(12-DowntimeNew)/12,1),IF(I80="Option",G80*D80*1.025*(1+EscalatorInLease)^9,IF(I80="Market",Retention*G80*D80*(1+EscalatorInLease)^(9+M80)+(1-Retention)*H80*D80*(1+GrowthMarketRent)^9*IF(INT((DATE(2026+9,10,31)-F80)/365.25)=0,(12-DowntimeNew)/12,1),IF(I80="LeaseUp",H80*D80*(1+GrowthMarketRent)^9*IF(9=0,(12-DowntimeNew)/12,1),0)))),((F80-DATE(2026+9,5,1))/365.25)*G80*D80*(1+EscalatorInLease)^(9+M80)+((DATE(2027+9,4,30)-F80)/365.25)*IF(I80="Vacate",H80*D80*(1+GrowthMarketRent)^9*IF(INT((DATE(2026+9,10,31)-F80)/365.25)=0,(12-DowntimeNew)/12,1),IF(I80="Option",G80*D80*1.025*(1+EscalatorInLease)^9,IF(I80="Market",Retention*G80*D80*(1+EscalatorInLease)^(9+M80)+(1-Retention)*H80*D80*(1+GrowthMarketRent)^9*IF(INT((DATE(2026+9,10,31)-F80)/365.25)=0,(12-DowntimeNew)/12,1),IF(I80="LeaseUp",H80*D80*(1+GrowthMarketRent)^9*IF(9=0,(12-DowntimeNew)/12,1),0)))))))),0)</f>
        <v/>
      </c>
      <c r="X80" s="14">
        <f>IFERROR(IF(I80="LeaseUp",H80*D80*(1+GrowthMarketRent)^10*IF(10=0,(12-DowntimeNew)/12,1),IF(F80="",0,IF(F80&gt;=DATE(2027+10,4,30),G80*D80*(1+EscalatorInLease)^(10+M80),IF(F80&lt;DATE(2026+10,5,1),IF(I80="Vacate",H80*D80*(1+GrowthMarketRent)^10*IF(INT((DATE(2026+10,10,31)-F80)/365.25)=0,(12-DowntimeNew)/12,1),IF(I80="Option",G80*D80*1.025*(1+EscalatorInLease)^10,IF(I80="Market",Retention*G80*D80*(1+EscalatorInLease)^(10+M80)+(1-Retention)*H80*D80*(1+GrowthMarketRent)^10*IF(INT((DATE(2026+10,10,31)-F80)/365.25)=0,(12-DowntimeNew)/12,1),IF(I80="LeaseUp",H80*D80*(1+GrowthMarketRent)^10*IF(10=0,(12-DowntimeNew)/12,1),0)))),((F80-DATE(2026+10,5,1))/365.25)*G80*D80*(1+EscalatorInLease)^(10+M80)+((DATE(2027+10,4,30)-F80)/365.25)*IF(I80="Vacate",H80*D80*(1+GrowthMarketRent)^10*IF(INT((DATE(2026+10,10,31)-F80)/365.25)=0,(12-DowntimeNew)/12,1),IF(I80="Option",G80*D80*1.025*(1+EscalatorInLease)^10,IF(I80="Market",Retention*G80*D80*(1+EscalatorInLease)^(10+M80)+(1-Retention)*H80*D80*(1+GrowthMarketRent)^10*IF(INT((DATE(2026+10,10,31)-F80)/365.25)=0,(12-DowntimeNew)/12,1),IF(I80="LeaseUp",H80*D80*(1+GrowthMarketRent)^10*IF(10=0,(12-DowntimeNew)/12,1),0)))))))),0)</f>
        <v/>
      </c>
      <c r="Y80" s="14">
        <f>IFERROR(IF(AND(I80="LeaseUp",0=0),(IF(I80="Vacate",TINew*D80,IF(I80="Market",Retention*TIRenewal*D80+(1-Retention)*TINew*D80,IF(I80="LeaseUp",TINew*D80,IF(I80="Option",TIRenewal*D80,0)))))+(IF(I80="Vacate",LCNew*H80*D80*(1+GrowthMarketRent)^0,IF(I80="Market",Retention*LCRenewal*H80*D80*(1+GrowthMarketRent)^0+(1-Retention)*LCNew*H80*D80*(1+GrowthMarketRent)^0,IF(I80="LeaseUp",LCNew*H80*D80*(1+GrowthMarketRent)^0,IF(I80="Option",LCRenewal*H80*D80*(1+GrowthMarketRent)^0,0))))),IF(F80="",0,IF(AND(F80&gt;=DATE(2026+0,5,1),F80&lt;=DATE(2027+0,4,30)),(IF(I80="Vacate",TINew*D80,IF(I80="Market",Retention*TIRenewal*D80+(1-Retention)*TINew*D80,IF(I80="LeaseUp",TINew*D80,IF(I80="Option",TIRenewal*D80,0)))))+(IF(I80="Vacate",LCNew*H80*D80*(1+GrowthMarketRent)^0,IF(I80="Market",Retention*LCRenewal*H80*D80*(1+GrowthMarketRent)^0+(1-Retention)*LCNew*H80*D80*(1+GrowthMarketRent)^0,IF(I80="LeaseUp",LCNew*H80*D80*(1+GrowthMarketRent)^0,IF(I80="Option",LCRenewal*H80*D80*(1+GrowthMarketRent)^0,0))))),0))),0)</f>
        <v/>
      </c>
      <c r="Z80" s="14">
        <f>IFERROR(IF(AND(I80="LeaseUp",1=0),(IF(I80="Vacate",TINew*D80,IF(I80="Market",Retention*TIRenewal*D80+(1-Retention)*TINew*D80,IF(I80="LeaseUp",TINew*D80,IF(I80="Option",TIRenewal*D80,0)))))+(IF(I80="Vacate",LCNew*H80*D80*(1+GrowthMarketRent)^1,IF(I80="Market",Retention*LCRenewal*H80*D80*(1+GrowthMarketRent)^1+(1-Retention)*LCNew*H80*D80*(1+GrowthMarketRent)^1,IF(I80="LeaseUp",LCNew*H80*D80*(1+GrowthMarketRent)^1,IF(I80="Option",LCRenewal*H80*D80*(1+GrowthMarketRent)^1,0))))),IF(F80="",0,IF(AND(F80&gt;=DATE(2026+1,5,1),F80&lt;=DATE(2027+1,4,30)),(IF(I80="Vacate",TINew*D80,IF(I80="Market",Retention*TIRenewal*D80+(1-Retention)*TINew*D80,IF(I80="LeaseUp",TINew*D80,IF(I80="Option",TIRenewal*D80,0)))))+(IF(I80="Vacate",LCNew*H80*D80*(1+GrowthMarketRent)^1,IF(I80="Market",Retention*LCRenewal*H80*D80*(1+GrowthMarketRent)^1+(1-Retention)*LCNew*H80*D80*(1+GrowthMarketRent)^1,IF(I80="LeaseUp",LCNew*H80*D80*(1+GrowthMarketRent)^1,IF(I80="Option",LCRenewal*H80*D80*(1+GrowthMarketRent)^1,0))))),0))),0)</f>
        <v/>
      </c>
      <c r="AA80" s="14">
        <f>IFERROR(IF(AND(I80="LeaseUp",2=0),(IF(I80="Vacate",TINew*D80,IF(I80="Market",Retention*TIRenewal*D80+(1-Retention)*TINew*D80,IF(I80="LeaseUp",TINew*D80,IF(I80="Option",TIRenewal*D80,0)))))+(IF(I80="Vacate",LCNew*H80*D80*(1+GrowthMarketRent)^2,IF(I80="Market",Retention*LCRenewal*H80*D80*(1+GrowthMarketRent)^2+(1-Retention)*LCNew*H80*D80*(1+GrowthMarketRent)^2,IF(I80="LeaseUp",LCNew*H80*D80*(1+GrowthMarketRent)^2,IF(I80="Option",LCRenewal*H80*D80*(1+GrowthMarketRent)^2,0))))),IF(F80="",0,IF(AND(F80&gt;=DATE(2026+2,5,1),F80&lt;=DATE(2027+2,4,30)),(IF(I80="Vacate",TINew*D80,IF(I80="Market",Retention*TIRenewal*D80+(1-Retention)*TINew*D80,IF(I80="LeaseUp",TINew*D80,IF(I80="Option",TIRenewal*D80,0)))))+(IF(I80="Vacate",LCNew*H80*D80*(1+GrowthMarketRent)^2,IF(I80="Market",Retention*LCRenewal*H80*D80*(1+GrowthMarketRent)^2+(1-Retention)*LCNew*H80*D80*(1+GrowthMarketRent)^2,IF(I80="LeaseUp",LCNew*H80*D80*(1+GrowthMarketRent)^2,IF(I80="Option",LCRenewal*H80*D80*(1+GrowthMarketRent)^2,0))))),0))),0)</f>
        <v/>
      </c>
      <c r="AB80" s="14">
        <f>IFERROR(IF(AND(I80="LeaseUp",3=0),(IF(I80="Vacate",TINew*D80,IF(I80="Market",Retention*TIRenewal*D80+(1-Retention)*TINew*D80,IF(I80="LeaseUp",TINew*D80,IF(I80="Option",TIRenewal*D80,0)))))+(IF(I80="Vacate",LCNew*H80*D80*(1+GrowthMarketRent)^3,IF(I80="Market",Retention*LCRenewal*H80*D80*(1+GrowthMarketRent)^3+(1-Retention)*LCNew*H80*D80*(1+GrowthMarketRent)^3,IF(I80="LeaseUp",LCNew*H80*D80*(1+GrowthMarketRent)^3,IF(I80="Option",LCRenewal*H80*D80*(1+GrowthMarketRent)^3,0))))),IF(F80="",0,IF(AND(F80&gt;=DATE(2026+3,5,1),F80&lt;=DATE(2027+3,4,30)),(IF(I80="Vacate",TINew*D80,IF(I80="Market",Retention*TIRenewal*D80+(1-Retention)*TINew*D80,IF(I80="LeaseUp",TINew*D80,IF(I80="Option",TIRenewal*D80,0)))))+(IF(I80="Vacate",LCNew*H80*D80*(1+GrowthMarketRent)^3,IF(I80="Market",Retention*LCRenewal*H80*D80*(1+GrowthMarketRent)^3+(1-Retention)*LCNew*H80*D80*(1+GrowthMarketRent)^3,IF(I80="LeaseUp",LCNew*H80*D80*(1+GrowthMarketRent)^3,IF(I80="Option",LCRenewal*H80*D80*(1+GrowthMarketRent)^3,0))))),0))),0)</f>
        <v/>
      </c>
      <c r="AC80" s="14">
        <f>IFERROR(IF(AND(I80="LeaseUp",4=0),(IF(I80="Vacate",TINew*D80,IF(I80="Market",Retention*TIRenewal*D80+(1-Retention)*TINew*D80,IF(I80="LeaseUp",TINew*D80,IF(I80="Option",TIRenewal*D80,0)))))+(IF(I80="Vacate",LCNew*H80*D80*(1+GrowthMarketRent)^4,IF(I80="Market",Retention*LCRenewal*H80*D80*(1+GrowthMarketRent)^4+(1-Retention)*LCNew*H80*D80*(1+GrowthMarketRent)^4,IF(I80="LeaseUp",LCNew*H80*D80*(1+GrowthMarketRent)^4,IF(I80="Option",LCRenewal*H80*D80*(1+GrowthMarketRent)^4,0))))),IF(F80="",0,IF(AND(F80&gt;=DATE(2026+4,5,1),F80&lt;=DATE(2027+4,4,30)),(IF(I80="Vacate",TINew*D80,IF(I80="Market",Retention*TIRenewal*D80+(1-Retention)*TINew*D80,IF(I80="LeaseUp",TINew*D80,IF(I80="Option",TIRenewal*D80,0)))))+(IF(I80="Vacate",LCNew*H80*D80*(1+GrowthMarketRent)^4,IF(I80="Market",Retention*LCRenewal*H80*D80*(1+GrowthMarketRent)^4+(1-Retention)*LCNew*H80*D80*(1+GrowthMarketRent)^4,IF(I80="LeaseUp",LCNew*H80*D80*(1+GrowthMarketRent)^4,IF(I80="Option",LCRenewal*H80*D80*(1+GrowthMarketRent)^4,0))))),0))),0)</f>
        <v/>
      </c>
      <c r="AD80" s="14">
        <f>IFERROR(IF(AND(I80="LeaseUp",5=0),(IF(I80="Vacate",TINew*D80,IF(I80="Market",Retention*TIRenewal*D80+(1-Retention)*TINew*D80,IF(I80="LeaseUp",TINew*D80,IF(I80="Option",TIRenewal*D80,0)))))+(IF(I80="Vacate",LCNew*H80*D80*(1+GrowthMarketRent)^5,IF(I80="Market",Retention*LCRenewal*H80*D80*(1+GrowthMarketRent)^5+(1-Retention)*LCNew*H80*D80*(1+GrowthMarketRent)^5,IF(I80="LeaseUp",LCNew*H80*D80*(1+GrowthMarketRent)^5,IF(I80="Option",LCRenewal*H80*D80*(1+GrowthMarketRent)^5,0))))),IF(F80="",0,IF(AND(F80&gt;=DATE(2026+5,5,1),F80&lt;=DATE(2027+5,4,30)),(IF(I80="Vacate",TINew*D80,IF(I80="Market",Retention*TIRenewal*D80+(1-Retention)*TINew*D80,IF(I80="LeaseUp",TINew*D80,IF(I80="Option",TIRenewal*D80,0)))))+(IF(I80="Vacate",LCNew*H80*D80*(1+GrowthMarketRent)^5,IF(I80="Market",Retention*LCRenewal*H80*D80*(1+GrowthMarketRent)^5+(1-Retention)*LCNew*H80*D80*(1+GrowthMarketRent)^5,IF(I80="LeaseUp",LCNew*H80*D80*(1+GrowthMarketRent)^5,IF(I80="Option",LCRenewal*H80*D80*(1+GrowthMarketRent)^5,0))))),0))),0)</f>
        <v/>
      </c>
      <c r="AE80" s="14">
        <f>IFERROR(IF(AND(I80="LeaseUp",6=0),(IF(I80="Vacate",TINew*D80,IF(I80="Market",Retention*TIRenewal*D80+(1-Retention)*TINew*D80,IF(I80="LeaseUp",TINew*D80,IF(I80="Option",TIRenewal*D80,0)))))+(IF(I80="Vacate",LCNew*H80*D80*(1+GrowthMarketRent)^6,IF(I80="Market",Retention*LCRenewal*H80*D80*(1+GrowthMarketRent)^6+(1-Retention)*LCNew*H80*D80*(1+GrowthMarketRent)^6,IF(I80="LeaseUp",LCNew*H80*D80*(1+GrowthMarketRent)^6,IF(I80="Option",LCRenewal*H80*D80*(1+GrowthMarketRent)^6,0))))),IF(F80="",0,IF(AND(F80&gt;=DATE(2026+6,5,1),F80&lt;=DATE(2027+6,4,30)),(IF(I80="Vacate",TINew*D80,IF(I80="Market",Retention*TIRenewal*D80+(1-Retention)*TINew*D80,IF(I80="LeaseUp",TINew*D80,IF(I80="Option",TIRenewal*D80,0)))))+(IF(I80="Vacate",LCNew*H80*D80*(1+GrowthMarketRent)^6,IF(I80="Market",Retention*LCRenewal*H80*D80*(1+GrowthMarketRent)^6+(1-Retention)*LCNew*H80*D80*(1+GrowthMarketRent)^6,IF(I80="LeaseUp",LCNew*H80*D80*(1+GrowthMarketRent)^6,IF(I80="Option",LCRenewal*H80*D80*(1+GrowthMarketRent)^6,0))))),0))),0)</f>
        <v/>
      </c>
      <c r="AF80" s="14">
        <f>IFERROR(IF(AND(I80="LeaseUp",7=0),(IF(I80="Vacate",TINew*D80,IF(I80="Market",Retention*TIRenewal*D80+(1-Retention)*TINew*D80,IF(I80="LeaseUp",TINew*D80,IF(I80="Option",TIRenewal*D80,0)))))+(IF(I80="Vacate",LCNew*H80*D80*(1+GrowthMarketRent)^7,IF(I80="Market",Retention*LCRenewal*H80*D80*(1+GrowthMarketRent)^7+(1-Retention)*LCNew*H80*D80*(1+GrowthMarketRent)^7,IF(I80="LeaseUp",LCNew*H80*D80*(1+GrowthMarketRent)^7,IF(I80="Option",LCRenewal*H80*D80*(1+GrowthMarketRent)^7,0))))),IF(F80="",0,IF(AND(F80&gt;=DATE(2026+7,5,1),F80&lt;=DATE(2027+7,4,30)),(IF(I80="Vacate",TINew*D80,IF(I80="Market",Retention*TIRenewal*D80+(1-Retention)*TINew*D80,IF(I80="LeaseUp",TINew*D80,IF(I80="Option",TIRenewal*D80,0)))))+(IF(I80="Vacate",LCNew*H80*D80*(1+GrowthMarketRent)^7,IF(I80="Market",Retention*LCRenewal*H80*D80*(1+GrowthMarketRent)^7+(1-Retention)*LCNew*H80*D80*(1+GrowthMarketRent)^7,IF(I80="LeaseUp",LCNew*H80*D80*(1+GrowthMarketRent)^7,IF(I80="Option",LCRenewal*H80*D80*(1+GrowthMarketRent)^7,0))))),0))),0)</f>
        <v/>
      </c>
      <c r="AG80" s="14">
        <f>IFERROR(IF(AND(I80="LeaseUp",8=0),(IF(I80="Vacate",TINew*D80,IF(I80="Market",Retention*TIRenewal*D80+(1-Retention)*TINew*D80,IF(I80="LeaseUp",TINew*D80,IF(I80="Option",TIRenewal*D80,0)))))+(IF(I80="Vacate",LCNew*H80*D80*(1+GrowthMarketRent)^8,IF(I80="Market",Retention*LCRenewal*H80*D80*(1+GrowthMarketRent)^8+(1-Retention)*LCNew*H80*D80*(1+GrowthMarketRent)^8,IF(I80="LeaseUp",LCNew*H80*D80*(1+GrowthMarketRent)^8,IF(I80="Option",LCRenewal*H80*D80*(1+GrowthMarketRent)^8,0))))),IF(F80="",0,IF(AND(F80&gt;=DATE(2026+8,5,1),F80&lt;=DATE(2027+8,4,30)),(IF(I80="Vacate",TINew*D80,IF(I80="Market",Retention*TIRenewal*D80+(1-Retention)*TINew*D80,IF(I80="LeaseUp",TINew*D80,IF(I80="Option",TIRenewal*D80,0)))))+(IF(I80="Vacate",LCNew*H80*D80*(1+GrowthMarketRent)^8,IF(I80="Market",Retention*LCRenewal*H80*D80*(1+GrowthMarketRent)^8+(1-Retention)*LCNew*H80*D80*(1+GrowthMarketRent)^8,IF(I80="LeaseUp",LCNew*H80*D80*(1+GrowthMarketRent)^8,IF(I80="Option",LCRenewal*H80*D80*(1+GrowthMarketRent)^8,0))))),0))),0)</f>
        <v/>
      </c>
      <c r="AH80" s="14">
        <f>IFERROR(IF(AND(I80="LeaseUp",9=0),(IF(I80="Vacate",TINew*D80,IF(I80="Market",Retention*TIRenewal*D80+(1-Retention)*TINew*D80,IF(I80="LeaseUp",TINew*D80,IF(I80="Option",TIRenewal*D80,0)))))+(IF(I80="Vacate",LCNew*H80*D80*(1+GrowthMarketRent)^9,IF(I80="Market",Retention*LCRenewal*H80*D80*(1+GrowthMarketRent)^9+(1-Retention)*LCNew*H80*D80*(1+GrowthMarketRent)^9,IF(I80="LeaseUp",LCNew*H80*D80*(1+GrowthMarketRent)^9,IF(I80="Option",LCRenewal*H80*D80*(1+GrowthMarketRent)^9,0))))),IF(F80="",0,IF(AND(F80&gt;=DATE(2026+9,5,1),F80&lt;=DATE(2027+9,4,30)),(IF(I80="Vacate",TINew*D80,IF(I80="Market",Retention*TIRenewal*D80+(1-Retention)*TINew*D80,IF(I80="LeaseUp",TINew*D80,IF(I80="Option",TIRenewal*D80,0)))))+(IF(I80="Vacate",LCNew*H80*D80*(1+GrowthMarketRent)^9,IF(I80="Market",Retention*LCRenewal*H80*D80*(1+GrowthMarketRent)^9+(1-Retention)*LCNew*H80*D80*(1+GrowthMarketRent)^9,IF(I80="LeaseUp",LCNew*H80*D80*(1+GrowthMarketRent)^9,IF(I80="Option",LCRenewal*H80*D80*(1+GrowthMarketRent)^9,0))))),0))),0)</f>
        <v/>
      </c>
      <c r="AI80" s="14">
        <f>IFERROR(IF(AND(I80="LeaseUp",10=0),(IF(I80="Vacate",TINew*D80,IF(I80="Market",Retention*TIRenewal*D80+(1-Retention)*TINew*D80,IF(I80="LeaseUp",TINew*D80,IF(I80="Option",TIRenewal*D80,0)))))+(IF(I80="Vacate",LCNew*H80*D80*(1+GrowthMarketRent)^10,IF(I80="Market",Retention*LCRenewal*H80*D80*(1+GrowthMarketRent)^10+(1-Retention)*LCNew*H80*D80*(1+GrowthMarketRent)^10,IF(I80="LeaseUp",LCNew*H80*D80*(1+GrowthMarketRent)^10,IF(I80="Option",LCRenewal*H80*D80*(1+GrowthMarketRent)^10,0))))),IF(F80="",0,IF(AND(F80&gt;=DATE(2026+10,5,1),F80&lt;=DATE(2027+10,4,30)),(IF(I80="Vacate",TINew*D80,IF(I80="Market",Retention*TIRenewal*D80+(1-Retention)*TINew*D80,IF(I80="LeaseUp",TINew*D80,IF(I80="Option",TIRenewal*D80,0)))))+(IF(I80="Vacate",LCNew*H80*D80*(1+GrowthMarketRent)^10,IF(I80="Market",Retention*LCRenewal*H80*D80*(1+GrowthMarketRent)^10+(1-Retention)*LCNew*H80*D80*(1+GrowthMarketRent)^10,IF(I80="LeaseUp",LCNew*H80*D80*(1+GrowthMarketRent)^10,IF(I80="Option",LCRenewal*H80*D80*(1+GrowthMarketRent)^10,0))))),0))),0)</f>
        <v/>
      </c>
    </row>
    <row r="81">
      <c r="A81" t="inlineStr">
        <is>
          <t>Mesquite</t>
        </is>
      </c>
      <c r="B81" t="inlineStr">
        <is>
          <t>201</t>
        </is>
      </c>
      <c r="C81" t="inlineStr">
        <is>
          <t>VACANT</t>
        </is>
      </c>
      <c r="D81" s="32" t="n">
        <v>1870</v>
      </c>
      <c r="G81" s="34" t="n">
        <v>0</v>
      </c>
      <c r="H81" s="16">
        <f>VLOOKUP(A81,MLA!$A$5:$L$11,3,FALSE)</f>
        <v/>
      </c>
      <c r="I81" s="11" t="inlineStr">
        <is>
          <t>LeaseUp</t>
        </is>
      </c>
      <c r="J81" t="inlineStr">
        <is>
          <t>Studio</t>
        </is>
      </c>
      <c r="K81" t="inlineStr">
        <is>
          <t>Vacant</t>
        </is>
      </c>
      <c r="L81" t="inlineStr">
        <is>
          <t>Studio; future lease-up Nov-2026</t>
        </is>
      </c>
      <c r="M81" s="20">
        <f>IF(E81="",0,(AnalysisStart-E81)/365.25)</f>
        <v/>
      </c>
      <c r="N81" s="14">
        <f>IFERROR(IF(I81="LeaseUp",H81*D81*(1+GrowthMarketRent)^0*IF(0=0,(12-DowntimeNew)/12,1),IF(F81="",0,IF(F81&gt;=DATE(2027+0,4,30),G81*D81*(1+EscalatorInLease)^(0+M81),IF(F81&lt;DATE(2026+0,5,1),IF(I81="Vacate",H81*D81*(1+GrowthMarketRent)^0*IF(INT((DATE(2026+0,10,31)-F81)/365.25)=0,(12-DowntimeNew)/12,1),IF(I81="Option",G81*D81*1.025*(1+EscalatorInLease)^0,IF(I81="Market",Retention*G81*D81*(1+EscalatorInLease)^(0+M81)+(1-Retention)*H81*D81*(1+GrowthMarketRent)^0*IF(INT((DATE(2026+0,10,31)-F81)/365.25)=0,(12-DowntimeNew)/12,1),IF(I81="LeaseUp",H81*D81*(1+GrowthMarketRent)^0*IF(0=0,(12-DowntimeNew)/12,1),0)))),((F81-DATE(2026+0,5,1))/365.25)*G81*D81*(1+EscalatorInLease)^(0+M81)+((DATE(2027+0,4,30)-F81)/365.25)*IF(I81="Vacate",H81*D81*(1+GrowthMarketRent)^0*IF(INT((DATE(2026+0,10,31)-F81)/365.25)=0,(12-DowntimeNew)/12,1),IF(I81="Option",G81*D81*1.025*(1+EscalatorInLease)^0,IF(I81="Market",Retention*G81*D81*(1+EscalatorInLease)^(0+M81)+(1-Retention)*H81*D81*(1+GrowthMarketRent)^0*IF(INT((DATE(2026+0,10,31)-F81)/365.25)=0,(12-DowntimeNew)/12,1),IF(I81="LeaseUp",H81*D81*(1+GrowthMarketRent)^0*IF(0=0,(12-DowntimeNew)/12,1),0)))))))),0)</f>
        <v/>
      </c>
      <c r="O81" s="14">
        <f>IFERROR(IF(I81="LeaseUp",H81*D81*(1+GrowthMarketRent)^1*IF(1=0,(12-DowntimeNew)/12,1),IF(F81="",0,IF(F81&gt;=DATE(2027+1,4,30),G81*D81*(1+EscalatorInLease)^(1+M81),IF(F81&lt;DATE(2026+1,5,1),IF(I81="Vacate",H81*D81*(1+GrowthMarketRent)^1*IF(INT((DATE(2026+1,10,31)-F81)/365.25)=0,(12-DowntimeNew)/12,1),IF(I81="Option",G81*D81*1.025*(1+EscalatorInLease)^1,IF(I81="Market",Retention*G81*D81*(1+EscalatorInLease)^(1+M81)+(1-Retention)*H81*D81*(1+GrowthMarketRent)^1*IF(INT((DATE(2026+1,10,31)-F81)/365.25)=0,(12-DowntimeNew)/12,1),IF(I81="LeaseUp",H81*D81*(1+GrowthMarketRent)^1*IF(1=0,(12-DowntimeNew)/12,1),0)))),((F81-DATE(2026+1,5,1))/365.25)*G81*D81*(1+EscalatorInLease)^(1+M81)+((DATE(2027+1,4,30)-F81)/365.25)*IF(I81="Vacate",H81*D81*(1+GrowthMarketRent)^1*IF(INT((DATE(2026+1,10,31)-F81)/365.25)=0,(12-DowntimeNew)/12,1),IF(I81="Option",G81*D81*1.025*(1+EscalatorInLease)^1,IF(I81="Market",Retention*G81*D81*(1+EscalatorInLease)^(1+M81)+(1-Retention)*H81*D81*(1+GrowthMarketRent)^1*IF(INT((DATE(2026+1,10,31)-F81)/365.25)=0,(12-DowntimeNew)/12,1),IF(I81="LeaseUp",H81*D81*(1+GrowthMarketRent)^1*IF(1=0,(12-DowntimeNew)/12,1),0)))))))),0)</f>
        <v/>
      </c>
      <c r="P81" s="14">
        <f>IFERROR(IF(I81="LeaseUp",H81*D81*(1+GrowthMarketRent)^2*IF(2=0,(12-DowntimeNew)/12,1),IF(F81="",0,IF(F81&gt;=DATE(2027+2,4,30),G81*D81*(1+EscalatorInLease)^(2+M81),IF(F81&lt;DATE(2026+2,5,1),IF(I81="Vacate",H81*D81*(1+GrowthMarketRent)^2*IF(INT((DATE(2026+2,10,31)-F81)/365.25)=0,(12-DowntimeNew)/12,1),IF(I81="Option",G81*D81*1.025*(1+EscalatorInLease)^2,IF(I81="Market",Retention*G81*D81*(1+EscalatorInLease)^(2+M81)+(1-Retention)*H81*D81*(1+GrowthMarketRent)^2*IF(INT((DATE(2026+2,10,31)-F81)/365.25)=0,(12-DowntimeNew)/12,1),IF(I81="LeaseUp",H81*D81*(1+GrowthMarketRent)^2*IF(2=0,(12-DowntimeNew)/12,1),0)))),((F81-DATE(2026+2,5,1))/365.25)*G81*D81*(1+EscalatorInLease)^(2+M81)+((DATE(2027+2,4,30)-F81)/365.25)*IF(I81="Vacate",H81*D81*(1+GrowthMarketRent)^2*IF(INT((DATE(2026+2,10,31)-F81)/365.25)=0,(12-DowntimeNew)/12,1),IF(I81="Option",G81*D81*1.025*(1+EscalatorInLease)^2,IF(I81="Market",Retention*G81*D81*(1+EscalatorInLease)^(2+M81)+(1-Retention)*H81*D81*(1+GrowthMarketRent)^2*IF(INT((DATE(2026+2,10,31)-F81)/365.25)=0,(12-DowntimeNew)/12,1),IF(I81="LeaseUp",H81*D81*(1+GrowthMarketRent)^2*IF(2=0,(12-DowntimeNew)/12,1),0)))))))),0)</f>
        <v/>
      </c>
      <c r="Q81" s="14">
        <f>IFERROR(IF(I81="LeaseUp",H81*D81*(1+GrowthMarketRent)^3*IF(3=0,(12-DowntimeNew)/12,1),IF(F81="",0,IF(F81&gt;=DATE(2027+3,4,30),G81*D81*(1+EscalatorInLease)^(3+M81),IF(F81&lt;DATE(2026+3,5,1),IF(I81="Vacate",H81*D81*(1+GrowthMarketRent)^3*IF(INT((DATE(2026+3,10,31)-F81)/365.25)=0,(12-DowntimeNew)/12,1),IF(I81="Option",G81*D81*1.025*(1+EscalatorInLease)^3,IF(I81="Market",Retention*G81*D81*(1+EscalatorInLease)^(3+M81)+(1-Retention)*H81*D81*(1+GrowthMarketRent)^3*IF(INT((DATE(2026+3,10,31)-F81)/365.25)=0,(12-DowntimeNew)/12,1),IF(I81="LeaseUp",H81*D81*(1+GrowthMarketRent)^3*IF(3=0,(12-DowntimeNew)/12,1),0)))),((F81-DATE(2026+3,5,1))/365.25)*G81*D81*(1+EscalatorInLease)^(3+M81)+((DATE(2027+3,4,30)-F81)/365.25)*IF(I81="Vacate",H81*D81*(1+GrowthMarketRent)^3*IF(INT((DATE(2026+3,10,31)-F81)/365.25)=0,(12-DowntimeNew)/12,1),IF(I81="Option",G81*D81*1.025*(1+EscalatorInLease)^3,IF(I81="Market",Retention*G81*D81*(1+EscalatorInLease)^(3+M81)+(1-Retention)*H81*D81*(1+GrowthMarketRent)^3*IF(INT((DATE(2026+3,10,31)-F81)/365.25)=0,(12-DowntimeNew)/12,1),IF(I81="LeaseUp",H81*D81*(1+GrowthMarketRent)^3*IF(3=0,(12-DowntimeNew)/12,1),0)))))))),0)</f>
        <v/>
      </c>
      <c r="R81" s="14">
        <f>IFERROR(IF(I81="LeaseUp",H81*D81*(1+GrowthMarketRent)^4*IF(4=0,(12-DowntimeNew)/12,1),IF(F81="",0,IF(F81&gt;=DATE(2027+4,4,30),G81*D81*(1+EscalatorInLease)^(4+M81),IF(F81&lt;DATE(2026+4,5,1),IF(I81="Vacate",H81*D81*(1+GrowthMarketRent)^4*IF(INT((DATE(2026+4,10,31)-F81)/365.25)=0,(12-DowntimeNew)/12,1),IF(I81="Option",G81*D81*1.025*(1+EscalatorInLease)^4,IF(I81="Market",Retention*G81*D81*(1+EscalatorInLease)^(4+M81)+(1-Retention)*H81*D81*(1+GrowthMarketRent)^4*IF(INT((DATE(2026+4,10,31)-F81)/365.25)=0,(12-DowntimeNew)/12,1),IF(I81="LeaseUp",H81*D81*(1+GrowthMarketRent)^4*IF(4=0,(12-DowntimeNew)/12,1),0)))),((F81-DATE(2026+4,5,1))/365.25)*G81*D81*(1+EscalatorInLease)^(4+M81)+((DATE(2027+4,4,30)-F81)/365.25)*IF(I81="Vacate",H81*D81*(1+GrowthMarketRent)^4*IF(INT((DATE(2026+4,10,31)-F81)/365.25)=0,(12-DowntimeNew)/12,1),IF(I81="Option",G81*D81*1.025*(1+EscalatorInLease)^4,IF(I81="Market",Retention*G81*D81*(1+EscalatorInLease)^(4+M81)+(1-Retention)*H81*D81*(1+GrowthMarketRent)^4*IF(INT((DATE(2026+4,10,31)-F81)/365.25)=0,(12-DowntimeNew)/12,1),IF(I81="LeaseUp",H81*D81*(1+GrowthMarketRent)^4*IF(4=0,(12-DowntimeNew)/12,1),0)))))))),0)</f>
        <v/>
      </c>
      <c r="S81" s="14">
        <f>IFERROR(IF(I81="LeaseUp",H81*D81*(1+GrowthMarketRent)^5*IF(5=0,(12-DowntimeNew)/12,1),IF(F81="",0,IF(F81&gt;=DATE(2027+5,4,30),G81*D81*(1+EscalatorInLease)^(5+M81),IF(F81&lt;DATE(2026+5,5,1),IF(I81="Vacate",H81*D81*(1+GrowthMarketRent)^5*IF(INT((DATE(2026+5,10,31)-F81)/365.25)=0,(12-DowntimeNew)/12,1),IF(I81="Option",G81*D81*1.025*(1+EscalatorInLease)^5,IF(I81="Market",Retention*G81*D81*(1+EscalatorInLease)^(5+M81)+(1-Retention)*H81*D81*(1+GrowthMarketRent)^5*IF(INT((DATE(2026+5,10,31)-F81)/365.25)=0,(12-DowntimeNew)/12,1),IF(I81="LeaseUp",H81*D81*(1+GrowthMarketRent)^5*IF(5=0,(12-DowntimeNew)/12,1),0)))),((F81-DATE(2026+5,5,1))/365.25)*G81*D81*(1+EscalatorInLease)^(5+M81)+((DATE(2027+5,4,30)-F81)/365.25)*IF(I81="Vacate",H81*D81*(1+GrowthMarketRent)^5*IF(INT((DATE(2026+5,10,31)-F81)/365.25)=0,(12-DowntimeNew)/12,1),IF(I81="Option",G81*D81*1.025*(1+EscalatorInLease)^5,IF(I81="Market",Retention*G81*D81*(1+EscalatorInLease)^(5+M81)+(1-Retention)*H81*D81*(1+GrowthMarketRent)^5*IF(INT((DATE(2026+5,10,31)-F81)/365.25)=0,(12-DowntimeNew)/12,1),IF(I81="LeaseUp",H81*D81*(1+GrowthMarketRent)^5*IF(5=0,(12-DowntimeNew)/12,1),0)))))))),0)</f>
        <v/>
      </c>
      <c r="T81" s="14">
        <f>IFERROR(IF(I81="LeaseUp",H81*D81*(1+GrowthMarketRent)^6*IF(6=0,(12-DowntimeNew)/12,1),IF(F81="",0,IF(F81&gt;=DATE(2027+6,4,30),G81*D81*(1+EscalatorInLease)^(6+M81),IF(F81&lt;DATE(2026+6,5,1),IF(I81="Vacate",H81*D81*(1+GrowthMarketRent)^6*IF(INT((DATE(2026+6,10,31)-F81)/365.25)=0,(12-DowntimeNew)/12,1),IF(I81="Option",G81*D81*1.025*(1+EscalatorInLease)^6,IF(I81="Market",Retention*G81*D81*(1+EscalatorInLease)^(6+M81)+(1-Retention)*H81*D81*(1+GrowthMarketRent)^6*IF(INT((DATE(2026+6,10,31)-F81)/365.25)=0,(12-DowntimeNew)/12,1),IF(I81="LeaseUp",H81*D81*(1+GrowthMarketRent)^6*IF(6=0,(12-DowntimeNew)/12,1),0)))),((F81-DATE(2026+6,5,1))/365.25)*G81*D81*(1+EscalatorInLease)^(6+M81)+((DATE(2027+6,4,30)-F81)/365.25)*IF(I81="Vacate",H81*D81*(1+GrowthMarketRent)^6*IF(INT((DATE(2026+6,10,31)-F81)/365.25)=0,(12-DowntimeNew)/12,1),IF(I81="Option",G81*D81*1.025*(1+EscalatorInLease)^6,IF(I81="Market",Retention*G81*D81*(1+EscalatorInLease)^(6+M81)+(1-Retention)*H81*D81*(1+GrowthMarketRent)^6*IF(INT((DATE(2026+6,10,31)-F81)/365.25)=0,(12-DowntimeNew)/12,1),IF(I81="LeaseUp",H81*D81*(1+GrowthMarketRent)^6*IF(6=0,(12-DowntimeNew)/12,1),0)))))))),0)</f>
        <v/>
      </c>
      <c r="U81" s="14">
        <f>IFERROR(IF(I81="LeaseUp",H81*D81*(1+GrowthMarketRent)^7*IF(7=0,(12-DowntimeNew)/12,1),IF(F81="",0,IF(F81&gt;=DATE(2027+7,4,30),G81*D81*(1+EscalatorInLease)^(7+M81),IF(F81&lt;DATE(2026+7,5,1),IF(I81="Vacate",H81*D81*(1+GrowthMarketRent)^7*IF(INT((DATE(2026+7,10,31)-F81)/365.25)=0,(12-DowntimeNew)/12,1),IF(I81="Option",G81*D81*1.025*(1+EscalatorInLease)^7,IF(I81="Market",Retention*G81*D81*(1+EscalatorInLease)^(7+M81)+(1-Retention)*H81*D81*(1+GrowthMarketRent)^7*IF(INT((DATE(2026+7,10,31)-F81)/365.25)=0,(12-DowntimeNew)/12,1),IF(I81="LeaseUp",H81*D81*(1+GrowthMarketRent)^7*IF(7=0,(12-DowntimeNew)/12,1),0)))),((F81-DATE(2026+7,5,1))/365.25)*G81*D81*(1+EscalatorInLease)^(7+M81)+((DATE(2027+7,4,30)-F81)/365.25)*IF(I81="Vacate",H81*D81*(1+GrowthMarketRent)^7*IF(INT((DATE(2026+7,10,31)-F81)/365.25)=0,(12-DowntimeNew)/12,1),IF(I81="Option",G81*D81*1.025*(1+EscalatorInLease)^7,IF(I81="Market",Retention*G81*D81*(1+EscalatorInLease)^(7+M81)+(1-Retention)*H81*D81*(1+GrowthMarketRent)^7*IF(INT((DATE(2026+7,10,31)-F81)/365.25)=0,(12-DowntimeNew)/12,1),IF(I81="LeaseUp",H81*D81*(1+GrowthMarketRent)^7*IF(7=0,(12-DowntimeNew)/12,1),0)))))))),0)</f>
        <v/>
      </c>
      <c r="V81" s="14">
        <f>IFERROR(IF(I81="LeaseUp",H81*D81*(1+GrowthMarketRent)^8*IF(8=0,(12-DowntimeNew)/12,1),IF(F81="",0,IF(F81&gt;=DATE(2027+8,4,30),G81*D81*(1+EscalatorInLease)^(8+M81),IF(F81&lt;DATE(2026+8,5,1),IF(I81="Vacate",H81*D81*(1+GrowthMarketRent)^8*IF(INT((DATE(2026+8,10,31)-F81)/365.25)=0,(12-DowntimeNew)/12,1),IF(I81="Option",G81*D81*1.025*(1+EscalatorInLease)^8,IF(I81="Market",Retention*G81*D81*(1+EscalatorInLease)^(8+M81)+(1-Retention)*H81*D81*(1+GrowthMarketRent)^8*IF(INT((DATE(2026+8,10,31)-F81)/365.25)=0,(12-DowntimeNew)/12,1),IF(I81="LeaseUp",H81*D81*(1+GrowthMarketRent)^8*IF(8=0,(12-DowntimeNew)/12,1),0)))),((F81-DATE(2026+8,5,1))/365.25)*G81*D81*(1+EscalatorInLease)^(8+M81)+((DATE(2027+8,4,30)-F81)/365.25)*IF(I81="Vacate",H81*D81*(1+GrowthMarketRent)^8*IF(INT((DATE(2026+8,10,31)-F81)/365.25)=0,(12-DowntimeNew)/12,1),IF(I81="Option",G81*D81*1.025*(1+EscalatorInLease)^8,IF(I81="Market",Retention*G81*D81*(1+EscalatorInLease)^(8+M81)+(1-Retention)*H81*D81*(1+GrowthMarketRent)^8*IF(INT((DATE(2026+8,10,31)-F81)/365.25)=0,(12-DowntimeNew)/12,1),IF(I81="LeaseUp",H81*D81*(1+GrowthMarketRent)^8*IF(8=0,(12-DowntimeNew)/12,1),0)))))))),0)</f>
        <v/>
      </c>
      <c r="W81" s="14">
        <f>IFERROR(IF(I81="LeaseUp",H81*D81*(1+GrowthMarketRent)^9*IF(9=0,(12-DowntimeNew)/12,1),IF(F81="",0,IF(F81&gt;=DATE(2027+9,4,30),G81*D81*(1+EscalatorInLease)^(9+M81),IF(F81&lt;DATE(2026+9,5,1),IF(I81="Vacate",H81*D81*(1+GrowthMarketRent)^9*IF(INT((DATE(2026+9,10,31)-F81)/365.25)=0,(12-DowntimeNew)/12,1),IF(I81="Option",G81*D81*1.025*(1+EscalatorInLease)^9,IF(I81="Market",Retention*G81*D81*(1+EscalatorInLease)^(9+M81)+(1-Retention)*H81*D81*(1+GrowthMarketRent)^9*IF(INT((DATE(2026+9,10,31)-F81)/365.25)=0,(12-DowntimeNew)/12,1),IF(I81="LeaseUp",H81*D81*(1+GrowthMarketRent)^9*IF(9=0,(12-DowntimeNew)/12,1),0)))),((F81-DATE(2026+9,5,1))/365.25)*G81*D81*(1+EscalatorInLease)^(9+M81)+((DATE(2027+9,4,30)-F81)/365.25)*IF(I81="Vacate",H81*D81*(1+GrowthMarketRent)^9*IF(INT((DATE(2026+9,10,31)-F81)/365.25)=0,(12-DowntimeNew)/12,1),IF(I81="Option",G81*D81*1.025*(1+EscalatorInLease)^9,IF(I81="Market",Retention*G81*D81*(1+EscalatorInLease)^(9+M81)+(1-Retention)*H81*D81*(1+GrowthMarketRent)^9*IF(INT((DATE(2026+9,10,31)-F81)/365.25)=0,(12-DowntimeNew)/12,1),IF(I81="LeaseUp",H81*D81*(1+GrowthMarketRent)^9*IF(9=0,(12-DowntimeNew)/12,1),0)))))))),0)</f>
        <v/>
      </c>
      <c r="X81" s="14">
        <f>IFERROR(IF(I81="LeaseUp",H81*D81*(1+GrowthMarketRent)^10*IF(10=0,(12-DowntimeNew)/12,1),IF(F81="",0,IF(F81&gt;=DATE(2027+10,4,30),G81*D81*(1+EscalatorInLease)^(10+M81),IF(F81&lt;DATE(2026+10,5,1),IF(I81="Vacate",H81*D81*(1+GrowthMarketRent)^10*IF(INT((DATE(2026+10,10,31)-F81)/365.25)=0,(12-DowntimeNew)/12,1),IF(I81="Option",G81*D81*1.025*(1+EscalatorInLease)^10,IF(I81="Market",Retention*G81*D81*(1+EscalatorInLease)^(10+M81)+(1-Retention)*H81*D81*(1+GrowthMarketRent)^10*IF(INT((DATE(2026+10,10,31)-F81)/365.25)=0,(12-DowntimeNew)/12,1),IF(I81="LeaseUp",H81*D81*(1+GrowthMarketRent)^10*IF(10=0,(12-DowntimeNew)/12,1),0)))),((F81-DATE(2026+10,5,1))/365.25)*G81*D81*(1+EscalatorInLease)^(10+M81)+((DATE(2027+10,4,30)-F81)/365.25)*IF(I81="Vacate",H81*D81*(1+GrowthMarketRent)^10*IF(INT((DATE(2026+10,10,31)-F81)/365.25)=0,(12-DowntimeNew)/12,1),IF(I81="Option",G81*D81*1.025*(1+EscalatorInLease)^10,IF(I81="Market",Retention*G81*D81*(1+EscalatorInLease)^(10+M81)+(1-Retention)*H81*D81*(1+GrowthMarketRent)^10*IF(INT((DATE(2026+10,10,31)-F81)/365.25)=0,(12-DowntimeNew)/12,1),IF(I81="LeaseUp",H81*D81*(1+GrowthMarketRent)^10*IF(10=0,(12-DowntimeNew)/12,1),0)))))))),0)</f>
        <v/>
      </c>
      <c r="Y81" s="14">
        <f>IFERROR(IF(AND(I81="LeaseUp",0=0),(IF(I81="Vacate",TINew*D81,IF(I81="Market",Retention*TIRenewal*D81+(1-Retention)*TINew*D81,IF(I81="LeaseUp",TINew*D81,IF(I81="Option",TIRenewal*D81,0)))))+(IF(I81="Vacate",LCNew*H81*D81*(1+GrowthMarketRent)^0,IF(I81="Market",Retention*LCRenewal*H81*D81*(1+GrowthMarketRent)^0+(1-Retention)*LCNew*H81*D81*(1+GrowthMarketRent)^0,IF(I81="LeaseUp",LCNew*H81*D81*(1+GrowthMarketRent)^0,IF(I81="Option",LCRenewal*H81*D81*(1+GrowthMarketRent)^0,0))))),IF(F81="",0,IF(AND(F81&gt;=DATE(2026+0,5,1),F81&lt;=DATE(2027+0,4,30)),(IF(I81="Vacate",TINew*D81,IF(I81="Market",Retention*TIRenewal*D81+(1-Retention)*TINew*D81,IF(I81="LeaseUp",TINew*D81,IF(I81="Option",TIRenewal*D81,0)))))+(IF(I81="Vacate",LCNew*H81*D81*(1+GrowthMarketRent)^0,IF(I81="Market",Retention*LCRenewal*H81*D81*(1+GrowthMarketRent)^0+(1-Retention)*LCNew*H81*D81*(1+GrowthMarketRent)^0,IF(I81="LeaseUp",LCNew*H81*D81*(1+GrowthMarketRent)^0,IF(I81="Option",LCRenewal*H81*D81*(1+GrowthMarketRent)^0,0))))),0))),0)</f>
        <v/>
      </c>
      <c r="Z81" s="14">
        <f>IFERROR(IF(AND(I81="LeaseUp",1=0),(IF(I81="Vacate",TINew*D81,IF(I81="Market",Retention*TIRenewal*D81+(1-Retention)*TINew*D81,IF(I81="LeaseUp",TINew*D81,IF(I81="Option",TIRenewal*D81,0)))))+(IF(I81="Vacate",LCNew*H81*D81*(1+GrowthMarketRent)^1,IF(I81="Market",Retention*LCRenewal*H81*D81*(1+GrowthMarketRent)^1+(1-Retention)*LCNew*H81*D81*(1+GrowthMarketRent)^1,IF(I81="LeaseUp",LCNew*H81*D81*(1+GrowthMarketRent)^1,IF(I81="Option",LCRenewal*H81*D81*(1+GrowthMarketRent)^1,0))))),IF(F81="",0,IF(AND(F81&gt;=DATE(2026+1,5,1),F81&lt;=DATE(2027+1,4,30)),(IF(I81="Vacate",TINew*D81,IF(I81="Market",Retention*TIRenewal*D81+(1-Retention)*TINew*D81,IF(I81="LeaseUp",TINew*D81,IF(I81="Option",TIRenewal*D81,0)))))+(IF(I81="Vacate",LCNew*H81*D81*(1+GrowthMarketRent)^1,IF(I81="Market",Retention*LCRenewal*H81*D81*(1+GrowthMarketRent)^1+(1-Retention)*LCNew*H81*D81*(1+GrowthMarketRent)^1,IF(I81="LeaseUp",LCNew*H81*D81*(1+GrowthMarketRent)^1,IF(I81="Option",LCRenewal*H81*D81*(1+GrowthMarketRent)^1,0))))),0))),0)</f>
        <v/>
      </c>
      <c r="AA81" s="14">
        <f>IFERROR(IF(AND(I81="LeaseUp",2=0),(IF(I81="Vacate",TINew*D81,IF(I81="Market",Retention*TIRenewal*D81+(1-Retention)*TINew*D81,IF(I81="LeaseUp",TINew*D81,IF(I81="Option",TIRenewal*D81,0)))))+(IF(I81="Vacate",LCNew*H81*D81*(1+GrowthMarketRent)^2,IF(I81="Market",Retention*LCRenewal*H81*D81*(1+GrowthMarketRent)^2+(1-Retention)*LCNew*H81*D81*(1+GrowthMarketRent)^2,IF(I81="LeaseUp",LCNew*H81*D81*(1+GrowthMarketRent)^2,IF(I81="Option",LCRenewal*H81*D81*(1+GrowthMarketRent)^2,0))))),IF(F81="",0,IF(AND(F81&gt;=DATE(2026+2,5,1),F81&lt;=DATE(2027+2,4,30)),(IF(I81="Vacate",TINew*D81,IF(I81="Market",Retention*TIRenewal*D81+(1-Retention)*TINew*D81,IF(I81="LeaseUp",TINew*D81,IF(I81="Option",TIRenewal*D81,0)))))+(IF(I81="Vacate",LCNew*H81*D81*(1+GrowthMarketRent)^2,IF(I81="Market",Retention*LCRenewal*H81*D81*(1+GrowthMarketRent)^2+(1-Retention)*LCNew*H81*D81*(1+GrowthMarketRent)^2,IF(I81="LeaseUp",LCNew*H81*D81*(1+GrowthMarketRent)^2,IF(I81="Option",LCRenewal*H81*D81*(1+GrowthMarketRent)^2,0))))),0))),0)</f>
        <v/>
      </c>
      <c r="AB81" s="14">
        <f>IFERROR(IF(AND(I81="LeaseUp",3=0),(IF(I81="Vacate",TINew*D81,IF(I81="Market",Retention*TIRenewal*D81+(1-Retention)*TINew*D81,IF(I81="LeaseUp",TINew*D81,IF(I81="Option",TIRenewal*D81,0)))))+(IF(I81="Vacate",LCNew*H81*D81*(1+GrowthMarketRent)^3,IF(I81="Market",Retention*LCRenewal*H81*D81*(1+GrowthMarketRent)^3+(1-Retention)*LCNew*H81*D81*(1+GrowthMarketRent)^3,IF(I81="LeaseUp",LCNew*H81*D81*(1+GrowthMarketRent)^3,IF(I81="Option",LCRenewal*H81*D81*(1+GrowthMarketRent)^3,0))))),IF(F81="",0,IF(AND(F81&gt;=DATE(2026+3,5,1),F81&lt;=DATE(2027+3,4,30)),(IF(I81="Vacate",TINew*D81,IF(I81="Market",Retention*TIRenewal*D81+(1-Retention)*TINew*D81,IF(I81="LeaseUp",TINew*D81,IF(I81="Option",TIRenewal*D81,0)))))+(IF(I81="Vacate",LCNew*H81*D81*(1+GrowthMarketRent)^3,IF(I81="Market",Retention*LCRenewal*H81*D81*(1+GrowthMarketRent)^3+(1-Retention)*LCNew*H81*D81*(1+GrowthMarketRent)^3,IF(I81="LeaseUp",LCNew*H81*D81*(1+GrowthMarketRent)^3,IF(I81="Option",LCRenewal*H81*D81*(1+GrowthMarketRent)^3,0))))),0))),0)</f>
        <v/>
      </c>
      <c r="AC81" s="14">
        <f>IFERROR(IF(AND(I81="LeaseUp",4=0),(IF(I81="Vacate",TINew*D81,IF(I81="Market",Retention*TIRenewal*D81+(1-Retention)*TINew*D81,IF(I81="LeaseUp",TINew*D81,IF(I81="Option",TIRenewal*D81,0)))))+(IF(I81="Vacate",LCNew*H81*D81*(1+GrowthMarketRent)^4,IF(I81="Market",Retention*LCRenewal*H81*D81*(1+GrowthMarketRent)^4+(1-Retention)*LCNew*H81*D81*(1+GrowthMarketRent)^4,IF(I81="LeaseUp",LCNew*H81*D81*(1+GrowthMarketRent)^4,IF(I81="Option",LCRenewal*H81*D81*(1+GrowthMarketRent)^4,0))))),IF(F81="",0,IF(AND(F81&gt;=DATE(2026+4,5,1),F81&lt;=DATE(2027+4,4,30)),(IF(I81="Vacate",TINew*D81,IF(I81="Market",Retention*TIRenewal*D81+(1-Retention)*TINew*D81,IF(I81="LeaseUp",TINew*D81,IF(I81="Option",TIRenewal*D81,0)))))+(IF(I81="Vacate",LCNew*H81*D81*(1+GrowthMarketRent)^4,IF(I81="Market",Retention*LCRenewal*H81*D81*(1+GrowthMarketRent)^4+(1-Retention)*LCNew*H81*D81*(1+GrowthMarketRent)^4,IF(I81="LeaseUp",LCNew*H81*D81*(1+GrowthMarketRent)^4,IF(I81="Option",LCRenewal*H81*D81*(1+GrowthMarketRent)^4,0))))),0))),0)</f>
        <v/>
      </c>
      <c r="AD81" s="14">
        <f>IFERROR(IF(AND(I81="LeaseUp",5=0),(IF(I81="Vacate",TINew*D81,IF(I81="Market",Retention*TIRenewal*D81+(1-Retention)*TINew*D81,IF(I81="LeaseUp",TINew*D81,IF(I81="Option",TIRenewal*D81,0)))))+(IF(I81="Vacate",LCNew*H81*D81*(1+GrowthMarketRent)^5,IF(I81="Market",Retention*LCRenewal*H81*D81*(1+GrowthMarketRent)^5+(1-Retention)*LCNew*H81*D81*(1+GrowthMarketRent)^5,IF(I81="LeaseUp",LCNew*H81*D81*(1+GrowthMarketRent)^5,IF(I81="Option",LCRenewal*H81*D81*(1+GrowthMarketRent)^5,0))))),IF(F81="",0,IF(AND(F81&gt;=DATE(2026+5,5,1),F81&lt;=DATE(2027+5,4,30)),(IF(I81="Vacate",TINew*D81,IF(I81="Market",Retention*TIRenewal*D81+(1-Retention)*TINew*D81,IF(I81="LeaseUp",TINew*D81,IF(I81="Option",TIRenewal*D81,0)))))+(IF(I81="Vacate",LCNew*H81*D81*(1+GrowthMarketRent)^5,IF(I81="Market",Retention*LCRenewal*H81*D81*(1+GrowthMarketRent)^5+(1-Retention)*LCNew*H81*D81*(1+GrowthMarketRent)^5,IF(I81="LeaseUp",LCNew*H81*D81*(1+GrowthMarketRent)^5,IF(I81="Option",LCRenewal*H81*D81*(1+GrowthMarketRent)^5,0))))),0))),0)</f>
        <v/>
      </c>
      <c r="AE81" s="14">
        <f>IFERROR(IF(AND(I81="LeaseUp",6=0),(IF(I81="Vacate",TINew*D81,IF(I81="Market",Retention*TIRenewal*D81+(1-Retention)*TINew*D81,IF(I81="LeaseUp",TINew*D81,IF(I81="Option",TIRenewal*D81,0)))))+(IF(I81="Vacate",LCNew*H81*D81*(1+GrowthMarketRent)^6,IF(I81="Market",Retention*LCRenewal*H81*D81*(1+GrowthMarketRent)^6+(1-Retention)*LCNew*H81*D81*(1+GrowthMarketRent)^6,IF(I81="LeaseUp",LCNew*H81*D81*(1+GrowthMarketRent)^6,IF(I81="Option",LCRenewal*H81*D81*(1+GrowthMarketRent)^6,0))))),IF(F81="",0,IF(AND(F81&gt;=DATE(2026+6,5,1),F81&lt;=DATE(2027+6,4,30)),(IF(I81="Vacate",TINew*D81,IF(I81="Market",Retention*TIRenewal*D81+(1-Retention)*TINew*D81,IF(I81="LeaseUp",TINew*D81,IF(I81="Option",TIRenewal*D81,0)))))+(IF(I81="Vacate",LCNew*H81*D81*(1+GrowthMarketRent)^6,IF(I81="Market",Retention*LCRenewal*H81*D81*(1+GrowthMarketRent)^6+(1-Retention)*LCNew*H81*D81*(1+GrowthMarketRent)^6,IF(I81="LeaseUp",LCNew*H81*D81*(1+GrowthMarketRent)^6,IF(I81="Option",LCRenewal*H81*D81*(1+GrowthMarketRent)^6,0))))),0))),0)</f>
        <v/>
      </c>
      <c r="AF81" s="14">
        <f>IFERROR(IF(AND(I81="LeaseUp",7=0),(IF(I81="Vacate",TINew*D81,IF(I81="Market",Retention*TIRenewal*D81+(1-Retention)*TINew*D81,IF(I81="LeaseUp",TINew*D81,IF(I81="Option",TIRenewal*D81,0)))))+(IF(I81="Vacate",LCNew*H81*D81*(1+GrowthMarketRent)^7,IF(I81="Market",Retention*LCRenewal*H81*D81*(1+GrowthMarketRent)^7+(1-Retention)*LCNew*H81*D81*(1+GrowthMarketRent)^7,IF(I81="LeaseUp",LCNew*H81*D81*(1+GrowthMarketRent)^7,IF(I81="Option",LCRenewal*H81*D81*(1+GrowthMarketRent)^7,0))))),IF(F81="",0,IF(AND(F81&gt;=DATE(2026+7,5,1),F81&lt;=DATE(2027+7,4,30)),(IF(I81="Vacate",TINew*D81,IF(I81="Market",Retention*TIRenewal*D81+(1-Retention)*TINew*D81,IF(I81="LeaseUp",TINew*D81,IF(I81="Option",TIRenewal*D81,0)))))+(IF(I81="Vacate",LCNew*H81*D81*(1+GrowthMarketRent)^7,IF(I81="Market",Retention*LCRenewal*H81*D81*(1+GrowthMarketRent)^7+(1-Retention)*LCNew*H81*D81*(1+GrowthMarketRent)^7,IF(I81="LeaseUp",LCNew*H81*D81*(1+GrowthMarketRent)^7,IF(I81="Option",LCRenewal*H81*D81*(1+GrowthMarketRent)^7,0))))),0))),0)</f>
        <v/>
      </c>
      <c r="AG81" s="14">
        <f>IFERROR(IF(AND(I81="LeaseUp",8=0),(IF(I81="Vacate",TINew*D81,IF(I81="Market",Retention*TIRenewal*D81+(1-Retention)*TINew*D81,IF(I81="LeaseUp",TINew*D81,IF(I81="Option",TIRenewal*D81,0)))))+(IF(I81="Vacate",LCNew*H81*D81*(1+GrowthMarketRent)^8,IF(I81="Market",Retention*LCRenewal*H81*D81*(1+GrowthMarketRent)^8+(1-Retention)*LCNew*H81*D81*(1+GrowthMarketRent)^8,IF(I81="LeaseUp",LCNew*H81*D81*(1+GrowthMarketRent)^8,IF(I81="Option",LCRenewal*H81*D81*(1+GrowthMarketRent)^8,0))))),IF(F81="",0,IF(AND(F81&gt;=DATE(2026+8,5,1),F81&lt;=DATE(2027+8,4,30)),(IF(I81="Vacate",TINew*D81,IF(I81="Market",Retention*TIRenewal*D81+(1-Retention)*TINew*D81,IF(I81="LeaseUp",TINew*D81,IF(I81="Option",TIRenewal*D81,0)))))+(IF(I81="Vacate",LCNew*H81*D81*(1+GrowthMarketRent)^8,IF(I81="Market",Retention*LCRenewal*H81*D81*(1+GrowthMarketRent)^8+(1-Retention)*LCNew*H81*D81*(1+GrowthMarketRent)^8,IF(I81="LeaseUp",LCNew*H81*D81*(1+GrowthMarketRent)^8,IF(I81="Option",LCRenewal*H81*D81*(1+GrowthMarketRent)^8,0))))),0))),0)</f>
        <v/>
      </c>
      <c r="AH81" s="14">
        <f>IFERROR(IF(AND(I81="LeaseUp",9=0),(IF(I81="Vacate",TINew*D81,IF(I81="Market",Retention*TIRenewal*D81+(1-Retention)*TINew*D81,IF(I81="LeaseUp",TINew*D81,IF(I81="Option",TIRenewal*D81,0)))))+(IF(I81="Vacate",LCNew*H81*D81*(1+GrowthMarketRent)^9,IF(I81="Market",Retention*LCRenewal*H81*D81*(1+GrowthMarketRent)^9+(1-Retention)*LCNew*H81*D81*(1+GrowthMarketRent)^9,IF(I81="LeaseUp",LCNew*H81*D81*(1+GrowthMarketRent)^9,IF(I81="Option",LCRenewal*H81*D81*(1+GrowthMarketRent)^9,0))))),IF(F81="",0,IF(AND(F81&gt;=DATE(2026+9,5,1),F81&lt;=DATE(2027+9,4,30)),(IF(I81="Vacate",TINew*D81,IF(I81="Market",Retention*TIRenewal*D81+(1-Retention)*TINew*D81,IF(I81="LeaseUp",TINew*D81,IF(I81="Option",TIRenewal*D81,0)))))+(IF(I81="Vacate",LCNew*H81*D81*(1+GrowthMarketRent)^9,IF(I81="Market",Retention*LCRenewal*H81*D81*(1+GrowthMarketRent)^9+(1-Retention)*LCNew*H81*D81*(1+GrowthMarketRent)^9,IF(I81="LeaseUp",LCNew*H81*D81*(1+GrowthMarketRent)^9,IF(I81="Option",LCRenewal*H81*D81*(1+GrowthMarketRent)^9,0))))),0))),0)</f>
        <v/>
      </c>
      <c r="AI81" s="14">
        <f>IFERROR(IF(AND(I81="LeaseUp",10=0),(IF(I81="Vacate",TINew*D81,IF(I81="Market",Retention*TIRenewal*D81+(1-Retention)*TINew*D81,IF(I81="LeaseUp",TINew*D81,IF(I81="Option",TIRenewal*D81,0)))))+(IF(I81="Vacate",LCNew*H81*D81*(1+GrowthMarketRent)^10,IF(I81="Market",Retention*LCRenewal*H81*D81*(1+GrowthMarketRent)^10+(1-Retention)*LCNew*H81*D81*(1+GrowthMarketRent)^10,IF(I81="LeaseUp",LCNew*H81*D81*(1+GrowthMarketRent)^10,IF(I81="Option",LCRenewal*H81*D81*(1+GrowthMarketRent)^10,0))))),IF(F81="",0,IF(AND(F81&gt;=DATE(2026+10,5,1),F81&lt;=DATE(2027+10,4,30)),(IF(I81="Vacate",TINew*D81,IF(I81="Market",Retention*TIRenewal*D81+(1-Retention)*TINew*D81,IF(I81="LeaseUp",TINew*D81,IF(I81="Option",TIRenewal*D81,0)))))+(IF(I81="Vacate",LCNew*H81*D81*(1+GrowthMarketRent)^10,IF(I81="Market",Retention*LCRenewal*H81*D81*(1+GrowthMarketRent)^10+(1-Retention)*LCNew*H81*D81*(1+GrowthMarketRent)^10,IF(I81="LeaseUp",LCNew*H81*D81*(1+GrowthMarketRent)^10,IF(I81="Option",LCRenewal*H81*D81*(1+GrowthMarketRent)^10,0))))),0))),0)</f>
        <v/>
      </c>
    </row>
    <row r="82">
      <c r="A82" t="inlineStr">
        <is>
          <t>Mesquite</t>
        </is>
      </c>
      <c r="B82" t="inlineStr">
        <is>
          <t>202</t>
        </is>
      </c>
      <c r="C82" t="inlineStr">
        <is>
          <t>Mesquite Signs LLC</t>
        </is>
      </c>
      <c r="D82" s="32" t="n">
        <v>1870</v>
      </c>
      <c r="E82" s="33" t="n">
        <v>46023</v>
      </c>
      <c r="F82" s="33" t="n">
        <v>46143</v>
      </c>
      <c r="G82" s="34" t="n">
        <v>14.9716577540107</v>
      </c>
      <c r="H82" s="16">
        <f>VLOOKUP(A82,MLA!$A$5:$L$11,3,FALSE)</f>
        <v/>
      </c>
      <c r="I82" s="11" t="inlineStr">
        <is>
          <t>Market</t>
        </is>
      </c>
      <c r="J82" t="inlineStr">
        <is>
          <t>Studio</t>
        </is>
      </c>
      <c r="K82" t="inlineStr">
        <is>
          <t>Occupied</t>
        </is>
      </c>
      <c r="L82" t="inlineStr">
        <is>
          <t>Studio; MTM through 06/26; Guarantor: Todd Rumaner</t>
        </is>
      </c>
      <c r="M82" s="20">
        <f>IF(E82="",0,(AnalysisStart-E82)/365.25)</f>
        <v/>
      </c>
      <c r="N82" s="14">
        <f>IFERROR(IF(I82="LeaseUp",H82*D82*(1+GrowthMarketRent)^0*IF(0=0,(12-DowntimeNew)/12,1),IF(F82="",0,IF(F82&gt;=DATE(2027+0,4,30),G82*D82*(1+EscalatorInLease)^(0+M82),IF(F82&lt;DATE(2026+0,5,1),IF(I82="Vacate",H82*D82*(1+GrowthMarketRent)^0*IF(INT((DATE(2026+0,10,31)-F82)/365.25)=0,(12-DowntimeNew)/12,1),IF(I82="Option",G82*D82*1.025*(1+EscalatorInLease)^0,IF(I82="Market",Retention*G82*D82*(1+EscalatorInLease)^(0+M82)+(1-Retention)*H82*D82*(1+GrowthMarketRent)^0*IF(INT((DATE(2026+0,10,31)-F82)/365.25)=0,(12-DowntimeNew)/12,1),IF(I82="LeaseUp",H82*D82*(1+GrowthMarketRent)^0*IF(0=0,(12-DowntimeNew)/12,1),0)))),((F82-DATE(2026+0,5,1))/365.25)*G82*D82*(1+EscalatorInLease)^(0+M82)+((DATE(2027+0,4,30)-F82)/365.25)*IF(I82="Vacate",H82*D82*(1+GrowthMarketRent)^0*IF(INT((DATE(2026+0,10,31)-F82)/365.25)=0,(12-DowntimeNew)/12,1),IF(I82="Option",G82*D82*1.025*(1+EscalatorInLease)^0,IF(I82="Market",Retention*G82*D82*(1+EscalatorInLease)^(0+M82)+(1-Retention)*H82*D82*(1+GrowthMarketRent)^0*IF(INT((DATE(2026+0,10,31)-F82)/365.25)=0,(12-DowntimeNew)/12,1),IF(I82="LeaseUp",H82*D82*(1+GrowthMarketRent)^0*IF(0=0,(12-DowntimeNew)/12,1),0)))))))),0)</f>
        <v/>
      </c>
      <c r="O82" s="14">
        <f>IFERROR(IF(I82="LeaseUp",H82*D82*(1+GrowthMarketRent)^1*IF(1=0,(12-DowntimeNew)/12,1),IF(F82="",0,IF(F82&gt;=DATE(2027+1,4,30),G82*D82*(1+EscalatorInLease)^(1+M82),IF(F82&lt;DATE(2026+1,5,1),IF(I82="Vacate",H82*D82*(1+GrowthMarketRent)^1*IF(INT((DATE(2026+1,10,31)-F82)/365.25)=0,(12-DowntimeNew)/12,1),IF(I82="Option",G82*D82*1.025*(1+EscalatorInLease)^1,IF(I82="Market",Retention*G82*D82*(1+EscalatorInLease)^(1+M82)+(1-Retention)*H82*D82*(1+GrowthMarketRent)^1*IF(INT((DATE(2026+1,10,31)-F82)/365.25)=0,(12-DowntimeNew)/12,1),IF(I82="LeaseUp",H82*D82*(1+GrowthMarketRent)^1*IF(1=0,(12-DowntimeNew)/12,1),0)))),((F82-DATE(2026+1,5,1))/365.25)*G82*D82*(1+EscalatorInLease)^(1+M82)+((DATE(2027+1,4,30)-F82)/365.25)*IF(I82="Vacate",H82*D82*(1+GrowthMarketRent)^1*IF(INT((DATE(2026+1,10,31)-F82)/365.25)=0,(12-DowntimeNew)/12,1),IF(I82="Option",G82*D82*1.025*(1+EscalatorInLease)^1,IF(I82="Market",Retention*G82*D82*(1+EscalatorInLease)^(1+M82)+(1-Retention)*H82*D82*(1+GrowthMarketRent)^1*IF(INT((DATE(2026+1,10,31)-F82)/365.25)=0,(12-DowntimeNew)/12,1),IF(I82="LeaseUp",H82*D82*(1+GrowthMarketRent)^1*IF(1=0,(12-DowntimeNew)/12,1),0)))))))),0)</f>
        <v/>
      </c>
      <c r="P82" s="14">
        <f>IFERROR(IF(I82="LeaseUp",H82*D82*(1+GrowthMarketRent)^2*IF(2=0,(12-DowntimeNew)/12,1),IF(F82="",0,IF(F82&gt;=DATE(2027+2,4,30),G82*D82*(1+EscalatorInLease)^(2+M82),IF(F82&lt;DATE(2026+2,5,1),IF(I82="Vacate",H82*D82*(1+GrowthMarketRent)^2*IF(INT((DATE(2026+2,10,31)-F82)/365.25)=0,(12-DowntimeNew)/12,1),IF(I82="Option",G82*D82*1.025*(1+EscalatorInLease)^2,IF(I82="Market",Retention*G82*D82*(1+EscalatorInLease)^(2+M82)+(1-Retention)*H82*D82*(1+GrowthMarketRent)^2*IF(INT((DATE(2026+2,10,31)-F82)/365.25)=0,(12-DowntimeNew)/12,1),IF(I82="LeaseUp",H82*D82*(1+GrowthMarketRent)^2*IF(2=0,(12-DowntimeNew)/12,1),0)))),((F82-DATE(2026+2,5,1))/365.25)*G82*D82*(1+EscalatorInLease)^(2+M82)+((DATE(2027+2,4,30)-F82)/365.25)*IF(I82="Vacate",H82*D82*(1+GrowthMarketRent)^2*IF(INT((DATE(2026+2,10,31)-F82)/365.25)=0,(12-DowntimeNew)/12,1),IF(I82="Option",G82*D82*1.025*(1+EscalatorInLease)^2,IF(I82="Market",Retention*G82*D82*(1+EscalatorInLease)^(2+M82)+(1-Retention)*H82*D82*(1+GrowthMarketRent)^2*IF(INT((DATE(2026+2,10,31)-F82)/365.25)=0,(12-DowntimeNew)/12,1),IF(I82="LeaseUp",H82*D82*(1+GrowthMarketRent)^2*IF(2=0,(12-DowntimeNew)/12,1),0)))))))),0)</f>
        <v/>
      </c>
      <c r="Q82" s="14">
        <f>IFERROR(IF(I82="LeaseUp",H82*D82*(1+GrowthMarketRent)^3*IF(3=0,(12-DowntimeNew)/12,1),IF(F82="",0,IF(F82&gt;=DATE(2027+3,4,30),G82*D82*(1+EscalatorInLease)^(3+M82),IF(F82&lt;DATE(2026+3,5,1),IF(I82="Vacate",H82*D82*(1+GrowthMarketRent)^3*IF(INT((DATE(2026+3,10,31)-F82)/365.25)=0,(12-DowntimeNew)/12,1),IF(I82="Option",G82*D82*1.025*(1+EscalatorInLease)^3,IF(I82="Market",Retention*G82*D82*(1+EscalatorInLease)^(3+M82)+(1-Retention)*H82*D82*(1+GrowthMarketRent)^3*IF(INT((DATE(2026+3,10,31)-F82)/365.25)=0,(12-DowntimeNew)/12,1),IF(I82="LeaseUp",H82*D82*(1+GrowthMarketRent)^3*IF(3=0,(12-DowntimeNew)/12,1),0)))),((F82-DATE(2026+3,5,1))/365.25)*G82*D82*(1+EscalatorInLease)^(3+M82)+((DATE(2027+3,4,30)-F82)/365.25)*IF(I82="Vacate",H82*D82*(1+GrowthMarketRent)^3*IF(INT((DATE(2026+3,10,31)-F82)/365.25)=0,(12-DowntimeNew)/12,1),IF(I82="Option",G82*D82*1.025*(1+EscalatorInLease)^3,IF(I82="Market",Retention*G82*D82*(1+EscalatorInLease)^(3+M82)+(1-Retention)*H82*D82*(1+GrowthMarketRent)^3*IF(INT((DATE(2026+3,10,31)-F82)/365.25)=0,(12-DowntimeNew)/12,1),IF(I82="LeaseUp",H82*D82*(1+GrowthMarketRent)^3*IF(3=0,(12-DowntimeNew)/12,1),0)))))))),0)</f>
        <v/>
      </c>
      <c r="R82" s="14">
        <f>IFERROR(IF(I82="LeaseUp",H82*D82*(1+GrowthMarketRent)^4*IF(4=0,(12-DowntimeNew)/12,1),IF(F82="",0,IF(F82&gt;=DATE(2027+4,4,30),G82*D82*(1+EscalatorInLease)^(4+M82),IF(F82&lt;DATE(2026+4,5,1),IF(I82="Vacate",H82*D82*(1+GrowthMarketRent)^4*IF(INT((DATE(2026+4,10,31)-F82)/365.25)=0,(12-DowntimeNew)/12,1),IF(I82="Option",G82*D82*1.025*(1+EscalatorInLease)^4,IF(I82="Market",Retention*G82*D82*(1+EscalatorInLease)^(4+M82)+(1-Retention)*H82*D82*(1+GrowthMarketRent)^4*IF(INT((DATE(2026+4,10,31)-F82)/365.25)=0,(12-DowntimeNew)/12,1),IF(I82="LeaseUp",H82*D82*(1+GrowthMarketRent)^4*IF(4=0,(12-DowntimeNew)/12,1),0)))),((F82-DATE(2026+4,5,1))/365.25)*G82*D82*(1+EscalatorInLease)^(4+M82)+((DATE(2027+4,4,30)-F82)/365.25)*IF(I82="Vacate",H82*D82*(1+GrowthMarketRent)^4*IF(INT((DATE(2026+4,10,31)-F82)/365.25)=0,(12-DowntimeNew)/12,1),IF(I82="Option",G82*D82*1.025*(1+EscalatorInLease)^4,IF(I82="Market",Retention*G82*D82*(1+EscalatorInLease)^(4+M82)+(1-Retention)*H82*D82*(1+GrowthMarketRent)^4*IF(INT((DATE(2026+4,10,31)-F82)/365.25)=0,(12-DowntimeNew)/12,1),IF(I82="LeaseUp",H82*D82*(1+GrowthMarketRent)^4*IF(4=0,(12-DowntimeNew)/12,1),0)))))))),0)</f>
        <v/>
      </c>
      <c r="S82" s="14">
        <f>IFERROR(IF(I82="LeaseUp",H82*D82*(1+GrowthMarketRent)^5*IF(5=0,(12-DowntimeNew)/12,1),IF(F82="",0,IF(F82&gt;=DATE(2027+5,4,30),G82*D82*(1+EscalatorInLease)^(5+M82),IF(F82&lt;DATE(2026+5,5,1),IF(I82="Vacate",H82*D82*(1+GrowthMarketRent)^5*IF(INT((DATE(2026+5,10,31)-F82)/365.25)=0,(12-DowntimeNew)/12,1),IF(I82="Option",G82*D82*1.025*(1+EscalatorInLease)^5,IF(I82="Market",Retention*G82*D82*(1+EscalatorInLease)^(5+M82)+(1-Retention)*H82*D82*(1+GrowthMarketRent)^5*IF(INT((DATE(2026+5,10,31)-F82)/365.25)=0,(12-DowntimeNew)/12,1),IF(I82="LeaseUp",H82*D82*(1+GrowthMarketRent)^5*IF(5=0,(12-DowntimeNew)/12,1),0)))),((F82-DATE(2026+5,5,1))/365.25)*G82*D82*(1+EscalatorInLease)^(5+M82)+((DATE(2027+5,4,30)-F82)/365.25)*IF(I82="Vacate",H82*D82*(1+GrowthMarketRent)^5*IF(INT((DATE(2026+5,10,31)-F82)/365.25)=0,(12-DowntimeNew)/12,1),IF(I82="Option",G82*D82*1.025*(1+EscalatorInLease)^5,IF(I82="Market",Retention*G82*D82*(1+EscalatorInLease)^(5+M82)+(1-Retention)*H82*D82*(1+GrowthMarketRent)^5*IF(INT((DATE(2026+5,10,31)-F82)/365.25)=0,(12-DowntimeNew)/12,1),IF(I82="LeaseUp",H82*D82*(1+GrowthMarketRent)^5*IF(5=0,(12-DowntimeNew)/12,1),0)))))))),0)</f>
        <v/>
      </c>
      <c r="T82" s="14">
        <f>IFERROR(IF(I82="LeaseUp",H82*D82*(1+GrowthMarketRent)^6*IF(6=0,(12-DowntimeNew)/12,1),IF(F82="",0,IF(F82&gt;=DATE(2027+6,4,30),G82*D82*(1+EscalatorInLease)^(6+M82),IF(F82&lt;DATE(2026+6,5,1),IF(I82="Vacate",H82*D82*(1+GrowthMarketRent)^6*IF(INT((DATE(2026+6,10,31)-F82)/365.25)=0,(12-DowntimeNew)/12,1),IF(I82="Option",G82*D82*1.025*(1+EscalatorInLease)^6,IF(I82="Market",Retention*G82*D82*(1+EscalatorInLease)^(6+M82)+(1-Retention)*H82*D82*(1+GrowthMarketRent)^6*IF(INT((DATE(2026+6,10,31)-F82)/365.25)=0,(12-DowntimeNew)/12,1),IF(I82="LeaseUp",H82*D82*(1+GrowthMarketRent)^6*IF(6=0,(12-DowntimeNew)/12,1),0)))),((F82-DATE(2026+6,5,1))/365.25)*G82*D82*(1+EscalatorInLease)^(6+M82)+((DATE(2027+6,4,30)-F82)/365.25)*IF(I82="Vacate",H82*D82*(1+GrowthMarketRent)^6*IF(INT((DATE(2026+6,10,31)-F82)/365.25)=0,(12-DowntimeNew)/12,1),IF(I82="Option",G82*D82*1.025*(1+EscalatorInLease)^6,IF(I82="Market",Retention*G82*D82*(1+EscalatorInLease)^(6+M82)+(1-Retention)*H82*D82*(1+GrowthMarketRent)^6*IF(INT((DATE(2026+6,10,31)-F82)/365.25)=0,(12-DowntimeNew)/12,1),IF(I82="LeaseUp",H82*D82*(1+GrowthMarketRent)^6*IF(6=0,(12-DowntimeNew)/12,1),0)))))))),0)</f>
        <v/>
      </c>
      <c r="U82" s="14">
        <f>IFERROR(IF(I82="LeaseUp",H82*D82*(1+GrowthMarketRent)^7*IF(7=0,(12-DowntimeNew)/12,1),IF(F82="",0,IF(F82&gt;=DATE(2027+7,4,30),G82*D82*(1+EscalatorInLease)^(7+M82),IF(F82&lt;DATE(2026+7,5,1),IF(I82="Vacate",H82*D82*(1+GrowthMarketRent)^7*IF(INT((DATE(2026+7,10,31)-F82)/365.25)=0,(12-DowntimeNew)/12,1),IF(I82="Option",G82*D82*1.025*(1+EscalatorInLease)^7,IF(I82="Market",Retention*G82*D82*(1+EscalatorInLease)^(7+M82)+(1-Retention)*H82*D82*(1+GrowthMarketRent)^7*IF(INT((DATE(2026+7,10,31)-F82)/365.25)=0,(12-DowntimeNew)/12,1),IF(I82="LeaseUp",H82*D82*(1+GrowthMarketRent)^7*IF(7=0,(12-DowntimeNew)/12,1),0)))),((F82-DATE(2026+7,5,1))/365.25)*G82*D82*(1+EscalatorInLease)^(7+M82)+((DATE(2027+7,4,30)-F82)/365.25)*IF(I82="Vacate",H82*D82*(1+GrowthMarketRent)^7*IF(INT((DATE(2026+7,10,31)-F82)/365.25)=0,(12-DowntimeNew)/12,1),IF(I82="Option",G82*D82*1.025*(1+EscalatorInLease)^7,IF(I82="Market",Retention*G82*D82*(1+EscalatorInLease)^(7+M82)+(1-Retention)*H82*D82*(1+GrowthMarketRent)^7*IF(INT((DATE(2026+7,10,31)-F82)/365.25)=0,(12-DowntimeNew)/12,1),IF(I82="LeaseUp",H82*D82*(1+GrowthMarketRent)^7*IF(7=0,(12-DowntimeNew)/12,1),0)))))))),0)</f>
        <v/>
      </c>
      <c r="V82" s="14">
        <f>IFERROR(IF(I82="LeaseUp",H82*D82*(1+GrowthMarketRent)^8*IF(8=0,(12-DowntimeNew)/12,1),IF(F82="",0,IF(F82&gt;=DATE(2027+8,4,30),G82*D82*(1+EscalatorInLease)^(8+M82),IF(F82&lt;DATE(2026+8,5,1),IF(I82="Vacate",H82*D82*(1+GrowthMarketRent)^8*IF(INT((DATE(2026+8,10,31)-F82)/365.25)=0,(12-DowntimeNew)/12,1),IF(I82="Option",G82*D82*1.025*(1+EscalatorInLease)^8,IF(I82="Market",Retention*G82*D82*(1+EscalatorInLease)^(8+M82)+(1-Retention)*H82*D82*(1+GrowthMarketRent)^8*IF(INT((DATE(2026+8,10,31)-F82)/365.25)=0,(12-DowntimeNew)/12,1),IF(I82="LeaseUp",H82*D82*(1+GrowthMarketRent)^8*IF(8=0,(12-DowntimeNew)/12,1),0)))),((F82-DATE(2026+8,5,1))/365.25)*G82*D82*(1+EscalatorInLease)^(8+M82)+((DATE(2027+8,4,30)-F82)/365.25)*IF(I82="Vacate",H82*D82*(1+GrowthMarketRent)^8*IF(INT((DATE(2026+8,10,31)-F82)/365.25)=0,(12-DowntimeNew)/12,1),IF(I82="Option",G82*D82*1.025*(1+EscalatorInLease)^8,IF(I82="Market",Retention*G82*D82*(1+EscalatorInLease)^(8+M82)+(1-Retention)*H82*D82*(1+GrowthMarketRent)^8*IF(INT((DATE(2026+8,10,31)-F82)/365.25)=0,(12-DowntimeNew)/12,1),IF(I82="LeaseUp",H82*D82*(1+GrowthMarketRent)^8*IF(8=0,(12-DowntimeNew)/12,1),0)))))))),0)</f>
        <v/>
      </c>
      <c r="W82" s="14">
        <f>IFERROR(IF(I82="LeaseUp",H82*D82*(1+GrowthMarketRent)^9*IF(9=0,(12-DowntimeNew)/12,1),IF(F82="",0,IF(F82&gt;=DATE(2027+9,4,30),G82*D82*(1+EscalatorInLease)^(9+M82),IF(F82&lt;DATE(2026+9,5,1),IF(I82="Vacate",H82*D82*(1+GrowthMarketRent)^9*IF(INT((DATE(2026+9,10,31)-F82)/365.25)=0,(12-DowntimeNew)/12,1),IF(I82="Option",G82*D82*1.025*(1+EscalatorInLease)^9,IF(I82="Market",Retention*G82*D82*(1+EscalatorInLease)^(9+M82)+(1-Retention)*H82*D82*(1+GrowthMarketRent)^9*IF(INT((DATE(2026+9,10,31)-F82)/365.25)=0,(12-DowntimeNew)/12,1),IF(I82="LeaseUp",H82*D82*(1+GrowthMarketRent)^9*IF(9=0,(12-DowntimeNew)/12,1),0)))),((F82-DATE(2026+9,5,1))/365.25)*G82*D82*(1+EscalatorInLease)^(9+M82)+((DATE(2027+9,4,30)-F82)/365.25)*IF(I82="Vacate",H82*D82*(1+GrowthMarketRent)^9*IF(INT((DATE(2026+9,10,31)-F82)/365.25)=0,(12-DowntimeNew)/12,1),IF(I82="Option",G82*D82*1.025*(1+EscalatorInLease)^9,IF(I82="Market",Retention*G82*D82*(1+EscalatorInLease)^(9+M82)+(1-Retention)*H82*D82*(1+GrowthMarketRent)^9*IF(INT((DATE(2026+9,10,31)-F82)/365.25)=0,(12-DowntimeNew)/12,1),IF(I82="LeaseUp",H82*D82*(1+GrowthMarketRent)^9*IF(9=0,(12-DowntimeNew)/12,1),0)))))))),0)</f>
        <v/>
      </c>
      <c r="X82" s="14">
        <f>IFERROR(IF(I82="LeaseUp",H82*D82*(1+GrowthMarketRent)^10*IF(10=0,(12-DowntimeNew)/12,1),IF(F82="",0,IF(F82&gt;=DATE(2027+10,4,30),G82*D82*(1+EscalatorInLease)^(10+M82),IF(F82&lt;DATE(2026+10,5,1),IF(I82="Vacate",H82*D82*(1+GrowthMarketRent)^10*IF(INT((DATE(2026+10,10,31)-F82)/365.25)=0,(12-DowntimeNew)/12,1),IF(I82="Option",G82*D82*1.025*(1+EscalatorInLease)^10,IF(I82="Market",Retention*G82*D82*(1+EscalatorInLease)^(10+M82)+(1-Retention)*H82*D82*(1+GrowthMarketRent)^10*IF(INT((DATE(2026+10,10,31)-F82)/365.25)=0,(12-DowntimeNew)/12,1),IF(I82="LeaseUp",H82*D82*(1+GrowthMarketRent)^10*IF(10=0,(12-DowntimeNew)/12,1),0)))),((F82-DATE(2026+10,5,1))/365.25)*G82*D82*(1+EscalatorInLease)^(10+M82)+((DATE(2027+10,4,30)-F82)/365.25)*IF(I82="Vacate",H82*D82*(1+GrowthMarketRent)^10*IF(INT((DATE(2026+10,10,31)-F82)/365.25)=0,(12-DowntimeNew)/12,1),IF(I82="Option",G82*D82*1.025*(1+EscalatorInLease)^10,IF(I82="Market",Retention*G82*D82*(1+EscalatorInLease)^(10+M82)+(1-Retention)*H82*D82*(1+GrowthMarketRent)^10*IF(INT((DATE(2026+10,10,31)-F82)/365.25)=0,(12-DowntimeNew)/12,1),IF(I82="LeaseUp",H82*D82*(1+GrowthMarketRent)^10*IF(10=0,(12-DowntimeNew)/12,1),0)))))))),0)</f>
        <v/>
      </c>
      <c r="Y82" s="14">
        <f>IFERROR(IF(AND(I82="LeaseUp",0=0),(IF(I82="Vacate",TINew*D82,IF(I82="Market",Retention*TIRenewal*D82+(1-Retention)*TINew*D82,IF(I82="LeaseUp",TINew*D82,IF(I82="Option",TIRenewal*D82,0)))))+(IF(I82="Vacate",LCNew*H82*D82*(1+GrowthMarketRent)^0,IF(I82="Market",Retention*LCRenewal*H82*D82*(1+GrowthMarketRent)^0+(1-Retention)*LCNew*H82*D82*(1+GrowthMarketRent)^0,IF(I82="LeaseUp",LCNew*H82*D82*(1+GrowthMarketRent)^0,IF(I82="Option",LCRenewal*H82*D82*(1+GrowthMarketRent)^0,0))))),IF(F82="",0,IF(AND(F82&gt;=DATE(2026+0,5,1),F82&lt;=DATE(2027+0,4,30)),(IF(I82="Vacate",TINew*D82,IF(I82="Market",Retention*TIRenewal*D82+(1-Retention)*TINew*D82,IF(I82="LeaseUp",TINew*D82,IF(I82="Option",TIRenewal*D82,0)))))+(IF(I82="Vacate",LCNew*H82*D82*(1+GrowthMarketRent)^0,IF(I82="Market",Retention*LCRenewal*H82*D82*(1+GrowthMarketRent)^0+(1-Retention)*LCNew*H82*D82*(1+GrowthMarketRent)^0,IF(I82="LeaseUp",LCNew*H82*D82*(1+GrowthMarketRent)^0,IF(I82="Option",LCRenewal*H82*D82*(1+GrowthMarketRent)^0,0))))),0))),0)</f>
        <v/>
      </c>
      <c r="Z82" s="14">
        <f>IFERROR(IF(AND(I82="LeaseUp",1=0),(IF(I82="Vacate",TINew*D82,IF(I82="Market",Retention*TIRenewal*D82+(1-Retention)*TINew*D82,IF(I82="LeaseUp",TINew*D82,IF(I82="Option",TIRenewal*D82,0)))))+(IF(I82="Vacate",LCNew*H82*D82*(1+GrowthMarketRent)^1,IF(I82="Market",Retention*LCRenewal*H82*D82*(1+GrowthMarketRent)^1+(1-Retention)*LCNew*H82*D82*(1+GrowthMarketRent)^1,IF(I82="LeaseUp",LCNew*H82*D82*(1+GrowthMarketRent)^1,IF(I82="Option",LCRenewal*H82*D82*(1+GrowthMarketRent)^1,0))))),IF(F82="",0,IF(AND(F82&gt;=DATE(2026+1,5,1),F82&lt;=DATE(2027+1,4,30)),(IF(I82="Vacate",TINew*D82,IF(I82="Market",Retention*TIRenewal*D82+(1-Retention)*TINew*D82,IF(I82="LeaseUp",TINew*D82,IF(I82="Option",TIRenewal*D82,0)))))+(IF(I82="Vacate",LCNew*H82*D82*(1+GrowthMarketRent)^1,IF(I82="Market",Retention*LCRenewal*H82*D82*(1+GrowthMarketRent)^1+(1-Retention)*LCNew*H82*D82*(1+GrowthMarketRent)^1,IF(I82="LeaseUp",LCNew*H82*D82*(1+GrowthMarketRent)^1,IF(I82="Option",LCRenewal*H82*D82*(1+GrowthMarketRent)^1,0))))),0))),0)</f>
        <v/>
      </c>
      <c r="AA82" s="14">
        <f>IFERROR(IF(AND(I82="LeaseUp",2=0),(IF(I82="Vacate",TINew*D82,IF(I82="Market",Retention*TIRenewal*D82+(1-Retention)*TINew*D82,IF(I82="LeaseUp",TINew*D82,IF(I82="Option",TIRenewal*D82,0)))))+(IF(I82="Vacate",LCNew*H82*D82*(1+GrowthMarketRent)^2,IF(I82="Market",Retention*LCRenewal*H82*D82*(1+GrowthMarketRent)^2+(1-Retention)*LCNew*H82*D82*(1+GrowthMarketRent)^2,IF(I82="LeaseUp",LCNew*H82*D82*(1+GrowthMarketRent)^2,IF(I82="Option",LCRenewal*H82*D82*(1+GrowthMarketRent)^2,0))))),IF(F82="",0,IF(AND(F82&gt;=DATE(2026+2,5,1),F82&lt;=DATE(2027+2,4,30)),(IF(I82="Vacate",TINew*D82,IF(I82="Market",Retention*TIRenewal*D82+(1-Retention)*TINew*D82,IF(I82="LeaseUp",TINew*D82,IF(I82="Option",TIRenewal*D82,0)))))+(IF(I82="Vacate",LCNew*H82*D82*(1+GrowthMarketRent)^2,IF(I82="Market",Retention*LCRenewal*H82*D82*(1+GrowthMarketRent)^2+(1-Retention)*LCNew*H82*D82*(1+GrowthMarketRent)^2,IF(I82="LeaseUp",LCNew*H82*D82*(1+GrowthMarketRent)^2,IF(I82="Option",LCRenewal*H82*D82*(1+GrowthMarketRent)^2,0))))),0))),0)</f>
        <v/>
      </c>
      <c r="AB82" s="14">
        <f>IFERROR(IF(AND(I82="LeaseUp",3=0),(IF(I82="Vacate",TINew*D82,IF(I82="Market",Retention*TIRenewal*D82+(1-Retention)*TINew*D82,IF(I82="LeaseUp",TINew*D82,IF(I82="Option",TIRenewal*D82,0)))))+(IF(I82="Vacate",LCNew*H82*D82*(1+GrowthMarketRent)^3,IF(I82="Market",Retention*LCRenewal*H82*D82*(1+GrowthMarketRent)^3+(1-Retention)*LCNew*H82*D82*(1+GrowthMarketRent)^3,IF(I82="LeaseUp",LCNew*H82*D82*(1+GrowthMarketRent)^3,IF(I82="Option",LCRenewal*H82*D82*(1+GrowthMarketRent)^3,0))))),IF(F82="",0,IF(AND(F82&gt;=DATE(2026+3,5,1),F82&lt;=DATE(2027+3,4,30)),(IF(I82="Vacate",TINew*D82,IF(I82="Market",Retention*TIRenewal*D82+(1-Retention)*TINew*D82,IF(I82="LeaseUp",TINew*D82,IF(I82="Option",TIRenewal*D82,0)))))+(IF(I82="Vacate",LCNew*H82*D82*(1+GrowthMarketRent)^3,IF(I82="Market",Retention*LCRenewal*H82*D82*(1+GrowthMarketRent)^3+(1-Retention)*LCNew*H82*D82*(1+GrowthMarketRent)^3,IF(I82="LeaseUp",LCNew*H82*D82*(1+GrowthMarketRent)^3,IF(I82="Option",LCRenewal*H82*D82*(1+GrowthMarketRent)^3,0))))),0))),0)</f>
        <v/>
      </c>
      <c r="AC82" s="14">
        <f>IFERROR(IF(AND(I82="LeaseUp",4=0),(IF(I82="Vacate",TINew*D82,IF(I82="Market",Retention*TIRenewal*D82+(1-Retention)*TINew*D82,IF(I82="LeaseUp",TINew*D82,IF(I82="Option",TIRenewal*D82,0)))))+(IF(I82="Vacate",LCNew*H82*D82*(1+GrowthMarketRent)^4,IF(I82="Market",Retention*LCRenewal*H82*D82*(1+GrowthMarketRent)^4+(1-Retention)*LCNew*H82*D82*(1+GrowthMarketRent)^4,IF(I82="LeaseUp",LCNew*H82*D82*(1+GrowthMarketRent)^4,IF(I82="Option",LCRenewal*H82*D82*(1+GrowthMarketRent)^4,0))))),IF(F82="",0,IF(AND(F82&gt;=DATE(2026+4,5,1),F82&lt;=DATE(2027+4,4,30)),(IF(I82="Vacate",TINew*D82,IF(I82="Market",Retention*TIRenewal*D82+(1-Retention)*TINew*D82,IF(I82="LeaseUp",TINew*D82,IF(I82="Option",TIRenewal*D82,0)))))+(IF(I82="Vacate",LCNew*H82*D82*(1+GrowthMarketRent)^4,IF(I82="Market",Retention*LCRenewal*H82*D82*(1+GrowthMarketRent)^4+(1-Retention)*LCNew*H82*D82*(1+GrowthMarketRent)^4,IF(I82="LeaseUp",LCNew*H82*D82*(1+GrowthMarketRent)^4,IF(I82="Option",LCRenewal*H82*D82*(1+GrowthMarketRent)^4,0))))),0))),0)</f>
        <v/>
      </c>
      <c r="AD82" s="14">
        <f>IFERROR(IF(AND(I82="LeaseUp",5=0),(IF(I82="Vacate",TINew*D82,IF(I82="Market",Retention*TIRenewal*D82+(1-Retention)*TINew*D82,IF(I82="LeaseUp",TINew*D82,IF(I82="Option",TIRenewal*D82,0)))))+(IF(I82="Vacate",LCNew*H82*D82*(1+GrowthMarketRent)^5,IF(I82="Market",Retention*LCRenewal*H82*D82*(1+GrowthMarketRent)^5+(1-Retention)*LCNew*H82*D82*(1+GrowthMarketRent)^5,IF(I82="LeaseUp",LCNew*H82*D82*(1+GrowthMarketRent)^5,IF(I82="Option",LCRenewal*H82*D82*(1+GrowthMarketRent)^5,0))))),IF(F82="",0,IF(AND(F82&gt;=DATE(2026+5,5,1),F82&lt;=DATE(2027+5,4,30)),(IF(I82="Vacate",TINew*D82,IF(I82="Market",Retention*TIRenewal*D82+(1-Retention)*TINew*D82,IF(I82="LeaseUp",TINew*D82,IF(I82="Option",TIRenewal*D82,0)))))+(IF(I82="Vacate",LCNew*H82*D82*(1+GrowthMarketRent)^5,IF(I82="Market",Retention*LCRenewal*H82*D82*(1+GrowthMarketRent)^5+(1-Retention)*LCNew*H82*D82*(1+GrowthMarketRent)^5,IF(I82="LeaseUp",LCNew*H82*D82*(1+GrowthMarketRent)^5,IF(I82="Option",LCRenewal*H82*D82*(1+GrowthMarketRent)^5,0))))),0))),0)</f>
        <v/>
      </c>
      <c r="AE82" s="14">
        <f>IFERROR(IF(AND(I82="LeaseUp",6=0),(IF(I82="Vacate",TINew*D82,IF(I82="Market",Retention*TIRenewal*D82+(1-Retention)*TINew*D82,IF(I82="LeaseUp",TINew*D82,IF(I82="Option",TIRenewal*D82,0)))))+(IF(I82="Vacate",LCNew*H82*D82*(1+GrowthMarketRent)^6,IF(I82="Market",Retention*LCRenewal*H82*D82*(1+GrowthMarketRent)^6+(1-Retention)*LCNew*H82*D82*(1+GrowthMarketRent)^6,IF(I82="LeaseUp",LCNew*H82*D82*(1+GrowthMarketRent)^6,IF(I82="Option",LCRenewal*H82*D82*(1+GrowthMarketRent)^6,0))))),IF(F82="",0,IF(AND(F82&gt;=DATE(2026+6,5,1),F82&lt;=DATE(2027+6,4,30)),(IF(I82="Vacate",TINew*D82,IF(I82="Market",Retention*TIRenewal*D82+(1-Retention)*TINew*D82,IF(I82="LeaseUp",TINew*D82,IF(I82="Option",TIRenewal*D82,0)))))+(IF(I82="Vacate",LCNew*H82*D82*(1+GrowthMarketRent)^6,IF(I82="Market",Retention*LCRenewal*H82*D82*(1+GrowthMarketRent)^6+(1-Retention)*LCNew*H82*D82*(1+GrowthMarketRent)^6,IF(I82="LeaseUp",LCNew*H82*D82*(1+GrowthMarketRent)^6,IF(I82="Option",LCRenewal*H82*D82*(1+GrowthMarketRent)^6,0))))),0))),0)</f>
        <v/>
      </c>
      <c r="AF82" s="14">
        <f>IFERROR(IF(AND(I82="LeaseUp",7=0),(IF(I82="Vacate",TINew*D82,IF(I82="Market",Retention*TIRenewal*D82+(1-Retention)*TINew*D82,IF(I82="LeaseUp",TINew*D82,IF(I82="Option",TIRenewal*D82,0)))))+(IF(I82="Vacate",LCNew*H82*D82*(1+GrowthMarketRent)^7,IF(I82="Market",Retention*LCRenewal*H82*D82*(1+GrowthMarketRent)^7+(1-Retention)*LCNew*H82*D82*(1+GrowthMarketRent)^7,IF(I82="LeaseUp",LCNew*H82*D82*(1+GrowthMarketRent)^7,IF(I82="Option",LCRenewal*H82*D82*(1+GrowthMarketRent)^7,0))))),IF(F82="",0,IF(AND(F82&gt;=DATE(2026+7,5,1),F82&lt;=DATE(2027+7,4,30)),(IF(I82="Vacate",TINew*D82,IF(I82="Market",Retention*TIRenewal*D82+(1-Retention)*TINew*D82,IF(I82="LeaseUp",TINew*D82,IF(I82="Option",TIRenewal*D82,0)))))+(IF(I82="Vacate",LCNew*H82*D82*(1+GrowthMarketRent)^7,IF(I82="Market",Retention*LCRenewal*H82*D82*(1+GrowthMarketRent)^7+(1-Retention)*LCNew*H82*D82*(1+GrowthMarketRent)^7,IF(I82="LeaseUp",LCNew*H82*D82*(1+GrowthMarketRent)^7,IF(I82="Option",LCRenewal*H82*D82*(1+GrowthMarketRent)^7,0))))),0))),0)</f>
        <v/>
      </c>
      <c r="AG82" s="14">
        <f>IFERROR(IF(AND(I82="LeaseUp",8=0),(IF(I82="Vacate",TINew*D82,IF(I82="Market",Retention*TIRenewal*D82+(1-Retention)*TINew*D82,IF(I82="LeaseUp",TINew*D82,IF(I82="Option",TIRenewal*D82,0)))))+(IF(I82="Vacate",LCNew*H82*D82*(1+GrowthMarketRent)^8,IF(I82="Market",Retention*LCRenewal*H82*D82*(1+GrowthMarketRent)^8+(1-Retention)*LCNew*H82*D82*(1+GrowthMarketRent)^8,IF(I82="LeaseUp",LCNew*H82*D82*(1+GrowthMarketRent)^8,IF(I82="Option",LCRenewal*H82*D82*(1+GrowthMarketRent)^8,0))))),IF(F82="",0,IF(AND(F82&gt;=DATE(2026+8,5,1),F82&lt;=DATE(2027+8,4,30)),(IF(I82="Vacate",TINew*D82,IF(I82="Market",Retention*TIRenewal*D82+(1-Retention)*TINew*D82,IF(I82="LeaseUp",TINew*D82,IF(I82="Option",TIRenewal*D82,0)))))+(IF(I82="Vacate",LCNew*H82*D82*(1+GrowthMarketRent)^8,IF(I82="Market",Retention*LCRenewal*H82*D82*(1+GrowthMarketRent)^8+(1-Retention)*LCNew*H82*D82*(1+GrowthMarketRent)^8,IF(I82="LeaseUp",LCNew*H82*D82*(1+GrowthMarketRent)^8,IF(I82="Option",LCRenewal*H82*D82*(1+GrowthMarketRent)^8,0))))),0))),0)</f>
        <v/>
      </c>
      <c r="AH82" s="14">
        <f>IFERROR(IF(AND(I82="LeaseUp",9=0),(IF(I82="Vacate",TINew*D82,IF(I82="Market",Retention*TIRenewal*D82+(1-Retention)*TINew*D82,IF(I82="LeaseUp",TINew*D82,IF(I82="Option",TIRenewal*D82,0)))))+(IF(I82="Vacate",LCNew*H82*D82*(1+GrowthMarketRent)^9,IF(I82="Market",Retention*LCRenewal*H82*D82*(1+GrowthMarketRent)^9+(1-Retention)*LCNew*H82*D82*(1+GrowthMarketRent)^9,IF(I82="LeaseUp",LCNew*H82*D82*(1+GrowthMarketRent)^9,IF(I82="Option",LCRenewal*H82*D82*(1+GrowthMarketRent)^9,0))))),IF(F82="",0,IF(AND(F82&gt;=DATE(2026+9,5,1),F82&lt;=DATE(2027+9,4,30)),(IF(I82="Vacate",TINew*D82,IF(I82="Market",Retention*TIRenewal*D82+(1-Retention)*TINew*D82,IF(I82="LeaseUp",TINew*D82,IF(I82="Option",TIRenewal*D82,0)))))+(IF(I82="Vacate",LCNew*H82*D82*(1+GrowthMarketRent)^9,IF(I82="Market",Retention*LCRenewal*H82*D82*(1+GrowthMarketRent)^9+(1-Retention)*LCNew*H82*D82*(1+GrowthMarketRent)^9,IF(I82="LeaseUp",LCNew*H82*D82*(1+GrowthMarketRent)^9,IF(I82="Option",LCRenewal*H82*D82*(1+GrowthMarketRent)^9,0))))),0))),0)</f>
        <v/>
      </c>
      <c r="AI82" s="14">
        <f>IFERROR(IF(AND(I82="LeaseUp",10=0),(IF(I82="Vacate",TINew*D82,IF(I82="Market",Retention*TIRenewal*D82+(1-Retention)*TINew*D82,IF(I82="LeaseUp",TINew*D82,IF(I82="Option",TIRenewal*D82,0)))))+(IF(I82="Vacate",LCNew*H82*D82*(1+GrowthMarketRent)^10,IF(I82="Market",Retention*LCRenewal*H82*D82*(1+GrowthMarketRent)^10+(1-Retention)*LCNew*H82*D82*(1+GrowthMarketRent)^10,IF(I82="LeaseUp",LCNew*H82*D82*(1+GrowthMarketRent)^10,IF(I82="Option",LCRenewal*H82*D82*(1+GrowthMarketRent)^10,0))))),IF(F82="",0,IF(AND(F82&gt;=DATE(2026+10,5,1),F82&lt;=DATE(2027+10,4,30)),(IF(I82="Vacate",TINew*D82,IF(I82="Market",Retention*TIRenewal*D82+(1-Retention)*TINew*D82,IF(I82="LeaseUp",TINew*D82,IF(I82="Option",TIRenewal*D82,0)))))+(IF(I82="Vacate",LCNew*H82*D82*(1+GrowthMarketRent)^10,IF(I82="Market",Retention*LCRenewal*H82*D82*(1+GrowthMarketRent)^10+(1-Retention)*LCNew*H82*D82*(1+GrowthMarketRent)^10,IF(I82="LeaseUp",LCNew*H82*D82*(1+GrowthMarketRent)^10,IF(I82="Option",LCRenewal*H82*D82*(1+GrowthMarketRent)^10,0))))),0))),0)</f>
        <v/>
      </c>
    </row>
    <row r="83">
      <c r="A83" t="inlineStr">
        <is>
          <t>Mesquite</t>
        </is>
      </c>
      <c r="B83" t="inlineStr">
        <is>
          <t>203</t>
        </is>
      </c>
      <c r="C83" t="inlineStr">
        <is>
          <t>Mesquite Signs LLC</t>
        </is>
      </c>
      <c r="D83" s="32" t="n">
        <v>1870</v>
      </c>
      <c r="E83" s="33" t="n">
        <v>45170</v>
      </c>
      <c r="F83" s="33" t="n">
        <v>46419</v>
      </c>
      <c r="G83" s="34" t="n">
        <v>14.9716577540107</v>
      </c>
      <c r="H83" s="16">
        <f>VLOOKUP(A83,MLA!$A$5:$L$11,3,FALSE)</f>
        <v/>
      </c>
      <c r="I83" s="11" t="inlineStr">
        <is>
          <t>Vacate</t>
        </is>
      </c>
      <c r="J83" t="inlineStr">
        <is>
          <t>Studio</t>
        </is>
      </c>
      <c r="K83" t="inlineStr">
        <is>
          <t>Occupied</t>
        </is>
      </c>
      <c r="L83" t="inlineStr">
        <is>
          <t>Studio; assumed vacate 02/27; Guarantor: Todd Rumaner</t>
        </is>
      </c>
      <c r="M83" s="20">
        <f>IF(E83="",0,(AnalysisStart-E83)/365.25)</f>
        <v/>
      </c>
      <c r="N83" s="14">
        <f>IFERROR(IF(I83="LeaseUp",H83*D83*(1+GrowthMarketRent)^0*IF(0=0,(12-DowntimeNew)/12,1),IF(F83="",0,IF(F83&gt;=DATE(2027+0,4,30),G83*D83*(1+EscalatorInLease)^(0+M83),IF(F83&lt;DATE(2026+0,5,1),IF(I83="Vacate",H83*D83*(1+GrowthMarketRent)^0*IF(INT((DATE(2026+0,10,31)-F83)/365.25)=0,(12-DowntimeNew)/12,1),IF(I83="Option",G83*D83*1.025*(1+EscalatorInLease)^0,IF(I83="Market",Retention*G83*D83*(1+EscalatorInLease)^(0+M83)+(1-Retention)*H83*D83*(1+GrowthMarketRent)^0*IF(INT((DATE(2026+0,10,31)-F83)/365.25)=0,(12-DowntimeNew)/12,1),IF(I83="LeaseUp",H83*D83*(1+GrowthMarketRent)^0*IF(0=0,(12-DowntimeNew)/12,1),0)))),((F83-DATE(2026+0,5,1))/365.25)*G83*D83*(1+EscalatorInLease)^(0+M83)+((DATE(2027+0,4,30)-F83)/365.25)*IF(I83="Vacate",H83*D83*(1+GrowthMarketRent)^0*IF(INT((DATE(2026+0,10,31)-F83)/365.25)=0,(12-DowntimeNew)/12,1),IF(I83="Option",G83*D83*1.025*(1+EscalatorInLease)^0,IF(I83="Market",Retention*G83*D83*(1+EscalatorInLease)^(0+M83)+(1-Retention)*H83*D83*(1+GrowthMarketRent)^0*IF(INT((DATE(2026+0,10,31)-F83)/365.25)=0,(12-DowntimeNew)/12,1),IF(I83="LeaseUp",H83*D83*(1+GrowthMarketRent)^0*IF(0=0,(12-DowntimeNew)/12,1),0)))))))),0)</f>
        <v/>
      </c>
      <c r="O83" s="14">
        <f>IFERROR(IF(I83="LeaseUp",H83*D83*(1+GrowthMarketRent)^1*IF(1=0,(12-DowntimeNew)/12,1),IF(F83="",0,IF(F83&gt;=DATE(2027+1,4,30),G83*D83*(1+EscalatorInLease)^(1+M83),IF(F83&lt;DATE(2026+1,5,1),IF(I83="Vacate",H83*D83*(1+GrowthMarketRent)^1*IF(INT((DATE(2026+1,10,31)-F83)/365.25)=0,(12-DowntimeNew)/12,1),IF(I83="Option",G83*D83*1.025*(1+EscalatorInLease)^1,IF(I83="Market",Retention*G83*D83*(1+EscalatorInLease)^(1+M83)+(1-Retention)*H83*D83*(1+GrowthMarketRent)^1*IF(INT((DATE(2026+1,10,31)-F83)/365.25)=0,(12-DowntimeNew)/12,1),IF(I83="LeaseUp",H83*D83*(1+GrowthMarketRent)^1*IF(1=0,(12-DowntimeNew)/12,1),0)))),((F83-DATE(2026+1,5,1))/365.25)*G83*D83*(1+EscalatorInLease)^(1+M83)+((DATE(2027+1,4,30)-F83)/365.25)*IF(I83="Vacate",H83*D83*(1+GrowthMarketRent)^1*IF(INT((DATE(2026+1,10,31)-F83)/365.25)=0,(12-DowntimeNew)/12,1),IF(I83="Option",G83*D83*1.025*(1+EscalatorInLease)^1,IF(I83="Market",Retention*G83*D83*(1+EscalatorInLease)^(1+M83)+(1-Retention)*H83*D83*(1+GrowthMarketRent)^1*IF(INT((DATE(2026+1,10,31)-F83)/365.25)=0,(12-DowntimeNew)/12,1),IF(I83="LeaseUp",H83*D83*(1+GrowthMarketRent)^1*IF(1=0,(12-DowntimeNew)/12,1),0)))))))),0)</f>
        <v/>
      </c>
      <c r="P83" s="14">
        <f>IFERROR(IF(I83="LeaseUp",H83*D83*(1+GrowthMarketRent)^2*IF(2=0,(12-DowntimeNew)/12,1),IF(F83="",0,IF(F83&gt;=DATE(2027+2,4,30),G83*D83*(1+EscalatorInLease)^(2+M83),IF(F83&lt;DATE(2026+2,5,1),IF(I83="Vacate",H83*D83*(1+GrowthMarketRent)^2*IF(INT((DATE(2026+2,10,31)-F83)/365.25)=0,(12-DowntimeNew)/12,1),IF(I83="Option",G83*D83*1.025*(1+EscalatorInLease)^2,IF(I83="Market",Retention*G83*D83*(1+EscalatorInLease)^(2+M83)+(1-Retention)*H83*D83*(1+GrowthMarketRent)^2*IF(INT((DATE(2026+2,10,31)-F83)/365.25)=0,(12-DowntimeNew)/12,1),IF(I83="LeaseUp",H83*D83*(1+GrowthMarketRent)^2*IF(2=0,(12-DowntimeNew)/12,1),0)))),((F83-DATE(2026+2,5,1))/365.25)*G83*D83*(1+EscalatorInLease)^(2+M83)+((DATE(2027+2,4,30)-F83)/365.25)*IF(I83="Vacate",H83*D83*(1+GrowthMarketRent)^2*IF(INT((DATE(2026+2,10,31)-F83)/365.25)=0,(12-DowntimeNew)/12,1),IF(I83="Option",G83*D83*1.025*(1+EscalatorInLease)^2,IF(I83="Market",Retention*G83*D83*(1+EscalatorInLease)^(2+M83)+(1-Retention)*H83*D83*(1+GrowthMarketRent)^2*IF(INT((DATE(2026+2,10,31)-F83)/365.25)=0,(12-DowntimeNew)/12,1),IF(I83="LeaseUp",H83*D83*(1+GrowthMarketRent)^2*IF(2=0,(12-DowntimeNew)/12,1),0)))))))),0)</f>
        <v/>
      </c>
      <c r="Q83" s="14">
        <f>IFERROR(IF(I83="LeaseUp",H83*D83*(1+GrowthMarketRent)^3*IF(3=0,(12-DowntimeNew)/12,1),IF(F83="",0,IF(F83&gt;=DATE(2027+3,4,30),G83*D83*(1+EscalatorInLease)^(3+M83),IF(F83&lt;DATE(2026+3,5,1),IF(I83="Vacate",H83*D83*(1+GrowthMarketRent)^3*IF(INT((DATE(2026+3,10,31)-F83)/365.25)=0,(12-DowntimeNew)/12,1),IF(I83="Option",G83*D83*1.025*(1+EscalatorInLease)^3,IF(I83="Market",Retention*G83*D83*(1+EscalatorInLease)^(3+M83)+(1-Retention)*H83*D83*(1+GrowthMarketRent)^3*IF(INT((DATE(2026+3,10,31)-F83)/365.25)=0,(12-DowntimeNew)/12,1),IF(I83="LeaseUp",H83*D83*(1+GrowthMarketRent)^3*IF(3=0,(12-DowntimeNew)/12,1),0)))),((F83-DATE(2026+3,5,1))/365.25)*G83*D83*(1+EscalatorInLease)^(3+M83)+((DATE(2027+3,4,30)-F83)/365.25)*IF(I83="Vacate",H83*D83*(1+GrowthMarketRent)^3*IF(INT((DATE(2026+3,10,31)-F83)/365.25)=0,(12-DowntimeNew)/12,1),IF(I83="Option",G83*D83*1.025*(1+EscalatorInLease)^3,IF(I83="Market",Retention*G83*D83*(1+EscalatorInLease)^(3+M83)+(1-Retention)*H83*D83*(1+GrowthMarketRent)^3*IF(INT((DATE(2026+3,10,31)-F83)/365.25)=0,(12-DowntimeNew)/12,1),IF(I83="LeaseUp",H83*D83*(1+GrowthMarketRent)^3*IF(3=0,(12-DowntimeNew)/12,1),0)))))))),0)</f>
        <v/>
      </c>
      <c r="R83" s="14">
        <f>IFERROR(IF(I83="LeaseUp",H83*D83*(1+GrowthMarketRent)^4*IF(4=0,(12-DowntimeNew)/12,1),IF(F83="",0,IF(F83&gt;=DATE(2027+4,4,30),G83*D83*(1+EscalatorInLease)^(4+M83),IF(F83&lt;DATE(2026+4,5,1),IF(I83="Vacate",H83*D83*(1+GrowthMarketRent)^4*IF(INT((DATE(2026+4,10,31)-F83)/365.25)=0,(12-DowntimeNew)/12,1),IF(I83="Option",G83*D83*1.025*(1+EscalatorInLease)^4,IF(I83="Market",Retention*G83*D83*(1+EscalatorInLease)^(4+M83)+(1-Retention)*H83*D83*(1+GrowthMarketRent)^4*IF(INT((DATE(2026+4,10,31)-F83)/365.25)=0,(12-DowntimeNew)/12,1),IF(I83="LeaseUp",H83*D83*(1+GrowthMarketRent)^4*IF(4=0,(12-DowntimeNew)/12,1),0)))),((F83-DATE(2026+4,5,1))/365.25)*G83*D83*(1+EscalatorInLease)^(4+M83)+((DATE(2027+4,4,30)-F83)/365.25)*IF(I83="Vacate",H83*D83*(1+GrowthMarketRent)^4*IF(INT((DATE(2026+4,10,31)-F83)/365.25)=0,(12-DowntimeNew)/12,1),IF(I83="Option",G83*D83*1.025*(1+EscalatorInLease)^4,IF(I83="Market",Retention*G83*D83*(1+EscalatorInLease)^(4+M83)+(1-Retention)*H83*D83*(1+GrowthMarketRent)^4*IF(INT((DATE(2026+4,10,31)-F83)/365.25)=0,(12-DowntimeNew)/12,1),IF(I83="LeaseUp",H83*D83*(1+GrowthMarketRent)^4*IF(4=0,(12-DowntimeNew)/12,1),0)))))))),0)</f>
        <v/>
      </c>
      <c r="S83" s="14">
        <f>IFERROR(IF(I83="LeaseUp",H83*D83*(1+GrowthMarketRent)^5*IF(5=0,(12-DowntimeNew)/12,1),IF(F83="",0,IF(F83&gt;=DATE(2027+5,4,30),G83*D83*(1+EscalatorInLease)^(5+M83),IF(F83&lt;DATE(2026+5,5,1),IF(I83="Vacate",H83*D83*(1+GrowthMarketRent)^5*IF(INT((DATE(2026+5,10,31)-F83)/365.25)=0,(12-DowntimeNew)/12,1),IF(I83="Option",G83*D83*1.025*(1+EscalatorInLease)^5,IF(I83="Market",Retention*G83*D83*(1+EscalatorInLease)^(5+M83)+(1-Retention)*H83*D83*(1+GrowthMarketRent)^5*IF(INT((DATE(2026+5,10,31)-F83)/365.25)=0,(12-DowntimeNew)/12,1),IF(I83="LeaseUp",H83*D83*(1+GrowthMarketRent)^5*IF(5=0,(12-DowntimeNew)/12,1),0)))),((F83-DATE(2026+5,5,1))/365.25)*G83*D83*(1+EscalatorInLease)^(5+M83)+((DATE(2027+5,4,30)-F83)/365.25)*IF(I83="Vacate",H83*D83*(1+GrowthMarketRent)^5*IF(INT((DATE(2026+5,10,31)-F83)/365.25)=0,(12-DowntimeNew)/12,1),IF(I83="Option",G83*D83*1.025*(1+EscalatorInLease)^5,IF(I83="Market",Retention*G83*D83*(1+EscalatorInLease)^(5+M83)+(1-Retention)*H83*D83*(1+GrowthMarketRent)^5*IF(INT((DATE(2026+5,10,31)-F83)/365.25)=0,(12-DowntimeNew)/12,1),IF(I83="LeaseUp",H83*D83*(1+GrowthMarketRent)^5*IF(5=0,(12-DowntimeNew)/12,1),0)))))))),0)</f>
        <v/>
      </c>
      <c r="T83" s="14">
        <f>IFERROR(IF(I83="LeaseUp",H83*D83*(1+GrowthMarketRent)^6*IF(6=0,(12-DowntimeNew)/12,1),IF(F83="",0,IF(F83&gt;=DATE(2027+6,4,30),G83*D83*(1+EscalatorInLease)^(6+M83),IF(F83&lt;DATE(2026+6,5,1),IF(I83="Vacate",H83*D83*(1+GrowthMarketRent)^6*IF(INT((DATE(2026+6,10,31)-F83)/365.25)=0,(12-DowntimeNew)/12,1),IF(I83="Option",G83*D83*1.025*(1+EscalatorInLease)^6,IF(I83="Market",Retention*G83*D83*(1+EscalatorInLease)^(6+M83)+(1-Retention)*H83*D83*(1+GrowthMarketRent)^6*IF(INT((DATE(2026+6,10,31)-F83)/365.25)=0,(12-DowntimeNew)/12,1),IF(I83="LeaseUp",H83*D83*(1+GrowthMarketRent)^6*IF(6=0,(12-DowntimeNew)/12,1),0)))),((F83-DATE(2026+6,5,1))/365.25)*G83*D83*(1+EscalatorInLease)^(6+M83)+((DATE(2027+6,4,30)-F83)/365.25)*IF(I83="Vacate",H83*D83*(1+GrowthMarketRent)^6*IF(INT((DATE(2026+6,10,31)-F83)/365.25)=0,(12-DowntimeNew)/12,1),IF(I83="Option",G83*D83*1.025*(1+EscalatorInLease)^6,IF(I83="Market",Retention*G83*D83*(1+EscalatorInLease)^(6+M83)+(1-Retention)*H83*D83*(1+GrowthMarketRent)^6*IF(INT((DATE(2026+6,10,31)-F83)/365.25)=0,(12-DowntimeNew)/12,1),IF(I83="LeaseUp",H83*D83*(1+GrowthMarketRent)^6*IF(6=0,(12-DowntimeNew)/12,1),0)))))))),0)</f>
        <v/>
      </c>
      <c r="U83" s="14">
        <f>IFERROR(IF(I83="LeaseUp",H83*D83*(1+GrowthMarketRent)^7*IF(7=0,(12-DowntimeNew)/12,1),IF(F83="",0,IF(F83&gt;=DATE(2027+7,4,30),G83*D83*(1+EscalatorInLease)^(7+M83),IF(F83&lt;DATE(2026+7,5,1),IF(I83="Vacate",H83*D83*(1+GrowthMarketRent)^7*IF(INT((DATE(2026+7,10,31)-F83)/365.25)=0,(12-DowntimeNew)/12,1),IF(I83="Option",G83*D83*1.025*(1+EscalatorInLease)^7,IF(I83="Market",Retention*G83*D83*(1+EscalatorInLease)^(7+M83)+(1-Retention)*H83*D83*(1+GrowthMarketRent)^7*IF(INT((DATE(2026+7,10,31)-F83)/365.25)=0,(12-DowntimeNew)/12,1),IF(I83="LeaseUp",H83*D83*(1+GrowthMarketRent)^7*IF(7=0,(12-DowntimeNew)/12,1),0)))),((F83-DATE(2026+7,5,1))/365.25)*G83*D83*(1+EscalatorInLease)^(7+M83)+((DATE(2027+7,4,30)-F83)/365.25)*IF(I83="Vacate",H83*D83*(1+GrowthMarketRent)^7*IF(INT((DATE(2026+7,10,31)-F83)/365.25)=0,(12-DowntimeNew)/12,1),IF(I83="Option",G83*D83*1.025*(1+EscalatorInLease)^7,IF(I83="Market",Retention*G83*D83*(1+EscalatorInLease)^(7+M83)+(1-Retention)*H83*D83*(1+GrowthMarketRent)^7*IF(INT((DATE(2026+7,10,31)-F83)/365.25)=0,(12-DowntimeNew)/12,1),IF(I83="LeaseUp",H83*D83*(1+GrowthMarketRent)^7*IF(7=0,(12-DowntimeNew)/12,1),0)))))))),0)</f>
        <v/>
      </c>
      <c r="V83" s="14">
        <f>IFERROR(IF(I83="LeaseUp",H83*D83*(1+GrowthMarketRent)^8*IF(8=0,(12-DowntimeNew)/12,1),IF(F83="",0,IF(F83&gt;=DATE(2027+8,4,30),G83*D83*(1+EscalatorInLease)^(8+M83),IF(F83&lt;DATE(2026+8,5,1),IF(I83="Vacate",H83*D83*(1+GrowthMarketRent)^8*IF(INT((DATE(2026+8,10,31)-F83)/365.25)=0,(12-DowntimeNew)/12,1),IF(I83="Option",G83*D83*1.025*(1+EscalatorInLease)^8,IF(I83="Market",Retention*G83*D83*(1+EscalatorInLease)^(8+M83)+(1-Retention)*H83*D83*(1+GrowthMarketRent)^8*IF(INT((DATE(2026+8,10,31)-F83)/365.25)=0,(12-DowntimeNew)/12,1),IF(I83="LeaseUp",H83*D83*(1+GrowthMarketRent)^8*IF(8=0,(12-DowntimeNew)/12,1),0)))),((F83-DATE(2026+8,5,1))/365.25)*G83*D83*(1+EscalatorInLease)^(8+M83)+((DATE(2027+8,4,30)-F83)/365.25)*IF(I83="Vacate",H83*D83*(1+GrowthMarketRent)^8*IF(INT((DATE(2026+8,10,31)-F83)/365.25)=0,(12-DowntimeNew)/12,1),IF(I83="Option",G83*D83*1.025*(1+EscalatorInLease)^8,IF(I83="Market",Retention*G83*D83*(1+EscalatorInLease)^(8+M83)+(1-Retention)*H83*D83*(1+GrowthMarketRent)^8*IF(INT((DATE(2026+8,10,31)-F83)/365.25)=0,(12-DowntimeNew)/12,1),IF(I83="LeaseUp",H83*D83*(1+GrowthMarketRent)^8*IF(8=0,(12-DowntimeNew)/12,1),0)))))))),0)</f>
        <v/>
      </c>
      <c r="W83" s="14">
        <f>IFERROR(IF(I83="LeaseUp",H83*D83*(1+GrowthMarketRent)^9*IF(9=0,(12-DowntimeNew)/12,1),IF(F83="",0,IF(F83&gt;=DATE(2027+9,4,30),G83*D83*(1+EscalatorInLease)^(9+M83),IF(F83&lt;DATE(2026+9,5,1),IF(I83="Vacate",H83*D83*(1+GrowthMarketRent)^9*IF(INT((DATE(2026+9,10,31)-F83)/365.25)=0,(12-DowntimeNew)/12,1),IF(I83="Option",G83*D83*1.025*(1+EscalatorInLease)^9,IF(I83="Market",Retention*G83*D83*(1+EscalatorInLease)^(9+M83)+(1-Retention)*H83*D83*(1+GrowthMarketRent)^9*IF(INT((DATE(2026+9,10,31)-F83)/365.25)=0,(12-DowntimeNew)/12,1),IF(I83="LeaseUp",H83*D83*(1+GrowthMarketRent)^9*IF(9=0,(12-DowntimeNew)/12,1),0)))),((F83-DATE(2026+9,5,1))/365.25)*G83*D83*(1+EscalatorInLease)^(9+M83)+((DATE(2027+9,4,30)-F83)/365.25)*IF(I83="Vacate",H83*D83*(1+GrowthMarketRent)^9*IF(INT((DATE(2026+9,10,31)-F83)/365.25)=0,(12-DowntimeNew)/12,1),IF(I83="Option",G83*D83*1.025*(1+EscalatorInLease)^9,IF(I83="Market",Retention*G83*D83*(1+EscalatorInLease)^(9+M83)+(1-Retention)*H83*D83*(1+GrowthMarketRent)^9*IF(INT((DATE(2026+9,10,31)-F83)/365.25)=0,(12-DowntimeNew)/12,1),IF(I83="LeaseUp",H83*D83*(1+GrowthMarketRent)^9*IF(9=0,(12-DowntimeNew)/12,1),0)))))))),0)</f>
        <v/>
      </c>
      <c r="X83" s="14">
        <f>IFERROR(IF(I83="LeaseUp",H83*D83*(1+GrowthMarketRent)^10*IF(10=0,(12-DowntimeNew)/12,1),IF(F83="",0,IF(F83&gt;=DATE(2027+10,4,30),G83*D83*(1+EscalatorInLease)^(10+M83),IF(F83&lt;DATE(2026+10,5,1),IF(I83="Vacate",H83*D83*(1+GrowthMarketRent)^10*IF(INT((DATE(2026+10,10,31)-F83)/365.25)=0,(12-DowntimeNew)/12,1),IF(I83="Option",G83*D83*1.025*(1+EscalatorInLease)^10,IF(I83="Market",Retention*G83*D83*(1+EscalatorInLease)^(10+M83)+(1-Retention)*H83*D83*(1+GrowthMarketRent)^10*IF(INT((DATE(2026+10,10,31)-F83)/365.25)=0,(12-DowntimeNew)/12,1),IF(I83="LeaseUp",H83*D83*(1+GrowthMarketRent)^10*IF(10=0,(12-DowntimeNew)/12,1),0)))),((F83-DATE(2026+10,5,1))/365.25)*G83*D83*(1+EscalatorInLease)^(10+M83)+((DATE(2027+10,4,30)-F83)/365.25)*IF(I83="Vacate",H83*D83*(1+GrowthMarketRent)^10*IF(INT((DATE(2026+10,10,31)-F83)/365.25)=0,(12-DowntimeNew)/12,1),IF(I83="Option",G83*D83*1.025*(1+EscalatorInLease)^10,IF(I83="Market",Retention*G83*D83*(1+EscalatorInLease)^(10+M83)+(1-Retention)*H83*D83*(1+GrowthMarketRent)^10*IF(INT((DATE(2026+10,10,31)-F83)/365.25)=0,(12-DowntimeNew)/12,1),IF(I83="LeaseUp",H83*D83*(1+GrowthMarketRent)^10*IF(10=0,(12-DowntimeNew)/12,1),0)))))))),0)</f>
        <v/>
      </c>
      <c r="Y83" s="14">
        <f>IFERROR(IF(AND(I83="LeaseUp",0=0),(IF(I83="Vacate",TINew*D83,IF(I83="Market",Retention*TIRenewal*D83+(1-Retention)*TINew*D83,IF(I83="LeaseUp",TINew*D83,IF(I83="Option",TIRenewal*D83,0)))))+(IF(I83="Vacate",LCNew*H83*D83*(1+GrowthMarketRent)^0,IF(I83="Market",Retention*LCRenewal*H83*D83*(1+GrowthMarketRent)^0+(1-Retention)*LCNew*H83*D83*(1+GrowthMarketRent)^0,IF(I83="LeaseUp",LCNew*H83*D83*(1+GrowthMarketRent)^0,IF(I83="Option",LCRenewal*H83*D83*(1+GrowthMarketRent)^0,0))))),IF(F83="",0,IF(AND(F83&gt;=DATE(2026+0,5,1),F83&lt;=DATE(2027+0,4,30)),(IF(I83="Vacate",TINew*D83,IF(I83="Market",Retention*TIRenewal*D83+(1-Retention)*TINew*D83,IF(I83="LeaseUp",TINew*D83,IF(I83="Option",TIRenewal*D83,0)))))+(IF(I83="Vacate",LCNew*H83*D83*(1+GrowthMarketRent)^0,IF(I83="Market",Retention*LCRenewal*H83*D83*(1+GrowthMarketRent)^0+(1-Retention)*LCNew*H83*D83*(1+GrowthMarketRent)^0,IF(I83="LeaseUp",LCNew*H83*D83*(1+GrowthMarketRent)^0,IF(I83="Option",LCRenewal*H83*D83*(1+GrowthMarketRent)^0,0))))),0))),0)</f>
        <v/>
      </c>
      <c r="Z83" s="14">
        <f>IFERROR(IF(AND(I83="LeaseUp",1=0),(IF(I83="Vacate",TINew*D83,IF(I83="Market",Retention*TIRenewal*D83+(1-Retention)*TINew*D83,IF(I83="LeaseUp",TINew*D83,IF(I83="Option",TIRenewal*D83,0)))))+(IF(I83="Vacate",LCNew*H83*D83*(1+GrowthMarketRent)^1,IF(I83="Market",Retention*LCRenewal*H83*D83*(1+GrowthMarketRent)^1+(1-Retention)*LCNew*H83*D83*(1+GrowthMarketRent)^1,IF(I83="LeaseUp",LCNew*H83*D83*(1+GrowthMarketRent)^1,IF(I83="Option",LCRenewal*H83*D83*(1+GrowthMarketRent)^1,0))))),IF(F83="",0,IF(AND(F83&gt;=DATE(2026+1,5,1),F83&lt;=DATE(2027+1,4,30)),(IF(I83="Vacate",TINew*D83,IF(I83="Market",Retention*TIRenewal*D83+(1-Retention)*TINew*D83,IF(I83="LeaseUp",TINew*D83,IF(I83="Option",TIRenewal*D83,0)))))+(IF(I83="Vacate",LCNew*H83*D83*(1+GrowthMarketRent)^1,IF(I83="Market",Retention*LCRenewal*H83*D83*(1+GrowthMarketRent)^1+(1-Retention)*LCNew*H83*D83*(1+GrowthMarketRent)^1,IF(I83="LeaseUp",LCNew*H83*D83*(1+GrowthMarketRent)^1,IF(I83="Option",LCRenewal*H83*D83*(1+GrowthMarketRent)^1,0))))),0))),0)</f>
        <v/>
      </c>
      <c r="AA83" s="14">
        <f>IFERROR(IF(AND(I83="LeaseUp",2=0),(IF(I83="Vacate",TINew*D83,IF(I83="Market",Retention*TIRenewal*D83+(1-Retention)*TINew*D83,IF(I83="LeaseUp",TINew*D83,IF(I83="Option",TIRenewal*D83,0)))))+(IF(I83="Vacate",LCNew*H83*D83*(1+GrowthMarketRent)^2,IF(I83="Market",Retention*LCRenewal*H83*D83*(1+GrowthMarketRent)^2+(1-Retention)*LCNew*H83*D83*(1+GrowthMarketRent)^2,IF(I83="LeaseUp",LCNew*H83*D83*(1+GrowthMarketRent)^2,IF(I83="Option",LCRenewal*H83*D83*(1+GrowthMarketRent)^2,0))))),IF(F83="",0,IF(AND(F83&gt;=DATE(2026+2,5,1),F83&lt;=DATE(2027+2,4,30)),(IF(I83="Vacate",TINew*D83,IF(I83="Market",Retention*TIRenewal*D83+(1-Retention)*TINew*D83,IF(I83="LeaseUp",TINew*D83,IF(I83="Option",TIRenewal*D83,0)))))+(IF(I83="Vacate",LCNew*H83*D83*(1+GrowthMarketRent)^2,IF(I83="Market",Retention*LCRenewal*H83*D83*(1+GrowthMarketRent)^2+(1-Retention)*LCNew*H83*D83*(1+GrowthMarketRent)^2,IF(I83="LeaseUp",LCNew*H83*D83*(1+GrowthMarketRent)^2,IF(I83="Option",LCRenewal*H83*D83*(1+GrowthMarketRent)^2,0))))),0))),0)</f>
        <v/>
      </c>
      <c r="AB83" s="14">
        <f>IFERROR(IF(AND(I83="LeaseUp",3=0),(IF(I83="Vacate",TINew*D83,IF(I83="Market",Retention*TIRenewal*D83+(1-Retention)*TINew*D83,IF(I83="LeaseUp",TINew*D83,IF(I83="Option",TIRenewal*D83,0)))))+(IF(I83="Vacate",LCNew*H83*D83*(1+GrowthMarketRent)^3,IF(I83="Market",Retention*LCRenewal*H83*D83*(1+GrowthMarketRent)^3+(1-Retention)*LCNew*H83*D83*(1+GrowthMarketRent)^3,IF(I83="LeaseUp",LCNew*H83*D83*(1+GrowthMarketRent)^3,IF(I83="Option",LCRenewal*H83*D83*(1+GrowthMarketRent)^3,0))))),IF(F83="",0,IF(AND(F83&gt;=DATE(2026+3,5,1),F83&lt;=DATE(2027+3,4,30)),(IF(I83="Vacate",TINew*D83,IF(I83="Market",Retention*TIRenewal*D83+(1-Retention)*TINew*D83,IF(I83="LeaseUp",TINew*D83,IF(I83="Option",TIRenewal*D83,0)))))+(IF(I83="Vacate",LCNew*H83*D83*(1+GrowthMarketRent)^3,IF(I83="Market",Retention*LCRenewal*H83*D83*(1+GrowthMarketRent)^3+(1-Retention)*LCNew*H83*D83*(1+GrowthMarketRent)^3,IF(I83="LeaseUp",LCNew*H83*D83*(1+GrowthMarketRent)^3,IF(I83="Option",LCRenewal*H83*D83*(1+GrowthMarketRent)^3,0))))),0))),0)</f>
        <v/>
      </c>
      <c r="AC83" s="14">
        <f>IFERROR(IF(AND(I83="LeaseUp",4=0),(IF(I83="Vacate",TINew*D83,IF(I83="Market",Retention*TIRenewal*D83+(1-Retention)*TINew*D83,IF(I83="LeaseUp",TINew*D83,IF(I83="Option",TIRenewal*D83,0)))))+(IF(I83="Vacate",LCNew*H83*D83*(1+GrowthMarketRent)^4,IF(I83="Market",Retention*LCRenewal*H83*D83*(1+GrowthMarketRent)^4+(1-Retention)*LCNew*H83*D83*(1+GrowthMarketRent)^4,IF(I83="LeaseUp",LCNew*H83*D83*(1+GrowthMarketRent)^4,IF(I83="Option",LCRenewal*H83*D83*(1+GrowthMarketRent)^4,0))))),IF(F83="",0,IF(AND(F83&gt;=DATE(2026+4,5,1),F83&lt;=DATE(2027+4,4,30)),(IF(I83="Vacate",TINew*D83,IF(I83="Market",Retention*TIRenewal*D83+(1-Retention)*TINew*D83,IF(I83="LeaseUp",TINew*D83,IF(I83="Option",TIRenewal*D83,0)))))+(IF(I83="Vacate",LCNew*H83*D83*(1+GrowthMarketRent)^4,IF(I83="Market",Retention*LCRenewal*H83*D83*(1+GrowthMarketRent)^4+(1-Retention)*LCNew*H83*D83*(1+GrowthMarketRent)^4,IF(I83="LeaseUp",LCNew*H83*D83*(1+GrowthMarketRent)^4,IF(I83="Option",LCRenewal*H83*D83*(1+GrowthMarketRent)^4,0))))),0))),0)</f>
        <v/>
      </c>
      <c r="AD83" s="14">
        <f>IFERROR(IF(AND(I83="LeaseUp",5=0),(IF(I83="Vacate",TINew*D83,IF(I83="Market",Retention*TIRenewal*D83+(1-Retention)*TINew*D83,IF(I83="LeaseUp",TINew*D83,IF(I83="Option",TIRenewal*D83,0)))))+(IF(I83="Vacate",LCNew*H83*D83*(1+GrowthMarketRent)^5,IF(I83="Market",Retention*LCRenewal*H83*D83*(1+GrowthMarketRent)^5+(1-Retention)*LCNew*H83*D83*(1+GrowthMarketRent)^5,IF(I83="LeaseUp",LCNew*H83*D83*(1+GrowthMarketRent)^5,IF(I83="Option",LCRenewal*H83*D83*(1+GrowthMarketRent)^5,0))))),IF(F83="",0,IF(AND(F83&gt;=DATE(2026+5,5,1),F83&lt;=DATE(2027+5,4,30)),(IF(I83="Vacate",TINew*D83,IF(I83="Market",Retention*TIRenewal*D83+(1-Retention)*TINew*D83,IF(I83="LeaseUp",TINew*D83,IF(I83="Option",TIRenewal*D83,0)))))+(IF(I83="Vacate",LCNew*H83*D83*(1+GrowthMarketRent)^5,IF(I83="Market",Retention*LCRenewal*H83*D83*(1+GrowthMarketRent)^5+(1-Retention)*LCNew*H83*D83*(1+GrowthMarketRent)^5,IF(I83="LeaseUp",LCNew*H83*D83*(1+GrowthMarketRent)^5,IF(I83="Option",LCRenewal*H83*D83*(1+GrowthMarketRent)^5,0))))),0))),0)</f>
        <v/>
      </c>
      <c r="AE83" s="14">
        <f>IFERROR(IF(AND(I83="LeaseUp",6=0),(IF(I83="Vacate",TINew*D83,IF(I83="Market",Retention*TIRenewal*D83+(1-Retention)*TINew*D83,IF(I83="LeaseUp",TINew*D83,IF(I83="Option",TIRenewal*D83,0)))))+(IF(I83="Vacate",LCNew*H83*D83*(1+GrowthMarketRent)^6,IF(I83="Market",Retention*LCRenewal*H83*D83*(1+GrowthMarketRent)^6+(1-Retention)*LCNew*H83*D83*(1+GrowthMarketRent)^6,IF(I83="LeaseUp",LCNew*H83*D83*(1+GrowthMarketRent)^6,IF(I83="Option",LCRenewal*H83*D83*(1+GrowthMarketRent)^6,0))))),IF(F83="",0,IF(AND(F83&gt;=DATE(2026+6,5,1),F83&lt;=DATE(2027+6,4,30)),(IF(I83="Vacate",TINew*D83,IF(I83="Market",Retention*TIRenewal*D83+(1-Retention)*TINew*D83,IF(I83="LeaseUp",TINew*D83,IF(I83="Option",TIRenewal*D83,0)))))+(IF(I83="Vacate",LCNew*H83*D83*(1+GrowthMarketRent)^6,IF(I83="Market",Retention*LCRenewal*H83*D83*(1+GrowthMarketRent)^6+(1-Retention)*LCNew*H83*D83*(1+GrowthMarketRent)^6,IF(I83="LeaseUp",LCNew*H83*D83*(1+GrowthMarketRent)^6,IF(I83="Option",LCRenewal*H83*D83*(1+GrowthMarketRent)^6,0))))),0))),0)</f>
        <v/>
      </c>
      <c r="AF83" s="14">
        <f>IFERROR(IF(AND(I83="LeaseUp",7=0),(IF(I83="Vacate",TINew*D83,IF(I83="Market",Retention*TIRenewal*D83+(1-Retention)*TINew*D83,IF(I83="LeaseUp",TINew*D83,IF(I83="Option",TIRenewal*D83,0)))))+(IF(I83="Vacate",LCNew*H83*D83*(1+GrowthMarketRent)^7,IF(I83="Market",Retention*LCRenewal*H83*D83*(1+GrowthMarketRent)^7+(1-Retention)*LCNew*H83*D83*(1+GrowthMarketRent)^7,IF(I83="LeaseUp",LCNew*H83*D83*(1+GrowthMarketRent)^7,IF(I83="Option",LCRenewal*H83*D83*(1+GrowthMarketRent)^7,0))))),IF(F83="",0,IF(AND(F83&gt;=DATE(2026+7,5,1),F83&lt;=DATE(2027+7,4,30)),(IF(I83="Vacate",TINew*D83,IF(I83="Market",Retention*TIRenewal*D83+(1-Retention)*TINew*D83,IF(I83="LeaseUp",TINew*D83,IF(I83="Option",TIRenewal*D83,0)))))+(IF(I83="Vacate",LCNew*H83*D83*(1+GrowthMarketRent)^7,IF(I83="Market",Retention*LCRenewal*H83*D83*(1+GrowthMarketRent)^7+(1-Retention)*LCNew*H83*D83*(1+GrowthMarketRent)^7,IF(I83="LeaseUp",LCNew*H83*D83*(1+GrowthMarketRent)^7,IF(I83="Option",LCRenewal*H83*D83*(1+GrowthMarketRent)^7,0))))),0))),0)</f>
        <v/>
      </c>
      <c r="AG83" s="14">
        <f>IFERROR(IF(AND(I83="LeaseUp",8=0),(IF(I83="Vacate",TINew*D83,IF(I83="Market",Retention*TIRenewal*D83+(1-Retention)*TINew*D83,IF(I83="LeaseUp",TINew*D83,IF(I83="Option",TIRenewal*D83,0)))))+(IF(I83="Vacate",LCNew*H83*D83*(1+GrowthMarketRent)^8,IF(I83="Market",Retention*LCRenewal*H83*D83*(1+GrowthMarketRent)^8+(1-Retention)*LCNew*H83*D83*(1+GrowthMarketRent)^8,IF(I83="LeaseUp",LCNew*H83*D83*(1+GrowthMarketRent)^8,IF(I83="Option",LCRenewal*H83*D83*(1+GrowthMarketRent)^8,0))))),IF(F83="",0,IF(AND(F83&gt;=DATE(2026+8,5,1),F83&lt;=DATE(2027+8,4,30)),(IF(I83="Vacate",TINew*D83,IF(I83="Market",Retention*TIRenewal*D83+(1-Retention)*TINew*D83,IF(I83="LeaseUp",TINew*D83,IF(I83="Option",TIRenewal*D83,0)))))+(IF(I83="Vacate",LCNew*H83*D83*(1+GrowthMarketRent)^8,IF(I83="Market",Retention*LCRenewal*H83*D83*(1+GrowthMarketRent)^8+(1-Retention)*LCNew*H83*D83*(1+GrowthMarketRent)^8,IF(I83="LeaseUp",LCNew*H83*D83*(1+GrowthMarketRent)^8,IF(I83="Option",LCRenewal*H83*D83*(1+GrowthMarketRent)^8,0))))),0))),0)</f>
        <v/>
      </c>
      <c r="AH83" s="14">
        <f>IFERROR(IF(AND(I83="LeaseUp",9=0),(IF(I83="Vacate",TINew*D83,IF(I83="Market",Retention*TIRenewal*D83+(1-Retention)*TINew*D83,IF(I83="LeaseUp",TINew*D83,IF(I83="Option",TIRenewal*D83,0)))))+(IF(I83="Vacate",LCNew*H83*D83*(1+GrowthMarketRent)^9,IF(I83="Market",Retention*LCRenewal*H83*D83*(1+GrowthMarketRent)^9+(1-Retention)*LCNew*H83*D83*(1+GrowthMarketRent)^9,IF(I83="LeaseUp",LCNew*H83*D83*(1+GrowthMarketRent)^9,IF(I83="Option",LCRenewal*H83*D83*(1+GrowthMarketRent)^9,0))))),IF(F83="",0,IF(AND(F83&gt;=DATE(2026+9,5,1),F83&lt;=DATE(2027+9,4,30)),(IF(I83="Vacate",TINew*D83,IF(I83="Market",Retention*TIRenewal*D83+(1-Retention)*TINew*D83,IF(I83="LeaseUp",TINew*D83,IF(I83="Option",TIRenewal*D83,0)))))+(IF(I83="Vacate",LCNew*H83*D83*(1+GrowthMarketRent)^9,IF(I83="Market",Retention*LCRenewal*H83*D83*(1+GrowthMarketRent)^9+(1-Retention)*LCNew*H83*D83*(1+GrowthMarketRent)^9,IF(I83="LeaseUp",LCNew*H83*D83*(1+GrowthMarketRent)^9,IF(I83="Option",LCRenewal*H83*D83*(1+GrowthMarketRent)^9,0))))),0))),0)</f>
        <v/>
      </c>
      <c r="AI83" s="14">
        <f>IFERROR(IF(AND(I83="LeaseUp",10=0),(IF(I83="Vacate",TINew*D83,IF(I83="Market",Retention*TIRenewal*D83+(1-Retention)*TINew*D83,IF(I83="LeaseUp",TINew*D83,IF(I83="Option",TIRenewal*D83,0)))))+(IF(I83="Vacate",LCNew*H83*D83*(1+GrowthMarketRent)^10,IF(I83="Market",Retention*LCRenewal*H83*D83*(1+GrowthMarketRent)^10+(1-Retention)*LCNew*H83*D83*(1+GrowthMarketRent)^10,IF(I83="LeaseUp",LCNew*H83*D83*(1+GrowthMarketRent)^10,IF(I83="Option",LCRenewal*H83*D83*(1+GrowthMarketRent)^10,0))))),IF(F83="",0,IF(AND(F83&gt;=DATE(2026+10,5,1),F83&lt;=DATE(2027+10,4,30)),(IF(I83="Vacate",TINew*D83,IF(I83="Market",Retention*TIRenewal*D83+(1-Retention)*TINew*D83,IF(I83="LeaseUp",TINew*D83,IF(I83="Option",TIRenewal*D83,0)))))+(IF(I83="Vacate",LCNew*H83*D83*(1+GrowthMarketRent)^10,IF(I83="Market",Retention*LCRenewal*H83*D83*(1+GrowthMarketRent)^10+(1-Retention)*LCNew*H83*D83*(1+GrowthMarketRent)^10,IF(I83="LeaseUp",LCNew*H83*D83*(1+GrowthMarketRent)^10,IF(I83="Option",LCRenewal*H83*D83*(1+GrowthMarketRent)^10,0))))),0))),0)</f>
        <v/>
      </c>
    </row>
    <row r="84">
      <c r="A84" t="inlineStr">
        <is>
          <t>Mesquite</t>
        </is>
      </c>
      <c r="B84" t="inlineStr">
        <is>
          <t>204</t>
        </is>
      </c>
      <c r="C84" t="inlineStr">
        <is>
          <t>VACANT</t>
        </is>
      </c>
      <c r="D84" s="32" t="n">
        <v>1870</v>
      </c>
      <c r="G84" s="34" t="n">
        <v>0</v>
      </c>
      <c r="H84" s="16">
        <f>VLOOKUP(A84,MLA!$A$5:$L$11,3,FALSE)</f>
        <v/>
      </c>
      <c r="I84" s="11" t="inlineStr">
        <is>
          <t>LeaseUp</t>
        </is>
      </c>
      <c r="J84" t="inlineStr">
        <is>
          <t>Studio</t>
        </is>
      </c>
      <c r="K84" t="inlineStr">
        <is>
          <t>Vacant</t>
        </is>
      </c>
      <c r="L84" t="inlineStr">
        <is>
          <t>Studio; future lease-up Aug-2026</t>
        </is>
      </c>
      <c r="M84" s="20">
        <f>IF(E84="",0,(AnalysisStart-E84)/365.25)</f>
        <v/>
      </c>
      <c r="N84" s="14">
        <f>IFERROR(IF(I84="LeaseUp",H84*D84*(1+GrowthMarketRent)^0*IF(0=0,(12-DowntimeNew)/12,1),IF(F84="",0,IF(F84&gt;=DATE(2027+0,4,30),G84*D84*(1+EscalatorInLease)^(0+M84),IF(F84&lt;DATE(2026+0,5,1),IF(I84="Vacate",H84*D84*(1+GrowthMarketRent)^0*IF(INT((DATE(2026+0,10,31)-F84)/365.25)=0,(12-DowntimeNew)/12,1),IF(I84="Option",G84*D84*1.025*(1+EscalatorInLease)^0,IF(I84="Market",Retention*G84*D84*(1+EscalatorInLease)^(0+M84)+(1-Retention)*H84*D84*(1+GrowthMarketRent)^0*IF(INT((DATE(2026+0,10,31)-F84)/365.25)=0,(12-DowntimeNew)/12,1),IF(I84="LeaseUp",H84*D84*(1+GrowthMarketRent)^0*IF(0=0,(12-DowntimeNew)/12,1),0)))),((F84-DATE(2026+0,5,1))/365.25)*G84*D84*(1+EscalatorInLease)^(0+M84)+((DATE(2027+0,4,30)-F84)/365.25)*IF(I84="Vacate",H84*D84*(1+GrowthMarketRent)^0*IF(INT((DATE(2026+0,10,31)-F84)/365.25)=0,(12-DowntimeNew)/12,1),IF(I84="Option",G84*D84*1.025*(1+EscalatorInLease)^0,IF(I84="Market",Retention*G84*D84*(1+EscalatorInLease)^(0+M84)+(1-Retention)*H84*D84*(1+GrowthMarketRent)^0*IF(INT((DATE(2026+0,10,31)-F84)/365.25)=0,(12-DowntimeNew)/12,1),IF(I84="LeaseUp",H84*D84*(1+GrowthMarketRent)^0*IF(0=0,(12-DowntimeNew)/12,1),0)))))))),0)</f>
        <v/>
      </c>
      <c r="O84" s="14">
        <f>IFERROR(IF(I84="LeaseUp",H84*D84*(1+GrowthMarketRent)^1*IF(1=0,(12-DowntimeNew)/12,1),IF(F84="",0,IF(F84&gt;=DATE(2027+1,4,30),G84*D84*(1+EscalatorInLease)^(1+M84),IF(F84&lt;DATE(2026+1,5,1),IF(I84="Vacate",H84*D84*(1+GrowthMarketRent)^1*IF(INT((DATE(2026+1,10,31)-F84)/365.25)=0,(12-DowntimeNew)/12,1),IF(I84="Option",G84*D84*1.025*(1+EscalatorInLease)^1,IF(I84="Market",Retention*G84*D84*(1+EscalatorInLease)^(1+M84)+(1-Retention)*H84*D84*(1+GrowthMarketRent)^1*IF(INT((DATE(2026+1,10,31)-F84)/365.25)=0,(12-DowntimeNew)/12,1),IF(I84="LeaseUp",H84*D84*(1+GrowthMarketRent)^1*IF(1=0,(12-DowntimeNew)/12,1),0)))),((F84-DATE(2026+1,5,1))/365.25)*G84*D84*(1+EscalatorInLease)^(1+M84)+((DATE(2027+1,4,30)-F84)/365.25)*IF(I84="Vacate",H84*D84*(1+GrowthMarketRent)^1*IF(INT((DATE(2026+1,10,31)-F84)/365.25)=0,(12-DowntimeNew)/12,1),IF(I84="Option",G84*D84*1.025*(1+EscalatorInLease)^1,IF(I84="Market",Retention*G84*D84*(1+EscalatorInLease)^(1+M84)+(1-Retention)*H84*D84*(1+GrowthMarketRent)^1*IF(INT((DATE(2026+1,10,31)-F84)/365.25)=0,(12-DowntimeNew)/12,1),IF(I84="LeaseUp",H84*D84*(1+GrowthMarketRent)^1*IF(1=0,(12-DowntimeNew)/12,1),0)))))))),0)</f>
        <v/>
      </c>
      <c r="P84" s="14">
        <f>IFERROR(IF(I84="LeaseUp",H84*D84*(1+GrowthMarketRent)^2*IF(2=0,(12-DowntimeNew)/12,1),IF(F84="",0,IF(F84&gt;=DATE(2027+2,4,30),G84*D84*(1+EscalatorInLease)^(2+M84),IF(F84&lt;DATE(2026+2,5,1),IF(I84="Vacate",H84*D84*(1+GrowthMarketRent)^2*IF(INT((DATE(2026+2,10,31)-F84)/365.25)=0,(12-DowntimeNew)/12,1),IF(I84="Option",G84*D84*1.025*(1+EscalatorInLease)^2,IF(I84="Market",Retention*G84*D84*(1+EscalatorInLease)^(2+M84)+(1-Retention)*H84*D84*(1+GrowthMarketRent)^2*IF(INT((DATE(2026+2,10,31)-F84)/365.25)=0,(12-DowntimeNew)/12,1),IF(I84="LeaseUp",H84*D84*(1+GrowthMarketRent)^2*IF(2=0,(12-DowntimeNew)/12,1),0)))),((F84-DATE(2026+2,5,1))/365.25)*G84*D84*(1+EscalatorInLease)^(2+M84)+((DATE(2027+2,4,30)-F84)/365.25)*IF(I84="Vacate",H84*D84*(1+GrowthMarketRent)^2*IF(INT((DATE(2026+2,10,31)-F84)/365.25)=0,(12-DowntimeNew)/12,1),IF(I84="Option",G84*D84*1.025*(1+EscalatorInLease)^2,IF(I84="Market",Retention*G84*D84*(1+EscalatorInLease)^(2+M84)+(1-Retention)*H84*D84*(1+GrowthMarketRent)^2*IF(INT((DATE(2026+2,10,31)-F84)/365.25)=0,(12-DowntimeNew)/12,1),IF(I84="LeaseUp",H84*D84*(1+GrowthMarketRent)^2*IF(2=0,(12-DowntimeNew)/12,1),0)))))))),0)</f>
        <v/>
      </c>
      <c r="Q84" s="14">
        <f>IFERROR(IF(I84="LeaseUp",H84*D84*(1+GrowthMarketRent)^3*IF(3=0,(12-DowntimeNew)/12,1),IF(F84="",0,IF(F84&gt;=DATE(2027+3,4,30),G84*D84*(1+EscalatorInLease)^(3+M84),IF(F84&lt;DATE(2026+3,5,1),IF(I84="Vacate",H84*D84*(1+GrowthMarketRent)^3*IF(INT((DATE(2026+3,10,31)-F84)/365.25)=0,(12-DowntimeNew)/12,1),IF(I84="Option",G84*D84*1.025*(1+EscalatorInLease)^3,IF(I84="Market",Retention*G84*D84*(1+EscalatorInLease)^(3+M84)+(1-Retention)*H84*D84*(1+GrowthMarketRent)^3*IF(INT((DATE(2026+3,10,31)-F84)/365.25)=0,(12-DowntimeNew)/12,1),IF(I84="LeaseUp",H84*D84*(1+GrowthMarketRent)^3*IF(3=0,(12-DowntimeNew)/12,1),0)))),((F84-DATE(2026+3,5,1))/365.25)*G84*D84*(1+EscalatorInLease)^(3+M84)+((DATE(2027+3,4,30)-F84)/365.25)*IF(I84="Vacate",H84*D84*(1+GrowthMarketRent)^3*IF(INT((DATE(2026+3,10,31)-F84)/365.25)=0,(12-DowntimeNew)/12,1),IF(I84="Option",G84*D84*1.025*(1+EscalatorInLease)^3,IF(I84="Market",Retention*G84*D84*(1+EscalatorInLease)^(3+M84)+(1-Retention)*H84*D84*(1+GrowthMarketRent)^3*IF(INT((DATE(2026+3,10,31)-F84)/365.25)=0,(12-DowntimeNew)/12,1),IF(I84="LeaseUp",H84*D84*(1+GrowthMarketRent)^3*IF(3=0,(12-DowntimeNew)/12,1),0)))))))),0)</f>
        <v/>
      </c>
      <c r="R84" s="14">
        <f>IFERROR(IF(I84="LeaseUp",H84*D84*(1+GrowthMarketRent)^4*IF(4=0,(12-DowntimeNew)/12,1),IF(F84="",0,IF(F84&gt;=DATE(2027+4,4,30),G84*D84*(1+EscalatorInLease)^(4+M84),IF(F84&lt;DATE(2026+4,5,1),IF(I84="Vacate",H84*D84*(1+GrowthMarketRent)^4*IF(INT((DATE(2026+4,10,31)-F84)/365.25)=0,(12-DowntimeNew)/12,1),IF(I84="Option",G84*D84*1.025*(1+EscalatorInLease)^4,IF(I84="Market",Retention*G84*D84*(1+EscalatorInLease)^(4+M84)+(1-Retention)*H84*D84*(1+GrowthMarketRent)^4*IF(INT((DATE(2026+4,10,31)-F84)/365.25)=0,(12-DowntimeNew)/12,1),IF(I84="LeaseUp",H84*D84*(1+GrowthMarketRent)^4*IF(4=0,(12-DowntimeNew)/12,1),0)))),((F84-DATE(2026+4,5,1))/365.25)*G84*D84*(1+EscalatorInLease)^(4+M84)+((DATE(2027+4,4,30)-F84)/365.25)*IF(I84="Vacate",H84*D84*(1+GrowthMarketRent)^4*IF(INT((DATE(2026+4,10,31)-F84)/365.25)=0,(12-DowntimeNew)/12,1),IF(I84="Option",G84*D84*1.025*(1+EscalatorInLease)^4,IF(I84="Market",Retention*G84*D84*(1+EscalatorInLease)^(4+M84)+(1-Retention)*H84*D84*(1+GrowthMarketRent)^4*IF(INT((DATE(2026+4,10,31)-F84)/365.25)=0,(12-DowntimeNew)/12,1),IF(I84="LeaseUp",H84*D84*(1+GrowthMarketRent)^4*IF(4=0,(12-DowntimeNew)/12,1),0)))))))),0)</f>
        <v/>
      </c>
      <c r="S84" s="14">
        <f>IFERROR(IF(I84="LeaseUp",H84*D84*(1+GrowthMarketRent)^5*IF(5=0,(12-DowntimeNew)/12,1),IF(F84="",0,IF(F84&gt;=DATE(2027+5,4,30),G84*D84*(1+EscalatorInLease)^(5+M84),IF(F84&lt;DATE(2026+5,5,1),IF(I84="Vacate",H84*D84*(1+GrowthMarketRent)^5*IF(INT((DATE(2026+5,10,31)-F84)/365.25)=0,(12-DowntimeNew)/12,1),IF(I84="Option",G84*D84*1.025*(1+EscalatorInLease)^5,IF(I84="Market",Retention*G84*D84*(1+EscalatorInLease)^(5+M84)+(1-Retention)*H84*D84*(1+GrowthMarketRent)^5*IF(INT((DATE(2026+5,10,31)-F84)/365.25)=0,(12-DowntimeNew)/12,1),IF(I84="LeaseUp",H84*D84*(1+GrowthMarketRent)^5*IF(5=0,(12-DowntimeNew)/12,1),0)))),((F84-DATE(2026+5,5,1))/365.25)*G84*D84*(1+EscalatorInLease)^(5+M84)+((DATE(2027+5,4,30)-F84)/365.25)*IF(I84="Vacate",H84*D84*(1+GrowthMarketRent)^5*IF(INT((DATE(2026+5,10,31)-F84)/365.25)=0,(12-DowntimeNew)/12,1),IF(I84="Option",G84*D84*1.025*(1+EscalatorInLease)^5,IF(I84="Market",Retention*G84*D84*(1+EscalatorInLease)^(5+M84)+(1-Retention)*H84*D84*(1+GrowthMarketRent)^5*IF(INT((DATE(2026+5,10,31)-F84)/365.25)=0,(12-DowntimeNew)/12,1),IF(I84="LeaseUp",H84*D84*(1+GrowthMarketRent)^5*IF(5=0,(12-DowntimeNew)/12,1),0)))))))),0)</f>
        <v/>
      </c>
      <c r="T84" s="14">
        <f>IFERROR(IF(I84="LeaseUp",H84*D84*(1+GrowthMarketRent)^6*IF(6=0,(12-DowntimeNew)/12,1),IF(F84="",0,IF(F84&gt;=DATE(2027+6,4,30),G84*D84*(1+EscalatorInLease)^(6+M84),IF(F84&lt;DATE(2026+6,5,1),IF(I84="Vacate",H84*D84*(1+GrowthMarketRent)^6*IF(INT((DATE(2026+6,10,31)-F84)/365.25)=0,(12-DowntimeNew)/12,1),IF(I84="Option",G84*D84*1.025*(1+EscalatorInLease)^6,IF(I84="Market",Retention*G84*D84*(1+EscalatorInLease)^(6+M84)+(1-Retention)*H84*D84*(1+GrowthMarketRent)^6*IF(INT((DATE(2026+6,10,31)-F84)/365.25)=0,(12-DowntimeNew)/12,1),IF(I84="LeaseUp",H84*D84*(1+GrowthMarketRent)^6*IF(6=0,(12-DowntimeNew)/12,1),0)))),((F84-DATE(2026+6,5,1))/365.25)*G84*D84*(1+EscalatorInLease)^(6+M84)+((DATE(2027+6,4,30)-F84)/365.25)*IF(I84="Vacate",H84*D84*(1+GrowthMarketRent)^6*IF(INT((DATE(2026+6,10,31)-F84)/365.25)=0,(12-DowntimeNew)/12,1),IF(I84="Option",G84*D84*1.025*(1+EscalatorInLease)^6,IF(I84="Market",Retention*G84*D84*(1+EscalatorInLease)^(6+M84)+(1-Retention)*H84*D84*(1+GrowthMarketRent)^6*IF(INT((DATE(2026+6,10,31)-F84)/365.25)=0,(12-DowntimeNew)/12,1),IF(I84="LeaseUp",H84*D84*(1+GrowthMarketRent)^6*IF(6=0,(12-DowntimeNew)/12,1),0)))))))),0)</f>
        <v/>
      </c>
      <c r="U84" s="14">
        <f>IFERROR(IF(I84="LeaseUp",H84*D84*(1+GrowthMarketRent)^7*IF(7=0,(12-DowntimeNew)/12,1),IF(F84="",0,IF(F84&gt;=DATE(2027+7,4,30),G84*D84*(1+EscalatorInLease)^(7+M84),IF(F84&lt;DATE(2026+7,5,1),IF(I84="Vacate",H84*D84*(1+GrowthMarketRent)^7*IF(INT((DATE(2026+7,10,31)-F84)/365.25)=0,(12-DowntimeNew)/12,1),IF(I84="Option",G84*D84*1.025*(1+EscalatorInLease)^7,IF(I84="Market",Retention*G84*D84*(1+EscalatorInLease)^(7+M84)+(1-Retention)*H84*D84*(1+GrowthMarketRent)^7*IF(INT((DATE(2026+7,10,31)-F84)/365.25)=0,(12-DowntimeNew)/12,1),IF(I84="LeaseUp",H84*D84*(1+GrowthMarketRent)^7*IF(7=0,(12-DowntimeNew)/12,1),0)))),((F84-DATE(2026+7,5,1))/365.25)*G84*D84*(1+EscalatorInLease)^(7+M84)+((DATE(2027+7,4,30)-F84)/365.25)*IF(I84="Vacate",H84*D84*(1+GrowthMarketRent)^7*IF(INT((DATE(2026+7,10,31)-F84)/365.25)=0,(12-DowntimeNew)/12,1),IF(I84="Option",G84*D84*1.025*(1+EscalatorInLease)^7,IF(I84="Market",Retention*G84*D84*(1+EscalatorInLease)^(7+M84)+(1-Retention)*H84*D84*(1+GrowthMarketRent)^7*IF(INT((DATE(2026+7,10,31)-F84)/365.25)=0,(12-DowntimeNew)/12,1),IF(I84="LeaseUp",H84*D84*(1+GrowthMarketRent)^7*IF(7=0,(12-DowntimeNew)/12,1),0)))))))),0)</f>
        <v/>
      </c>
      <c r="V84" s="14">
        <f>IFERROR(IF(I84="LeaseUp",H84*D84*(1+GrowthMarketRent)^8*IF(8=0,(12-DowntimeNew)/12,1),IF(F84="",0,IF(F84&gt;=DATE(2027+8,4,30),G84*D84*(1+EscalatorInLease)^(8+M84),IF(F84&lt;DATE(2026+8,5,1),IF(I84="Vacate",H84*D84*(1+GrowthMarketRent)^8*IF(INT((DATE(2026+8,10,31)-F84)/365.25)=0,(12-DowntimeNew)/12,1),IF(I84="Option",G84*D84*1.025*(1+EscalatorInLease)^8,IF(I84="Market",Retention*G84*D84*(1+EscalatorInLease)^(8+M84)+(1-Retention)*H84*D84*(1+GrowthMarketRent)^8*IF(INT((DATE(2026+8,10,31)-F84)/365.25)=0,(12-DowntimeNew)/12,1),IF(I84="LeaseUp",H84*D84*(1+GrowthMarketRent)^8*IF(8=0,(12-DowntimeNew)/12,1),0)))),((F84-DATE(2026+8,5,1))/365.25)*G84*D84*(1+EscalatorInLease)^(8+M84)+((DATE(2027+8,4,30)-F84)/365.25)*IF(I84="Vacate",H84*D84*(1+GrowthMarketRent)^8*IF(INT((DATE(2026+8,10,31)-F84)/365.25)=0,(12-DowntimeNew)/12,1),IF(I84="Option",G84*D84*1.025*(1+EscalatorInLease)^8,IF(I84="Market",Retention*G84*D84*(1+EscalatorInLease)^(8+M84)+(1-Retention)*H84*D84*(1+GrowthMarketRent)^8*IF(INT((DATE(2026+8,10,31)-F84)/365.25)=0,(12-DowntimeNew)/12,1),IF(I84="LeaseUp",H84*D84*(1+GrowthMarketRent)^8*IF(8=0,(12-DowntimeNew)/12,1),0)))))))),0)</f>
        <v/>
      </c>
      <c r="W84" s="14">
        <f>IFERROR(IF(I84="LeaseUp",H84*D84*(1+GrowthMarketRent)^9*IF(9=0,(12-DowntimeNew)/12,1),IF(F84="",0,IF(F84&gt;=DATE(2027+9,4,30),G84*D84*(1+EscalatorInLease)^(9+M84),IF(F84&lt;DATE(2026+9,5,1),IF(I84="Vacate",H84*D84*(1+GrowthMarketRent)^9*IF(INT((DATE(2026+9,10,31)-F84)/365.25)=0,(12-DowntimeNew)/12,1),IF(I84="Option",G84*D84*1.025*(1+EscalatorInLease)^9,IF(I84="Market",Retention*G84*D84*(1+EscalatorInLease)^(9+M84)+(1-Retention)*H84*D84*(1+GrowthMarketRent)^9*IF(INT((DATE(2026+9,10,31)-F84)/365.25)=0,(12-DowntimeNew)/12,1),IF(I84="LeaseUp",H84*D84*(1+GrowthMarketRent)^9*IF(9=0,(12-DowntimeNew)/12,1),0)))),((F84-DATE(2026+9,5,1))/365.25)*G84*D84*(1+EscalatorInLease)^(9+M84)+((DATE(2027+9,4,30)-F84)/365.25)*IF(I84="Vacate",H84*D84*(1+GrowthMarketRent)^9*IF(INT((DATE(2026+9,10,31)-F84)/365.25)=0,(12-DowntimeNew)/12,1),IF(I84="Option",G84*D84*1.025*(1+EscalatorInLease)^9,IF(I84="Market",Retention*G84*D84*(1+EscalatorInLease)^(9+M84)+(1-Retention)*H84*D84*(1+GrowthMarketRent)^9*IF(INT((DATE(2026+9,10,31)-F84)/365.25)=0,(12-DowntimeNew)/12,1),IF(I84="LeaseUp",H84*D84*(1+GrowthMarketRent)^9*IF(9=0,(12-DowntimeNew)/12,1),0)))))))),0)</f>
        <v/>
      </c>
      <c r="X84" s="14">
        <f>IFERROR(IF(I84="LeaseUp",H84*D84*(1+GrowthMarketRent)^10*IF(10=0,(12-DowntimeNew)/12,1),IF(F84="",0,IF(F84&gt;=DATE(2027+10,4,30),G84*D84*(1+EscalatorInLease)^(10+M84),IF(F84&lt;DATE(2026+10,5,1),IF(I84="Vacate",H84*D84*(1+GrowthMarketRent)^10*IF(INT((DATE(2026+10,10,31)-F84)/365.25)=0,(12-DowntimeNew)/12,1),IF(I84="Option",G84*D84*1.025*(1+EscalatorInLease)^10,IF(I84="Market",Retention*G84*D84*(1+EscalatorInLease)^(10+M84)+(1-Retention)*H84*D84*(1+GrowthMarketRent)^10*IF(INT((DATE(2026+10,10,31)-F84)/365.25)=0,(12-DowntimeNew)/12,1),IF(I84="LeaseUp",H84*D84*(1+GrowthMarketRent)^10*IF(10=0,(12-DowntimeNew)/12,1),0)))),((F84-DATE(2026+10,5,1))/365.25)*G84*D84*(1+EscalatorInLease)^(10+M84)+((DATE(2027+10,4,30)-F84)/365.25)*IF(I84="Vacate",H84*D84*(1+GrowthMarketRent)^10*IF(INT((DATE(2026+10,10,31)-F84)/365.25)=0,(12-DowntimeNew)/12,1),IF(I84="Option",G84*D84*1.025*(1+EscalatorInLease)^10,IF(I84="Market",Retention*G84*D84*(1+EscalatorInLease)^(10+M84)+(1-Retention)*H84*D84*(1+GrowthMarketRent)^10*IF(INT((DATE(2026+10,10,31)-F84)/365.25)=0,(12-DowntimeNew)/12,1),IF(I84="LeaseUp",H84*D84*(1+GrowthMarketRent)^10*IF(10=0,(12-DowntimeNew)/12,1),0)))))))),0)</f>
        <v/>
      </c>
      <c r="Y84" s="14">
        <f>IFERROR(IF(AND(I84="LeaseUp",0=0),(IF(I84="Vacate",TINew*D84,IF(I84="Market",Retention*TIRenewal*D84+(1-Retention)*TINew*D84,IF(I84="LeaseUp",TINew*D84,IF(I84="Option",TIRenewal*D84,0)))))+(IF(I84="Vacate",LCNew*H84*D84*(1+GrowthMarketRent)^0,IF(I84="Market",Retention*LCRenewal*H84*D84*(1+GrowthMarketRent)^0+(1-Retention)*LCNew*H84*D84*(1+GrowthMarketRent)^0,IF(I84="LeaseUp",LCNew*H84*D84*(1+GrowthMarketRent)^0,IF(I84="Option",LCRenewal*H84*D84*(1+GrowthMarketRent)^0,0))))),IF(F84="",0,IF(AND(F84&gt;=DATE(2026+0,5,1),F84&lt;=DATE(2027+0,4,30)),(IF(I84="Vacate",TINew*D84,IF(I84="Market",Retention*TIRenewal*D84+(1-Retention)*TINew*D84,IF(I84="LeaseUp",TINew*D84,IF(I84="Option",TIRenewal*D84,0)))))+(IF(I84="Vacate",LCNew*H84*D84*(1+GrowthMarketRent)^0,IF(I84="Market",Retention*LCRenewal*H84*D84*(1+GrowthMarketRent)^0+(1-Retention)*LCNew*H84*D84*(1+GrowthMarketRent)^0,IF(I84="LeaseUp",LCNew*H84*D84*(1+GrowthMarketRent)^0,IF(I84="Option",LCRenewal*H84*D84*(1+GrowthMarketRent)^0,0))))),0))),0)</f>
        <v/>
      </c>
      <c r="Z84" s="14">
        <f>IFERROR(IF(AND(I84="LeaseUp",1=0),(IF(I84="Vacate",TINew*D84,IF(I84="Market",Retention*TIRenewal*D84+(1-Retention)*TINew*D84,IF(I84="LeaseUp",TINew*D84,IF(I84="Option",TIRenewal*D84,0)))))+(IF(I84="Vacate",LCNew*H84*D84*(1+GrowthMarketRent)^1,IF(I84="Market",Retention*LCRenewal*H84*D84*(1+GrowthMarketRent)^1+(1-Retention)*LCNew*H84*D84*(1+GrowthMarketRent)^1,IF(I84="LeaseUp",LCNew*H84*D84*(1+GrowthMarketRent)^1,IF(I84="Option",LCRenewal*H84*D84*(1+GrowthMarketRent)^1,0))))),IF(F84="",0,IF(AND(F84&gt;=DATE(2026+1,5,1),F84&lt;=DATE(2027+1,4,30)),(IF(I84="Vacate",TINew*D84,IF(I84="Market",Retention*TIRenewal*D84+(1-Retention)*TINew*D84,IF(I84="LeaseUp",TINew*D84,IF(I84="Option",TIRenewal*D84,0)))))+(IF(I84="Vacate",LCNew*H84*D84*(1+GrowthMarketRent)^1,IF(I84="Market",Retention*LCRenewal*H84*D84*(1+GrowthMarketRent)^1+(1-Retention)*LCNew*H84*D84*(1+GrowthMarketRent)^1,IF(I84="LeaseUp",LCNew*H84*D84*(1+GrowthMarketRent)^1,IF(I84="Option",LCRenewal*H84*D84*(1+GrowthMarketRent)^1,0))))),0))),0)</f>
        <v/>
      </c>
      <c r="AA84" s="14">
        <f>IFERROR(IF(AND(I84="LeaseUp",2=0),(IF(I84="Vacate",TINew*D84,IF(I84="Market",Retention*TIRenewal*D84+(1-Retention)*TINew*D84,IF(I84="LeaseUp",TINew*D84,IF(I84="Option",TIRenewal*D84,0)))))+(IF(I84="Vacate",LCNew*H84*D84*(1+GrowthMarketRent)^2,IF(I84="Market",Retention*LCRenewal*H84*D84*(1+GrowthMarketRent)^2+(1-Retention)*LCNew*H84*D84*(1+GrowthMarketRent)^2,IF(I84="LeaseUp",LCNew*H84*D84*(1+GrowthMarketRent)^2,IF(I84="Option",LCRenewal*H84*D84*(1+GrowthMarketRent)^2,0))))),IF(F84="",0,IF(AND(F84&gt;=DATE(2026+2,5,1),F84&lt;=DATE(2027+2,4,30)),(IF(I84="Vacate",TINew*D84,IF(I84="Market",Retention*TIRenewal*D84+(1-Retention)*TINew*D84,IF(I84="LeaseUp",TINew*D84,IF(I84="Option",TIRenewal*D84,0)))))+(IF(I84="Vacate",LCNew*H84*D84*(1+GrowthMarketRent)^2,IF(I84="Market",Retention*LCRenewal*H84*D84*(1+GrowthMarketRent)^2+(1-Retention)*LCNew*H84*D84*(1+GrowthMarketRent)^2,IF(I84="LeaseUp",LCNew*H84*D84*(1+GrowthMarketRent)^2,IF(I84="Option",LCRenewal*H84*D84*(1+GrowthMarketRent)^2,0))))),0))),0)</f>
        <v/>
      </c>
      <c r="AB84" s="14">
        <f>IFERROR(IF(AND(I84="LeaseUp",3=0),(IF(I84="Vacate",TINew*D84,IF(I84="Market",Retention*TIRenewal*D84+(1-Retention)*TINew*D84,IF(I84="LeaseUp",TINew*D84,IF(I84="Option",TIRenewal*D84,0)))))+(IF(I84="Vacate",LCNew*H84*D84*(1+GrowthMarketRent)^3,IF(I84="Market",Retention*LCRenewal*H84*D84*(1+GrowthMarketRent)^3+(1-Retention)*LCNew*H84*D84*(1+GrowthMarketRent)^3,IF(I84="LeaseUp",LCNew*H84*D84*(1+GrowthMarketRent)^3,IF(I84="Option",LCRenewal*H84*D84*(1+GrowthMarketRent)^3,0))))),IF(F84="",0,IF(AND(F84&gt;=DATE(2026+3,5,1),F84&lt;=DATE(2027+3,4,30)),(IF(I84="Vacate",TINew*D84,IF(I84="Market",Retention*TIRenewal*D84+(1-Retention)*TINew*D84,IF(I84="LeaseUp",TINew*D84,IF(I84="Option",TIRenewal*D84,0)))))+(IF(I84="Vacate",LCNew*H84*D84*(1+GrowthMarketRent)^3,IF(I84="Market",Retention*LCRenewal*H84*D84*(1+GrowthMarketRent)^3+(1-Retention)*LCNew*H84*D84*(1+GrowthMarketRent)^3,IF(I84="LeaseUp",LCNew*H84*D84*(1+GrowthMarketRent)^3,IF(I84="Option",LCRenewal*H84*D84*(1+GrowthMarketRent)^3,0))))),0))),0)</f>
        <v/>
      </c>
      <c r="AC84" s="14">
        <f>IFERROR(IF(AND(I84="LeaseUp",4=0),(IF(I84="Vacate",TINew*D84,IF(I84="Market",Retention*TIRenewal*D84+(1-Retention)*TINew*D84,IF(I84="LeaseUp",TINew*D84,IF(I84="Option",TIRenewal*D84,0)))))+(IF(I84="Vacate",LCNew*H84*D84*(1+GrowthMarketRent)^4,IF(I84="Market",Retention*LCRenewal*H84*D84*(1+GrowthMarketRent)^4+(1-Retention)*LCNew*H84*D84*(1+GrowthMarketRent)^4,IF(I84="LeaseUp",LCNew*H84*D84*(1+GrowthMarketRent)^4,IF(I84="Option",LCRenewal*H84*D84*(1+GrowthMarketRent)^4,0))))),IF(F84="",0,IF(AND(F84&gt;=DATE(2026+4,5,1),F84&lt;=DATE(2027+4,4,30)),(IF(I84="Vacate",TINew*D84,IF(I84="Market",Retention*TIRenewal*D84+(1-Retention)*TINew*D84,IF(I84="LeaseUp",TINew*D84,IF(I84="Option",TIRenewal*D84,0)))))+(IF(I84="Vacate",LCNew*H84*D84*(1+GrowthMarketRent)^4,IF(I84="Market",Retention*LCRenewal*H84*D84*(1+GrowthMarketRent)^4+(1-Retention)*LCNew*H84*D84*(1+GrowthMarketRent)^4,IF(I84="LeaseUp",LCNew*H84*D84*(1+GrowthMarketRent)^4,IF(I84="Option",LCRenewal*H84*D84*(1+GrowthMarketRent)^4,0))))),0))),0)</f>
        <v/>
      </c>
      <c r="AD84" s="14">
        <f>IFERROR(IF(AND(I84="LeaseUp",5=0),(IF(I84="Vacate",TINew*D84,IF(I84="Market",Retention*TIRenewal*D84+(1-Retention)*TINew*D84,IF(I84="LeaseUp",TINew*D84,IF(I84="Option",TIRenewal*D84,0)))))+(IF(I84="Vacate",LCNew*H84*D84*(1+GrowthMarketRent)^5,IF(I84="Market",Retention*LCRenewal*H84*D84*(1+GrowthMarketRent)^5+(1-Retention)*LCNew*H84*D84*(1+GrowthMarketRent)^5,IF(I84="LeaseUp",LCNew*H84*D84*(1+GrowthMarketRent)^5,IF(I84="Option",LCRenewal*H84*D84*(1+GrowthMarketRent)^5,0))))),IF(F84="",0,IF(AND(F84&gt;=DATE(2026+5,5,1),F84&lt;=DATE(2027+5,4,30)),(IF(I84="Vacate",TINew*D84,IF(I84="Market",Retention*TIRenewal*D84+(1-Retention)*TINew*D84,IF(I84="LeaseUp",TINew*D84,IF(I84="Option",TIRenewal*D84,0)))))+(IF(I84="Vacate",LCNew*H84*D84*(1+GrowthMarketRent)^5,IF(I84="Market",Retention*LCRenewal*H84*D84*(1+GrowthMarketRent)^5+(1-Retention)*LCNew*H84*D84*(1+GrowthMarketRent)^5,IF(I84="LeaseUp",LCNew*H84*D84*(1+GrowthMarketRent)^5,IF(I84="Option",LCRenewal*H84*D84*(1+GrowthMarketRent)^5,0))))),0))),0)</f>
        <v/>
      </c>
      <c r="AE84" s="14">
        <f>IFERROR(IF(AND(I84="LeaseUp",6=0),(IF(I84="Vacate",TINew*D84,IF(I84="Market",Retention*TIRenewal*D84+(1-Retention)*TINew*D84,IF(I84="LeaseUp",TINew*D84,IF(I84="Option",TIRenewal*D84,0)))))+(IF(I84="Vacate",LCNew*H84*D84*(1+GrowthMarketRent)^6,IF(I84="Market",Retention*LCRenewal*H84*D84*(1+GrowthMarketRent)^6+(1-Retention)*LCNew*H84*D84*(1+GrowthMarketRent)^6,IF(I84="LeaseUp",LCNew*H84*D84*(1+GrowthMarketRent)^6,IF(I84="Option",LCRenewal*H84*D84*(1+GrowthMarketRent)^6,0))))),IF(F84="",0,IF(AND(F84&gt;=DATE(2026+6,5,1),F84&lt;=DATE(2027+6,4,30)),(IF(I84="Vacate",TINew*D84,IF(I84="Market",Retention*TIRenewal*D84+(1-Retention)*TINew*D84,IF(I84="LeaseUp",TINew*D84,IF(I84="Option",TIRenewal*D84,0)))))+(IF(I84="Vacate",LCNew*H84*D84*(1+GrowthMarketRent)^6,IF(I84="Market",Retention*LCRenewal*H84*D84*(1+GrowthMarketRent)^6+(1-Retention)*LCNew*H84*D84*(1+GrowthMarketRent)^6,IF(I84="LeaseUp",LCNew*H84*D84*(1+GrowthMarketRent)^6,IF(I84="Option",LCRenewal*H84*D84*(1+GrowthMarketRent)^6,0))))),0))),0)</f>
        <v/>
      </c>
      <c r="AF84" s="14">
        <f>IFERROR(IF(AND(I84="LeaseUp",7=0),(IF(I84="Vacate",TINew*D84,IF(I84="Market",Retention*TIRenewal*D84+(1-Retention)*TINew*D84,IF(I84="LeaseUp",TINew*D84,IF(I84="Option",TIRenewal*D84,0)))))+(IF(I84="Vacate",LCNew*H84*D84*(1+GrowthMarketRent)^7,IF(I84="Market",Retention*LCRenewal*H84*D84*(1+GrowthMarketRent)^7+(1-Retention)*LCNew*H84*D84*(1+GrowthMarketRent)^7,IF(I84="LeaseUp",LCNew*H84*D84*(1+GrowthMarketRent)^7,IF(I84="Option",LCRenewal*H84*D84*(1+GrowthMarketRent)^7,0))))),IF(F84="",0,IF(AND(F84&gt;=DATE(2026+7,5,1),F84&lt;=DATE(2027+7,4,30)),(IF(I84="Vacate",TINew*D84,IF(I84="Market",Retention*TIRenewal*D84+(1-Retention)*TINew*D84,IF(I84="LeaseUp",TINew*D84,IF(I84="Option",TIRenewal*D84,0)))))+(IF(I84="Vacate",LCNew*H84*D84*(1+GrowthMarketRent)^7,IF(I84="Market",Retention*LCRenewal*H84*D84*(1+GrowthMarketRent)^7+(1-Retention)*LCNew*H84*D84*(1+GrowthMarketRent)^7,IF(I84="LeaseUp",LCNew*H84*D84*(1+GrowthMarketRent)^7,IF(I84="Option",LCRenewal*H84*D84*(1+GrowthMarketRent)^7,0))))),0))),0)</f>
        <v/>
      </c>
      <c r="AG84" s="14">
        <f>IFERROR(IF(AND(I84="LeaseUp",8=0),(IF(I84="Vacate",TINew*D84,IF(I84="Market",Retention*TIRenewal*D84+(1-Retention)*TINew*D84,IF(I84="LeaseUp",TINew*D84,IF(I84="Option",TIRenewal*D84,0)))))+(IF(I84="Vacate",LCNew*H84*D84*(1+GrowthMarketRent)^8,IF(I84="Market",Retention*LCRenewal*H84*D84*(1+GrowthMarketRent)^8+(1-Retention)*LCNew*H84*D84*(1+GrowthMarketRent)^8,IF(I84="LeaseUp",LCNew*H84*D84*(1+GrowthMarketRent)^8,IF(I84="Option",LCRenewal*H84*D84*(1+GrowthMarketRent)^8,0))))),IF(F84="",0,IF(AND(F84&gt;=DATE(2026+8,5,1),F84&lt;=DATE(2027+8,4,30)),(IF(I84="Vacate",TINew*D84,IF(I84="Market",Retention*TIRenewal*D84+(1-Retention)*TINew*D84,IF(I84="LeaseUp",TINew*D84,IF(I84="Option",TIRenewal*D84,0)))))+(IF(I84="Vacate",LCNew*H84*D84*(1+GrowthMarketRent)^8,IF(I84="Market",Retention*LCRenewal*H84*D84*(1+GrowthMarketRent)^8+(1-Retention)*LCNew*H84*D84*(1+GrowthMarketRent)^8,IF(I84="LeaseUp",LCNew*H84*D84*(1+GrowthMarketRent)^8,IF(I84="Option",LCRenewal*H84*D84*(1+GrowthMarketRent)^8,0))))),0))),0)</f>
        <v/>
      </c>
      <c r="AH84" s="14">
        <f>IFERROR(IF(AND(I84="LeaseUp",9=0),(IF(I84="Vacate",TINew*D84,IF(I84="Market",Retention*TIRenewal*D84+(1-Retention)*TINew*D84,IF(I84="LeaseUp",TINew*D84,IF(I84="Option",TIRenewal*D84,0)))))+(IF(I84="Vacate",LCNew*H84*D84*(1+GrowthMarketRent)^9,IF(I84="Market",Retention*LCRenewal*H84*D84*(1+GrowthMarketRent)^9+(1-Retention)*LCNew*H84*D84*(1+GrowthMarketRent)^9,IF(I84="LeaseUp",LCNew*H84*D84*(1+GrowthMarketRent)^9,IF(I84="Option",LCRenewal*H84*D84*(1+GrowthMarketRent)^9,0))))),IF(F84="",0,IF(AND(F84&gt;=DATE(2026+9,5,1),F84&lt;=DATE(2027+9,4,30)),(IF(I84="Vacate",TINew*D84,IF(I84="Market",Retention*TIRenewal*D84+(1-Retention)*TINew*D84,IF(I84="LeaseUp",TINew*D84,IF(I84="Option",TIRenewal*D84,0)))))+(IF(I84="Vacate",LCNew*H84*D84*(1+GrowthMarketRent)^9,IF(I84="Market",Retention*LCRenewal*H84*D84*(1+GrowthMarketRent)^9+(1-Retention)*LCNew*H84*D84*(1+GrowthMarketRent)^9,IF(I84="LeaseUp",LCNew*H84*D84*(1+GrowthMarketRent)^9,IF(I84="Option",LCRenewal*H84*D84*(1+GrowthMarketRent)^9,0))))),0))),0)</f>
        <v/>
      </c>
      <c r="AI84" s="14">
        <f>IFERROR(IF(AND(I84="LeaseUp",10=0),(IF(I84="Vacate",TINew*D84,IF(I84="Market",Retention*TIRenewal*D84+(1-Retention)*TINew*D84,IF(I84="LeaseUp",TINew*D84,IF(I84="Option",TIRenewal*D84,0)))))+(IF(I84="Vacate",LCNew*H84*D84*(1+GrowthMarketRent)^10,IF(I84="Market",Retention*LCRenewal*H84*D84*(1+GrowthMarketRent)^10+(1-Retention)*LCNew*H84*D84*(1+GrowthMarketRent)^10,IF(I84="LeaseUp",LCNew*H84*D84*(1+GrowthMarketRent)^10,IF(I84="Option",LCRenewal*H84*D84*(1+GrowthMarketRent)^10,0))))),IF(F84="",0,IF(AND(F84&gt;=DATE(2026+10,5,1),F84&lt;=DATE(2027+10,4,30)),(IF(I84="Vacate",TINew*D84,IF(I84="Market",Retention*TIRenewal*D84+(1-Retention)*TINew*D84,IF(I84="LeaseUp",TINew*D84,IF(I84="Option",TIRenewal*D84,0)))))+(IF(I84="Vacate",LCNew*H84*D84*(1+GrowthMarketRent)^10,IF(I84="Market",Retention*LCRenewal*H84*D84*(1+GrowthMarketRent)^10+(1-Retention)*LCNew*H84*D84*(1+GrowthMarketRent)^10,IF(I84="LeaseUp",LCNew*H84*D84*(1+GrowthMarketRent)^10,IF(I84="Option",LCRenewal*H84*D84*(1+GrowthMarketRent)^10,0))))),0))),0)</f>
        <v/>
      </c>
    </row>
    <row r="85">
      <c r="A85" t="inlineStr">
        <is>
          <t>Mesquite</t>
        </is>
      </c>
      <c r="B85" t="inlineStr">
        <is>
          <t>205</t>
        </is>
      </c>
      <c r="C85" t="inlineStr">
        <is>
          <t>VACANT</t>
        </is>
      </c>
      <c r="D85" s="32" t="n">
        <v>1870</v>
      </c>
      <c r="G85" s="34" t="n">
        <v>0</v>
      </c>
      <c r="H85" s="16">
        <f>VLOOKUP(A85,MLA!$A$5:$L$11,3,FALSE)</f>
        <v/>
      </c>
      <c r="I85" s="11" t="inlineStr">
        <is>
          <t>LeaseUp</t>
        </is>
      </c>
      <c r="J85" t="inlineStr">
        <is>
          <t>Studio</t>
        </is>
      </c>
      <c r="K85" t="inlineStr">
        <is>
          <t>Vacant</t>
        </is>
      </c>
      <c r="L85" t="inlineStr">
        <is>
          <t>Studio; SPEC VACATE Voltiva LLC 12/25; future lease-up Dec-2026</t>
        </is>
      </c>
      <c r="M85" s="20">
        <f>IF(E85="",0,(AnalysisStart-E85)/365.25)</f>
        <v/>
      </c>
      <c r="N85" s="14">
        <f>IFERROR(IF(I85="LeaseUp",H85*D85*(1+GrowthMarketRent)^0*IF(0=0,(12-DowntimeNew)/12,1),IF(F85="",0,IF(F85&gt;=DATE(2027+0,4,30),G85*D85*(1+EscalatorInLease)^(0+M85),IF(F85&lt;DATE(2026+0,5,1),IF(I85="Vacate",H85*D85*(1+GrowthMarketRent)^0*IF(INT((DATE(2026+0,10,31)-F85)/365.25)=0,(12-DowntimeNew)/12,1),IF(I85="Option",G85*D85*1.025*(1+EscalatorInLease)^0,IF(I85="Market",Retention*G85*D85*(1+EscalatorInLease)^(0+M85)+(1-Retention)*H85*D85*(1+GrowthMarketRent)^0*IF(INT((DATE(2026+0,10,31)-F85)/365.25)=0,(12-DowntimeNew)/12,1),IF(I85="LeaseUp",H85*D85*(1+GrowthMarketRent)^0*IF(0=0,(12-DowntimeNew)/12,1),0)))),((F85-DATE(2026+0,5,1))/365.25)*G85*D85*(1+EscalatorInLease)^(0+M85)+((DATE(2027+0,4,30)-F85)/365.25)*IF(I85="Vacate",H85*D85*(1+GrowthMarketRent)^0*IF(INT((DATE(2026+0,10,31)-F85)/365.25)=0,(12-DowntimeNew)/12,1),IF(I85="Option",G85*D85*1.025*(1+EscalatorInLease)^0,IF(I85="Market",Retention*G85*D85*(1+EscalatorInLease)^(0+M85)+(1-Retention)*H85*D85*(1+GrowthMarketRent)^0*IF(INT((DATE(2026+0,10,31)-F85)/365.25)=0,(12-DowntimeNew)/12,1),IF(I85="LeaseUp",H85*D85*(1+GrowthMarketRent)^0*IF(0=0,(12-DowntimeNew)/12,1),0)))))))),0)</f>
        <v/>
      </c>
      <c r="O85" s="14">
        <f>IFERROR(IF(I85="LeaseUp",H85*D85*(1+GrowthMarketRent)^1*IF(1=0,(12-DowntimeNew)/12,1),IF(F85="",0,IF(F85&gt;=DATE(2027+1,4,30),G85*D85*(1+EscalatorInLease)^(1+M85),IF(F85&lt;DATE(2026+1,5,1),IF(I85="Vacate",H85*D85*(1+GrowthMarketRent)^1*IF(INT((DATE(2026+1,10,31)-F85)/365.25)=0,(12-DowntimeNew)/12,1),IF(I85="Option",G85*D85*1.025*(1+EscalatorInLease)^1,IF(I85="Market",Retention*G85*D85*(1+EscalatorInLease)^(1+M85)+(1-Retention)*H85*D85*(1+GrowthMarketRent)^1*IF(INT((DATE(2026+1,10,31)-F85)/365.25)=0,(12-DowntimeNew)/12,1),IF(I85="LeaseUp",H85*D85*(1+GrowthMarketRent)^1*IF(1=0,(12-DowntimeNew)/12,1),0)))),((F85-DATE(2026+1,5,1))/365.25)*G85*D85*(1+EscalatorInLease)^(1+M85)+((DATE(2027+1,4,30)-F85)/365.25)*IF(I85="Vacate",H85*D85*(1+GrowthMarketRent)^1*IF(INT((DATE(2026+1,10,31)-F85)/365.25)=0,(12-DowntimeNew)/12,1),IF(I85="Option",G85*D85*1.025*(1+EscalatorInLease)^1,IF(I85="Market",Retention*G85*D85*(1+EscalatorInLease)^(1+M85)+(1-Retention)*H85*D85*(1+GrowthMarketRent)^1*IF(INT((DATE(2026+1,10,31)-F85)/365.25)=0,(12-DowntimeNew)/12,1),IF(I85="LeaseUp",H85*D85*(1+GrowthMarketRent)^1*IF(1=0,(12-DowntimeNew)/12,1),0)))))))),0)</f>
        <v/>
      </c>
      <c r="P85" s="14">
        <f>IFERROR(IF(I85="LeaseUp",H85*D85*(1+GrowthMarketRent)^2*IF(2=0,(12-DowntimeNew)/12,1),IF(F85="",0,IF(F85&gt;=DATE(2027+2,4,30),G85*D85*(1+EscalatorInLease)^(2+M85),IF(F85&lt;DATE(2026+2,5,1),IF(I85="Vacate",H85*D85*(1+GrowthMarketRent)^2*IF(INT((DATE(2026+2,10,31)-F85)/365.25)=0,(12-DowntimeNew)/12,1),IF(I85="Option",G85*D85*1.025*(1+EscalatorInLease)^2,IF(I85="Market",Retention*G85*D85*(1+EscalatorInLease)^(2+M85)+(1-Retention)*H85*D85*(1+GrowthMarketRent)^2*IF(INT((DATE(2026+2,10,31)-F85)/365.25)=0,(12-DowntimeNew)/12,1),IF(I85="LeaseUp",H85*D85*(1+GrowthMarketRent)^2*IF(2=0,(12-DowntimeNew)/12,1),0)))),((F85-DATE(2026+2,5,1))/365.25)*G85*D85*(1+EscalatorInLease)^(2+M85)+((DATE(2027+2,4,30)-F85)/365.25)*IF(I85="Vacate",H85*D85*(1+GrowthMarketRent)^2*IF(INT((DATE(2026+2,10,31)-F85)/365.25)=0,(12-DowntimeNew)/12,1),IF(I85="Option",G85*D85*1.025*(1+EscalatorInLease)^2,IF(I85="Market",Retention*G85*D85*(1+EscalatorInLease)^(2+M85)+(1-Retention)*H85*D85*(1+GrowthMarketRent)^2*IF(INT((DATE(2026+2,10,31)-F85)/365.25)=0,(12-DowntimeNew)/12,1),IF(I85="LeaseUp",H85*D85*(1+GrowthMarketRent)^2*IF(2=0,(12-DowntimeNew)/12,1),0)))))))),0)</f>
        <v/>
      </c>
      <c r="Q85" s="14">
        <f>IFERROR(IF(I85="LeaseUp",H85*D85*(1+GrowthMarketRent)^3*IF(3=0,(12-DowntimeNew)/12,1),IF(F85="",0,IF(F85&gt;=DATE(2027+3,4,30),G85*D85*(1+EscalatorInLease)^(3+M85),IF(F85&lt;DATE(2026+3,5,1),IF(I85="Vacate",H85*D85*(1+GrowthMarketRent)^3*IF(INT((DATE(2026+3,10,31)-F85)/365.25)=0,(12-DowntimeNew)/12,1),IF(I85="Option",G85*D85*1.025*(1+EscalatorInLease)^3,IF(I85="Market",Retention*G85*D85*(1+EscalatorInLease)^(3+M85)+(1-Retention)*H85*D85*(1+GrowthMarketRent)^3*IF(INT((DATE(2026+3,10,31)-F85)/365.25)=0,(12-DowntimeNew)/12,1),IF(I85="LeaseUp",H85*D85*(1+GrowthMarketRent)^3*IF(3=0,(12-DowntimeNew)/12,1),0)))),((F85-DATE(2026+3,5,1))/365.25)*G85*D85*(1+EscalatorInLease)^(3+M85)+((DATE(2027+3,4,30)-F85)/365.25)*IF(I85="Vacate",H85*D85*(1+GrowthMarketRent)^3*IF(INT((DATE(2026+3,10,31)-F85)/365.25)=0,(12-DowntimeNew)/12,1),IF(I85="Option",G85*D85*1.025*(1+EscalatorInLease)^3,IF(I85="Market",Retention*G85*D85*(1+EscalatorInLease)^(3+M85)+(1-Retention)*H85*D85*(1+GrowthMarketRent)^3*IF(INT((DATE(2026+3,10,31)-F85)/365.25)=0,(12-DowntimeNew)/12,1),IF(I85="LeaseUp",H85*D85*(1+GrowthMarketRent)^3*IF(3=0,(12-DowntimeNew)/12,1),0)))))))),0)</f>
        <v/>
      </c>
      <c r="R85" s="14">
        <f>IFERROR(IF(I85="LeaseUp",H85*D85*(1+GrowthMarketRent)^4*IF(4=0,(12-DowntimeNew)/12,1),IF(F85="",0,IF(F85&gt;=DATE(2027+4,4,30),G85*D85*(1+EscalatorInLease)^(4+M85),IF(F85&lt;DATE(2026+4,5,1),IF(I85="Vacate",H85*D85*(1+GrowthMarketRent)^4*IF(INT((DATE(2026+4,10,31)-F85)/365.25)=0,(12-DowntimeNew)/12,1),IF(I85="Option",G85*D85*1.025*(1+EscalatorInLease)^4,IF(I85="Market",Retention*G85*D85*(1+EscalatorInLease)^(4+M85)+(1-Retention)*H85*D85*(1+GrowthMarketRent)^4*IF(INT((DATE(2026+4,10,31)-F85)/365.25)=0,(12-DowntimeNew)/12,1),IF(I85="LeaseUp",H85*D85*(1+GrowthMarketRent)^4*IF(4=0,(12-DowntimeNew)/12,1),0)))),((F85-DATE(2026+4,5,1))/365.25)*G85*D85*(1+EscalatorInLease)^(4+M85)+((DATE(2027+4,4,30)-F85)/365.25)*IF(I85="Vacate",H85*D85*(1+GrowthMarketRent)^4*IF(INT((DATE(2026+4,10,31)-F85)/365.25)=0,(12-DowntimeNew)/12,1),IF(I85="Option",G85*D85*1.025*(1+EscalatorInLease)^4,IF(I85="Market",Retention*G85*D85*(1+EscalatorInLease)^(4+M85)+(1-Retention)*H85*D85*(1+GrowthMarketRent)^4*IF(INT((DATE(2026+4,10,31)-F85)/365.25)=0,(12-DowntimeNew)/12,1),IF(I85="LeaseUp",H85*D85*(1+GrowthMarketRent)^4*IF(4=0,(12-DowntimeNew)/12,1),0)))))))),0)</f>
        <v/>
      </c>
      <c r="S85" s="14">
        <f>IFERROR(IF(I85="LeaseUp",H85*D85*(1+GrowthMarketRent)^5*IF(5=0,(12-DowntimeNew)/12,1),IF(F85="",0,IF(F85&gt;=DATE(2027+5,4,30),G85*D85*(1+EscalatorInLease)^(5+M85),IF(F85&lt;DATE(2026+5,5,1),IF(I85="Vacate",H85*D85*(1+GrowthMarketRent)^5*IF(INT((DATE(2026+5,10,31)-F85)/365.25)=0,(12-DowntimeNew)/12,1),IF(I85="Option",G85*D85*1.025*(1+EscalatorInLease)^5,IF(I85="Market",Retention*G85*D85*(1+EscalatorInLease)^(5+M85)+(1-Retention)*H85*D85*(1+GrowthMarketRent)^5*IF(INT((DATE(2026+5,10,31)-F85)/365.25)=0,(12-DowntimeNew)/12,1),IF(I85="LeaseUp",H85*D85*(1+GrowthMarketRent)^5*IF(5=0,(12-DowntimeNew)/12,1),0)))),((F85-DATE(2026+5,5,1))/365.25)*G85*D85*(1+EscalatorInLease)^(5+M85)+((DATE(2027+5,4,30)-F85)/365.25)*IF(I85="Vacate",H85*D85*(1+GrowthMarketRent)^5*IF(INT((DATE(2026+5,10,31)-F85)/365.25)=0,(12-DowntimeNew)/12,1),IF(I85="Option",G85*D85*1.025*(1+EscalatorInLease)^5,IF(I85="Market",Retention*G85*D85*(1+EscalatorInLease)^(5+M85)+(1-Retention)*H85*D85*(1+GrowthMarketRent)^5*IF(INT((DATE(2026+5,10,31)-F85)/365.25)=0,(12-DowntimeNew)/12,1),IF(I85="LeaseUp",H85*D85*(1+GrowthMarketRent)^5*IF(5=0,(12-DowntimeNew)/12,1),0)))))))),0)</f>
        <v/>
      </c>
      <c r="T85" s="14">
        <f>IFERROR(IF(I85="LeaseUp",H85*D85*(1+GrowthMarketRent)^6*IF(6=0,(12-DowntimeNew)/12,1),IF(F85="",0,IF(F85&gt;=DATE(2027+6,4,30),G85*D85*(1+EscalatorInLease)^(6+M85),IF(F85&lt;DATE(2026+6,5,1),IF(I85="Vacate",H85*D85*(1+GrowthMarketRent)^6*IF(INT((DATE(2026+6,10,31)-F85)/365.25)=0,(12-DowntimeNew)/12,1),IF(I85="Option",G85*D85*1.025*(1+EscalatorInLease)^6,IF(I85="Market",Retention*G85*D85*(1+EscalatorInLease)^(6+M85)+(1-Retention)*H85*D85*(1+GrowthMarketRent)^6*IF(INT((DATE(2026+6,10,31)-F85)/365.25)=0,(12-DowntimeNew)/12,1),IF(I85="LeaseUp",H85*D85*(1+GrowthMarketRent)^6*IF(6=0,(12-DowntimeNew)/12,1),0)))),((F85-DATE(2026+6,5,1))/365.25)*G85*D85*(1+EscalatorInLease)^(6+M85)+((DATE(2027+6,4,30)-F85)/365.25)*IF(I85="Vacate",H85*D85*(1+GrowthMarketRent)^6*IF(INT((DATE(2026+6,10,31)-F85)/365.25)=0,(12-DowntimeNew)/12,1),IF(I85="Option",G85*D85*1.025*(1+EscalatorInLease)^6,IF(I85="Market",Retention*G85*D85*(1+EscalatorInLease)^(6+M85)+(1-Retention)*H85*D85*(1+GrowthMarketRent)^6*IF(INT((DATE(2026+6,10,31)-F85)/365.25)=0,(12-DowntimeNew)/12,1),IF(I85="LeaseUp",H85*D85*(1+GrowthMarketRent)^6*IF(6=0,(12-DowntimeNew)/12,1),0)))))))),0)</f>
        <v/>
      </c>
      <c r="U85" s="14">
        <f>IFERROR(IF(I85="LeaseUp",H85*D85*(1+GrowthMarketRent)^7*IF(7=0,(12-DowntimeNew)/12,1),IF(F85="",0,IF(F85&gt;=DATE(2027+7,4,30),G85*D85*(1+EscalatorInLease)^(7+M85),IF(F85&lt;DATE(2026+7,5,1),IF(I85="Vacate",H85*D85*(1+GrowthMarketRent)^7*IF(INT((DATE(2026+7,10,31)-F85)/365.25)=0,(12-DowntimeNew)/12,1),IF(I85="Option",G85*D85*1.025*(1+EscalatorInLease)^7,IF(I85="Market",Retention*G85*D85*(1+EscalatorInLease)^(7+M85)+(1-Retention)*H85*D85*(1+GrowthMarketRent)^7*IF(INT((DATE(2026+7,10,31)-F85)/365.25)=0,(12-DowntimeNew)/12,1),IF(I85="LeaseUp",H85*D85*(1+GrowthMarketRent)^7*IF(7=0,(12-DowntimeNew)/12,1),0)))),((F85-DATE(2026+7,5,1))/365.25)*G85*D85*(1+EscalatorInLease)^(7+M85)+((DATE(2027+7,4,30)-F85)/365.25)*IF(I85="Vacate",H85*D85*(1+GrowthMarketRent)^7*IF(INT((DATE(2026+7,10,31)-F85)/365.25)=0,(12-DowntimeNew)/12,1),IF(I85="Option",G85*D85*1.025*(1+EscalatorInLease)^7,IF(I85="Market",Retention*G85*D85*(1+EscalatorInLease)^(7+M85)+(1-Retention)*H85*D85*(1+GrowthMarketRent)^7*IF(INT((DATE(2026+7,10,31)-F85)/365.25)=0,(12-DowntimeNew)/12,1),IF(I85="LeaseUp",H85*D85*(1+GrowthMarketRent)^7*IF(7=0,(12-DowntimeNew)/12,1),0)))))))),0)</f>
        <v/>
      </c>
      <c r="V85" s="14">
        <f>IFERROR(IF(I85="LeaseUp",H85*D85*(1+GrowthMarketRent)^8*IF(8=0,(12-DowntimeNew)/12,1),IF(F85="",0,IF(F85&gt;=DATE(2027+8,4,30),G85*D85*(1+EscalatorInLease)^(8+M85),IF(F85&lt;DATE(2026+8,5,1),IF(I85="Vacate",H85*D85*(1+GrowthMarketRent)^8*IF(INT((DATE(2026+8,10,31)-F85)/365.25)=0,(12-DowntimeNew)/12,1),IF(I85="Option",G85*D85*1.025*(1+EscalatorInLease)^8,IF(I85="Market",Retention*G85*D85*(1+EscalatorInLease)^(8+M85)+(1-Retention)*H85*D85*(1+GrowthMarketRent)^8*IF(INT((DATE(2026+8,10,31)-F85)/365.25)=0,(12-DowntimeNew)/12,1),IF(I85="LeaseUp",H85*D85*(1+GrowthMarketRent)^8*IF(8=0,(12-DowntimeNew)/12,1),0)))),((F85-DATE(2026+8,5,1))/365.25)*G85*D85*(1+EscalatorInLease)^(8+M85)+((DATE(2027+8,4,30)-F85)/365.25)*IF(I85="Vacate",H85*D85*(1+GrowthMarketRent)^8*IF(INT((DATE(2026+8,10,31)-F85)/365.25)=0,(12-DowntimeNew)/12,1),IF(I85="Option",G85*D85*1.025*(1+EscalatorInLease)^8,IF(I85="Market",Retention*G85*D85*(1+EscalatorInLease)^(8+M85)+(1-Retention)*H85*D85*(1+GrowthMarketRent)^8*IF(INT((DATE(2026+8,10,31)-F85)/365.25)=0,(12-DowntimeNew)/12,1),IF(I85="LeaseUp",H85*D85*(1+GrowthMarketRent)^8*IF(8=0,(12-DowntimeNew)/12,1),0)))))))),0)</f>
        <v/>
      </c>
      <c r="W85" s="14">
        <f>IFERROR(IF(I85="LeaseUp",H85*D85*(1+GrowthMarketRent)^9*IF(9=0,(12-DowntimeNew)/12,1),IF(F85="",0,IF(F85&gt;=DATE(2027+9,4,30),G85*D85*(1+EscalatorInLease)^(9+M85),IF(F85&lt;DATE(2026+9,5,1),IF(I85="Vacate",H85*D85*(1+GrowthMarketRent)^9*IF(INT((DATE(2026+9,10,31)-F85)/365.25)=0,(12-DowntimeNew)/12,1),IF(I85="Option",G85*D85*1.025*(1+EscalatorInLease)^9,IF(I85="Market",Retention*G85*D85*(1+EscalatorInLease)^(9+M85)+(1-Retention)*H85*D85*(1+GrowthMarketRent)^9*IF(INT((DATE(2026+9,10,31)-F85)/365.25)=0,(12-DowntimeNew)/12,1),IF(I85="LeaseUp",H85*D85*(1+GrowthMarketRent)^9*IF(9=0,(12-DowntimeNew)/12,1),0)))),((F85-DATE(2026+9,5,1))/365.25)*G85*D85*(1+EscalatorInLease)^(9+M85)+((DATE(2027+9,4,30)-F85)/365.25)*IF(I85="Vacate",H85*D85*(1+GrowthMarketRent)^9*IF(INT((DATE(2026+9,10,31)-F85)/365.25)=0,(12-DowntimeNew)/12,1),IF(I85="Option",G85*D85*1.025*(1+EscalatorInLease)^9,IF(I85="Market",Retention*G85*D85*(1+EscalatorInLease)^(9+M85)+(1-Retention)*H85*D85*(1+GrowthMarketRent)^9*IF(INT((DATE(2026+9,10,31)-F85)/365.25)=0,(12-DowntimeNew)/12,1),IF(I85="LeaseUp",H85*D85*(1+GrowthMarketRent)^9*IF(9=0,(12-DowntimeNew)/12,1),0)))))))),0)</f>
        <v/>
      </c>
      <c r="X85" s="14">
        <f>IFERROR(IF(I85="LeaseUp",H85*D85*(1+GrowthMarketRent)^10*IF(10=0,(12-DowntimeNew)/12,1),IF(F85="",0,IF(F85&gt;=DATE(2027+10,4,30),G85*D85*(1+EscalatorInLease)^(10+M85),IF(F85&lt;DATE(2026+10,5,1),IF(I85="Vacate",H85*D85*(1+GrowthMarketRent)^10*IF(INT((DATE(2026+10,10,31)-F85)/365.25)=0,(12-DowntimeNew)/12,1),IF(I85="Option",G85*D85*1.025*(1+EscalatorInLease)^10,IF(I85="Market",Retention*G85*D85*(1+EscalatorInLease)^(10+M85)+(1-Retention)*H85*D85*(1+GrowthMarketRent)^10*IF(INT((DATE(2026+10,10,31)-F85)/365.25)=0,(12-DowntimeNew)/12,1),IF(I85="LeaseUp",H85*D85*(1+GrowthMarketRent)^10*IF(10=0,(12-DowntimeNew)/12,1),0)))),((F85-DATE(2026+10,5,1))/365.25)*G85*D85*(1+EscalatorInLease)^(10+M85)+((DATE(2027+10,4,30)-F85)/365.25)*IF(I85="Vacate",H85*D85*(1+GrowthMarketRent)^10*IF(INT((DATE(2026+10,10,31)-F85)/365.25)=0,(12-DowntimeNew)/12,1),IF(I85="Option",G85*D85*1.025*(1+EscalatorInLease)^10,IF(I85="Market",Retention*G85*D85*(1+EscalatorInLease)^(10+M85)+(1-Retention)*H85*D85*(1+GrowthMarketRent)^10*IF(INT((DATE(2026+10,10,31)-F85)/365.25)=0,(12-DowntimeNew)/12,1),IF(I85="LeaseUp",H85*D85*(1+GrowthMarketRent)^10*IF(10=0,(12-DowntimeNew)/12,1),0)))))))),0)</f>
        <v/>
      </c>
      <c r="Y85" s="14">
        <f>IFERROR(IF(AND(I85="LeaseUp",0=0),(IF(I85="Vacate",TINew*D85,IF(I85="Market",Retention*TIRenewal*D85+(1-Retention)*TINew*D85,IF(I85="LeaseUp",TINew*D85,IF(I85="Option",TIRenewal*D85,0)))))+(IF(I85="Vacate",LCNew*H85*D85*(1+GrowthMarketRent)^0,IF(I85="Market",Retention*LCRenewal*H85*D85*(1+GrowthMarketRent)^0+(1-Retention)*LCNew*H85*D85*(1+GrowthMarketRent)^0,IF(I85="LeaseUp",LCNew*H85*D85*(1+GrowthMarketRent)^0,IF(I85="Option",LCRenewal*H85*D85*(1+GrowthMarketRent)^0,0))))),IF(F85="",0,IF(AND(F85&gt;=DATE(2026+0,5,1),F85&lt;=DATE(2027+0,4,30)),(IF(I85="Vacate",TINew*D85,IF(I85="Market",Retention*TIRenewal*D85+(1-Retention)*TINew*D85,IF(I85="LeaseUp",TINew*D85,IF(I85="Option",TIRenewal*D85,0)))))+(IF(I85="Vacate",LCNew*H85*D85*(1+GrowthMarketRent)^0,IF(I85="Market",Retention*LCRenewal*H85*D85*(1+GrowthMarketRent)^0+(1-Retention)*LCNew*H85*D85*(1+GrowthMarketRent)^0,IF(I85="LeaseUp",LCNew*H85*D85*(1+GrowthMarketRent)^0,IF(I85="Option",LCRenewal*H85*D85*(1+GrowthMarketRent)^0,0))))),0))),0)</f>
        <v/>
      </c>
      <c r="Z85" s="14">
        <f>IFERROR(IF(AND(I85="LeaseUp",1=0),(IF(I85="Vacate",TINew*D85,IF(I85="Market",Retention*TIRenewal*D85+(1-Retention)*TINew*D85,IF(I85="LeaseUp",TINew*D85,IF(I85="Option",TIRenewal*D85,0)))))+(IF(I85="Vacate",LCNew*H85*D85*(1+GrowthMarketRent)^1,IF(I85="Market",Retention*LCRenewal*H85*D85*(1+GrowthMarketRent)^1+(1-Retention)*LCNew*H85*D85*(1+GrowthMarketRent)^1,IF(I85="LeaseUp",LCNew*H85*D85*(1+GrowthMarketRent)^1,IF(I85="Option",LCRenewal*H85*D85*(1+GrowthMarketRent)^1,0))))),IF(F85="",0,IF(AND(F85&gt;=DATE(2026+1,5,1),F85&lt;=DATE(2027+1,4,30)),(IF(I85="Vacate",TINew*D85,IF(I85="Market",Retention*TIRenewal*D85+(1-Retention)*TINew*D85,IF(I85="LeaseUp",TINew*D85,IF(I85="Option",TIRenewal*D85,0)))))+(IF(I85="Vacate",LCNew*H85*D85*(1+GrowthMarketRent)^1,IF(I85="Market",Retention*LCRenewal*H85*D85*(1+GrowthMarketRent)^1+(1-Retention)*LCNew*H85*D85*(1+GrowthMarketRent)^1,IF(I85="LeaseUp",LCNew*H85*D85*(1+GrowthMarketRent)^1,IF(I85="Option",LCRenewal*H85*D85*(1+GrowthMarketRent)^1,0))))),0))),0)</f>
        <v/>
      </c>
      <c r="AA85" s="14">
        <f>IFERROR(IF(AND(I85="LeaseUp",2=0),(IF(I85="Vacate",TINew*D85,IF(I85="Market",Retention*TIRenewal*D85+(1-Retention)*TINew*D85,IF(I85="LeaseUp",TINew*D85,IF(I85="Option",TIRenewal*D85,0)))))+(IF(I85="Vacate",LCNew*H85*D85*(1+GrowthMarketRent)^2,IF(I85="Market",Retention*LCRenewal*H85*D85*(1+GrowthMarketRent)^2+(1-Retention)*LCNew*H85*D85*(1+GrowthMarketRent)^2,IF(I85="LeaseUp",LCNew*H85*D85*(1+GrowthMarketRent)^2,IF(I85="Option",LCRenewal*H85*D85*(1+GrowthMarketRent)^2,0))))),IF(F85="",0,IF(AND(F85&gt;=DATE(2026+2,5,1),F85&lt;=DATE(2027+2,4,30)),(IF(I85="Vacate",TINew*D85,IF(I85="Market",Retention*TIRenewal*D85+(1-Retention)*TINew*D85,IF(I85="LeaseUp",TINew*D85,IF(I85="Option",TIRenewal*D85,0)))))+(IF(I85="Vacate",LCNew*H85*D85*(1+GrowthMarketRent)^2,IF(I85="Market",Retention*LCRenewal*H85*D85*(1+GrowthMarketRent)^2+(1-Retention)*LCNew*H85*D85*(1+GrowthMarketRent)^2,IF(I85="LeaseUp",LCNew*H85*D85*(1+GrowthMarketRent)^2,IF(I85="Option",LCRenewal*H85*D85*(1+GrowthMarketRent)^2,0))))),0))),0)</f>
        <v/>
      </c>
      <c r="AB85" s="14">
        <f>IFERROR(IF(AND(I85="LeaseUp",3=0),(IF(I85="Vacate",TINew*D85,IF(I85="Market",Retention*TIRenewal*D85+(1-Retention)*TINew*D85,IF(I85="LeaseUp",TINew*D85,IF(I85="Option",TIRenewal*D85,0)))))+(IF(I85="Vacate",LCNew*H85*D85*(1+GrowthMarketRent)^3,IF(I85="Market",Retention*LCRenewal*H85*D85*(1+GrowthMarketRent)^3+(1-Retention)*LCNew*H85*D85*(1+GrowthMarketRent)^3,IF(I85="LeaseUp",LCNew*H85*D85*(1+GrowthMarketRent)^3,IF(I85="Option",LCRenewal*H85*D85*(1+GrowthMarketRent)^3,0))))),IF(F85="",0,IF(AND(F85&gt;=DATE(2026+3,5,1),F85&lt;=DATE(2027+3,4,30)),(IF(I85="Vacate",TINew*D85,IF(I85="Market",Retention*TIRenewal*D85+(1-Retention)*TINew*D85,IF(I85="LeaseUp",TINew*D85,IF(I85="Option",TIRenewal*D85,0)))))+(IF(I85="Vacate",LCNew*H85*D85*(1+GrowthMarketRent)^3,IF(I85="Market",Retention*LCRenewal*H85*D85*(1+GrowthMarketRent)^3+(1-Retention)*LCNew*H85*D85*(1+GrowthMarketRent)^3,IF(I85="LeaseUp",LCNew*H85*D85*(1+GrowthMarketRent)^3,IF(I85="Option",LCRenewal*H85*D85*(1+GrowthMarketRent)^3,0))))),0))),0)</f>
        <v/>
      </c>
      <c r="AC85" s="14">
        <f>IFERROR(IF(AND(I85="LeaseUp",4=0),(IF(I85="Vacate",TINew*D85,IF(I85="Market",Retention*TIRenewal*D85+(1-Retention)*TINew*D85,IF(I85="LeaseUp",TINew*D85,IF(I85="Option",TIRenewal*D85,0)))))+(IF(I85="Vacate",LCNew*H85*D85*(1+GrowthMarketRent)^4,IF(I85="Market",Retention*LCRenewal*H85*D85*(1+GrowthMarketRent)^4+(1-Retention)*LCNew*H85*D85*(1+GrowthMarketRent)^4,IF(I85="LeaseUp",LCNew*H85*D85*(1+GrowthMarketRent)^4,IF(I85="Option",LCRenewal*H85*D85*(1+GrowthMarketRent)^4,0))))),IF(F85="",0,IF(AND(F85&gt;=DATE(2026+4,5,1),F85&lt;=DATE(2027+4,4,30)),(IF(I85="Vacate",TINew*D85,IF(I85="Market",Retention*TIRenewal*D85+(1-Retention)*TINew*D85,IF(I85="LeaseUp",TINew*D85,IF(I85="Option",TIRenewal*D85,0)))))+(IF(I85="Vacate",LCNew*H85*D85*(1+GrowthMarketRent)^4,IF(I85="Market",Retention*LCRenewal*H85*D85*(1+GrowthMarketRent)^4+(1-Retention)*LCNew*H85*D85*(1+GrowthMarketRent)^4,IF(I85="LeaseUp",LCNew*H85*D85*(1+GrowthMarketRent)^4,IF(I85="Option",LCRenewal*H85*D85*(1+GrowthMarketRent)^4,0))))),0))),0)</f>
        <v/>
      </c>
      <c r="AD85" s="14">
        <f>IFERROR(IF(AND(I85="LeaseUp",5=0),(IF(I85="Vacate",TINew*D85,IF(I85="Market",Retention*TIRenewal*D85+(1-Retention)*TINew*D85,IF(I85="LeaseUp",TINew*D85,IF(I85="Option",TIRenewal*D85,0)))))+(IF(I85="Vacate",LCNew*H85*D85*(1+GrowthMarketRent)^5,IF(I85="Market",Retention*LCRenewal*H85*D85*(1+GrowthMarketRent)^5+(1-Retention)*LCNew*H85*D85*(1+GrowthMarketRent)^5,IF(I85="LeaseUp",LCNew*H85*D85*(1+GrowthMarketRent)^5,IF(I85="Option",LCRenewal*H85*D85*(1+GrowthMarketRent)^5,0))))),IF(F85="",0,IF(AND(F85&gt;=DATE(2026+5,5,1),F85&lt;=DATE(2027+5,4,30)),(IF(I85="Vacate",TINew*D85,IF(I85="Market",Retention*TIRenewal*D85+(1-Retention)*TINew*D85,IF(I85="LeaseUp",TINew*D85,IF(I85="Option",TIRenewal*D85,0)))))+(IF(I85="Vacate",LCNew*H85*D85*(1+GrowthMarketRent)^5,IF(I85="Market",Retention*LCRenewal*H85*D85*(1+GrowthMarketRent)^5+(1-Retention)*LCNew*H85*D85*(1+GrowthMarketRent)^5,IF(I85="LeaseUp",LCNew*H85*D85*(1+GrowthMarketRent)^5,IF(I85="Option",LCRenewal*H85*D85*(1+GrowthMarketRent)^5,0))))),0))),0)</f>
        <v/>
      </c>
      <c r="AE85" s="14">
        <f>IFERROR(IF(AND(I85="LeaseUp",6=0),(IF(I85="Vacate",TINew*D85,IF(I85="Market",Retention*TIRenewal*D85+(1-Retention)*TINew*D85,IF(I85="LeaseUp",TINew*D85,IF(I85="Option",TIRenewal*D85,0)))))+(IF(I85="Vacate",LCNew*H85*D85*(1+GrowthMarketRent)^6,IF(I85="Market",Retention*LCRenewal*H85*D85*(1+GrowthMarketRent)^6+(1-Retention)*LCNew*H85*D85*(1+GrowthMarketRent)^6,IF(I85="LeaseUp",LCNew*H85*D85*(1+GrowthMarketRent)^6,IF(I85="Option",LCRenewal*H85*D85*(1+GrowthMarketRent)^6,0))))),IF(F85="",0,IF(AND(F85&gt;=DATE(2026+6,5,1),F85&lt;=DATE(2027+6,4,30)),(IF(I85="Vacate",TINew*D85,IF(I85="Market",Retention*TIRenewal*D85+(1-Retention)*TINew*D85,IF(I85="LeaseUp",TINew*D85,IF(I85="Option",TIRenewal*D85,0)))))+(IF(I85="Vacate",LCNew*H85*D85*(1+GrowthMarketRent)^6,IF(I85="Market",Retention*LCRenewal*H85*D85*(1+GrowthMarketRent)^6+(1-Retention)*LCNew*H85*D85*(1+GrowthMarketRent)^6,IF(I85="LeaseUp",LCNew*H85*D85*(1+GrowthMarketRent)^6,IF(I85="Option",LCRenewal*H85*D85*(1+GrowthMarketRent)^6,0))))),0))),0)</f>
        <v/>
      </c>
      <c r="AF85" s="14">
        <f>IFERROR(IF(AND(I85="LeaseUp",7=0),(IF(I85="Vacate",TINew*D85,IF(I85="Market",Retention*TIRenewal*D85+(1-Retention)*TINew*D85,IF(I85="LeaseUp",TINew*D85,IF(I85="Option",TIRenewal*D85,0)))))+(IF(I85="Vacate",LCNew*H85*D85*(1+GrowthMarketRent)^7,IF(I85="Market",Retention*LCRenewal*H85*D85*(1+GrowthMarketRent)^7+(1-Retention)*LCNew*H85*D85*(1+GrowthMarketRent)^7,IF(I85="LeaseUp",LCNew*H85*D85*(1+GrowthMarketRent)^7,IF(I85="Option",LCRenewal*H85*D85*(1+GrowthMarketRent)^7,0))))),IF(F85="",0,IF(AND(F85&gt;=DATE(2026+7,5,1),F85&lt;=DATE(2027+7,4,30)),(IF(I85="Vacate",TINew*D85,IF(I85="Market",Retention*TIRenewal*D85+(1-Retention)*TINew*D85,IF(I85="LeaseUp",TINew*D85,IF(I85="Option",TIRenewal*D85,0)))))+(IF(I85="Vacate",LCNew*H85*D85*(1+GrowthMarketRent)^7,IF(I85="Market",Retention*LCRenewal*H85*D85*(1+GrowthMarketRent)^7+(1-Retention)*LCNew*H85*D85*(1+GrowthMarketRent)^7,IF(I85="LeaseUp",LCNew*H85*D85*(1+GrowthMarketRent)^7,IF(I85="Option",LCRenewal*H85*D85*(1+GrowthMarketRent)^7,0))))),0))),0)</f>
        <v/>
      </c>
      <c r="AG85" s="14">
        <f>IFERROR(IF(AND(I85="LeaseUp",8=0),(IF(I85="Vacate",TINew*D85,IF(I85="Market",Retention*TIRenewal*D85+(1-Retention)*TINew*D85,IF(I85="LeaseUp",TINew*D85,IF(I85="Option",TIRenewal*D85,0)))))+(IF(I85="Vacate",LCNew*H85*D85*(1+GrowthMarketRent)^8,IF(I85="Market",Retention*LCRenewal*H85*D85*(1+GrowthMarketRent)^8+(1-Retention)*LCNew*H85*D85*(1+GrowthMarketRent)^8,IF(I85="LeaseUp",LCNew*H85*D85*(1+GrowthMarketRent)^8,IF(I85="Option",LCRenewal*H85*D85*(1+GrowthMarketRent)^8,0))))),IF(F85="",0,IF(AND(F85&gt;=DATE(2026+8,5,1),F85&lt;=DATE(2027+8,4,30)),(IF(I85="Vacate",TINew*D85,IF(I85="Market",Retention*TIRenewal*D85+(1-Retention)*TINew*D85,IF(I85="LeaseUp",TINew*D85,IF(I85="Option",TIRenewal*D85,0)))))+(IF(I85="Vacate",LCNew*H85*D85*(1+GrowthMarketRent)^8,IF(I85="Market",Retention*LCRenewal*H85*D85*(1+GrowthMarketRent)^8+(1-Retention)*LCNew*H85*D85*(1+GrowthMarketRent)^8,IF(I85="LeaseUp",LCNew*H85*D85*(1+GrowthMarketRent)^8,IF(I85="Option",LCRenewal*H85*D85*(1+GrowthMarketRent)^8,0))))),0))),0)</f>
        <v/>
      </c>
      <c r="AH85" s="14">
        <f>IFERROR(IF(AND(I85="LeaseUp",9=0),(IF(I85="Vacate",TINew*D85,IF(I85="Market",Retention*TIRenewal*D85+(1-Retention)*TINew*D85,IF(I85="LeaseUp",TINew*D85,IF(I85="Option",TIRenewal*D85,0)))))+(IF(I85="Vacate",LCNew*H85*D85*(1+GrowthMarketRent)^9,IF(I85="Market",Retention*LCRenewal*H85*D85*(1+GrowthMarketRent)^9+(1-Retention)*LCNew*H85*D85*(1+GrowthMarketRent)^9,IF(I85="LeaseUp",LCNew*H85*D85*(1+GrowthMarketRent)^9,IF(I85="Option",LCRenewal*H85*D85*(1+GrowthMarketRent)^9,0))))),IF(F85="",0,IF(AND(F85&gt;=DATE(2026+9,5,1),F85&lt;=DATE(2027+9,4,30)),(IF(I85="Vacate",TINew*D85,IF(I85="Market",Retention*TIRenewal*D85+(1-Retention)*TINew*D85,IF(I85="LeaseUp",TINew*D85,IF(I85="Option",TIRenewal*D85,0)))))+(IF(I85="Vacate",LCNew*H85*D85*(1+GrowthMarketRent)^9,IF(I85="Market",Retention*LCRenewal*H85*D85*(1+GrowthMarketRent)^9+(1-Retention)*LCNew*H85*D85*(1+GrowthMarketRent)^9,IF(I85="LeaseUp",LCNew*H85*D85*(1+GrowthMarketRent)^9,IF(I85="Option",LCRenewal*H85*D85*(1+GrowthMarketRent)^9,0))))),0))),0)</f>
        <v/>
      </c>
      <c r="AI85" s="14">
        <f>IFERROR(IF(AND(I85="LeaseUp",10=0),(IF(I85="Vacate",TINew*D85,IF(I85="Market",Retention*TIRenewal*D85+(1-Retention)*TINew*D85,IF(I85="LeaseUp",TINew*D85,IF(I85="Option",TIRenewal*D85,0)))))+(IF(I85="Vacate",LCNew*H85*D85*(1+GrowthMarketRent)^10,IF(I85="Market",Retention*LCRenewal*H85*D85*(1+GrowthMarketRent)^10+(1-Retention)*LCNew*H85*D85*(1+GrowthMarketRent)^10,IF(I85="LeaseUp",LCNew*H85*D85*(1+GrowthMarketRent)^10,IF(I85="Option",LCRenewal*H85*D85*(1+GrowthMarketRent)^10,0))))),IF(F85="",0,IF(AND(F85&gt;=DATE(2026+10,5,1),F85&lt;=DATE(2027+10,4,30)),(IF(I85="Vacate",TINew*D85,IF(I85="Market",Retention*TIRenewal*D85+(1-Retention)*TINew*D85,IF(I85="LeaseUp",TINew*D85,IF(I85="Option",TIRenewal*D85,0)))))+(IF(I85="Vacate",LCNew*H85*D85*(1+GrowthMarketRent)^10,IF(I85="Market",Retention*LCRenewal*H85*D85*(1+GrowthMarketRent)^10+(1-Retention)*LCNew*H85*D85*(1+GrowthMarketRent)^10,IF(I85="LeaseUp",LCNew*H85*D85*(1+GrowthMarketRent)^10,IF(I85="Option",LCRenewal*H85*D85*(1+GrowthMarketRent)^10,0))))),0))),0)</f>
        <v/>
      </c>
    </row>
    <row r="86">
      <c r="A86" t="inlineStr">
        <is>
          <t>Mesquite</t>
        </is>
      </c>
      <c r="B86" t="inlineStr">
        <is>
          <t>206</t>
        </is>
      </c>
      <c r="C86" t="inlineStr">
        <is>
          <t>Climate Control Heating &amp; Air LLC</t>
        </is>
      </c>
      <c r="D86" s="32" t="n">
        <v>1870</v>
      </c>
      <c r="E86" s="33" t="n">
        <v>45717</v>
      </c>
      <c r="F86" s="33" t="n">
        <v>46966</v>
      </c>
      <c r="G86" s="34" t="n">
        <v>15.3748663101604</v>
      </c>
      <c r="H86" s="16">
        <f>VLOOKUP(A86,MLA!$A$5:$L$11,3,FALSE)</f>
        <v/>
      </c>
      <c r="I86" s="11" t="inlineStr">
        <is>
          <t>Market</t>
        </is>
      </c>
      <c r="J86" t="inlineStr">
        <is>
          <t>Studio</t>
        </is>
      </c>
      <c r="K86" t="inlineStr">
        <is>
          <t>Occupied</t>
        </is>
      </c>
      <c r="L86" t="inlineStr">
        <is>
          <t>Studio; Guarantor: Juan Quinones Jr.</t>
        </is>
      </c>
      <c r="M86" s="20">
        <f>IF(E86="",0,(AnalysisStart-E86)/365.25)</f>
        <v/>
      </c>
      <c r="N86" s="14">
        <f>IFERROR(IF(I86="LeaseUp",H86*D86*(1+GrowthMarketRent)^0*IF(0=0,(12-DowntimeNew)/12,1),IF(F86="",0,IF(F86&gt;=DATE(2027+0,4,30),G86*D86*(1+EscalatorInLease)^(0+M86),IF(F86&lt;DATE(2026+0,5,1),IF(I86="Vacate",H86*D86*(1+GrowthMarketRent)^0*IF(INT((DATE(2026+0,10,31)-F86)/365.25)=0,(12-DowntimeNew)/12,1),IF(I86="Option",G86*D86*1.025*(1+EscalatorInLease)^0,IF(I86="Market",Retention*G86*D86*(1+EscalatorInLease)^(0+M86)+(1-Retention)*H86*D86*(1+GrowthMarketRent)^0*IF(INT((DATE(2026+0,10,31)-F86)/365.25)=0,(12-DowntimeNew)/12,1),IF(I86="LeaseUp",H86*D86*(1+GrowthMarketRent)^0*IF(0=0,(12-DowntimeNew)/12,1),0)))),((F86-DATE(2026+0,5,1))/365.25)*G86*D86*(1+EscalatorInLease)^(0+M86)+((DATE(2027+0,4,30)-F86)/365.25)*IF(I86="Vacate",H86*D86*(1+GrowthMarketRent)^0*IF(INT((DATE(2026+0,10,31)-F86)/365.25)=0,(12-DowntimeNew)/12,1),IF(I86="Option",G86*D86*1.025*(1+EscalatorInLease)^0,IF(I86="Market",Retention*G86*D86*(1+EscalatorInLease)^(0+M86)+(1-Retention)*H86*D86*(1+GrowthMarketRent)^0*IF(INT((DATE(2026+0,10,31)-F86)/365.25)=0,(12-DowntimeNew)/12,1),IF(I86="LeaseUp",H86*D86*(1+GrowthMarketRent)^0*IF(0=0,(12-DowntimeNew)/12,1),0)))))))),0)</f>
        <v/>
      </c>
      <c r="O86" s="14">
        <f>IFERROR(IF(I86="LeaseUp",H86*D86*(1+GrowthMarketRent)^1*IF(1=0,(12-DowntimeNew)/12,1),IF(F86="",0,IF(F86&gt;=DATE(2027+1,4,30),G86*D86*(1+EscalatorInLease)^(1+M86),IF(F86&lt;DATE(2026+1,5,1),IF(I86="Vacate",H86*D86*(1+GrowthMarketRent)^1*IF(INT((DATE(2026+1,10,31)-F86)/365.25)=0,(12-DowntimeNew)/12,1),IF(I86="Option",G86*D86*1.025*(1+EscalatorInLease)^1,IF(I86="Market",Retention*G86*D86*(1+EscalatorInLease)^(1+M86)+(1-Retention)*H86*D86*(1+GrowthMarketRent)^1*IF(INT((DATE(2026+1,10,31)-F86)/365.25)=0,(12-DowntimeNew)/12,1),IF(I86="LeaseUp",H86*D86*(1+GrowthMarketRent)^1*IF(1=0,(12-DowntimeNew)/12,1),0)))),((F86-DATE(2026+1,5,1))/365.25)*G86*D86*(1+EscalatorInLease)^(1+M86)+((DATE(2027+1,4,30)-F86)/365.25)*IF(I86="Vacate",H86*D86*(1+GrowthMarketRent)^1*IF(INT((DATE(2026+1,10,31)-F86)/365.25)=0,(12-DowntimeNew)/12,1),IF(I86="Option",G86*D86*1.025*(1+EscalatorInLease)^1,IF(I86="Market",Retention*G86*D86*(1+EscalatorInLease)^(1+M86)+(1-Retention)*H86*D86*(1+GrowthMarketRent)^1*IF(INT((DATE(2026+1,10,31)-F86)/365.25)=0,(12-DowntimeNew)/12,1),IF(I86="LeaseUp",H86*D86*(1+GrowthMarketRent)^1*IF(1=0,(12-DowntimeNew)/12,1),0)))))))),0)</f>
        <v/>
      </c>
      <c r="P86" s="14">
        <f>IFERROR(IF(I86="LeaseUp",H86*D86*(1+GrowthMarketRent)^2*IF(2=0,(12-DowntimeNew)/12,1),IF(F86="",0,IF(F86&gt;=DATE(2027+2,4,30),G86*D86*(1+EscalatorInLease)^(2+M86),IF(F86&lt;DATE(2026+2,5,1),IF(I86="Vacate",H86*D86*(1+GrowthMarketRent)^2*IF(INT((DATE(2026+2,10,31)-F86)/365.25)=0,(12-DowntimeNew)/12,1),IF(I86="Option",G86*D86*1.025*(1+EscalatorInLease)^2,IF(I86="Market",Retention*G86*D86*(1+EscalatorInLease)^(2+M86)+(1-Retention)*H86*D86*(1+GrowthMarketRent)^2*IF(INT((DATE(2026+2,10,31)-F86)/365.25)=0,(12-DowntimeNew)/12,1),IF(I86="LeaseUp",H86*D86*(1+GrowthMarketRent)^2*IF(2=0,(12-DowntimeNew)/12,1),0)))),((F86-DATE(2026+2,5,1))/365.25)*G86*D86*(1+EscalatorInLease)^(2+M86)+((DATE(2027+2,4,30)-F86)/365.25)*IF(I86="Vacate",H86*D86*(1+GrowthMarketRent)^2*IF(INT((DATE(2026+2,10,31)-F86)/365.25)=0,(12-DowntimeNew)/12,1),IF(I86="Option",G86*D86*1.025*(1+EscalatorInLease)^2,IF(I86="Market",Retention*G86*D86*(1+EscalatorInLease)^(2+M86)+(1-Retention)*H86*D86*(1+GrowthMarketRent)^2*IF(INT((DATE(2026+2,10,31)-F86)/365.25)=0,(12-DowntimeNew)/12,1),IF(I86="LeaseUp",H86*D86*(1+GrowthMarketRent)^2*IF(2=0,(12-DowntimeNew)/12,1),0)))))))),0)</f>
        <v/>
      </c>
      <c r="Q86" s="14">
        <f>IFERROR(IF(I86="LeaseUp",H86*D86*(1+GrowthMarketRent)^3*IF(3=0,(12-DowntimeNew)/12,1),IF(F86="",0,IF(F86&gt;=DATE(2027+3,4,30),G86*D86*(1+EscalatorInLease)^(3+M86),IF(F86&lt;DATE(2026+3,5,1),IF(I86="Vacate",H86*D86*(1+GrowthMarketRent)^3*IF(INT((DATE(2026+3,10,31)-F86)/365.25)=0,(12-DowntimeNew)/12,1),IF(I86="Option",G86*D86*1.025*(1+EscalatorInLease)^3,IF(I86="Market",Retention*G86*D86*(1+EscalatorInLease)^(3+M86)+(1-Retention)*H86*D86*(1+GrowthMarketRent)^3*IF(INT((DATE(2026+3,10,31)-F86)/365.25)=0,(12-DowntimeNew)/12,1),IF(I86="LeaseUp",H86*D86*(1+GrowthMarketRent)^3*IF(3=0,(12-DowntimeNew)/12,1),0)))),((F86-DATE(2026+3,5,1))/365.25)*G86*D86*(1+EscalatorInLease)^(3+M86)+((DATE(2027+3,4,30)-F86)/365.25)*IF(I86="Vacate",H86*D86*(1+GrowthMarketRent)^3*IF(INT((DATE(2026+3,10,31)-F86)/365.25)=0,(12-DowntimeNew)/12,1),IF(I86="Option",G86*D86*1.025*(1+EscalatorInLease)^3,IF(I86="Market",Retention*G86*D86*(1+EscalatorInLease)^(3+M86)+(1-Retention)*H86*D86*(1+GrowthMarketRent)^3*IF(INT((DATE(2026+3,10,31)-F86)/365.25)=0,(12-DowntimeNew)/12,1),IF(I86="LeaseUp",H86*D86*(1+GrowthMarketRent)^3*IF(3=0,(12-DowntimeNew)/12,1),0)))))))),0)</f>
        <v/>
      </c>
      <c r="R86" s="14">
        <f>IFERROR(IF(I86="LeaseUp",H86*D86*(1+GrowthMarketRent)^4*IF(4=0,(12-DowntimeNew)/12,1),IF(F86="",0,IF(F86&gt;=DATE(2027+4,4,30),G86*D86*(1+EscalatorInLease)^(4+M86),IF(F86&lt;DATE(2026+4,5,1),IF(I86="Vacate",H86*D86*(1+GrowthMarketRent)^4*IF(INT((DATE(2026+4,10,31)-F86)/365.25)=0,(12-DowntimeNew)/12,1),IF(I86="Option",G86*D86*1.025*(1+EscalatorInLease)^4,IF(I86="Market",Retention*G86*D86*(1+EscalatorInLease)^(4+M86)+(1-Retention)*H86*D86*(1+GrowthMarketRent)^4*IF(INT((DATE(2026+4,10,31)-F86)/365.25)=0,(12-DowntimeNew)/12,1),IF(I86="LeaseUp",H86*D86*(1+GrowthMarketRent)^4*IF(4=0,(12-DowntimeNew)/12,1),0)))),((F86-DATE(2026+4,5,1))/365.25)*G86*D86*(1+EscalatorInLease)^(4+M86)+((DATE(2027+4,4,30)-F86)/365.25)*IF(I86="Vacate",H86*D86*(1+GrowthMarketRent)^4*IF(INT((DATE(2026+4,10,31)-F86)/365.25)=0,(12-DowntimeNew)/12,1),IF(I86="Option",G86*D86*1.025*(1+EscalatorInLease)^4,IF(I86="Market",Retention*G86*D86*(1+EscalatorInLease)^(4+M86)+(1-Retention)*H86*D86*(1+GrowthMarketRent)^4*IF(INT((DATE(2026+4,10,31)-F86)/365.25)=0,(12-DowntimeNew)/12,1),IF(I86="LeaseUp",H86*D86*(1+GrowthMarketRent)^4*IF(4=0,(12-DowntimeNew)/12,1),0)))))))),0)</f>
        <v/>
      </c>
      <c r="S86" s="14">
        <f>IFERROR(IF(I86="LeaseUp",H86*D86*(1+GrowthMarketRent)^5*IF(5=0,(12-DowntimeNew)/12,1),IF(F86="",0,IF(F86&gt;=DATE(2027+5,4,30),G86*D86*(1+EscalatorInLease)^(5+M86),IF(F86&lt;DATE(2026+5,5,1),IF(I86="Vacate",H86*D86*(1+GrowthMarketRent)^5*IF(INT((DATE(2026+5,10,31)-F86)/365.25)=0,(12-DowntimeNew)/12,1),IF(I86="Option",G86*D86*1.025*(1+EscalatorInLease)^5,IF(I86="Market",Retention*G86*D86*(1+EscalatorInLease)^(5+M86)+(1-Retention)*H86*D86*(1+GrowthMarketRent)^5*IF(INT((DATE(2026+5,10,31)-F86)/365.25)=0,(12-DowntimeNew)/12,1),IF(I86="LeaseUp",H86*D86*(1+GrowthMarketRent)^5*IF(5=0,(12-DowntimeNew)/12,1),0)))),((F86-DATE(2026+5,5,1))/365.25)*G86*D86*(1+EscalatorInLease)^(5+M86)+((DATE(2027+5,4,30)-F86)/365.25)*IF(I86="Vacate",H86*D86*(1+GrowthMarketRent)^5*IF(INT((DATE(2026+5,10,31)-F86)/365.25)=0,(12-DowntimeNew)/12,1),IF(I86="Option",G86*D86*1.025*(1+EscalatorInLease)^5,IF(I86="Market",Retention*G86*D86*(1+EscalatorInLease)^(5+M86)+(1-Retention)*H86*D86*(1+GrowthMarketRent)^5*IF(INT((DATE(2026+5,10,31)-F86)/365.25)=0,(12-DowntimeNew)/12,1),IF(I86="LeaseUp",H86*D86*(1+GrowthMarketRent)^5*IF(5=0,(12-DowntimeNew)/12,1),0)))))))),0)</f>
        <v/>
      </c>
      <c r="T86" s="14">
        <f>IFERROR(IF(I86="LeaseUp",H86*D86*(1+GrowthMarketRent)^6*IF(6=0,(12-DowntimeNew)/12,1),IF(F86="",0,IF(F86&gt;=DATE(2027+6,4,30),G86*D86*(1+EscalatorInLease)^(6+M86),IF(F86&lt;DATE(2026+6,5,1),IF(I86="Vacate",H86*D86*(1+GrowthMarketRent)^6*IF(INT((DATE(2026+6,10,31)-F86)/365.25)=0,(12-DowntimeNew)/12,1),IF(I86="Option",G86*D86*1.025*(1+EscalatorInLease)^6,IF(I86="Market",Retention*G86*D86*(1+EscalatorInLease)^(6+M86)+(1-Retention)*H86*D86*(1+GrowthMarketRent)^6*IF(INT((DATE(2026+6,10,31)-F86)/365.25)=0,(12-DowntimeNew)/12,1),IF(I86="LeaseUp",H86*D86*(1+GrowthMarketRent)^6*IF(6=0,(12-DowntimeNew)/12,1),0)))),((F86-DATE(2026+6,5,1))/365.25)*G86*D86*(1+EscalatorInLease)^(6+M86)+((DATE(2027+6,4,30)-F86)/365.25)*IF(I86="Vacate",H86*D86*(1+GrowthMarketRent)^6*IF(INT((DATE(2026+6,10,31)-F86)/365.25)=0,(12-DowntimeNew)/12,1),IF(I86="Option",G86*D86*1.025*(1+EscalatorInLease)^6,IF(I86="Market",Retention*G86*D86*(1+EscalatorInLease)^(6+M86)+(1-Retention)*H86*D86*(1+GrowthMarketRent)^6*IF(INT((DATE(2026+6,10,31)-F86)/365.25)=0,(12-DowntimeNew)/12,1),IF(I86="LeaseUp",H86*D86*(1+GrowthMarketRent)^6*IF(6=0,(12-DowntimeNew)/12,1),0)))))))),0)</f>
        <v/>
      </c>
      <c r="U86" s="14">
        <f>IFERROR(IF(I86="LeaseUp",H86*D86*(1+GrowthMarketRent)^7*IF(7=0,(12-DowntimeNew)/12,1),IF(F86="",0,IF(F86&gt;=DATE(2027+7,4,30),G86*D86*(1+EscalatorInLease)^(7+M86),IF(F86&lt;DATE(2026+7,5,1),IF(I86="Vacate",H86*D86*(1+GrowthMarketRent)^7*IF(INT((DATE(2026+7,10,31)-F86)/365.25)=0,(12-DowntimeNew)/12,1),IF(I86="Option",G86*D86*1.025*(1+EscalatorInLease)^7,IF(I86="Market",Retention*G86*D86*(1+EscalatorInLease)^(7+M86)+(1-Retention)*H86*D86*(1+GrowthMarketRent)^7*IF(INT((DATE(2026+7,10,31)-F86)/365.25)=0,(12-DowntimeNew)/12,1),IF(I86="LeaseUp",H86*D86*(1+GrowthMarketRent)^7*IF(7=0,(12-DowntimeNew)/12,1),0)))),((F86-DATE(2026+7,5,1))/365.25)*G86*D86*(1+EscalatorInLease)^(7+M86)+((DATE(2027+7,4,30)-F86)/365.25)*IF(I86="Vacate",H86*D86*(1+GrowthMarketRent)^7*IF(INT((DATE(2026+7,10,31)-F86)/365.25)=0,(12-DowntimeNew)/12,1),IF(I86="Option",G86*D86*1.025*(1+EscalatorInLease)^7,IF(I86="Market",Retention*G86*D86*(1+EscalatorInLease)^(7+M86)+(1-Retention)*H86*D86*(1+GrowthMarketRent)^7*IF(INT((DATE(2026+7,10,31)-F86)/365.25)=0,(12-DowntimeNew)/12,1),IF(I86="LeaseUp",H86*D86*(1+GrowthMarketRent)^7*IF(7=0,(12-DowntimeNew)/12,1),0)))))))),0)</f>
        <v/>
      </c>
      <c r="V86" s="14">
        <f>IFERROR(IF(I86="LeaseUp",H86*D86*(1+GrowthMarketRent)^8*IF(8=0,(12-DowntimeNew)/12,1),IF(F86="",0,IF(F86&gt;=DATE(2027+8,4,30),G86*D86*(1+EscalatorInLease)^(8+M86),IF(F86&lt;DATE(2026+8,5,1),IF(I86="Vacate",H86*D86*(1+GrowthMarketRent)^8*IF(INT((DATE(2026+8,10,31)-F86)/365.25)=0,(12-DowntimeNew)/12,1),IF(I86="Option",G86*D86*1.025*(1+EscalatorInLease)^8,IF(I86="Market",Retention*G86*D86*(1+EscalatorInLease)^(8+M86)+(1-Retention)*H86*D86*(1+GrowthMarketRent)^8*IF(INT((DATE(2026+8,10,31)-F86)/365.25)=0,(12-DowntimeNew)/12,1),IF(I86="LeaseUp",H86*D86*(1+GrowthMarketRent)^8*IF(8=0,(12-DowntimeNew)/12,1),0)))),((F86-DATE(2026+8,5,1))/365.25)*G86*D86*(1+EscalatorInLease)^(8+M86)+((DATE(2027+8,4,30)-F86)/365.25)*IF(I86="Vacate",H86*D86*(1+GrowthMarketRent)^8*IF(INT((DATE(2026+8,10,31)-F86)/365.25)=0,(12-DowntimeNew)/12,1),IF(I86="Option",G86*D86*1.025*(1+EscalatorInLease)^8,IF(I86="Market",Retention*G86*D86*(1+EscalatorInLease)^(8+M86)+(1-Retention)*H86*D86*(1+GrowthMarketRent)^8*IF(INT((DATE(2026+8,10,31)-F86)/365.25)=0,(12-DowntimeNew)/12,1),IF(I86="LeaseUp",H86*D86*(1+GrowthMarketRent)^8*IF(8=0,(12-DowntimeNew)/12,1),0)))))))),0)</f>
        <v/>
      </c>
      <c r="W86" s="14">
        <f>IFERROR(IF(I86="LeaseUp",H86*D86*(1+GrowthMarketRent)^9*IF(9=0,(12-DowntimeNew)/12,1),IF(F86="",0,IF(F86&gt;=DATE(2027+9,4,30),G86*D86*(1+EscalatorInLease)^(9+M86),IF(F86&lt;DATE(2026+9,5,1),IF(I86="Vacate",H86*D86*(1+GrowthMarketRent)^9*IF(INT((DATE(2026+9,10,31)-F86)/365.25)=0,(12-DowntimeNew)/12,1),IF(I86="Option",G86*D86*1.025*(1+EscalatorInLease)^9,IF(I86="Market",Retention*G86*D86*(1+EscalatorInLease)^(9+M86)+(1-Retention)*H86*D86*(1+GrowthMarketRent)^9*IF(INT((DATE(2026+9,10,31)-F86)/365.25)=0,(12-DowntimeNew)/12,1),IF(I86="LeaseUp",H86*D86*(1+GrowthMarketRent)^9*IF(9=0,(12-DowntimeNew)/12,1),0)))),((F86-DATE(2026+9,5,1))/365.25)*G86*D86*(1+EscalatorInLease)^(9+M86)+((DATE(2027+9,4,30)-F86)/365.25)*IF(I86="Vacate",H86*D86*(1+GrowthMarketRent)^9*IF(INT((DATE(2026+9,10,31)-F86)/365.25)=0,(12-DowntimeNew)/12,1),IF(I86="Option",G86*D86*1.025*(1+EscalatorInLease)^9,IF(I86="Market",Retention*G86*D86*(1+EscalatorInLease)^(9+M86)+(1-Retention)*H86*D86*(1+GrowthMarketRent)^9*IF(INT((DATE(2026+9,10,31)-F86)/365.25)=0,(12-DowntimeNew)/12,1),IF(I86="LeaseUp",H86*D86*(1+GrowthMarketRent)^9*IF(9=0,(12-DowntimeNew)/12,1),0)))))))),0)</f>
        <v/>
      </c>
      <c r="X86" s="14">
        <f>IFERROR(IF(I86="LeaseUp",H86*D86*(1+GrowthMarketRent)^10*IF(10=0,(12-DowntimeNew)/12,1),IF(F86="",0,IF(F86&gt;=DATE(2027+10,4,30),G86*D86*(1+EscalatorInLease)^(10+M86),IF(F86&lt;DATE(2026+10,5,1),IF(I86="Vacate",H86*D86*(1+GrowthMarketRent)^10*IF(INT((DATE(2026+10,10,31)-F86)/365.25)=0,(12-DowntimeNew)/12,1),IF(I86="Option",G86*D86*1.025*(1+EscalatorInLease)^10,IF(I86="Market",Retention*G86*D86*(1+EscalatorInLease)^(10+M86)+(1-Retention)*H86*D86*(1+GrowthMarketRent)^10*IF(INT((DATE(2026+10,10,31)-F86)/365.25)=0,(12-DowntimeNew)/12,1),IF(I86="LeaseUp",H86*D86*(1+GrowthMarketRent)^10*IF(10=0,(12-DowntimeNew)/12,1),0)))),((F86-DATE(2026+10,5,1))/365.25)*G86*D86*(1+EscalatorInLease)^(10+M86)+((DATE(2027+10,4,30)-F86)/365.25)*IF(I86="Vacate",H86*D86*(1+GrowthMarketRent)^10*IF(INT((DATE(2026+10,10,31)-F86)/365.25)=0,(12-DowntimeNew)/12,1),IF(I86="Option",G86*D86*1.025*(1+EscalatorInLease)^10,IF(I86="Market",Retention*G86*D86*(1+EscalatorInLease)^(10+M86)+(1-Retention)*H86*D86*(1+GrowthMarketRent)^10*IF(INT((DATE(2026+10,10,31)-F86)/365.25)=0,(12-DowntimeNew)/12,1),IF(I86="LeaseUp",H86*D86*(1+GrowthMarketRent)^10*IF(10=0,(12-DowntimeNew)/12,1),0)))))))),0)</f>
        <v/>
      </c>
      <c r="Y86" s="14">
        <f>IFERROR(IF(AND(I86="LeaseUp",0=0),(IF(I86="Vacate",TINew*D86,IF(I86="Market",Retention*TIRenewal*D86+(1-Retention)*TINew*D86,IF(I86="LeaseUp",TINew*D86,IF(I86="Option",TIRenewal*D86,0)))))+(IF(I86="Vacate",LCNew*H86*D86*(1+GrowthMarketRent)^0,IF(I86="Market",Retention*LCRenewal*H86*D86*(1+GrowthMarketRent)^0+(1-Retention)*LCNew*H86*D86*(1+GrowthMarketRent)^0,IF(I86="LeaseUp",LCNew*H86*D86*(1+GrowthMarketRent)^0,IF(I86="Option",LCRenewal*H86*D86*(1+GrowthMarketRent)^0,0))))),IF(F86="",0,IF(AND(F86&gt;=DATE(2026+0,5,1),F86&lt;=DATE(2027+0,4,30)),(IF(I86="Vacate",TINew*D86,IF(I86="Market",Retention*TIRenewal*D86+(1-Retention)*TINew*D86,IF(I86="LeaseUp",TINew*D86,IF(I86="Option",TIRenewal*D86,0)))))+(IF(I86="Vacate",LCNew*H86*D86*(1+GrowthMarketRent)^0,IF(I86="Market",Retention*LCRenewal*H86*D86*(1+GrowthMarketRent)^0+(1-Retention)*LCNew*H86*D86*(1+GrowthMarketRent)^0,IF(I86="LeaseUp",LCNew*H86*D86*(1+GrowthMarketRent)^0,IF(I86="Option",LCRenewal*H86*D86*(1+GrowthMarketRent)^0,0))))),0))),0)</f>
        <v/>
      </c>
      <c r="Z86" s="14">
        <f>IFERROR(IF(AND(I86="LeaseUp",1=0),(IF(I86="Vacate",TINew*D86,IF(I86="Market",Retention*TIRenewal*D86+(1-Retention)*TINew*D86,IF(I86="LeaseUp",TINew*D86,IF(I86="Option",TIRenewal*D86,0)))))+(IF(I86="Vacate",LCNew*H86*D86*(1+GrowthMarketRent)^1,IF(I86="Market",Retention*LCRenewal*H86*D86*(1+GrowthMarketRent)^1+(1-Retention)*LCNew*H86*D86*(1+GrowthMarketRent)^1,IF(I86="LeaseUp",LCNew*H86*D86*(1+GrowthMarketRent)^1,IF(I86="Option",LCRenewal*H86*D86*(1+GrowthMarketRent)^1,0))))),IF(F86="",0,IF(AND(F86&gt;=DATE(2026+1,5,1),F86&lt;=DATE(2027+1,4,30)),(IF(I86="Vacate",TINew*D86,IF(I86="Market",Retention*TIRenewal*D86+(1-Retention)*TINew*D86,IF(I86="LeaseUp",TINew*D86,IF(I86="Option",TIRenewal*D86,0)))))+(IF(I86="Vacate",LCNew*H86*D86*(1+GrowthMarketRent)^1,IF(I86="Market",Retention*LCRenewal*H86*D86*(1+GrowthMarketRent)^1+(1-Retention)*LCNew*H86*D86*(1+GrowthMarketRent)^1,IF(I86="LeaseUp",LCNew*H86*D86*(1+GrowthMarketRent)^1,IF(I86="Option",LCRenewal*H86*D86*(1+GrowthMarketRent)^1,0))))),0))),0)</f>
        <v/>
      </c>
      <c r="AA86" s="14">
        <f>IFERROR(IF(AND(I86="LeaseUp",2=0),(IF(I86="Vacate",TINew*D86,IF(I86="Market",Retention*TIRenewal*D86+(1-Retention)*TINew*D86,IF(I86="LeaseUp",TINew*D86,IF(I86="Option",TIRenewal*D86,0)))))+(IF(I86="Vacate",LCNew*H86*D86*(1+GrowthMarketRent)^2,IF(I86="Market",Retention*LCRenewal*H86*D86*(1+GrowthMarketRent)^2+(1-Retention)*LCNew*H86*D86*(1+GrowthMarketRent)^2,IF(I86="LeaseUp",LCNew*H86*D86*(1+GrowthMarketRent)^2,IF(I86="Option",LCRenewal*H86*D86*(1+GrowthMarketRent)^2,0))))),IF(F86="",0,IF(AND(F86&gt;=DATE(2026+2,5,1),F86&lt;=DATE(2027+2,4,30)),(IF(I86="Vacate",TINew*D86,IF(I86="Market",Retention*TIRenewal*D86+(1-Retention)*TINew*D86,IF(I86="LeaseUp",TINew*D86,IF(I86="Option",TIRenewal*D86,0)))))+(IF(I86="Vacate",LCNew*H86*D86*(1+GrowthMarketRent)^2,IF(I86="Market",Retention*LCRenewal*H86*D86*(1+GrowthMarketRent)^2+(1-Retention)*LCNew*H86*D86*(1+GrowthMarketRent)^2,IF(I86="LeaseUp",LCNew*H86*D86*(1+GrowthMarketRent)^2,IF(I86="Option",LCRenewal*H86*D86*(1+GrowthMarketRent)^2,0))))),0))),0)</f>
        <v/>
      </c>
      <c r="AB86" s="14">
        <f>IFERROR(IF(AND(I86="LeaseUp",3=0),(IF(I86="Vacate",TINew*D86,IF(I86="Market",Retention*TIRenewal*D86+(1-Retention)*TINew*D86,IF(I86="LeaseUp",TINew*D86,IF(I86="Option",TIRenewal*D86,0)))))+(IF(I86="Vacate",LCNew*H86*D86*(1+GrowthMarketRent)^3,IF(I86="Market",Retention*LCRenewal*H86*D86*(1+GrowthMarketRent)^3+(1-Retention)*LCNew*H86*D86*(1+GrowthMarketRent)^3,IF(I86="LeaseUp",LCNew*H86*D86*(1+GrowthMarketRent)^3,IF(I86="Option",LCRenewal*H86*D86*(1+GrowthMarketRent)^3,0))))),IF(F86="",0,IF(AND(F86&gt;=DATE(2026+3,5,1),F86&lt;=DATE(2027+3,4,30)),(IF(I86="Vacate",TINew*D86,IF(I86="Market",Retention*TIRenewal*D86+(1-Retention)*TINew*D86,IF(I86="LeaseUp",TINew*D86,IF(I86="Option",TIRenewal*D86,0)))))+(IF(I86="Vacate",LCNew*H86*D86*(1+GrowthMarketRent)^3,IF(I86="Market",Retention*LCRenewal*H86*D86*(1+GrowthMarketRent)^3+(1-Retention)*LCNew*H86*D86*(1+GrowthMarketRent)^3,IF(I86="LeaseUp",LCNew*H86*D86*(1+GrowthMarketRent)^3,IF(I86="Option",LCRenewal*H86*D86*(1+GrowthMarketRent)^3,0))))),0))),0)</f>
        <v/>
      </c>
      <c r="AC86" s="14">
        <f>IFERROR(IF(AND(I86="LeaseUp",4=0),(IF(I86="Vacate",TINew*D86,IF(I86="Market",Retention*TIRenewal*D86+(1-Retention)*TINew*D86,IF(I86="LeaseUp",TINew*D86,IF(I86="Option",TIRenewal*D86,0)))))+(IF(I86="Vacate",LCNew*H86*D86*(1+GrowthMarketRent)^4,IF(I86="Market",Retention*LCRenewal*H86*D86*(1+GrowthMarketRent)^4+(1-Retention)*LCNew*H86*D86*(1+GrowthMarketRent)^4,IF(I86="LeaseUp",LCNew*H86*D86*(1+GrowthMarketRent)^4,IF(I86="Option",LCRenewal*H86*D86*(1+GrowthMarketRent)^4,0))))),IF(F86="",0,IF(AND(F86&gt;=DATE(2026+4,5,1),F86&lt;=DATE(2027+4,4,30)),(IF(I86="Vacate",TINew*D86,IF(I86="Market",Retention*TIRenewal*D86+(1-Retention)*TINew*D86,IF(I86="LeaseUp",TINew*D86,IF(I86="Option",TIRenewal*D86,0)))))+(IF(I86="Vacate",LCNew*H86*D86*(1+GrowthMarketRent)^4,IF(I86="Market",Retention*LCRenewal*H86*D86*(1+GrowthMarketRent)^4+(1-Retention)*LCNew*H86*D86*(1+GrowthMarketRent)^4,IF(I86="LeaseUp",LCNew*H86*D86*(1+GrowthMarketRent)^4,IF(I86="Option",LCRenewal*H86*D86*(1+GrowthMarketRent)^4,0))))),0))),0)</f>
        <v/>
      </c>
      <c r="AD86" s="14">
        <f>IFERROR(IF(AND(I86="LeaseUp",5=0),(IF(I86="Vacate",TINew*D86,IF(I86="Market",Retention*TIRenewal*D86+(1-Retention)*TINew*D86,IF(I86="LeaseUp",TINew*D86,IF(I86="Option",TIRenewal*D86,0)))))+(IF(I86="Vacate",LCNew*H86*D86*(1+GrowthMarketRent)^5,IF(I86="Market",Retention*LCRenewal*H86*D86*(1+GrowthMarketRent)^5+(1-Retention)*LCNew*H86*D86*(1+GrowthMarketRent)^5,IF(I86="LeaseUp",LCNew*H86*D86*(1+GrowthMarketRent)^5,IF(I86="Option",LCRenewal*H86*D86*(1+GrowthMarketRent)^5,0))))),IF(F86="",0,IF(AND(F86&gt;=DATE(2026+5,5,1),F86&lt;=DATE(2027+5,4,30)),(IF(I86="Vacate",TINew*D86,IF(I86="Market",Retention*TIRenewal*D86+(1-Retention)*TINew*D86,IF(I86="LeaseUp",TINew*D86,IF(I86="Option",TIRenewal*D86,0)))))+(IF(I86="Vacate",LCNew*H86*D86*(1+GrowthMarketRent)^5,IF(I86="Market",Retention*LCRenewal*H86*D86*(1+GrowthMarketRent)^5+(1-Retention)*LCNew*H86*D86*(1+GrowthMarketRent)^5,IF(I86="LeaseUp",LCNew*H86*D86*(1+GrowthMarketRent)^5,IF(I86="Option",LCRenewal*H86*D86*(1+GrowthMarketRent)^5,0))))),0))),0)</f>
        <v/>
      </c>
      <c r="AE86" s="14">
        <f>IFERROR(IF(AND(I86="LeaseUp",6=0),(IF(I86="Vacate",TINew*D86,IF(I86="Market",Retention*TIRenewal*D86+(1-Retention)*TINew*D86,IF(I86="LeaseUp",TINew*D86,IF(I86="Option",TIRenewal*D86,0)))))+(IF(I86="Vacate",LCNew*H86*D86*(1+GrowthMarketRent)^6,IF(I86="Market",Retention*LCRenewal*H86*D86*(1+GrowthMarketRent)^6+(1-Retention)*LCNew*H86*D86*(1+GrowthMarketRent)^6,IF(I86="LeaseUp",LCNew*H86*D86*(1+GrowthMarketRent)^6,IF(I86="Option",LCRenewal*H86*D86*(1+GrowthMarketRent)^6,0))))),IF(F86="",0,IF(AND(F86&gt;=DATE(2026+6,5,1),F86&lt;=DATE(2027+6,4,30)),(IF(I86="Vacate",TINew*D86,IF(I86="Market",Retention*TIRenewal*D86+(1-Retention)*TINew*D86,IF(I86="LeaseUp",TINew*D86,IF(I86="Option",TIRenewal*D86,0)))))+(IF(I86="Vacate",LCNew*H86*D86*(1+GrowthMarketRent)^6,IF(I86="Market",Retention*LCRenewal*H86*D86*(1+GrowthMarketRent)^6+(1-Retention)*LCNew*H86*D86*(1+GrowthMarketRent)^6,IF(I86="LeaseUp",LCNew*H86*D86*(1+GrowthMarketRent)^6,IF(I86="Option",LCRenewal*H86*D86*(1+GrowthMarketRent)^6,0))))),0))),0)</f>
        <v/>
      </c>
      <c r="AF86" s="14">
        <f>IFERROR(IF(AND(I86="LeaseUp",7=0),(IF(I86="Vacate",TINew*D86,IF(I86="Market",Retention*TIRenewal*D86+(1-Retention)*TINew*D86,IF(I86="LeaseUp",TINew*D86,IF(I86="Option",TIRenewal*D86,0)))))+(IF(I86="Vacate",LCNew*H86*D86*(1+GrowthMarketRent)^7,IF(I86="Market",Retention*LCRenewal*H86*D86*(1+GrowthMarketRent)^7+(1-Retention)*LCNew*H86*D86*(1+GrowthMarketRent)^7,IF(I86="LeaseUp",LCNew*H86*D86*(1+GrowthMarketRent)^7,IF(I86="Option",LCRenewal*H86*D86*(1+GrowthMarketRent)^7,0))))),IF(F86="",0,IF(AND(F86&gt;=DATE(2026+7,5,1),F86&lt;=DATE(2027+7,4,30)),(IF(I86="Vacate",TINew*D86,IF(I86="Market",Retention*TIRenewal*D86+(1-Retention)*TINew*D86,IF(I86="LeaseUp",TINew*D86,IF(I86="Option",TIRenewal*D86,0)))))+(IF(I86="Vacate",LCNew*H86*D86*(1+GrowthMarketRent)^7,IF(I86="Market",Retention*LCRenewal*H86*D86*(1+GrowthMarketRent)^7+(1-Retention)*LCNew*H86*D86*(1+GrowthMarketRent)^7,IF(I86="LeaseUp",LCNew*H86*D86*(1+GrowthMarketRent)^7,IF(I86="Option",LCRenewal*H86*D86*(1+GrowthMarketRent)^7,0))))),0))),0)</f>
        <v/>
      </c>
      <c r="AG86" s="14">
        <f>IFERROR(IF(AND(I86="LeaseUp",8=0),(IF(I86="Vacate",TINew*D86,IF(I86="Market",Retention*TIRenewal*D86+(1-Retention)*TINew*D86,IF(I86="LeaseUp",TINew*D86,IF(I86="Option",TIRenewal*D86,0)))))+(IF(I86="Vacate",LCNew*H86*D86*(1+GrowthMarketRent)^8,IF(I86="Market",Retention*LCRenewal*H86*D86*(1+GrowthMarketRent)^8+(1-Retention)*LCNew*H86*D86*(1+GrowthMarketRent)^8,IF(I86="LeaseUp",LCNew*H86*D86*(1+GrowthMarketRent)^8,IF(I86="Option",LCRenewal*H86*D86*(1+GrowthMarketRent)^8,0))))),IF(F86="",0,IF(AND(F86&gt;=DATE(2026+8,5,1),F86&lt;=DATE(2027+8,4,30)),(IF(I86="Vacate",TINew*D86,IF(I86="Market",Retention*TIRenewal*D86+(1-Retention)*TINew*D86,IF(I86="LeaseUp",TINew*D86,IF(I86="Option",TIRenewal*D86,0)))))+(IF(I86="Vacate",LCNew*H86*D86*(1+GrowthMarketRent)^8,IF(I86="Market",Retention*LCRenewal*H86*D86*(1+GrowthMarketRent)^8+(1-Retention)*LCNew*H86*D86*(1+GrowthMarketRent)^8,IF(I86="LeaseUp",LCNew*H86*D86*(1+GrowthMarketRent)^8,IF(I86="Option",LCRenewal*H86*D86*(1+GrowthMarketRent)^8,0))))),0))),0)</f>
        <v/>
      </c>
      <c r="AH86" s="14">
        <f>IFERROR(IF(AND(I86="LeaseUp",9=0),(IF(I86="Vacate",TINew*D86,IF(I86="Market",Retention*TIRenewal*D86+(1-Retention)*TINew*D86,IF(I86="LeaseUp",TINew*D86,IF(I86="Option",TIRenewal*D86,0)))))+(IF(I86="Vacate",LCNew*H86*D86*(1+GrowthMarketRent)^9,IF(I86="Market",Retention*LCRenewal*H86*D86*(1+GrowthMarketRent)^9+(1-Retention)*LCNew*H86*D86*(1+GrowthMarketRent)^9,IF(I86="LeaseUp",LCNew*H86*D86*(1+GrowthMarketRent)^9,IF(I86="Option",LCRenewal*H86*D86*(1+GrowthMarketRent)^9,0))))),IF(F86="",0,IF(AND(F86&gt;=DATE(2026+9,5,1),F86&lt;=DATE(2027+9,4,30)),(IF(I86="Vacate",TINew*D86,IF(I86="Market",Retention*TIRenewal*D86+(1-Retention)*TINew*D86,IF(I86="LeaseUp",TINew*D86,IF(I86="Option",TIRenewal*D86,0)))))+(IF(I86="Vacate",LCNew*H86*D86*(1+GrowthMarketRent)^9,IF(I86="Market",Retention*LCRenewal*H86*D86*(1+GrowthMarketRent)^9+(1-Retention)*LCNew*H86*D86*(1+GrowthMarketRent)^9,IF(I86="LeaseUp",LCNew*H86*D86*(1+GrowthMarketRent)^9,IF(I86="Option",LCRenewal*H86*D86*(1+GrowthMarketRent)^9,0))))),0))),0)</f>
        <v/>
      </c>
      <c r="AI86" s="14">
        <f>IFERROR(IF(AND(I86="LeaseUp",10=0),(IF(I86="Vacate",TINew*D86,IF(I86="Market",Retention*TIRenewal*D86+(1-Retention)*TINew*D86,IF(I86="LeaseUp",TINew*D86,IF(I86="Option",TIRenewal*D86,0)))))+(IF(I86="Vacate",LCNew*H86*D86*(1+GrowthMarketRent)^10,IF(I86="Market",Retention*LCRenewal*H86*D86*(1+GrowthMarketRent)^10+(1-Retention)*LCNew*H86*D86*(1+GrowthMarketRent)^10,IF(I86="LeaseUp",LCNew*H86*D86*(1+GrowthMarketRent)^10,IF(I86="Option",LCRenewal*H86*D86*(1+GrowthMarketRent)^10,0))))),IF(F86="",0,IF(AND(F86&gt;=DATE(2026+10,5,1),F86&lt;=DATE(2027+10,4,30)),(IF(I86="Vacate",TINew*D86,IF(I86="Market",Retention*TIRenewal*D86+(1-Retention)*TINew*D86,IF(I86="LeaseUp",TINew*D86,IF(I86="Option",TIRenewal*D86,0)))))+(IF(I86="Vacate",LCNew*H86*D86*(1+GrowthMarketRent)^10,IF(I86="Market",Retention*LCRenewal*H86*D86*(1+GrowthMarketRent)^10+(1-Retention)*LCNew*H86*D86*(1+GrowthMarketRent)^10,IF(I86="LeaseUp",LCNew*H86*D86*(1+GrowthMarketRent)^10,IF(I86="Option",LCRenewal*H86*D86*(1+GrowthMarketRent)^10,0))))),0))),0)</f>
        <v/>
      </c>
    </row>
    <row r="87">
      <c r="A87" t="inlineStr">
        <is>
          <t>Mesquite</t>
        </is>
      </c>
      <c r="B87" t="inlineStr">
        <is>
          <t>207</t>
        </is>
      </c>
      <c r="C87" t="inlineStr">
        <is>
          <t>The Lash Empire LLC</t>
        </is>
      </c>
      <c r="D87" s="32" t="n">
        <v>1870</v>
      </c>
      <c r="E87" s="33" t="n">
        <v>45566</v>
      </c>
      <c r="F87" s="33" t="n">
        <v>46813</v>
      </c>
      <c r="G87" s="34" t="n">
        <v>15.3748663101604</v>
      </c>
      <c r="H87" s="16">
        <f>VLOOKUP(A87,MLA!$A$5:$L$11,3,FALSE)</f>
        <v/>
      </c>
      <c r="I87" s="11" t="inlineStr">
        <is>
          <t>Market</t>
        </is>
      </c>
      <c r="J87" t="inlineStr">
        <is>
          <t>Studio</t>
        </is>
      </c>
      <c r="K87" t="inlineStr">
        <is>
          <t>Occupied</t>
        </is>
      </c>
      <c r="L87" t="inlineStr">
        <is>
          <t>Studio; Guarantor: Delia Aguero</t>
        </is>
      </c>
      <c r="M87" s="20">
        <f>IF(E87="",0,(AnalysisStart-E87)/365.25)</f>
        <v/>
      </c>
      <c r="N87" s="14">
        <f>IFERROR(IF(I87="LeaseUp",H87*D87*(1+GrowthMarketRent)^0*IF(0=0,(12-DowntimeNew)/12,1),IF(F87="",0,IF(F87&gt;=DATE(2027+0,4,30),G87*D87*(1+EscalatorInLease)^(0+M87),IF(F87&lt;DATE(2026+0,5,1),IF(I87="Vacate",H87*D87*(1+GrowthMarketRent)^0*IF(INT((DATE(2026+0,10,31)-F87)/365.25)=0,(12-DowntimeNew)/12,1),IF(I87="Option",G87*D87*1.025*(1+EscalatorInLease)^0,IF(I87="Market",Retention*G87*D87*(1+EscalatorInLease)^(0+M87)+(1-Retention)*H87*D87*(1+GrowthMarketRent)^0*IF(INT((DATE(2026+0,10,31)-F87)/365.25)=0,(12-DowntimeNew)/12,1),IF(I87="LeaseUp",H87*D87*(1+GrowthMarketRent)^0*IF(0=0,(12-DowntimeNew)/12,1),0)))),((F87-DATE(2026+0,5,1))/365.25)*G87*D87*(1+EscalatorInLease)^(0+M87)+((DATE(2027+0,4,30)-F87)/365.25)*IF(I87="Vacate",H87*D87*(1+GrowthMarketRent)^0*IF(INT((DATE(2026+0,10,31)-F87)/365.25)=0,(12-DowntimeNew)/12,1),IF(I87="Option",G87*D87*1.025*(1+EscalatorInLease)^0,IF(I87="Market",Retention*G87*D87*(1+EscalatorInLease)^(0+M87)+(1-Retention)*H87*D87*(1+GrowthMarketRent)^0*IF(INT((DATE(2026+0,10,31)-F87)/365.25)=0,(12-DowntimeNew)/12,1),IF(I87="LeaseUp",H87*D87*(1+GrowthMarketRent)^0*IF(0=0,(12-DowntimeNew)/12,1),0)))))))),0)</f>
        <v/>
      </c>
      <c r="O87" s="14">
        <f>IFERROR(IF(I87="LeaseUp",H87*D87*(1+GrowthMarketRent)^1*IF(1=0,(12-DowntimeNew)/12,1),IF(F87="",0,IF(F87&gt;=DATE(2027+1,4,30),G87*D87*(1+EscalatorInLease)^(1+M87),IF(F87&lt;DATE(2026+1,5,1),IF(I87="Vacate",H87*D87*(1+GrowthMarketRent)^1*IF(INT((DATE(2026+1,10,31)-F87)/365.25)=0,(12-DowntimeNew)/12,1),IF(I87="Option",G87*D87*1.025*(1+EscalatorInLease)^1,IF(I87="Market",Retention*G87*D87*(1+EscalatorInLease)^(1+M87)+(1-Retention)*H87*D87*(1+GrowthMarketRent)^1*IF(INT((DATE(2026+1,10,31)-F87)/365.25)=0,(12-DowntimeNew)/12,1),IF(I87="LeaseUp",H87*D87*(1+GrowthMarketRent)^1*IF(1=0,(12-DowntimeNew)/12,1),0)))),((F87-DATE(2026+1,5,1))/365.25)*G87*D87*(1+EscalatorInLease)^(1+M87)+((DATE(2027+1,4,30)-F87)/365.25)*IF(I87="Vacate",H87*D87*(1+GrowthMarketRent)^1*IF(INT((DATE(2026+1,10,31)-F87)/365.25)=0,(12-DowntimeNew)/12,1),IF(I87="Option",G87*D87*1.025*(1+EscalatorInLease)^1,IF(I87="Market",Retention*G87*D87*(1+EscalatorInLease)^(1+M87)+(1-Retention)*H87*D87*(1+GrowthMarketRent)^1*IF(INT((DATE(2026+1,10,31)-F87)/365.25)=0,(12-DowntimeNew)/12,1),IF(I87="LeaseUp",H87*D87*(1+GrowthMarketRent)^1*IF(1=0,(12-DowntimeNew)/12,1),0)))))))),0)</f>
        <v/>
      </c>
      <c r="P87" s="14">
        <f>IFERROR(IF(I87="LeaseUp",H87*D87*(1+GrowthMarketRent)^2*IF(2=0,(12-DowntimeNew)/12,1),IF(F87="",0,IF(F87&gt;=DATE(2027+2,4,30),G87*D87*(1+EscalatorInLease)^(2+M87),IF(F87&lt;DATE(2026+2,5,1),IF(I87="Vacate",H87*D87*(1+GrowthMarketRent)^2*IF(INT((DATE(2026+2,10,31)-F87)/365.25)=0,(12-DowntimeNew)/12,1),IF(I87="Option",G87*D87*1.025*(1+EscalatorInLease)^2,IF(I87="Market",Retention*G87*D87*(1+EscalatorInLease)^(2+M87)+(1-Retention)*H87*D87*(1+GrowthMarketRent)^2*IF(INT((DATE(2026+2,10,31)-F87)/365.25)=0,(12-DowntimeNew)/12,1),IF(I87="LeaseUp",H87*D87*(1+GrowthMarketRent)^2*IF(2=0,(12-DowntimeNew)/12,1),0)))),((F87-DATE(2026+2,5,1))/365.25)*G87*D87*(1+EscalatorInLease)^(2+M87)+((DATE(2027+2,4,30)-F87)/365.25)*IF(I87="Vacate",H87*D87*(1+GrowthMarketRent)^2*IF(INT((DATE(2026+2,10,31)-F87)/365.25)=0,(12-DowntimeNew)/12,1),IF(I87="Option",G87*D87*1.025*(1+EscalatorInLease)^2,IF(I87="Market",Retention*G87*D87*(1+EscalatorInLease)^(2+M87)+(1-Retention)*H87*D87*(1+GrowthMarketRent)^2*IF(INT((DATE(2026+2,10,31)-F87)/365.25)=0,(12-DowntimeNew)/12,1),IF(I87="LeaseUp",H87*D87*(1+GrowthMarketRent)^2*IF(2=0,(12-DowntimeNew)/12,1),0)))))))),0)</f>
        <v/>
      </c>
      <c r="Q87" s="14">
        <f>IFERROR(IF(I87="LeaseUp",H87*D87*(1+GrowthMarketRent)^3*IF(3=0,(12-DowntimeNew)/12,1),IF(F87="",0,IF(F87&gt;=DATE(2027+3,4,30),G87*D87*(1+EscalatorInLease)^(3+M87),IF(F87&lt;DATE(2026+3,5,1),IF(I87="Vacate",H87*D87*(1+GrowthMarketRent)^3*IF(INT((DATE(2026+3,10,31)-F87)/365.25)=0,(12-DowntimeNew)/12,1),IF(I87="Option",G87*D87*1.025*(1+EscalatorInLease)^3,IF(I87="Market",Retention*G87*D87*(1+EscalatorInLease)^(3+M87)+(1-Retention)*H87*D87*(1+GrowthMarketRent)^3*IF(INT((DATE(2026+3,10,31)-F87)/365.25)=0,(12-DowntimeNew)/12,1),IF(I87="LeaseUp",H87*D87*(1+GrowthMarketRent)^3*IF(3=0,(12-DowntimeNew)/12,1),0)))),((F87-DATE(2026+3,5,1))/365.25)*G87*D87*(1+EscalatorInLease)^(3+M87)+((DATE(2027+3,4,30)-F87)/365.25)*IF(I87="Vacate",H87*D87*(1+GrowthMarketRent)^3*IF(INT((DATE(2026+3,10,31)-F87)/365.25)=0,(12-DowntimeNew)/12,1),IF(I87="Option",G87*D87*1.025*(1+EscalatorInLease)^3,IF(I87="Market",Retention*G87*D87*(1+EscalatorInLease)^(3+M87)+(1-Retention)*H87*D87*(1+GrowthMarketRent)^3*IF(INT((DATE(2026+3,10,31)-F87)/365.25)=0,(12-DowntimeNew)/12,1),IF(I87="LeaseUp",H87*D87*(1+GrowthMarketRent)^3*IF(3=0,(12-DowntimeNew)/12,1),0)))))))),0)</f>
        <v/>
      </c>
      <c r="R87" s="14">
        <f>IFERROR(IF(I87="LeaseUp",H87*D87*(1+GrowthMarketRent)^4*IF(4=0,(12-DowntimeNew)/12,1),IF(F87="",0,IF(F87&gt;=DATE(2027+4,4,30),G87*D87*(1+EscalatorInLease)^(4+M87),IF(F87&lt;DATE(2026+4,5,1),IF(I87="Vacate",H87*D87*(1+GrowthMarketRent)^4*IF(INT((DATE(2026+4,10,31)-F87)/365.25)=0,(12-DowntimeNew)/12,1),IF(I87="Option",G87*D87*1.025*(1+EscalatorInLease)^4,IF(I87="Market",Retention*G87*D87*(1+EscalatorInLease)^(4+M87)+(1-Retention)*H87*D87*(1+GrowthMarketRent)^4*IF(INT((DATE(2026+4,10,31)-F87)/365.25)=0,(12-DowntimeNew)/12,1),IF(I87="LeaseUp",H87*D87*(1+GrowthMarketRent)^4*IF(4=0,(12-DowntimeNew)/12,1),0)))),((F87-DATE(2026+4,5,1))/365.25)*G87*D87*(1+EscalatorInLease)^(4+M87)+((DATE(2027+4,4,30)-F87)/365.25)*IF(I87="Vacate",H87*D87*(1+GrowthMarketRent)^4*IF(INT((DATE(2026+4,10,31)-F87)/365.25)=0,(12-DowntimeNew)/12,1),IF(I87="Option",G87*D87*1.025*(1+EscalatorInLease)^4,IF(I87="Market",Retention*G87*D87*(1+EscalatorInLease)^(4+M87)+(1-Retention)*H87*D87*(1+GrowthMarketRent)^4*IF(INT((DATE(2026+4,10,31)-F87)/365.25)=0,(12-DowntimeNew)/12,1),IF(I87="LeaseUp",H87*D87*(1+GrowthMarketRent)^4*IF(4=0,(12-DowntimeNew)/12,1),0)))))))),0)</f>
        <v/>
      </c>
      <c r="S87" s="14">
        <f>IFERROR(IF(I87="LeaseUp",H87*D87*(1+GrowthMarketRent)^5*IF(5=0,(12-DowntimeNew)/12,1),IF(F87="",0,IF(F87&gt;=DATE(2027+5,4,30),G87*D87*(1+EscalatorInLease)^(5+M87),IF(F87&lt;DATE(2026+5,5,1),IF(I87="Vacate",H87*D87*(1+GrowthMarketRent)^5*IF(INT((DATE(2026+5,10,31)-F87)/365.25)=0,(12-DowntimeNew)/12,1),IF(I87="Option",G87*D87*1.025*(1+EscalatorInLease)^5,IF(I87="Market",Retention*G87*D87*(1+EscalatorInLease)^(5+M87)+(1-Retention)*H87*D87*(1+GrowthMarketRent)^5*IF(INT((DATE(2026+5,10,31)-F87)/365.25)=0,(12-DowntimeNew)/12,1),IF(I87="LeaseUp",H87*D87*(1+GrowthMarketRent)^5*IF(5=0,(12-DowntimeNew)/12,1),0)))),((F87-DATE(2026+5,5,1))/365.25)*G87*D87*(1+EscalatorInLease)^(5+M87)+((DATE(2027+5,4,30)-F87)/365.25)*IF(I87="Vacate",H87*D87*(1+GrowthMarketRent)^5*IF(INT((DATE(2026+5,10,31)-F87)/365.25)=0,(12-DowntimeNew)/12,1),IF(I87="Option",G87*D87*1.025*(1+EscalatorInLease)^5,IF(I87="Market",Retention*G87*D87*(1+EscalatorInLease)^(5+M87)+(1-Retention)*H87*D87*(1+GrowthMarketRent)^5*IF(INT((DATE(2026+5,10,31)-F87)/365.25)=0,(12-DowntimeNew)/12,1),IF(I87="LeaseUp",H87*D87*(1+GrowthMarketRent)^5*IF(5=0,(12-DowntimeNew)/12,1),0)))))))),0)</f>
        <v/>
      </c>
      <c r="T87" s="14">
        <f>IFERROR(IF(I87="LeaseUp",H87*D87*(1+GrowthMarketRent)^6*IF(6=0,(12-DowntimeNew)/12,1),IF(F87="",0,IF(F87&gt;=DATE(2027+6,4,30),G87*D87*(1+EscalatorInLease)^(6+M87),IF(F87&lt;DATE(2026+6,5,1),IF(I87="Vacate",H87*D87*(1+GrowthMarketRent)^6*IF(INT((DATE(2026+6,10,31)-F87)/365.25)=0,(12-DowntimeNew)/12,1),IF(I87="Option",G87*D87*1.025*(1+EscalatorInLease)^6,IF(I87="Market",Retention*G87*D87*(1+EscalatorInLease)^(6+M87)+(1-Retention)*H87*D87*(1+GrowthMarketRent)^6*IF(INT((DATE(2026+6,10,31)-F87)/365.25)=0,(12-DowntimeNew)/12,1),IF(I87="LeaseUp",H87*D87*(1+GrowthMarketRent)^6*IF(6=0,(12-DowntimeNew)/12,1),0)))),((F87-DATE(2026+6,5,1))/365.25)*G87*D87*(1+EscalatorInLease)^(6+M87)+((DATE(2027+6,4,30)-F87)/365.25)*IF(I87="Vacate",H87*D87*(1+GrowthMarketRent)^6*IF(INT((DATE(2026+6,10,31)-F87)/365.25)=0,(12-DowntimeNew)/12,1),IF(I87="Option",G87*D87*1.025*(1+EscalatorInLease)^6,IF(I87="Market",Retention*G87*D87*(1+EscalatorInLease)^(6+M87)+(1-Retention)*H87*D87*(1+GrowthMarketRent)^6*IF(INT((DATE(2026+6,10,31)-F87)/365.25)=0,(12-DowntimeNew)/12,1),IF(I87="LeaseUp",H87*D87*(1+GrowthMarketRent)^6*IF(6=0,(12-DowntimeNew)/12,1),0)))))))),0)</f>
        <v/>
      </c>
      <c r="U87" s="14">
        <f>IFERROR(IF(I87="LeaseUp",H87*D87*(1+GrowthMarketRent)^7*IF(7=0,(12-DowntimeNew)/12,1),IF(F87="",0,IF(F87&gt;=DATE(2027+7,4,30),G87*D87*(1+EscalatorInLease)^(7+M87),IF(F87&lt;DATE(2026+7,5,1),IF(I87="Vacate",H87*D87*(1+GrowthMarketRent)^7*IF(INT((DATE(2026+7,10,31)-F87)/365.25)=0,(12-DowntimeNew)/12,1),IF(I87="Option",G87*D87*1.025*(1+EscalatorInLease)^7,IF(I87="Market",Retention*G87*D87*(1+EscalatorInLease)^(7+M87)+(1-Retention)*H87*D87*(1+GrowthMarketRent)^7*IF(INT((DATE(2026+7,10,31)-F87)/365.25)=0,(12-DowntimeNew)/12,1),IF(I87="LeaseUp",H87*D87*(1+GrowthMarketRent)^7*IF(7=0,(12-DowntimeNew)/12,1),0)))),((F87-DATE(2026+7,5,1))/365.25)*G87*D87*(1+EscalatorInLease)^(7+M87)+((DATE(2027+7,4,30)-F87)/365.25)*IF(I87="Vacate",H87*D87*(1+GrowthMarketRent)^7*IF(INT((DATE(2026+7,10,31)-F87)/365.25)=0,(12-DowntimeNew)/12,1),IF(I87="Option",G87*D87*1.025*(1+EscalatorInLease)^7,IF(I87="Market",Retention*G87*D87*(1+EscalatorInLease)^(7+M87)+(1-Retention)*H87*D87*(1+GrowthMarketRent)^7*IF(INT((DATE(2026+7,10,31)-F87)/365.25)=0,(12-DowntimeNew)/12,1),IF(I87="LeaseUp",H87*D87*(1+GrowthMarketRent)^7*IF(7=0,(12-DowntimeNew)/12,1),0)))))))),0)</f>
        <v/>
      </c>
      <c r="V87" s="14">
        <f>IFERROR(IF(I87="LeaseUp",H87*D87*(1+GrowthMarketRent)^8*IF(8=0,(12-DowntimeNew)/12,1),IF(F87="",0,IF(F87&gt;=DATE(2027+8,4,30),G87*D87*(1+EscalatorInLease)^(8+M87),IF(F87&lt;DATE(2026+8,5,1),IF(I87="Vacate",H87*D87*(1+GrowthMarketRent)^8*IF(INT((DATE(2026+8,10,31)-F87)/365.25)=0,(12-DowntimeNew)/12,1),IF(I87="Option",G87*D87*1.025*(1+EscalatorInLease)^8,IF(I87="Market",Retention*G87*D87*(1+EscalatorInLease)^(8+M87)+(1-Retention)*H87*D87*(1+GrowthMarketRent)^8*IF(INT((DATE(2026+8,10,31)-F87)/365.25)=0,(12-DowntimeNew)/12,1),IF(I87="LeaseUp",H87*D87*(1+GrowthMarketRent)^8*IF(8=0,(12-DowntimeNew)/12,1),0)))),((F87-DATE(2026+8,5,1))/365.25)*G87*D87*(1+EscalatorInLease)^(8+M87)+((DATE(2027+8,4,30)-F87)/365.25)*IF(I87="Vacate",H87*D87*(1+GrowthMarketRent)^8*IF(INT((DATE(2026+8,10,31)-F87)/365.25)=0,(12-DowntimeNew)/12,1),IF(I87="Option",G87*D87*1.025*(1+EscalatorInLease)^8,IF(I87="Market",Retention*G87*D87*(1+EscalatorInLease)^(8+M87)+(1-Retention)*H87*D87*(1+GrowthMarketRent)^8*IF(INT((DATE(2026+8,10,31)-F87)/365.25)=0,(12-DowntimeNew)/12,1),IF(I87="LeaseUp",H87*D87*(1+GrowthMarketRent)^8*IF(8=0,(12-DowntimeNew)/12,1),0)))))))),0)</f>
        <v/>
      </c>
      <c r="W87" s="14">
        <f>IFERROR(IF(I87="LeaseUp",H87*D87*(1+GrowthMarketRent)^9*IF(9=0,(12-DowntimeNew)/12,1),IF(F87="",0,IF(F87&gt;=DATE(2027+9,4,30),G87*D87*(1+EscalatorInLease)^(9+M87),IF(F87&lt;DATE(2026+9,5,1),IF(I87="Vacate",H87*D87*(1+GrowthMarketRent)^9*IF(INT((DATE(2026+9,10,31)-F87)/365.25)=0,(12-DowntimeNew)/12,1),IF(I87="Option",G87*D87*1.025*(1+EscalatorInLease)^9,IF(I87="Market",Retention*G87*D87*(1+EscalatorInLease)^(9+M87)+(1-Retention)*H87*D87*(1+GrowthMarketRent)^9*IF(INT((DATE(2026+9,10,31)-F87)/365.25)=0,(12-DowntimeNew)/12,1),IF(I87="LeaseUp",H87*D87*(1+GrowthMarketRent)^9*IF(9=0,(12-DowntimeNew)/12,1),0)))),((F87-DATE(2026+9,5,1))/365.25)*G87*D87*(1+EscalatorInLease)^(9+M87)+((DATE(2027+9,4,30)-F87)/365.25)*IF(I87="Vacate",H87*D87*(1+GrowthMarketRent)^9*IF(INT((DATE(2026+9,10,31)-F87)/365.25)=0,(12-DowntimeNew)/12,1),IF(I87="Option",G87*D87*1.025*(1+EscalatorInLease)^9,IF(I87="Market",Retention*G87*D87*(1+EscalatorInLease)^(9+M87)+(1-Retention)*H87*D87*(1+GrowthMarketRent)^9*IF(INT((DATE(2026+9,10,31)-F87)/365.25)=0,(12-DowntimeNew)/12,1),IF(I87="LeaseUp",H87*D87*(1+GrowthMarketRent)^9*IF(9=0,(12-DowntimeNew)/12,1),0)))))))),0)</f>
        <v/>
      </c>
      <c r="X87" s="14">
        <f>IFERROR(IF(I87="LeaseUp",H87*D87*(1+GrowthMarketRent)^10*IF(10=0,(12-DowntimeNew)/12,1),IF(F87="",0,IF(F87&gt;=DATE(2027+10,4,30),G87*D87*(1+EscalatorInLease)^(10+M87),IF(F87&lt;DATE(2026+10,5,1),IF(I87="Vacate",H87*D87*(1+GrowthMarketRent)^10*IF(INT((DATE(2026+10,10,31)-F87)/365.25)=0,(12-DowntimeNew)/12,1),IF(I87="Option",G87*D87*1.025*(1+EscalatorInLease)^10,IF(I87="Market",Retention*G87*D87*(1+EscalatorInLease)^(10+M87)+(1-Retention)*H87*D87*(1+GrowthMarketRent)^10*IF(INT((DATE(2026+10,10,31)-F87)/365.25)=0,(12-DowntimeNew)/12,1),IF(I87="LeaseUp",H87*D87*(1+GrowthMarketRent)^10*IF(10=0,(12-DowntimeNew)/12,1),0)))),((F87-DATE(2026+10,5,1))/365.25)*G87*D87*(1+EscalatorInLease)^(10+M87)+((DATE(2027+10,4,30)-F87)/365.25)*IF(I87="Vacate",H87*D87*(1+GrowthMarketRent)^10*IF(INT((DATE(2026+10,10,31)-F87)/365.25)=0,(12-DowntimeNew)/12,1),IF(I87="Option",G87*D87*1.025*(1+EscalatorInLease)^10,IF(I87="Market",Retention*G87*D87*(1+EscalatorInLease)^(10+M87)+(1-Retention)*H87*D87*(1+GrowthMarketRent)^10*IF(INT((DATE(2026+10,10,31)-F87)/365.25)=0,(12-DowntimeNew)/12,1),IF(I87="LeaseUp",H87*D87*(1+GrowthMarketRent)^10*IF(10=0,(12-DowntimeNew)/12,1),0)))))))),0)</f>
        <v/>
      </c>
      <c r="Y87" s="14">
        <f>IFERROR(IF(AND(I87="LeaseUp",0=0),(IF(I87="Vacate",TINew*D87,IF(I87="Market",Retention*TIRenewal*D87+(1-Retention)*TINew*D87,IF(I87="LeaseUp",TINew*D87,IF(I87="Option",TIRenewal*D87,0)))))+(IF(I87="Vacate",LCNew*H87*D87*(1+GrowthMarketRent)^0,IF(I87="Market",Retention*LCRenewal*H87*D87*(1+GrowthMarketRent)^0+(1-Retention)*LCNew*H87*D87*(1+GrowthMarketRent)^0,IF(I87="LeaseUp",LCNew*H87*D87*(1+GrowthMarketRent)^0,IF(I87="Option",LCRenewal*H87*D87*(1+GrowthMarketRent)^0,0))))),IF(F87="",0,IF(AND(F87&gt;=DATE(2026+0,5,1),F87&lt;=DATE(2027+0,4,30)),(IF(I87="Vacate",TINew*D87,IF(I87="Market",Retention*TIRenewal*D87+(1-Retention)*TINew*D87,IF(I87="LeaseUp",TINew*D87,IF(I87="Option",TIRenewal*D87,0)))))+(IF(I87="Vacate",LCNew*H87*D87*(1+GrowthMarketRent)^0,IF(I87="Market",Retention*LCRenewal*H87*D87*(1+GrowthMarketRent)^0+(1-Retention)*LCNew*H87*D87*(1+GrowthMarketRent)^0,IF(I87="LeaseUp",LCNew*H87*D87*(1+GrowthMarketRent)^0,IF(I87="Option",LCRenewal*H87*D87*(1+GrowthMarketRent)^0,0))))),0))),0)</f>
        <v/>
      </c>
      <c r="Z87" s="14">
        <f>IFERROR(IF(AND(I87="LeaseUp",1=0),(IF(I87="Vacate",TINew*D87,IF(I87="Market",Retention*TIRenewal*D87+(1-Retention)*TINew*D87,IF(I87="LeaseUp",TINew*D87,IF(I87="Option",TIRenewal*D87,0)))))+(IF(I87="Vacate",LCNew*H87*D87*(1+GrowthMarketRent)^1,IF(I87="Market",Retention*LCRenewal*H87*D87*(1+GrowthMarketRent)^1+(1-Retention)*LCNew*H87*D87*(1+GrowthMarketRent)^1,IF(I87="LeaseUp",LCNew*H87*D87*(1+GrowthMarketRent)^1,IF(I87="Option",LCRenewal*H87*D87*(1+GrowthMarketRent)^1,0))))),IF(F87="",0,IF(AND(F87&gt;=DATE(2026+1,5,1),F87&lt;=DATE(2027+1,4,30)),(IF(I87="Vacate",TINew*D87,IF(I87="Market",Retention*TIRenewal*D87+(1-Retention)*TINew*D87,IF(I87="LeaseUp",TINew*D87,IF(I87="Option",TIRenewal*D87,0)))))+(IF(I87="Vacate",LCNew*H87*D87*(1+GrowthMarketRent)^1,IF(I87="Market",Retention*LCRenewal*H87*D87*(1+GrowthMarketRent)^1+(1-Retention)*LCNew*H87*D87*(1+GrowthMarketRent)^1,IF(I87="LeaseUp",LCNew*H87*D87*(1+GrowthMarketRent)^1,IF(I87="Option",LCRenewal*H87*D87*(1+GrowthMarketRent)^1,0))))),0))),0)</f>
        <v/>
      </c>
      <c r="AA87" s="14">
        <f>IFERROR(IF(AND(I87="LeaseUp",2=0),(IF(I87="Vacate",TINew*D87,IF(I87="Market",Retention*TIRenewal*D87+(1-Retention)*TINew*D87,IF(I87="LeaseUp",TINew*D87,IF(I87="Option",TIRenewal*D87,0)))))+(IF(I87="Vacate",LCNew*H87*D87*(1+GrowthMarketRent)^2,IF(I87="Market",Retention*LCRenewal*H87*D87*(1+GrowthMarketRent)^2+(1-Retention)*LCNew*H87*D87*(1+GrowthMarketRent)^2,IF(I87="LeaseUp",LCNew*H87*D87*(1+GrowthMarketRent)^2,IF(I87="Option",LCRenewal*H87*D87*(1+GrowthMarketRent)^2,0))))),IF(F87="",0,IF(AND(F87&gt;=DATE(2026+2,5,1),F87&lt;=DATE(2027+2,4,30)),(IF(I87="Vacate",TINew*D87,IF(I87="Market",Retention*TIRenewal*D87+(1-Retention)*TINew*D87,IF(I87="LeaseUp",TINew*D87,IF(I87="Option",TIRenewal*D87,0)))))+(IF(I87="Vacate",LCNew*H87*D87*(1+GrowthMarketRent)^2,IF(I87="Market",Retention*LCRenewal*H87*D87*(1+GrowthMarketRent)^2+(1-Retention)*LCNew*H87*D87*(1+GrowthMarketRent)^2,IF(I87="LeaseUp",LCNew*H87*D87*(1+GrowthMarketRent)^2,IF(I87="Option",LCRenewal*H87*D87*(1+GrowthMarketRent)^2,0))))),0))),0)</f>
        <v/>
      </c>
      <c r="AB87" s="14">
        <f>IFERROR(IF(AND(I87="LeaseUp",3=0),(IF(I87="Vacate",TINew*D87,IF(I87="Market",Retention*TIRenewal*D87+(1-Retention)*TINew*D87,IF(I87="LeaseUp",TINew*D87,IF(I87="Option",TIRenewal*D87,0)))))+(IF(I87="Vacate",LCNew*H87*D87*(1+GrowthMarketRent)^3,IF(I87="Market",Retention*LCRenewal*H87*D87*(1+GrowthMarketRent)^3+(1-Retention)*LCNew*H87*D87*(1+GrowthMarketRent)^3,IF(I87="LeaseUp",LCNew*H87*D87*(1+GrowthMarketRent)^3,IF(I87="Option",LCRenewal*H87*D87*(1+GrowthMarketRent)^3,0))))),IF(F87="",0,IF(AND(F87&gt;=DATE(2026+3,5,1),F87&lt;=DATE(2027+3,4,30)),(IF(I87="Vacate",TINew*D87,IF(I87="Market",Retention*TIRenewal*D87+(1-Retention)*TINew*D87,IF(I87="LeaseUp",TINew*D87,IF(I87="Option",TIRenewal*D87,0)))))+(IF(I87="Vacate",LCNew*H87*D87*(1+GrowthMarketRent)^3,IF(I87="Market",Retention*LCRenewal*H87*D87*(1+GrowthMarketRent)^3+(1-Retention)*LCNew*H87*D87*(1+GrowthMarketRent)^3,IF(I87="LeaseUp",LCNew*H87*D87*(1+GrowthMarketRent)^3,IF(I87="Option",LCRenewal*H87*D87*(1+GrowthMarketRent)^3,0))))),0))),0)</f>
        <v/>
      </c>
      <c r="AC87" s="14">
        <f>IFERROR(IF(AND(I87="LeaseUp",4=0),(IF(I87="Vacate",TINew*D87,IF(I87="Market",Retention*TIRenewal*D87+(1-Retention)*TINew*D87,IF(I87="LeaseUp",TINew*D87,IF(I87="Option",TIRenewal*D87,0)))))+(IF(I87="Vacate",LCNew*H87*D87*(1+GrowthMarketRent)^4,IF(I87="Market",Retention*LCRenewal*H87*D87*(1+GrowthMarketRent)^4+(1-Retention)*LCNew*H87*D87*(1+GrowthMarketRent)^4,IF(I87="LeaseUp",LCNew*H87*D87*(1+GrowthMarketRent)^4,IF(I87="Option",LCRenewal*H87*D87*(1+GrowthMarketRent)^4,0))))),IF(F87="",0,IF(AND(F87&gt;=DATE(2026+4,5,1),F87&lt;=DATE(2027+4,4,30)),(IF(I87="Vacate",TINew*D87,IF(I87="Market",Retention*TIRenewal*D87+(1-Retention)*TINew*D87,IF(I87="LeaseUp",TINew*D87,IF(I87="Option",TIRenewal*D87,0)))))+(IF(I87="Vacate",LCNew*H87*D87*(1+GrowthMarketRent)^4,IF(I87="Market",Retention*LCRenewal*H87*D87*(1+GrowthMarketRent)^4+(1-Retention)*LCNew*H87*D87*(1+GrowthMarketRent)^4,IF(I87="LeaseUp",LCNew*H87*D87*(1+GrowthMarketRent)^4,IF(I87="Option",LCRenewal*H87*D87*(1+GrowthMarketRent)^4,0))))),0))),0)</f>
        <v/>
      </c>
      <c r="AD87" s="14">
        <f>IFERROR(IF(AND(I87="LeaseUp",5=0),(IF(I87="Vacate",TINew*D87,IF(I87="Market",Retention*TIRenewal*D87+(1-Retention)*TINew*D87,IF(I87="LeaseUp",TINew*D87,IF(I87="Option",TIRenewal*D87,0)))))+(IF(I87="Vacate",LCNew*H87*D87*(1+GrowthMarketRent)^5,IF(I87="Market",Retention*LCRenewal*H87*D87*(1+GrowthMarketRent)^5+(1-Retention)*LCNew*H87*D87*(1+GrowthMarketRent)^5,IF(I87="LeaseUp",LCNew*H87*D87*(1+GrowthMarketRent)^5,IF(I87="Option",LCRenewal*H87*D87*(1+GrowthMarketRent)^5,0))))),IF(F87="",0,IF(AND(F87&gt;=DATE(2026+5,5,1),F87&lt;=DATE(2027+5,4,30)),(IF(I87="Vacate",TINew*D87,IF(I87="Market",Retention*TIRenewal*D87+(1-Retention)*TINew*D87,IF(I87="LeaseUp",TINew*D87,IF(I87="Option",TIRenewal*D87,0)))))+(IF(I87="Vacate",LCNew*H87*D87*(1+GrowthMarketRent)^5,IF(I87="Market",Retention*LCRenewal*H87*D87*(1+GrowthMarketRent)^5+(1-Retention)*LCNew*H87*D87*(1+GrowthMarketRent)^5,IF(I87="LeaseUp",LCNew*H87*D87*(1+GrowthMarketRent)^5,IF(I87="Option",LCRenewal*H87*D87*(1+GrowthMarketRent)^5,0))))),0))),0)</f>
        <v/>
      </c>
      <c r="AE87" s="14">
        <f>IFERROR(IF(AND(I87="LeaseUp",6=0),(IF(I87="Vacate",TINew*D87,IF(I87="Market",Retention*TIRenewal*D87+(1-Retention)*TINew*D87,IF(I87="LeaseUp",TINew*D87,IF(I87="Option",TIRenewal*D87,0)))))+(IF(I87="Vacate",LCNew*H87*D87*(1+GrowthMarketRent)^6,IF(I87="Market",Retention*LCRenewal*H87*D87*(1+GrowthMarketRent)^6+(1-Retention)*LCNew*H87*D87*(1+GrowthMarketRent)^6,IF(I87="LeaseUp",LCNew*H87*D87*(1+GrowthMarketRent)^6,IF(I87="Option",LCRenewal*H87*D87*(1+GrowthMarketRent)^6,0))))),IF(F87="",0,IF(AND(F87&gt;=DATE(2026+6,5,1),F87&lt;=DATE(2027+6,4,30)),(IF(I87="Vacate",TINew*D87,IF(I87="Market",Retention*TIRenewal*D87+(1-Retention)*TINew*D87,IF(I87="LeaseUp",TINew*D87,IF(I87="Option",TIRenewal*D87,0)))))+(IF(I87="Vacate",LCNew*H87*D87*(1+GrowthMarketRent)^6,IF(I87="Market",Retention*LCRenewal*H87*D87*(1+GrowthMarketRent)^6+(1-Retention)*LCNew*H87*D87*(1+GrowthMarketRent)^6,IF(I87="LeaseUp",LCNew*H87*D87*(1+GrowthMarketRent)^6,IF(I87="Option",LCRenewal*H87*D87*(1+GrowthMarketRent)^6,0))))),0))),0)</f>
        <v/>
      </c>
      <c r="AF87" s="14">
        <f>IFERROR(IF(AND(I87="LeaseUp",7=0),(IF(I87="Vacate",TINew*D87,IF(I87="Market",Retention*TIRenewal*D87+(1-Retention)*TINew*D87,IF(I87="LeaseUp",TINew*D87,IF(I87="Option",TIRenewal*D87,0)))))+(IF(I87="Vacate",LCNew*H87*D87*(1+GrowthMarketRent)^7,IF(I87="Market",Retention*LCRenewal*H87*D87*(1+GrowthMarketRent)^7+(1-Retention)*LCNew*H87*D87*(1+GrowthMarketRent)^7,IF(I87="LeaseUp",LCNew*H87*D87*(1+GrowthMarketRent)^7,IF(I87="Option",LCRenewal*H87*D87*(1+GrowthMarketRent)^7,0))))),IF(F87="",0,IF(AND(F87&gt;=DATE(2026+7,5,1),F87&lt;=DATE(2027+7,4,30)),(IF(I87="Vacate",TINew*D87,IF(I87="Market",Retention*TIRenewal*D87+(1-Retention)*TINew*D87,IF(I87="LeaseUp",TINew*D87,IF(I87="Option",TIRenewal*D87,0)))))+(IF(I87="Vacate",LCNew*H87*D87*(1+GrowthMarketRent)^7,IF(I87="Market",Retention*LCRenewal*H87*D87*(1+GrowthMarketRent)^7+(1-Retention)*LCNew*H87*D87*(1+GrowthMarketRent)^7,IF(I87="LeaseUp",LCNew*H87*D87*(1+GrowthMarketRent)^7,IF(I87="Option",LCRenewal*H87*D87*(1+GrowthMarketRent)^7,0))))),0))),0)</f>
        <v/>
      </c>
      <c r="AG87" s="14">
        <f>IFERROR(IF(AND(I87="LeaseUp",8=0),(IF(I87="Vacate",TINew*D87,IF(I87="Market",Retention*TIRenewal*D87+(1-Retention)*TINew*D87,IF(I87="LeaseUp",TINew*D87,IF(I87="Option",TIRenewal*D87,0)))))+(IF(I87="Vacate",LCNew*H87*D87*(1+GrowthMarketRent)^8,IF(I87="Market",Retention*LCRenewal*H87*D87*(1+GrowthMarketRent)^8+(1-Retention)*LCNew*H87*D87*(1+GrowthMarketRent)^8,IF(I87="LeaseUp",LCNew*H87*D87*(1+GrowthMarketRent)^8,IF(I87="Option",LCRenewal*H87*D87*(1+GrowthMarketRent)^8,0))))),IF(F87="",0,IF(AND(F87&gt;=DATE(2026+8,5,1),F87&lt;=DATE(2027+8,4,30)),(IF(I87="Vacate",TINew*D87,IF(I87="Market",Retention*TIRenewal*D87+(1-Retention)*TINew*D87,IF(I87="LeaseUp",TINew*D87,IF(I87="Option",TIRenewal*D87,0)))))+(IF(I87="Vacate",LCNew*H87*D87*(1+GrowthMarketRent)^8,IF(I87="Market",Retention*LCRenewal*H87*D87*(1+GrowthMarketRent)^8+(1-Retention)*LCNew*H87*D87*(1+GrowthMarketRent)^8,IF(I87="LeaseUp",LCNew*H87*D87*(1+GrowthMarketRent)^8,IF(I87="Option",LCRenewal*H87*D87*(1+GrowthMarketRent)^8,0))))),0))),0)</f>
        <v/>
      </c>
      <c r="AH87" s="14">
        <f>IFERROR(IF(AND(I87="LeaseUp",9=0),(IF(I87="Vacate",TINew*D87,IF(I87="Market",Retention*TIRenewal*D87+(1-Retention)*TINew*D87,IF(I87="LeaseUp",TINew*D87,IF(I87="Option",TIRenewal*D87,0)))))+(IF(I87="Vacate",LCNew*H87*D87*(1+GrowthMarketRent)^9,IF(I87="Market",Retention*LCRenewal*H87*D87*(1+GrowthMarketRent)^9+(1-Retention)*LCNew*H87*D87*(1+GrowthMarketRent)^9,IF(I87="LeaseUp",LCNew*H87*D87*(1+GrowthMarketRent)^9,IF(I87="Option",LCRenewal*H87*D87*(1+GrowthMarketRent)^9,0))))),IF(F87="",0,IF(AND(F87&gt;=DATE(2026+9,5,1),F87&lt;=DATE(2027+9,4,30)),(IF(I87="Vacate",TINew*D87,IF(I87="Market",Retention*TIRenewal*D87+(1-Retention)*TINew*D87,IF(I87="LeaseUp",TINew*D87,IF(I87="Option",TIRenewal*D87,0)))))+(IF(I87="Vacate",LCNew*H87*D87*(1+GrowthMarketRent)^9,IF(I87="Market",Retention*LCRenewal*H87*D87*(1+GrowthMarketRent)^9+(1-Retention)*LCNew*H87*D87*(1+GrowthMarketRent)^9,IF(I87="LeaseUp",LCNew*H87*D87*(1+GrowthMarketRent)^9,IF(I87="Option",LCRenewal*H87*D87*(1+GrowthMarketRent)^9,0))))),0))),0)</f>
        <v/>
      </c>
      <c r="AI87" s="14">
        <f>IFERROR(IF(AND(I87="LeaseUp",10=0),(IF(I87="Vacate",TINew*D87,IF(I87="Market",Retention*TIRenewal*D87+(1-Retention)*TINew*D87,IF(I87="LeaseUp",TINew*D87,IF(I87="Option",TIRenewal*D87,0)))))+(IF(I87="Vacate",LCNew*H87*D87*(1+GrowthMarketRent)^10,IF(I87="Market",Retention*LCRenewal*H87*D87*(1+GrowthMarketRent)^10+(1-Retention)*LCNew*H87*D87*(1+GrowthMarketRent)^10,IF(I87="LeaseUp",LCNew*H87*D87*(1+GrowthMarketRent)^10,IF(I87="Option",LCRenewal*H87*D87*(1+GrowthMarketRent)^10,0))))),IF(F87="",0,IF(AND(F87&gt;=DATE(2026+10,5,1),F87&lt;=DATE(2027+10,4,30)),(IF(I87="Vacate",TINew*D87,IF(I87="Market",Retention*TIRenewal*D87+(1-Retention)*TINew*D87,IF(I87="LeaseUp",TINew*D87,IF(I87="Option",TIRenewal*D87,0)))))+(IF(I87="Vacate",LCNew*H87*D87*(1+GrowthMarketRent)^10,IF(I87="Market",Retention*LCRenewal*H87*D87*(1+GrowthMarketRent)^10+(1-Retention)*LCNew*H87*D87*(1+GrowthMarketRent)^10,IF(I87="LeaseUp",LCNew*H87*D87*(1+GrowthMarketRent)^10,IF(I87="Option",LCRenewal*H87*D87*(1+GrowthMarketRent)^10,0))))),0))),0)</f>
        <v/>
      </c>
    </row>
    <row r="88">
      <c r="A88" t="inlineStr">
        <is>
          <t>Mesquite</t>
        </is>
      </c>
      <c r="B88" t="inlineStr">
        <is>
          <t>208</t>
        </is>
      </c>
      <c r="C88" t="inlineStr">
        <is>
          <t>Richard Rome</t>
        </is>
      </c>
      <c r="D88" s="32" t="n">
        <v>1870</v>
      </c>
      <c r="E88" s="33" t="n">
        <v>45231</v>
      </c>
      <c r="F88" s="33" t="n">
        <v>46508</v>
      </c>
      <c r="G88" s="34" t="n">
        <v>15.7593582887701</v>
      </c>
      <c r="H88" s="16">
        <f>VLOOKUP(A88,MLA!$A$5:$L$11,3,FALSE)</f>
        <v/>
      </c>
      <c r="I88" s="11" t="inlineStr">
        <is>
          <t>Vacate</t>
        </is>
      </c>
      <c r="J88" t="inlineStr">
        <is>
          <t>Studio</t>
        </is>
      </c>
      <c r="K88" t="inlineStr">
        <is>
          <t>Occupied</t>
        </is>
      </c>
      <c r="L88" t="inlineStr">
        <is>
          <t>Studio; assumed vacate 05/27; Guarantor: Richard Rome</t>
        </is>
      </c>
      <c r="M88" s="20">
        <f>IF(E88="",0,(AnalysisStart-E88)/365.25)</f>
        <v/>
      </c>
      <c r="N88" s="14">
        <f>IFERROR(IF(I88="LeaseUp",H88*D88*(1+GrowthMarketRent)^0*IF(0=0,(12-DowntimeNew)/12,1),IF(F88="",0,IF(F88&gt;=DATE(2027+0,4,30),G88*D88*(1+EscalatorInLease)^(0+M88),IF(F88&lt;DATE(2026+0,5,1),IF(I88="Vacate",H88*D88*(1+GrowthMarketRent)^0*IF(INT((DATE(2026+0,10,31)-F88)/365.25)=0,(12-DowntimeNew)/12,1),IF(I88="Option",G88*D88*1.025*(1+EscalatorInLease)^0,IF(I88="Market",Retention*G88*D88*(1+EscalatorInLease)^(0+M88)+(1-Retention)*H88*D88*(1+GrowthMarketRent)^0*IF(INT((DATE(2026+0,10,31)-F88)/365.25)=0,(12-DowntimeNew)/12,1),IF(I88="LeaseUp",H88*D88*(1+GrowthMarketRent)^0*IF(0=0,(12-DowntimeNew)/12,1),0)))),((F88-DATE(2026+0,5,1))/365.25)*G88*D88*(1+EscalatorInLease)^(0+M88)+((DATE(2027+0,4,30)-F88)/365.25)*IF(I88="Vacate",H88*D88*(1+GrowthMarketRent)^0*IF(INT((DATE(2026+0,10,31)-F88)/365.25)=0,(12-DowntimeNew)/12,1),IF(I88="Option",G88*D88*1.025*(1+EscalatorInLease)^0,IF(I88="Market",Retention*G88*D88*(1+EscalatorInLease)^(0+M88)+(1-Retention)*H88*D88*(1+GrowthMarketRent)^0*IF(INT((DATE(2026+0,10,31)-F88)/365.25)=0,(12-DowntimeNew)/12,1),IF(I88="LeaseUp",H88*D88*(1+GrowthMarketRent)^0*IF(0=0,(12-DowntimeNew)/12,1),0)))))))),0)</f>
        <v/>
      </c>
      <c r="O88" s="14">
        <f>IFERROR(IF(I88="LeaseUp",H88*D88*(1+GrowthMarketRent)^1*IF(1=0,(12-DowntimeNew)/12,1),IF(F88="",0,IF(F88&gt;=DATE(2027+1,4,30),G88*D88*(1+EscalatorInLease)^(1+M88),IF(F88&lt;DATE(2026+1,5,1),IF(I88="Vacate",H88*D88*(1+GrowthMarketRent)^1*IF(INT((DATE(2026+1,10,31)-F88)/365.25)=0,(12-DowntimeNew)/12,1),IF(I88="Option",G88*D88*1.025*(1+EscalatorInLease)^1,IF(I88="Market",Retention*G88*D88*(1+EscalatorInLease)^(1+M88)+(1-Retention)*H88*D88*(1+GrowthMarketRent)^1*IF(INT((DATE(2026+1,10,31)-F88)/365.25)=0,(12-DowntimeNew)/12,1),IF(I88="LeaseUp",H88*D88*(1+GrowthMarketRent)^1*IF(1=0,(12-DowntimeNew)/12,1),0)))),((F88-DATE(2026+1,5,1))/365.25)*G88*D88*(1+EscalatorInLease)^(1+M88)+((DATE(2027+1,4,30)-F88)/365.25)*IF(I88="Vacate",H88*D88*(1+GrowthMarketRent)^1*IF(INT((DATE(2026+1,10,31)-F88)/365.25)=0,(12-DowntimeNew)/12,1),IF(I88="Option",G88*D88*1.025*(1+EscalatorInLease)^1,IF(I88="Market",Retention*G88*D88*(1+EscalatorInLease)^(1+M88)+(1-Retention)*H88*D88*(1+GrowthMarketRent)^1*IF(INT((DATE(2026+1,10,31)-F88)/365.25)=0,(12-DowntimeNew)/12,1),IF(I88="LeaseUp",H88*D88*(1+GrowthMarketRent)^1*IF(1=0,(12-DowntimeNew)/12,1),0)))))))),0)</f>
        <v/>
      </c>
      <c r="P88" s="14">
        <f>IFERROR(IF(I88="LeaseUp",H88*D88*(1+GrowthMarketRent)^2*IF(2=0,(12-DowntimeNew)/12,1),IF(F88="",0,IF(F88&gt;=DATE(2027+2,4,30),G88*D88*(1+EscalatorInLease)^(2+M88),IF(F88&lt;DATE(2026+2,5,1),IF(I88="Vacate",H88*D88*(1+GrowthMarketRent)^2*IF(INT((DATE(2026+2,10,31)-F88)/365.25)=0,(12-DowntimeNew)/12,1),IF(I88="Option",G88*D88*1.025*(1+EscalatorInLease)^2,IF(I88="Market",Retention*G88*D88*(1+EscalatorInLease)^(2+M88)+(1-Retention)*H88*D88*(1+GrowthMarketRent)^2*IF(INT((DATE(2026+2,10,31)-F88)/365.25)=0,(12-DowntimeNew)/12,1),IF(I88="LeaseUp",H88*D88*(1+GrowthMarketRent)^2*IF(2=0,(12-DowntimeNew)/12,1),0)))),((F88-DATE(2026+2,5,1))/365.25)*G88*D88*(1+EscalatorInLease)^(2+M88)+((DATE(2027+2,4,30)-F88)/365.25)*IF(I88="Vacate",H88*D88*(1+GrowthMarketRent)^2*IF(INT((DATE(2026+2,10,31)-F88)/365.25)=0,(12-DowntimeNew)/12,1),IF(I88="Option",G88*D88*1.025*(1+EscalatorInLease)^2,IF(I88="Market",Retention*G88*D88*(1+EscalatorInLease)^(2+M88)+(1-Retention)*H88*D88*(1+GrowthMarketRent)^2*IF(INT((DATE(2026+2,10,31)-F88)/365.25)=0,(12-DowntimeNew)/12,1),IF(I88="LeaseUp",H88*D88*(1+GrowthMarketRent)^2*IF(2=0,(12-DowntimeNew)/12,1),0)))))))),0)</f>
        <v/>
      </c>
      <c r="Q88" s="14">
        <f>IFERROR(IF(I88="LeaseUp",H88*D88*(1+GrowthMarketRent)^3*IF(3=0,(12-DowntimeNew)/12,1),IF(F88="",0,IF(F88&gt;=DATE(2027+3,4,30),G88*D88*(1+EscalatorInLease)^(3+M88),IF(F88&lt;DATE(2026+3,5,1),IF(I88="Vacate",H88*D88*(1+GrowthMarketRent)^3*IF(INT((DATE(2026+3,10,31)-F88)/365.25)=0,(12-DowntimeNew)/12,1),IF(I88="Option",G88*D88*1.025*(1+EscalatorInLease)^3,IF(I88="Market",Retention*G88*D88*(1+EscalatorInLease)^(3+M88)+(1-Retention)*H88*D88*(1+GrowthMarketRent)^3*IF(INT((DATE(2026+3,10,31)-F88)/365.25)=0,(12-DowntimeNew)/12,1),IF(I88="LeaseUp",H88*D88*(1+GrowthMarketRent)^3*IF(3=0,(12-DowntimeNew)/12,1),0)))),((F88-DATE(2026+3,5,1))/365.25)*G88*D88*(1+EscalatorInLease)^(3+M88)+((DATE(2027+3,4,30)-F88)/365.25)*IF(I88="Vacate",H88*D88*(1+GrowthMarketRent)^3*IF(INT((DATE(2026+3,10,31)-F88)/365.25)=0,(12-DowntimeNew)/12,1),IF(I88="Option",G88*D88*1.025*(1+EscalatorInLease)^3,IF(I88="Market",Retention*G88*D88*(1+EscalatorInLease)^(3+M88)+(1-Retention)*H88*D88*(1+GrowthMarketRent)^3*IF(INT((DATE(2026+3,10,31)-F88)/365.25)=0,(12-DowntimeNew)/12,1),IF(I88="LeaseUp",H88*D88*(1+GrowthMarketRent)^3*IF(3=0,(12-DowntimeNew)/12,1),0)))))))),0)</f>
        <v/>
      </c>
      <c r="R88" s="14">
        <f>IFERROR(IF(I88="LeaseUp",H88*D88*(1+GrowthMarketRent)^4*IF(4=0,(12-DowntimeNew)/12,1),IF(F88="",0,IF(F88&gt;=DATE(2027+4,4,30),G88*D88*(1+EscalatorInLease)^(4+M88),IF(F88&lt;DATE(2026+4,5,1),IF(I88="Vacate",H88*D88*(1+GrowthMarketRent)^4*IF(INT((DATE(2026+4,10,31)-F88)/365.25)=0,(12-DowntimeNew)/12,1),IF(I88="Option",G88*D88*1.025*(1+EscalatorInLease)^4,IF(I88="Market",Retention*G88*D88*(1+EscalatorInLease)^(4+M88)+(1-Retention)*H88*D88*(1+GrowthMarketRent)^4*IF(INT((DATE(2026+4,10,31)-F88)/365.25)=0,(12-DowntimeNew)/12,1),IF(I88="LeaseUp",H88*D88*(1+GrowthMarketRent)^4*IF(4=0,(12-DowntimeNew)/12,1),0)))),((F88-DATE(2026+4,5,1))/365.25)*G88*D88*(1+EscalatorInLease)^(4+M88)+((DATE(2027+4,4,30)-F88)/365.25)*IF(I88="Vacate",H88*D88*(1+GrowthMarketRent)^4*IF(INT((DATE(2026+4,10,31)-F88)/365.25)=0,(12-DowntimeNew)/12,1),IF(I88="Option",G88*D88*1.025*(1+EscalatorInLease)^4,IF(I88="Market",Retention*G88*D88*(1+EscalatorInLease)^(4+M88)+(1-Retention)*H88*D88*(1+GrowthMarketRent)^4*IF(INT((DATE(2026+4,10,31)-F88)/365.25)=0,(12-DowntimeNew)/12,1),IF(I88="LeaseUp",H88*D88*(1+GrowthMarketRent)^4*IF(4=0,(12-DowntimeNew)/12,1),0)))))))),0)</f>
        <v/>
      </c>
      <c r="S88" s="14">
        <f>IFERROR(IF(I88="LeaseUp",H88*D88*(1+GrowthMarketRent)^5*IF(5=0,(12-DowntimeNew)/12,1),IF(F88="",0,IF(F88&gt;=DATE(2027+5,4,30),G88*D88*(1+EscalatorInLease)^(5+M88),IF(F88&lt;DATE(2026+5,5,1),IF(I88="Vacate",H88*D88*(1+GrowthMarketRent)^5*IF(INT((DATE(2026+5,10,31)-F88)/365.25)=0,(12-DowntimeNew)/12,1),IF(I88="Option",G88*D88*1.025*(1+EscalatorInLease)^5,IF(I88="Market",Retention*G88*D88*(1+EscalatorInLease)^(5+M88)+(1-Retention)*H88*D88*(1+GrowthMarketRent)^5*IF(INT((DATE(2026+5,10,31)-F88)/365.25)=0,(12-DowntimeNew)/12,1),IF(I88="LeaseUp",H88*D88*(1+GrowthMarketRent)^5*IF(5=0,(12-DowntimeNew)/12,1),0)))),((F88-DATE(2026+5,5,1))/365.25)*G88*D88*(1+EscalatorInLease)^(5+M88)+((DATE(2027+5,4,30)-F88)/365.25)*IF(I88="Vacate",H88*D88*(1+GrowthMarketRent)^5*IF(INT((DATE(2026+5,10,31)-F88)/365.25)=0,(12-DowntimeNew)/12,1),IF(I88="Option",G88*D88*1.025*(1+EscalatorInLease)^5,IF(I88="Market",Retention*G88*D88*(1+EscalatorInLease)^(5+M88)+(1-Retention)*H88*D88*(1+GrowthMarketRent)^5*IF(INT((DATE(2026+5,10,31)-F88)/365.25)=0,(12-DowntimeNew)/12,1),IF(I88="LeaseUp",H88*D88*(1+GrowthMarketRent)^5*IF(5=0,(12-DowntimeNew)/12,1),0)))))))),0)</f>
        <v/>
      </c>
      <c r="T88" s="14">
        <f>IFERROR(IF(I88="LeaseUp",H88*D88*(1+GrowthMarketRent)^6*IF(6=0,(12-DowntimeNew)/12,1),IF(F88="",0,IF(F88&gt;=DATE(2027+6,4,30),G88*D88*(1+EscalatorInLease)^(6+M88),IF(F88&lt;DATE(2026+6,5,1),IF(I88="Vacate",H88*D88*(1+GrowthMarketRent)^6*IF(INT((DATE(2026+6,10,31)-F88)/365.25)=0,(12-DowntimeNew)/12,1),IF(I88="Option",G88*D88*1.025*(1+EscalatorInLease)^6,IF(I88="Market",Retention*G88*D88*(1+EscalatorInLease)^(6+M88)+(1-Retention)*H88*D88*(1+GrowthMarketRent)^6*IF(INT((DATE(2026+6,10,31)-F88)/365.25)=0,(12-DowntimeNew)/12,1),IF(I88="LeaseUp",H88*D88*(1+GrowthMarketRent)^6*IF(6=0,(12-DowntimeNew)/12,1),0)))),((F88-DATE(2026+6,5,1))/365.25)*G88*D88*(1+EscalatorInLease)^(6+M88)+((DATE(2027+6,4,30)-F88)/365.25)*IF(I88="Vacate",H88*D88*(1+GrowthMarketRent)^6*IF(INT((DATE(2026+6,10,31)-F88)/365.25)=0,(12-DowntimeNew)/12,1),IF(I88="Option",G88*D88*1.025*(1+EscalatorInLease)^6,IF(I88="Market",Retention*G88*D88*(1+EscalatorInLease)^(6+M88)+(1-Retention)*H88*D88*(1+GrowthMarketRent)^6*IF(INT((DATE(2026+6,10,31)-F88)/365.25)=0,(12-DowntimeNew)/12,1),IF(I88="LeaseUp",H88*D88*(1+GrowthMarketRent)^6*IF(6=0,(12-DowntimeNew)/12,1),0)))))))),0)</f>
        <v/>
      </c>
      <c r="U88" s="14">
        <f>IFERROR(IF(I88="LeaseUp",H88*D88*(1+GrowthMarketRent)^7*IF(7=0,(12-DowntimeNew)/12,1),IF(F88="",0,IF(F88&gt;=DATE(2027+7,4,30),G88*D88*(1+EscalatorInLease)^(7+M88),IF(F88&lt;DATE(2026+7,5,1),IF(I88="Vacate",H88*D88*(1+GrowthMarketRent)^7*IF(INT((DATE(2026+7,10,31)-F88)/365.25)=0,(12-DowntimeNew)/12,1),IF(I88="Option",G88*D88*1.025*(1+EscalatorInLease)^7,IF(I88="Market",Retention*G88*D88*(1+EscalatorInLease)^(7+M88)+(1-Retention)*H88*D88*(1+GrowthMarketRent)^7*IF(INT((DATE(2026+7,10,31)-F88)/365.25)=0,(12-DowntimeNew)/12,1),IF(I88="LeaseUp",H88*D88*(1+GrowthMarketRent)^7*IF(7=0,(12-DowntimeNew)/12,1),0)))),((F88-DATE(2026+7,5,1))/365.25)*G88*D88*(1+EscalatorInLease)^(7+M88)+((DATE(2027+7,4,30)-F88)/365.25)*IF(I88="Vacate",H88*D88*(1+GrowthMarketRent)^7*IF(INT((DATE(2026+7,10,31)-F88)/365.25)=0,(12-DowntimeNew)/12,1),IF(I88="Option",G88*D88*1.025*(1+EscalatorInLease)^7,IF(I88="Market",Retention*G88*D88*(1+EscalatorInLease)^(7+M88)+(1-Retention)*H88*D88*(1+GrowthMarketRent)^7*IF(INT((DATE(2026+7,10,31)-F88)/365.25)=0,(12-DowntimeNew)/12,1),IF(I88="LeaseUp",H88*D88*(1+GrowthMarketRent)^7*IF(7=0,(12-DowntimeNew)/12,1),0)))))))),0)</f>
        <v/>
      </c>
      <c r="V88" s="14">
        <f>IFERROR(IF(I88="LeaseUp",H88*D88*(1+GrowthMarketRent)^8*IF(8=0,(12-DowntimeNew)/12,1),IF(F88="",0,IF(F88&gt;=DATE(2027+8,4,30),G88*D88*(1+EscalatorInLease)^(8+M88),IF(F88&lt;DATE(2026+8,5,1),IF(I88="Vacate",H88*D88*(1+GrowthMarketRent)^8*IF(INT((DATE(2026+8,10,31)-F88)/365.25)=0,(12-DowntimeNew)/12,1),IF(I88="Option",G88*D88*1.025*(1+EscalatorInLease)^8,IF(I88="Market",Retention*G88*D88*(1+EscalatorInLease)^(8+M88)+(1-Retention)*H88*D88*(1+GrowthMarketRent)^8*IF(INT((DATE(2026+8,10,31)-F88)/365.25)=0,(12-DowntimeNew)/12,1),IF(I88="LeaseUp",H88*D88*(1+GrowthMarketRent)^8*IF(8=0,(12-DowntimeNew)/12,1),0)))),((F88-DATE(2026+8,5,1))/365.25)*G88*D88*(1+EscalatorInLease)^(8+M88)+((DATE(2027+8,4,30)-F88)/365.25)*IF(I88="Vacate",H88*D88*(1+GrowthMarketRent)^8*IF(INT((DATE(2026+8,10,31)-F88)/365.25)=0,(12-DowntimeNew)/12,1),IF(I88="Option",G88*D88*1.025*(1+EscalatorInLease)^8,IF(I88="Market",Retention*G88*D88*(1+EscalatorInLease)^(8+M88)+(1-Retention)*H88*D88*(1+GrowthMarketRent)^8*IF(INT((DATE(2026+8,10,31)-F88)/365.25)=0,(12-DowntimeNew)/12,1),IF(I88="LeaseUp",H88*D88*(1+GrowthMarketRent)^8*IF(8=0,(12-DowntimeNew)/12,1),0)))))))),0)</f>
        <v/>
      </c>
      <c r="W88" s="14">
        <f>IFERROR(IF(I88="LeaseUp",H88*D88*(1+GrowthMarketRent)^9*IF(9=0,(12-DowntimeNew)/12,1),IF(F88="",0,IF(F88&gt;=DATE(2027+9,4,30),G88*D88*(1+EscalatorInLease)^(9+M88),IF(F88&lt;DATE(2026+9,5,1),IF(I88="Vacate",H88*D88*(1+GrowthMarketRent)^9*IF(INT((DATE(2026+9,10,31)-F88)/365.25)=0,(12-DowntimeNew)/12,1),IF(I88="Option",G88*D88*1.025*(1+EscalatorInLease)^9,IF(I88="Market",Retention*G88*D88*(1+EscalatorInLease)^(9+M88)+(1-Retention)*H88*D88*(1+GrowthMarketRent)^9*IF(INT((DATE(2026+9,10,31)-F88)/365.25)=0,(12-DowntimeNew)/12,1),IF(I88="LeaseUp",H88*D88*(1+GrowthMarketRent)^9*IF(9=0,(12-DowntimeNew)/12,1),0)))),((F88-DATE(2026+9,5,1))/365.25)*G88*D88*(1+EscalatorInLease)^(9+M88)+((DATE(2027+9,4,30)-F88)/365.25)*IF(I88="Vacate",H88*D88*(1+GrowthMarketRent)^9*IF(INT((DATE(2026+9,10,31)-F88)/365.25)=0,(12-DowntimeNew)/12,1),IF(I88="Option",G88*D88*1.025*(1+EscalatorInLease)^9,IF(I88="Market",Retention*G88*D88*(1+EscalatorInLease)^(9+M88)+(1-Retention)*H88*D88*(1+GrowthMarketRent)^9*IF(INT((DATE(2026+9,10,31)-F88)/365.25)=0,(12-DowntimeNew)/12,1),IF(I88="LeaseUp",H88*D88*(1+GrowthMarketRent)^9*IF(9=0,(12-DowntimeNew)/12,1),0)))))))),0)</f>
        <v/>
      </c>
      <c r="X88" s="14">
        <f>IFERROR(IF(I88="LeaseUp",H88*D88*(1+GrowthMarketRent)^10*IF(10=0,(12-DowntimeNew)/12,1),IF(F88="",0,IF(F88&gt;=DATE(2027+10,4,30),G88*D88*(1+EscalatorInLease)^(10+M88),IF(F88&lt;DATE(2026+10,5,1),IF(I88="Vacate",H88*D88*(1+GrowthMarketRent)^10*IF(INT((DATE(2026+10,10,31)-F88)/365.25)=0,(12-DowntimeNew)/12,1),IF(I88="Option",G88*D88*1.025*(1+EscalatorInLease)^10,IF(I88="Market",Retention*G88*D88*(1+EscalatorInLease)^(10+M88)+(1-Retention)*H88*D88*(1+GrowthMarketRent)^10*IF(INT((DATE(2026+10,10,31)-F88)/365.25)=0,(12-DowntimeNew)/12,1),IF(I88="LeaseUp",H88*D88*(1+GrowthMarketRent)^10*IF(10=0,(12-DowntimeNew)/12,1),0)))),((F88-DATE(2026+10,5,1))/365.25)*G88*D88*(1+EscalatorInLease)^(10+M88)+((DATE(2027+10,4,30)-F88)/365.25)*IF(I88="Vacate",H88*D88*(1+GrowthMarketRent)^10*IF(INT((DATE(2026+10,10,31)-F88)/365.25)=0,(12-DowntimeNew)/12,1),IF(I88="Option",G88*D88*1.025*(1+EscalatorInLease)^10,IF(I88="Market",Retention*G88*D88*(1+EscalatorInLease)^(10+M88)+(1-Retention)*H88*D88*(1+GrowthMarketRent)^10*IF(INT((DATE(2026+10,10,31)-F88)/365.25)=0,(12-DowntimeNew)/12,1),IF(I88="LeaseUp",H88*D88*(1+GrowthMarketRent)^10*IF(10=0,(12-DowntimeNew)/12,1),0)))))))),0)</f>
        <v/>
      </c>
      <c r="Y88" s="14">
        <f>IFERROR(IF(AND(I88="LeaseUp",0=0),(IF(I88="Vacate",TINew*D88,IF(I88="Market",Retention*TIRenewal*D88+(1-Retention)*TINew*D88,IF(I88="LeaseUp",TINew*D88,IF(I88="Option",TIRenewal*D88,0)))))+(IF(I88="Vacate",LCNew*H88*D88*(1+GrowthMarketRent)^0,IF(I88="Market",Retention*LCRenewal*H88*D88*(1+GrowthMarketRent)^0+(1-Retention)*LCNew*H88*D88*(1+GrowthMarketRent)^0,IF(I88="LeaseUp",LCNew*H88*D88*(1+GrowthMarketRent)^0,IF(I88="Option",LCRenewal*H88*D88*(1+GrowthMarketRent)^0,0))))),IF(F88="",0,IF(AND(F88&gt;=DATE(2026+0,5,1),F88&lt;=DATE(2027+0,4,30)),(IF(I88="Vacate",TINew*D88,IF(I88="Market",Retention*TIRenewal*D88+(1-Retention)*TINew*D88,IF(I88="LeaseUp",TINew*D88,IF(I88="Option",TIRenewal*D88,0)))))+(IF(I88="Vacate",LCNew*H88*D88*(1+GrowthMarketRent)^0,IF(I88="Market",Retention*LCRenewal*H88*D88*(1+GrowthMarketRent)^0+(1-Retention)*LCNew*H88*D88*(1+GrowthMarketRent)^0,IF(I88="LeaseUp",LCNew*H88*D88*(1+GrowthMarketRent)^0,IF(I88="Option",LCRenewal*H88*D88*(1+GrowthMarketRent)^0,0))))),0))),0)</f>
        <v/>
      </c>
      <c r="Z88" s="14">
        <f>IFERROR(IF(AND(I88="LeaseUp",1=0),(IF(I88="Vacate",TINew*D88,IF(I88="Market",Retention*TIRenewal*D88+(1-Retention)*TINew*D88,IF(I88="LeaseUp",TINew*D88,IF(I88="Option",TIRenewal*D88,0)))))+(IF(I88="Vacate",LCNew*H88*D88*(1+GrowthMarketRent)^1,IF(I88="Market",Retention*LCRenewal*H88*D88*(1+GrowthMarketRent)^1+(1-Retention)*LCNew*H88*D88*(1+GrowthMarketRent)^1,IF(I88="LeaseUp",LCNew*H88*D88*(1+GrowthMarketRent)^1,IF(I88="Option",LCRenewal*H88*D88*(1+GrowthMarketRent)^1,0))))),IF(F88="",0,IF(AND(F88&gt;=DATE(2026+1,5,1),F88&lt;=DATE(2027+1,4,30)),(IF(I88="Vacate",TINew*D88,IF(I88="Market",Retention*TIRenewal*D88+(1-Retention)*TINew*D88,IF(I88="LeaseUp",TINew*D88,IF(I88="Option",TIRenewal*D88,0)))))+(IF(I88="Vacate",LCNew*H88*D88*(1+GrowthMarketRent)^1,IF(I88="Market",Retention*LCRenewal*H88*D88*(1+GrowthMarketRent)^1+(1-Retention)*LCNew*H88*D88*(1+GrowthMarketRent)^1,IF(I88="LeaseUp",LCNew*H88*D88*(1+GrowthMarketRent)^1,IF(I88="Option",LCRenewal*H88*D88*(1+GrowthMarketRent)^1,0))))),0))),0)</f>
        <v/>
      </c>
      <c r="AA88" s="14">
        <f>IFERROR(IF(AND(I88="LeaseUp",2=0),(IF(I88="Vacate",TINew*D88,IF(I88="Market",Retention*TIRenewal*D88+(1-Retention)*TINew*D88,IF(I88="LeaseUp",TINew*D88,IF(I88="Option",TIRenewal*D88,0)))))+(IF(I88="Vacate",LCNew*H88*D88*(1+GrowthMarketRent)^2,IF(I88="Market",Retention*LCRenewal*H88*D88*(1+GrowthMarketRent)^2+(1-Retention)*LCNew*H88*D88*(1+GrowthMarketRent)^2,IF(I88="LeaseUp",LCNew*H88*D88*(1+GrowthMarketRent)^2,IF(I88="Option",LCRenewal*H88*D88*(1+GrowthMarketRent)^2,0))))),IF(F88="",0,IF(AND(F88&gt;=DATE(2026+2,5,1),F88&lt;=DATE(2027+2,4,30)),(IF(I88="Vacate",TINew*D88,IF(I88="Market",Retention*TIRenewal*D88+(1-Retention)*TINew*D88,IF(I88="LeaseUp",TINew*D88,IF(I88="Option",TIRenewal*D88,0)))))+(IF(I88="Vacate",LCNew*H88*D88*(1+GrowthMarketRent)^2,IF(I88="Market",Retention*LCRenewal*H88*D88*(1+GrowthMarketRent)^2+(1-Retention)*LCNew*H88*D88*(1+GrowthMarketRent)^2,IF(I88="LeaseUp",LCNew*H88*D88*(1+GrowthMarketRent)^2,IF(I88="Option",LCRenewal*H88*D88*(1+GrowthMarketRent)^2,0))))),0))),0)</f>
        <v/>
      </c>
      <c r="AB88" s="14">
        <f>IFERROR(IF(AND(I88="LeaseUp",3=0),(IF(I88="Vacate",TINew*D88,IF(I88="Market",Retention*TIRenewal*D88+(1-Retention)*TINew*D88,IF(I88="LeaseUp",TINew*D88,IF(I88="Option",TIRenewal*D88,0)))))+(IF(I88="Vacate",LCNew*H88*D88*(1+GrowthMarketRent)^3,IF(I88="Market",Retention*LCRenewal*H88*D88*(1+GrowthMarketRent)^3+(1-Retention)*LCNew*H88*D88*(1+GrowthMarketRent)^3,IF(I88="LeaseUp",LCNew*H88*D88*(1+GrowthMarketRent)^3,IF(I88="Option",LCRenewal*H88*D88*(1+GrowthMarketRent)^3,0))))),IF(F88="",0,IF(AND(F88&gt;=DATE(2026+3,5,1),F88&lt;=DATE(2027+3,4,30)),(IF(I88="Vacate",TINew*D88,IF(I88="Market",Retention*TIRenewal*D88+(1-Retention)*TINew*D88,IF(I88="LeaseUp",TINew*D88,IF(I88="Option",TIRenewal*D88,0)))))+(IF(I88="Vacate",LCNew*H88*D88*(1+GrowthMarketRent)^3,IF(I88="Market",Retention*LCRenewal*H88*D88*(1+GrowthMarketRent)^3+(1-Retention)*LCNew*H88*D88*(1+GrowthMarketRent)^3,IF(I88="LeaseUp",LCNew*H88*D88*(1+GrowthMarketRent)^3,IF(I88="Option",LCRenewal*H88*D88*(1+GrowthMarketRent)^3,0))))),0))),0)</f>
        <v/>
      </c>
      <c r="AC88" s="14">
        <f>IFERROR(IF(AND(I88="LeaseUp",4=0),(IF(I88="Vacate",TINew*D88,IF(I88="Market",Retention*TIRenewal*D88+(1-Retention)*TINew*D88,IF(I88="LeaseUp",TINew*D88,IF(I88="Option",TIRenewal*D88,0)))))+(IF(I88="Vacate",LCNew*H88*D88*(1+GrowthMarketRent)^4,IF(I88="Market",Retention*LCRenewal*H88*D88*(1+GrowthMarketRent)^4+(1-Retention)*LCNew*H88*D88*(1+GrowthMarketRent)^4,IF(I88="LeaseUp",LCNew*H88*D88*(1+GrowthMarketRent)^4,IF(I88="Option",LCRenewal*H88*D88*(1+GrowthMarketRent)^4,0))))),IF(F88="",0,IF(AND(F88&gt;=DATE(2026+4,5,1),F88&lt;=DATE(2027+4,4,30)),(IF(I88="Vacate",TINew*D88,IF(I88="Market",Retention*TIRenewal*D88+(1-Retention)*TINew*D88,IF(I88="LeaseUp",TINew*D88,IF(I88="Option",TIRenewal*D88,0)))))+(IF(I88="Vacate",LCNew*H88*D88*(1+GrowthMarketRent)^4,IF(I88="Market",Retention*LCRenewal*H88*D88*(1+GrowthMarketRent)^4+(1-Retention)*LCNew*H88*D88*(1+GrowthMarketRent)^4,IF(I88="LeaseUp",LCNew*H88*D88*(1+GrowthMarketRent)^4,IF(I88="Option",LCRenewal*H88*D88*(1+GrowthMarketRent)^4,0))))),0))),0)</f>
        <v/>
      </c>
      <c r="AD88" s="14">
        <f>IFERROR(IF(AND(I88="LeaseUp",5=0),(IF(I88="Vacate",TINew*D88,IF(I88="Market",Retention*TIRenewal*D88+(1-Retention)*TINew*D88,IF(I88="LeaseUp",TINew*D88,IF(I88="Option",TIRenewal*D88,0)))))+(IF(I88="Vacate",LCNew*H88*D88*(1+GrowthMarketRent)^5,IF(I88="Market",Retention*LCRenewal*H88*D88*(1+GrowthMarketRent)^5+(1-Retention)*LCNew*H88*D88*(1+GrowthMarketRent)^5,IF(I88="LeaseUp",LCNew*H88*D88*(1+GrowthMarketRent)^5,IF(I88="Option",LCRenewal*H88*D88*(1+GrowthMarketRent)^5,0))))),IF(F88="",0,IF(AND(F88&gt;=DATE(2026+5,5,1),F88&lt;=DATE(2027+5,4,30)),(IF(I88="Vacate",TINew*D88,IF(I88="Market",Retention*TIRenewal*D88+(1-Retention)*TINew*D88,IF(I88="LeaseUp",TINew*D88,IF(I88="Option",TIRenewal*D88,0)))))+(IF(I88="Vacate",LCNew*H88*D88*(1+GrowthMarketRent)^5,IF(I88="Market",Retention*LCRenewal*H88*D88*(1+GrowthMarketRent)^5+(1-Retention)*LCNew*H88*D88*(1+GrowthMarketRent)^5,IF(I88="LeaseUp",LCNew*H88*D88*(1+GrowthMarketRent)^5,IF(I88="Option",LCRenewal*H88*D88*(1+GrowthMarketRent)^5,0))))),0))),0)</f>
        <v/>
      </c>
      <c r="AE88" s="14">
        <f>IFERROR(IF(AND(I88="LeaseUp",6=0),(IF(I88="Vacate",TINew*D88,IF(I88="Market",Retention*TIRenewal*D88+(1-Retention)*TINew*D88,IF(I88="LeaseUp",TINew*D88,IF(I88="Option",TIRenewal*D88,0)))))+(IF(I88="Vacate",LCNew*H88*D88*(1+GrowthMarketRent)^6,IF(I88="Market",Retention*LCRenewal*H88*D88*(1+GrowthMarketRent)^6+(1-Retention)*LCNew*H88*D88*(1+GrowthMarketRent)^6,IF(I88="LeaseUp",LCNew*H88*D88*(1+GrowthMarketRent)^6,IF(I88="Option",LCRenewal*H88*D88*(1+GrowthMarketRent)^6,0))))),IF(F88="",0,IF(AND(F88&gt;=DATE(2026+6,5,1),F88&lt;=DATE(2027+6,4,30)),(IF(I88="Vacate",TINew*D88,IF(I88="Market",Retention*TIRenewal*D88+(1-Retention)*TINew*D88,IF(I88="LeaseUp",TINew*D88,IF(I88="Option",TIRenewal*D88,0)))))+(IF(I88="Vacate",LCNew*H88*D88*(1+GrowthMarketRent)^6,IF(I88="Market",Retention*LCRenewal*H88*D88*(1+GrowthMarketRent)^6+(1-Retention)*LCNew*H88*D88*(1+GrowthMarketRent)^6,IF(I88="LeaseUp",LCNew*H88*D88*(1+GrowthMarketRent)^6,IF(I88="Option",LCRenewal*H88*D88*(1+GrowthMarketRent)^6,0))))),0))),0)</f>
        <v/>
      </c>
      <c r="AF88" s="14">
        <f>IFERROR(IF(AND(I88="LeaseUp",7=0),(IF(I88="Vacate",TINew*D88,IF(I88="Market",Retention*TIRenewal*D88+(1-Retention)*TINew*D88,IF(I88="LeaseUp",TINew*D88,IF(I88="Option",TIRenewal*D88,0)))))+(IF(I88="Vacate",LCNew*H88*D88*(1+GrowthMarketRent)^7,IF(I88="Market",Retention*LCRenewal*H88*D88*(1+GrowthMarketRent)^7+(1-Retention)*LCNew*H88*D88*(1+GrowthMarketRent)^7,IF(I88="LeaseUp",LCNew*H88*D88*(1+GrowthMarketRent)^7,IF(I88="Option",LCRenewal*H88*D88*(1+GrowthMarketRent)^7,0))))),IF(F88="",0,IF(AND(F88&gt;=DATE(2026+7,5,1),F88&lt;=DATE(2027+7,4,30)),(IF(I88="Vacate",TINew*D88,IF(I88="Market",Retention*TIRenewal*D88+(1-Retention)*TINew*D88,IF(I88="LeaseUp",TINew*D88,IF(I88="Option",TIRenewal*D88,0)))))+(IF(I88="Vacate",LCNew*H88*D88*(1+GrowthMarketRent)^7,IF(I88="Market",Retention*LCRenewal*H88*D88*(1+GrowthMarketRent)^7+(1-Retention)*LCNew*H88*D88*(1+GrowthMarketRent)^7,IF(I88="LeaseUp",LCNew*H88*D88*(1+GrowthMarketRent)^7,IF(I88="Option",LCRenewal*H88*D88*(1+GrowthMarketRent)^7,0))))),0))),0)</f>
        <v/>
      </c>
      <c r="AG88" s="14">
        <f>IFERROR(IF(AND(I88="LeaseUp",8=0),(IF(I88="Vacate",TINew*D88,IF(I88="Market",Retention*TIRenewal*D88+(1-Retention)*TINew*D88,IF(I88="LeaseUp",TINew*D88,IF(I88="Option",TIRenewal*D88,0)))))+(IF(I88="Vacate",LCNew*H88*D88*(1+GrowthMarketRent)^8,IF(I88="Market",Retention*LCRenewal*H88*D88*(1+GrowthMarketRent)^8+(1-Retention)*LCNew*H88*D88*(1+GrowthMarketRent)^8,IF(I88="LeaseUp",LCNew*H88*D88*(1+GrowthMarketRent)^8,IF(I88="Option",LCRenewal*H88*D88*(1+GrowthMarketRent)^8,0))))),IF(F88="",0,IF(AND(F88&gt;=DATE(2026+8,5,1),F88&lt;=DATE(2027+8,4,30)),(IF(I88="Vacate",TINew*D88,IF(I88="Market",Retention*TIRenewal*D88+(1-Retention)*TINew*D88,IF(I88="LeaseUp",TINew*D88,IF(I88="Option",TIRenewal*D88,0)))))+(IF(I88="Vacate",LCNew*H88*D88*(1+GrowthMarketRent)^8,IF(I88="Market",Retention*LCRenewal*H88*D88*(1+GrowthMarketRent)^8+(1-Retention)*LCNew*H88*D88*(1+GrowthMarketRent)^8,IF(I88="LeaseUp",LCNew*H88*D88*(1+GrowthMarketRent)^8,IF(I88="Option",LCRenewal*H88*D88*(1+GrowthMarketRent)^8,0))))),0))),0)</f>
        <v/>
      </c>
      <c r="AH88" s="14">
        <f>IFERROR(IF(AND(I88="LeaseUp",9=0),(IF(I88="Vacate",TINew*D88,IF(I88="Market",Retention*TIRenewal*D88+(1-Retention)*TINew*D88,IF(I88="LeaseUp",TINew*D88,IF(I88="Option",TIRenewal*D88,0)))))+(IF(I88="Vacate",LCNew*H88*D88*(1+GrowthMarketRent)^9,IF(I88="Market",Retention*LCRenewal*H88*D88*(1+GrowthMarketRent)^9+(1-Retention)*LCNew*H88*D88*(1+GrowthMarketRent)^9,IF(I88="LeaseUp",LCNew*H88*D88*(1+GrowthMarketRent)^9,IF(I88="Option",LCRenewal*H88*D88*(1+GrowthMarketRent)^9,0))))),IF(F88="",0,IF(AND(F88&gt;=DATE(2026+9,5,1),F88&lt;=DATE(2027+9,4,30)),(IF(I88="Vacate",TINew*D88,IF(I88="Market",Retention*TIRenewal*D88+(1-Retention)*TINew*D88,IF(I88="LeaseUp",TINew*D88,IF(I88="Option",TIRenewal*D88,0)))))+(IF(I88="Vacate",LCNew*H88*D88*(1+GrowthMarketRent)^9,IF(I88="Market",Retention*LCRenewal*H88*D88*(1+GrowthMarketRent)^9+(1-Retention)*LCNew*H88*D88*(1+GrowthMarketRent)^9,IF(I88="LeaseUp",LCNew*H88*D88*(1+GrowthMarketRent)^9,IF(I88="Option",LCRenewal*H88*D88*(1+GrowthMarketRent)^9,0))))),0))),0)</f>
        <v/>
      </c>
      <c r="AI88" s="14">
        <f>IFERROR(IF(AND(I88="LeaseUp",10=0),(IF(I88="Vacate",TINew*D88,IF(I88="Market",Retention*TIRenewal*D88+(1-Retention)*TINew*D88,IF(I88="LeaseUp",TINew*D88,IF(I88="Option",TIRenewal*D88,0)))))+(IF(I88="Vacate",LCNew*H88*D88*(1+GrowthMarketRent)^10,IF(I88="Market",Retention*LCRenewal*H88*D88*(1+GrowthMarketRent)^10+(1-Retention)*LCNew*H88*D88*(1+GrowthMarketRent)^10,IF(I88="LeaseUp",LCNew*H88*D88*(1+GrowthMarketRent)^10,IF(I88="Option",LCRenewal*H88*D88*(1+GrowthMarketRent)^10,0))))),IF(F88="",0,IF(AND(F88&gt;=DATE(2026+10,5,1),F88&lt;=DATE(2027+10,4,30)),(IF(I88="Vacate",TINew*D88,IF(I88="Market",Retention*TIRenewal*D88+(1-Retention)*TINew*D88,IF(I88="LeaseUp",TINew*D88,IF(I88="Option",TIRenewal*D88,0)))))+(IF(I88="Vacate",LCNew*H88*D88*(1+GrowthMarketRent)^10,IF(I88="Market",Retention*LCRenewal*H88*D88*(1+GrowthMarketRent)^10+(1-Retention)*LCNew*H88*D88*(1+GrowthMarketRent)^10,IF(I88="LeaseUp",LCNew*H88*D88*(1+GrowthMarketRent)^10,IF(I88="Option",LCRenewal*H88*D88*(1+GrowthMarketRent)^10,0))))),0))),0)</f>
        <v/>
      </c>
    </row>
    <row r="89">
      <c r="A89" t="inlineStr">
        <is>
          <t>Mesquite</t>
        </is>
      </c>
      <c r="B89" t="inlineStr">
        <is>
          <t>209</t>
        </is>
      </c>
      <c r="C89" t="inlineStr">
        <is>
          <t>VACANT</t>
        </is>
      </c>
      <c r="D89" s="32" t="n">
        <v>1870</v>
      </c>
      <c r="G89" s="34" t="n">
        <v>0</v>
      </c>
      <c r="H89" s="16">
        <f>VLOOKUP(A89,MLA!$A$5:$L$11,3,FALSE)</f>
        <v/>
      </c>
      <c r="I89" s="11" t="inlineStr">
        <is>
          <t>LeaseUp</t>
        </is>
      </c>
      <c r="J89" t="inlineStr">
        <is>
          <t>Studio</t>
        </is>
      </c>
      <c r="K89" t="inlineStr">
        <is>
          <t>Vacant</t>
        </is>
      </c>
      <c r="L89" t="inlineStr">
        <is>
          <t>Studio; future lease-up Sep-2026</t>
        </is>
      </c>
      <c r="M89" s="20">
        <f>IF(E89="",0,(AnalysisStart-E89)/365.25)</f>
        <v/>
      </c>
      <c r="N89" s="14">
        <f>IFERROR(IF(I89="LeaseUp",H89*D89*(1+GrowthMarketRent)^0*IF(0=0,(12-DowntimeNew)/12,1),IF(F89="",0,IF(F89&gt;=DATE(2027+0,4,30),G89*D89*(1+EscalatorInLease)^(0+M89),IF(F89&lt;DATE(2026+0,5,1),IF(I89="Vacate",H89*D89*(1+GrowthMarketRent)^0*IF(INT((DATE(2026+0,10,31)-F89)/365.25)=0,(12-DowntimeNew)/12,1),IF(I89="Option",G89*D89*1.025*(1+EscalatorInLease)^0,IF(I89="Market",Retention*G89*D89*(1+EscalatorInLease)^(0+M89)+(1-Retention)*H89*D89*(1+GrowthMarketRent)^0*IF(INT((DATE(2026+0,10,31)-F89)/365.25)=0,(12-DowntimeNew)/12,1),IF(I89="LeaseUp",H89*D89*(1+GrowthMarketRent)^0*IF(0=0,(12-DowntimeNew)/12,1),0)))),((F89-DATE(2026+0,5,1))/365.25)*G89*D89*(1+EscalatorInLease)^(0+M89)+((DATE(2027+0,4,30)-F89)/365.25)*IF(I89="Vacate",H89*D89*(1+GrowthMarketRent)^0*IF(INT((DATE(2026+0,10,31)-F89)/365.25)=0,(12-DowntimeNew)/12,1),IF(I89="Option",G89*D89*1.025*(1+EscalatorInLease)^0,IF(I89="Market",Retention*G89*D89*(1+EscalatorInLease)^(0+M89)+(1-Retention)*H89*D89*(1+GrowthMarketRent)^0*IF(INT((DATE(2026+0,10,31)-F89)/365.25)=0,(12-DowntimeNew)/12,1),IF(I89="LeaseUp",H89*D89*(1+GrowthMarketRent)^0*IF(0=0,(12-DowntimeNew)/12,1),0)))))))),0)</f>
        <v/>
      </c>
      <c r="O89" s="14">
        <f>IFERROR(IF(I89="LeaseUp",H89*D89*(1+GrowthMarketRent)^1*IF(1=0,(12-DowntimeNew)/12,1),IF(F89="",0,IF(F89&gt;=DATE(2027+1,4,30),G89*D89*(1+EscalatorInLease)^(1+M89),IF(F89&lt;DATE(2026+1,5,1),IF(I89="Vacate",H89*D89*(1+GrowthMarketRent)^1*IF(INT((DATE(2026+1,10,31)-F89)/365.25)=0,(12-DowntimeNew)/12,1),IF(I89="Option",G89*D89*1.025*(1+EscalatorInLease)^1,IF(I89="Market",Retention*G89*D89*(1+EscalatorInLease)^(1+M89)+(1-Retention)*H89*D89*(1+GrowthMarketRent)^1*IF(INT((DATE(2026+1,10,31)-F89)/365.25)=0,(12-DowntimeNew)/12,1),IF(I89="LeaseUp",H89*D89*(1+GrowthMarketRent)^1*IF(1=0,(12-DowntimeNew)/12,1),0)))),((F89-DATE(2026+1,5,1))/365.25)*G89*D89*(1+EscalatorInLease)^(1+M89)+((DATE(2027+1,4,30)-F89)/365.25)*IF(I89="Vacate",H89*D89*(1+GrowthMarketRent)^1*IF(INT((DATE(2026+1,10,31)-F89)/365.25)=0,(12-DowntimeNew)/12,1),IF(I89="Option",G89*D89*1.025*(1+EscalatorInLease)^1,IF(I89="Market",Retention*G89*D89*(1+EscalatorInLease)^(1+M89)+(1-Retention)*H89*D89*(1+GrowthMarketRent)^1*IF(INT((DATE(2026+1,10,31)-F89)/365.25)=0,(12-DowntimeNew)/12,1),IF(I89="LeaseUp",H89*D89*(1+GrowthMarketRent)^1*IF(1=0,(12-DowntimeNew)/12,1),0)))))))),0)</f>
        <v/>
      </c>
      <c r="P89" s="14">
        <f>IFERROR(IF(I89="LeaseUp",H89*D89*(1+GrowthMarketRent)^2*IF(2=0,(12-DowntimeNew)/12,1),IF(F89="",0,IF(F89&gt;=DATE(2027+2,4,30),G89*D89*(1+EscalatorInLease)^(2+M89),IF(F89&lt;DATE(2026+2,5,1),IF(I89="Vacate",H89*D89*(1+GrowthMarketRent)^2*IF(INT((DATE(2026+2,10,31)-F89)/365.25)=0,(12-DowntimeNew)/12,1),IF(I89="Option",G89*D89*1.025*(1+EscalatorInLease)^2,IF(I89="Market",Retention*G89*D89*(1+EscalatorInLease)^(2+M89)+(1-Retention)*H89*D89*(1+GrowthMarketRent)^2*IF(INT((DATE(2026+2,10,31)-F89)/365.25)=0,(12-DowntimeNew)/12,1),IF(I89="LeaseUp",H89*D89*(1+GrowthMarketRent)^2*IF(2=0,(12-DowntimeNew)/12,1),0)))),((F89-DATE(2026+2,5,1))/365.25)*G89*D89*(1+EscalatorInLease)^(2+M89)+((DATE(2027+2,4,30)-F89)/365.25)*IF(I89="Vacate",H89*D89*(1+GrowthMarketRent)^2*IF(INT((DATE(2026+2,10,31)-F89)/365.25)=0,(12-DowntimeNew)/12,1),IF(I89="Option",G89*D89*1.025*(1+EscalatorInLease)^2,IF(I89="Market",Retention*G89*D89*(1+EscalatorInLease)^(2+M89)+(1-Retention)*H89*D89*(1+GrowthMarketRent)^2*IF(INT((DATE(2026+2,10,31)-F89)/365.25)=0,(12-DowntimeNew)/12,1),IF(I89="LeaseUp",H89*D89*(1+GrowthMarketRent)^2*IF(2=0,(12-DowntimeNew)/12,1),0)))))))),0)</f>
        <v/>
      </c>
      <c r="Q89" s="14">
        <f>IFERROR(IF(I89="LeaseUp",H89*D89*(1+GrowthMarketRent)^3*IF(3=0,(12-DowntimeNew)/12,1),IF(F89="",0,IF(F89&gt;=DATE(2027+3,4,30),G89*D89*(1+EscalatorInLease)^(3+M89),IF(F89&lt;DATE(2026+3,5,1),IF(I89="Vacate",H89*D89*(1+GrowthMarketRent)^3*IF(INT((DATE(2026+3,10,31)-F89)/365.25)=0,(12-DowntimeNew)/12,1),IF(I89="Option",G89*D89*1.025*(1+EscalatorInLease)^3,IF(I89="Market",Retention*G89*D89*(1+EscalatorInLease)^(3+M89)+(1-Retention)*H89*D89*(1+GrowthMarketRent)^3*IF(INT((DATE(2026+3,10,31)-F89)/365.25)=0,(12-DowntimeNew)/12,1),IF(I89="LeaseUp",H89*D89*(1+GrowthMarketRent)^3*IF(3=0,(12-DowntimeNew)/12,1),0)))),((F89-DATE(2026+3,5,1))/365.25)*G89*D89*(1+EscalatorInLease)^(3+M89)+((DATE(2027+3,4,30)-F89)/365.25)*IF(I89="Vacate",H89*D89*(1+GrowthMarketRent)^3*IF(INT((DATE(2026+3,10,31)-F89)/365.25)=0,(12-DowntimeNew)/12,1),IF(I89="Option",G89*D89*1.025*(1+EscalatorInLease)^3,IF(I89="Market",Retention*G89*D89*(1+EscalatorInLease)^(3+M89)+(1-Retention)*H89*D89*(1+GrowthMarketRent)^3*IF(INT((DATE(2026+3,10,31)-F89)/365.25)=0,(12-DowntimeNew)/12,1),IF(I89="LeaseUp",H89*D89*(1+GrowthMarketRent)^3*IF(3=0,(12-DowntimeNew)/12,1),0)))))))),0)</f>
        <v/>
      </c>
      <c r="R89" s="14">
        <f>IFERROR(IF(I89="LeaseUp",H89*D89*(1+GrowthMarketRent)^4*IF(4=0,(12-DowntimeNew)/12,1),IF(F89="",0,IF(F89&gt;=DATE(2027+4,4,30),G89*D89*(1+EscalatorInLease)^(4+M89),IF(F89&lt;DATE(2026+4,5,1),IF(I89="Vacate",H89*D89*(1+GrowthMarketRent)^4*IF(INT((DATE(2026+4,10,31)-F89)/365.25)=0,(12-DowntimeNew)/12,1),IF(I89="Option",G89*D89*1.025*(1+EscalatorInLease)^4,IF(I89="Market",Retention*G89*D89*(1+EscalatorInLease)^(4+M89)+(1-Retention)*H89*D89*(1+GrowthMarketRent)^4*IF(INT((DATE(2026+4,10,31)-F89)/365.25)=0,(12-DowntimeNew)/12,1),IF(I89="LeaseUp",H89*D89*(1+GrowthMarketRent)^4*IF(4=0,(12-DowntimeNew)/12,1),0)))),((F89-DATE(2026+4,5,1))/365.25)*G89*D89*(1+EscalatorInLease)^(4+M89)+((DATE(2027+4,4,30)-F89)/365.25)*IF(I89="Vacate",H89*D89*(1+GrowthMarketRent)^4*IF(INT((DATE(2026+4,10,31)-F89)/365.25)=0,(12-DowntimeNew)/12,1),IF(I89="Option",G89*D89*1.025*(1+EscalatorInLease)^4,IF(I89="Market",Retention*G89*D89*(1+EscalatorInLease)^(4+M89)+(1-Retention)*H89*D89*(1+GrowthMarketRent)^4*IF(INT((DATE(2026+4,10,31)-F89)/365.25)=0,(12-DowntimeNew)/12,1),IF(I89="LeaseUp",H89*D89*(1+GrowthMarketRent)^4*IF(4=0,(12-DowntimeNew)/12,1),0)))))))),0)</f>
        <v/>
      </c>
      <c r="S89" s="14">
        <f>IFERROR(IF(I89="LeaseUp",H89*D89*(1+GrowthMarketRent)^5*IF(5=0,(12-DowntimeNew)/12,1),IF(F89="",0,IF(F89&gt;=DATE(2027+5,4,30),G89*D89*(1+EscalatorInLease)^(5+M89),IF(F89&lt;DATE(2026+5,5,1),IF(I89="Vacate",H89*D89*(1+GrowthMarketRent)^5*IF(INT((DATE(2026+5,10,31)-F89)/365.25)=0,(12-DowntimeNew)/12,1),IF(I89="Option",G89*D89*1.025*(1+EscalatorInLease)^5,IF(I89="Market",Retention*G89*D89*(1+EscalatorInLease)^(5+M89)+(1-Retention)*H89*D89*(1+GrowthMarketRent)^5*IF(INT((DATE(2026+5,10,31)-F89)/365.25)=0,(12-DowntimeNew)/12,1),IF(I89="LeaseUp",H89*D89*(1+GrowthMarketRent)^5*IF(5=0,(12-DowntimeNew)/12,1),0)))),((F89-DATE(2026+5,5,1))/365.25)*G89*D89*(1+EscalatorInLease)^(5+M89)+((DATE(2027+5,4,30)-F89)/365.25)*IF(I89="Vacate",H89*D89*(1+GrowthMarketRent)^5*IF(INT((DATE(2026+5,10,31)-F89)/365.25)=0,(12-DowntimeNew)/12,1),IF(I89="Option",G89*D89*1.025*(1+EscalatorInLease)^5,IF(I89="Market",Retention*G89*D89*(1+EscalatorInLease)^(5+M89)+(1-Retention)*H89*D89*(1+GrowthMarketRent)^5*IF(INT((DATE(2026+5,10,31)-F89)/365.25)=0,(12-DowntimeNew)/12,1),IF(I89="LeaseUp",H89*D89*(1+GrowthMarketRent)^5*IF(5=0,(12-DowntimeNew)/12,1),0)))))))),0)</f>
        <v/>
      </c>
      <c r="T89" s="14">
        <f>IFERROR(IF(I89="LeaseUp",H89*D89*(1+GrowthMarketRent)^6*IF(6=0,(12-DowntimeNew)/12,1),IF(F89="",0,IF(F89&gt;=DATE(2027+6,4,30),G89*D89*(1+EscalatorInLease)^(6+M89),IF(F89&lt;DATE(2026+6,5,1),IF(I89="Vacate",H89*D89*(1+GrowthMarketRent)^6*IF(INT((DATE(2026+6,10,31)-F89)/365.25)=0,(12-DowntimeNew)/12,1),IF(I89="Option",G89*D89*1.025*(1+EscalatorInLease)^6,IF(I89="Market",Retention*G89*D89*(1+EscalatorInLease)^(6+M89)+(1-Retention)*H89*D89*(1+GrowthMarketRent)^6*IF(INT((DATE(2026+6,10,31)-F89)/365.25)=0,(12-DowntimeNew)/12,1),IF(I89="LeaseUp",H89*D89*(1+GrowthMarketRent)^6*IF(6=0,(12-DowntimeNew)/12,1),0)))),((F89-DATE(2026+6,5,1))/365.25)*G89*D89*(1+EscalatorInLease)^(6+M89)+((DATE(2027+6,4,30)-F89)/365.25)*IF(I89="Vacate",H89*D89*(1+GrowthMarketRent)^6*IF(INT((DATE(2026+6,10,31)-F89)/365.25)=0,(12-DowntimeNew)/12,1),IF(I89="Option",G89*D89*1.025*(1+EscalatorInLease)^6,IF(I89="Market",Retention*G89*D89*(1+EscalatorInLease)^(6+M89)+(1-Retention)*H89*D89*(1+GrowthMarketRent)^6*IF(INT((DATE(2026+6,10,31)-F89)/365.25)=0,(12-DowntimeNew)/12,1),IF(I89="LeaseUp",H89*D89*(1+GrowthMarketRent)^6*IF(6=0,(12-DowntimeNew)/12,1),0)))))))),0)</f>
        <v/>
      </c>
      <c r="U89" s="14">
        <f>IFERROR(IF(I89="LeaseUp",H89*D89*(1+GrowthMarketRent)^7*IF(7=0,(12-DowntimeNew)/12,1),IF(F89="",0,IF(F89&gt;=DATE(2027+7,4,30),G89*D89*(1+EscalatorInLease)^(7+M89),IF(F89&lt;DATE(2026+7,5,1),IF(I89="Vacate",H89*D89*(1+GrowthMarketRent)^7*IF(INT((DATE(2026+7,10,31)-F89)/365.25)=0,(12-DowntimeNew)/12,1),IF(I89="Option",G89*D89*1.025*(1+EscalatorInLease)^7,IF(I89="Market",Retention*G89*D89*(1+EscalatorInLease)^(7+M89)+(1-Retention)*H89*D89*(1+GrowthMarketRent)^7*IF(INT((DATE(2026+7,10,31)-F89)/365.25)=0,(12-DowntimeNew)/12,1),IF(I89="LeaseUp",H89*D89*(1+GrowthMarketRent)^7*IF(7=0,(12-DowntimeNew)/12,1),0)))),((F89-DATE(2026+7,5,1))/365.25)*G89*D89*(1+EscalatorInLease)^(7+M89)+((DATE(2027+7,4,30)-F89)/365.25)*IF(I89="Vacate",H89*D89*(1+GrowthMarketRent)^7*IF(INT((DATE(2026+7,10,31)-F89)/365.25)=0,(12-DowntimeNew)/12,1),IF(I89="Option",G89*D89*1.025*(1+EscalatorInLease)^7,IF(I89="Market",Retention*G89*D89*(1+EscalatorInLease)^(7+M89)+(1-Retention)*H89*D89*(1+GrowthMarketRent)^7*IF(INT((DATE(2026+7,10,31)-F89)/365.25)=0,(12-DowntimeNew)/12,1),IF(I89="LeaseUp",H89*D89*(1+GrowthMarketRent)^7*IF(7=0,(12-DowntimeNew)/12,1),0)))))))),0)</f>
        <v/>
      </c>
      <c r="V89" s="14">
        <f>IFERROR(IF(I89="LeaseUp",H89*D89*(1+GrowthMarketRent)^8*IF(8=0,(12-DowntimeNew)/12,1),IF(F89="",0,IF(F89&gt;=DATE(2027+8,4,30),G89*D89*(1+EscalatorInLease)^(8+M89),IF(F89&lt;DATE(2026+8,5,1),IF(I89="Vacate",H89*D89*(1+GrowthMarketRent)^8*IF(INT((DATE(2026+8,10,31)-F89)/365.25)=0,(12-DowntimeNew)/12,1),IF(I89="Option",G89*D89*1.025*(1+EscalatorInLease)^8,IF(I89="Market",Retention*G89*D89*(1+EscalatorInLease)^(8+M89)+(1-Retention)*H89*D89*(1+GrowthMarketRent)^8*IF(INT((DATE(2026+8,10,31)-F89)/365.25)=0,(12-DowntimeNew)/12,1),IF(I89="LeaseUp",H89*D89*(1+GrowthMarketRent)^8*IF(8=0,(12-DowntimeNew)/12,1),0)))),((F89-DATE(2026+8,5,1))/365.25)*G89*D89*(1+EscalatorInLease)^(8+M89)+((DATE(2027+8,4,30)-F89)/365.25)*IF(I89="Vacate",H89*D89*(1+GrowthMarketRent)^8*IF(INT((DATE(2026+8,10,31)-F89)/365.25)=0,(12-DowntimeNew)/12,1),IF(I89="Option",G89*D89*1.025*(1+EscalatorInLease)^8,IF(I89="Market",Retention*G89*D89*(1+EscalatorInLease)^(8+M89)+(1-Retention)*H89*D89*(1+GrowthMarketRent)^8*IF(INT((DATE(2026+8,10,31)-F89)/365.25)=0,(12-DowntimeNew)/12,1),IF(I89="LeaseUp",H89*D89*(1+GrowthMarketRent)^8*IF(8=0,(12-DowntimeNew)/12,1),0)))))))),0)</f>
        <v/>
      </c>
      <c r="W89" s="14">
        <f>IFERROR(IF(I89="LeaseUp",H89*D89*(1+GrowthMarketRent)^9*IF(9=0,(12-DowntimeNew)/12,1),IF(F89="",0,IF(F89&gt;=DATE(2027+9,4,30),G89*D89*(1+EscalatorInLease)^(9+M89),IF(F89&lt;DATE(2026+9,5,1),IF(I89="Vacate",H89*D89*(1+GrowthMarketRent)^9*IF(INT((DATE(2026+9,10,31)-F89)/365.25)=0,(12-DowntimeNew)/12,1),IF(I89="Option",G89*D89*1.025*(1+EscalatorInLease)^9,IF(I89="Market",Retention*G89*D89*(1+EscalatorInLease)^(9+M89)+(1-Retention)*H89*D89*(1+GrowthMarketRent)^9*IF(INT((DATE(2026+9,10,31)-F89)/365.25)=0,(12-DowntimeNew)/12,1),IF(I89="LeaseUp",H89*D89*(1+GrowthMarketRent)^9*IF(9=0,(12-DowntimeNew)/12,1),0)))),((F89-DATE(2026+9,5,1))/365.25)*G89*D89*(1+EscalatorInLease)^(9+M89)+((DATE(2027+9,4,30)-F89)/365.25)*IF(I89="Vacate",H89*D89*(1+GrowthMarketRent)^9*IF(INT((DATE(2026+9,10,31)-F89)/365.25)=0,(12-DowntimeNew)/12,1),IF(I89="Option",G89*D89*1.025*(1+EscalatorInLease)^9,IF(I89="Market",Retention*G89*D89*(1+EscalatorInLease)^(9+M89)+(1-Retention)*H89*D89*(1+GrowthMarketRent)^9*IF(INT((DATE(2026+9,10,31)-F89)/365.25)=0,(12-DowntimeNew)/12,1),IF(I89="LeaseUp",H89*D89*(1+GrowthMarketRent)^9*IF(9=0,(12-DowntimeNew)/12,1),0)))))))),0)</f>
        <v/>
      </c>
      <c r="X89" s="14">
        <f>IFERROR(IF(I89="LeaseUp",H89*D89*(1+GrowthMarketRent)^10*IF(10=0,(12-DowntimeNew)/12,1),IF(F89="",0,IF(F89&gt;=DATE(2027+10,4,30),G89*D89*(1+EscalatorInLease)^(10+M89),IF(F89&lt;DATE(2026+10,5,1),IF(I89="Vacate",H89*D89*(1+GrowthMarketRent)^10*IF(INT((DATE(2026+10,10,31)-F89)/365.25)=0,(12-DowntimeNew)/12,1),IF(I89="Option",G89*D89*1.025*(1+EscalatorInLease)^10,IF(I89="Market",Retention*G89*D89*(1+EscalatorInLease)^(10+M89)+(1-Retention)*H89*D89*(1+GrowthMarketRent)^10*IF(INT((DATE(2026+10,10,31)-F89)/365.25)=0,(12-DowntimeNew)/12,1),IF(I89="LeaseUp",H89*D89*(1+GrowthMarketRent)^10*IF(10=0,(12-DowntimeNew)/12,1),0)))),((F89-DATE(2026+10,5,1))/365.25)*G89*D89*(1+EscalatorInLease)^(10+M89)+((DATE(2027+10,4,30)-F89)/365.25)*IF(I89="Vacate",H89*D89*(1+GrowthMarketRent)^10*IF(INT((DATE(2026+10,10,31)-F89)/365.25)=0,(12-DowntimeNew)/12,1),IF(I89="Option",G89*D89*1.025*(1+EscalatorInLease)^10,IF(I89="Market",Retention*G89*D89*(1+EscalatorInLease)^(10+M89)+(1-Retention)*H89*D89*(1+GrowthMarketRent)^10*IF(INT((DATE(2026+10,10,31)-F89)/365.25)=0,(12-DowntimeNew)/12,1),IF(I89="LeaseUp",H89*D89*(1+GrowthMarketRent)^10*IF(10=0,(12-DowntimeNew)/12,1),0)))))))),0)</f>
        <v/>
      </c>
      <c r="Y89" s="14">
        <f>IFERROR(IF(AND(I89="LeaseUp",0=0),(IF(I89="Vacate",TINew*D89,IF(I89="Market",Retention*TIRenewal*D89+(1-Retention)*TINew*D89,IF(I89="LeaseUp",TINew*D89,IF(I89="Option",TIRenewal*D89,0)))))+(IF(I89="Vacate",LCNew*H89*D89*(1+GrowthMarketRent)^0,IF(I89="Market",Retention*LCRenewal*H89*D89*(1+GrowthMarketRent)^0+(1-Retention)*LCNew*H89*D89*(1+GrowthMarketRent)^0,IF(I89="LeaseUp",LCNew*H89*D89*(1+GrowthMarketRent)^0,IF(I89="Option",LCRenewal*H89*D89*(1+GrowthMarketRent)^0,0))))),IF(F89="",0,IF(AND(F89&gt;=DATE(2026+0,5,1),F89&lt;=DATE(2027+0,4,30)),(IF(I89="Vacate",TINew*D89,IF(I89="Market",Retention*TIRenewal*D89+(1-Retention)*TINew*D89,IF(I89="LeaseUp",TINew*D89,IF(I89="Option",TIRenewal*D89,0)))))+(IF(I89="Vacate",LCNew*H89*D89*(1+GrowthMarketRent)^0,IF(I89="Market",Retention*LCRenewal*H89*D89*(1+GrowthMarketRent)^0+(1-Retention)*LCNew*H89*D89*(1+GrowthMarketRent)^0,IF(I89="LeaseUp",LCNew*H89*D89*(1+GrowthMarketRent)^0,IF(I89="Option",LCRenewal*H89*D89*(1+GrowthMarketRent)^0,0))))),0))),0)</f>
        <v/>
      </c>
      <c r="Z89" s="14">
        <f>IFERROR(IF(AND(I89="LeaseUp",1=0),(IF(I89="Vacate",TINew*D89,IF(I89="Market",Retention*TIRenewal*D89+(1-Retention)*TINew*D89,IF(I89="LeaseUp",TINew*D89,IF(I89="Option",TIRenewal*D89,0)))))+(IF(I89="Vacate",LCNew*H89*D89*(1+GrowthMarketRent)^1,IF(I89="Market",Retention*LCRenewal*H89*D89*(1+GrowthMarketRent)^1+(1-Retention)*LCNew*H89*D89*(1+GrowthMarketRent)^1,IF(I89="LeaseUp",LCNew*H89*D89*(1+GrowthMarketRent)^1,IF(I89="Option",LCRenewal*H89*D89*(1+GrowthMarketRent)^1,0))))),IF(F89="",0,IF(AND(F89&gt;=DATE(2026+1,5,1),F89&lt;=DATE(2027+1,4,30)),(IF(I89="Vacate",TINew*D89,IF(I89="Market",Retention*TIRenewal*D89+(1-Retention)*TINew*D89,IF(I89="LeaseUp",TINew*D89,IF(I89="Option",TIRenewal*D89,0)))))+(IF(I89="Vacate",LCNew*H89*D89*(1+GrowthMarketRent)^1,IF(I89="Market",Retention*LCRenewal*H89*D89*(1+GrowthMarketRent)^1+(1-Retention)*LCNew*H89*D89*(1+GrowthMarketRent)^1,IF(I89="LeaseUp",LCNew*H89*D89*(1+GrowthMarketRent)^1,IF(I89="Option",LCRenewal*H89*D89*(1+GrowthMarketRent)^1,0))))),0))),0)</f>
        <v/>
      </c>
      <c r="AA89" s="14">
        <f>IFERROR(IF(AND(I89="LeaseUp",2=0),(IF(I89="Vacate",TINew*D89,IF(I89="Market",Retention*TIRenewal*D89+(1-Retention)*TINew*D89,IF(I89="LeaseUp",TINew*D89,IF(I89="Option",TIRenewal*D89,0)))))+(IF(I89="Vacate",LCNew*H89*D89*(1+GrowthMarketRent)^2,IF(I89="Market",Retention*LCRenewal*H89*D89*(1+GrowthMarketRent)^2+(1-Retention)*LCNew*H89*D89*(1+GrowthMarketRent)^2,IF(I89="LeaseUp",LCNew*H89*D89*(1+GrowthMarketRent)^2,IF(I89="Option",LCRenewal*H89*D89*(1+GrowthMarketRent)^2,0))))),IF(F89="",0,IF(AND(F89&gt;=DATE(2026+2,5,1),F89&lt;=DATE(2027+2,4,30)),(IF(I89="Vacate",TINew*D89,IF(I89="Market",Retention*TIRenewal*D89+(1-Retention)*TINew*D89,IF(I89="LeaseUp",TINew*D89,IF(I89="Option",TIRenewal*D89,0)))))+(IF(I89="Vacate",LCNew*H89*D89*(1+GrowthMarketRent)^2,IF(I89="Market",Retention*LCRenewal*H89*D89*(1+GrowthMarketRent)^2+(1-Retention)*LCNew*H89*D89*(1+GrowthMarketRent)^2,IF(I89="LeaseUp",LCNew*H89*D89*(1+GrowthMarketRent)^2,IF(I89="Option",LCRenewal*H89*D89*(1+GrowthMarketRent)^2,0))))),0))),0)</f>
        <v/>
      </c>
      <c r="AB89" s="14">
        <f>IFERROR(IF(AND(I89="LeaseUp",3=0),(IF(I89="Vacate",TINew*D89,IF(I89="Market",Retention*TIRenewal*D89+(1-Retention)*TINew*D89,IF(I89="LeaseUp",TINew*D89,IF(I89="Option",TIRenewal*D89,0)))))+(IF(I89="Vacate",LCNew*H89*D89*(1+GrowthMarketRent)^3,IF(I89="Market",Retention*LCRenewal*H89*D89*(1+GrowthMarketRent)^3+(1-Retention)*LCNew*H89*D89*(1+GrowthMarketRent)^3,IF(I89="LeaseUp",LCNew*H89*D89*(1+GrowthMarketRent)^3,IF(I89="Option",LCRenewal*H89*D89*(1+GrowthMarketRent)^3,0))))),IF(F89="",0,IF(AND(F89&gt;=DATE(2026+3,5,1),F89&lt;=DATE(2027+3,4,30)),(IF(I89="Vacate",TINew*D89,IF(I89="Market",Retention*TIRenewal*D89+(1-Retention)*TINew*D89,IF(I89="LeaseUp",TINew*D89,IF(I89="Option",TIRenewal*D89,0)))))+(IF(I89="Vacate",LCNew*H89*D89*(1+GrowthMarketRent)^3,IF(I89="Market",Retention*LCRenewal*H89*D89*(1+GrowthMarketRent)^3+(1-Retention)*LCNew*H89*D89*(1+GrowthMarketRent)^3,IF(I89="LeaseUp",LCNew*H89*D89*(1+GrowthMarketRent)^3,IF(I89="Option",LCRenewal*H89*D89*(1+GrowthMarketRent)^3,0))))),0))),0)</f>
        <v/>
      </c>
      <c r="AC89" s="14">
        <f>IFERROR(IF(AND(I89="LeaseUp",4=0),(IF(I89="Vacate",TINew*D89,IF(I89="Market",Retention*TIRenewal*D89+(1-Retention)*TINew*D89,IF(I89="LeaseUp",TINew*D89,IF(I89="Option",TIRenewal*D89,0)))))+(IF(I89="Vacate",LCNew*H89*D89*(1+GrowthMarketRent)^4,IF(I89="Market",Retention*LCRenewal*H89*D89*(1+GrowthMarketRent)^4+(1-Retention)*LCNew*H89*D89*(1+GrowthMarketRent)^4,IF(I89="LeaseUp",LCNew*H89*D89*(1+GrowthMarketRent)^4,IF(I89="Option",LCRenewal*H89*D89*(1+GrowthMarketRent)^4,0))))),IF(F89="",0,IF(AND(F89&gt;=DATE(2026+4,5,1),F89&lt;=DATE(2027+4,4,30)),(IF(I89="Vacate",TINew*D89,IF(I89="Market",Retention*TIRenewal*D89+(1-Retention)*TINew*D89,IF(I89="LeaseUp",TINew*D89,IF(I89="Option",TIRenewal*D89,0)))))+(IF(I89="Vacate",LCNew*H89*D89*(1+GrowthMarketRent)^4,IF(I89="Market",Retention*LCRenewal*H89*D89*(1+GrowthMarketRent)^4+(1-Retention)*LCNew*H89*D89*(1+GrowthMarketRent)^4,IF(I89="LeaseUp",LCNew*H89*D89*(1+GrowthMarketRent)^4,IF(I89="Option",LCRenewal*H89*D89*(1+GrowthMarketRent)^4,0))))),0))),0)</f>
        <v/>
      </c>
      <c r="AD89" s="14">
        <f>IFERROR(IF(AND(I89="LeaseUp",5=0),(IF(I89="Vacate",TINew*D89,IF(I89="Market",Retention*TIRenewal*D89+(1-Retention)*TINew*D89,IF(I89="LeaseUp",TINew*D89,IF(I89="Option",TIRenewal*D89,0)))))+(IF(I89="Vacate",LCNew*H89*D89*(1+GrowthMarketRent)^5,IF(I89="Market",Retention*LCRenewal*H89*D89*(1+GrowthMarketRent)^5+(1-Retention)*LCNew*H89*D89*(1+GrowthMarketRent)^5,IF(I89="LeaseUp",LCNew*H89*D89*(1+GrowthMarketRent)^5,IF(I89="Option",LCRenewal*H89*D89*(1+GrowthMarketRent)^5,0))))),IF(F89="",0,IF(AND(F89&gt;=DATE(2026+5,5,1),F89&lt;=DATE(2027+5,4,30)),(IF(I89="Vacate",TINew*D89,IF(I89="Market",Retention*TIRenewal*D89+(1-Retention)*TINew*D89,IF(I89="LeaseUp",TINew*D89,IF(I89="Option",TIRenewal*D89,0)))))+(IF(I89="Vacate",LCNew*H89*D89*(1+GrowthMarketRent)^5,IF(I89="Market",Retention*LCRenewal*H89*D89*(1+GrowthMarketRent)^5+(1-Retention)*LCNew*H89*D89*(1+GrowthMarketRent)^5,IF(I89="LeaseUp",LCNew*H89*D89*(1+GrowthMarketRent)^5,IF(I89="Option",LCRenewal*H89*D89*(1+GrowthMarketRent)^5,0))))),0))),0)</f>
        <v/>
      </c>
      <c r="AE89" s="14">
        <f>IFERROR(IF(AND(I89="LeaseUp",6=0),(IF(I89="Vacate",TINew*D89,IF(I89="Market",Retention*TIRenewal*D89+(1-Retention)*TINew*D89,IF(I89="LeaseUp",TINew*D89,IF(I89="Option",TIRenewal*D89,0)))))+(IF(I89="Vacate",LCNew*H89*D89*(1+GrowthMarketRent)^6,IF(I89="Market",Retention*LCRenewal*H89*D89*(1+GrowthMarketRent)^6+(1-Retention)*LCNew*H89*D89*(1+GrowthMarketRent)^6,IF(I89="LeaseUp",LCNew*H89*D89*(1+GrowthMarketRent)^6,IF(I89="Option",LCRenewal*H89*D89*(1+GrowthMarketRent)^6,0))))),IF(F89="",0,IF(AND(F89&gt;=DATE(2026+6,5,1),F89&lt;=DATE(2027+6,4,30)),(IF(I89="Vacate",TINew*D89,IF(I89="Market",Retention*TIRenewal*D89+(1-Retention)*TINew*D89,IF(I89="LeaseUp",TINew*D89,IF(I89="Option",TIRenewal*D89,0)))))+(IF(I89="Vacate",LCNew*H89*D89*(1+GrowthMarketRent)^6,IF(I89="Market",Retention*LCRenewal*H89*D89*(1+GrowthMarketRent)^6+(1-Retention)*LCNew*H89*D89*(1+GrowthMarketRent)^6,IF(I89="LeaseUp",LCNew*H89*D89*(1+GrowthMarketRent)^6,IF(I89="Option",LCRenewal*H89*D89*(1+GrowthMarketRent)^6,0))))),0))),0)</f>
        <v/>
      </c>
      <c r="AF89" s="14">
        <f>IFERROR(IF(AND(I89="LeaseUp",7=0),(IF(I89="Vacate",TINew*D89,IF(I89="Market",Retention*TIRenewal*D89+(1-Retention)*TINew*D89,IF(I89="LeaseUp",TINew*D89,IF(I89="Option",TIRenewal*D89,0)))))+(IF(I89="Vacate",LCNew*H89*D89*(1+GrowthMarketRent)^7,IF(I89="Market",Retention*LCRenewal*H89*D89*(1+GrowthMarketRent)^7+(1-Retention)*LCNew*H89*D89*(1+GrowthMarketRent)^7,IF(I89="LeaseUp",LCNew*H89*D89*(1+GrowthMarketRent)^7,IF(I89="Option",LCRenewal*H89*D89*(1+GrowthMarketRent)^7,0))))),IF(F89="",0,IF(AND(F89&gt;=DATE(2026+7,5,1),F89&lt;=DATE(2027+7,4,30)),(IF(I89="Vacate",TINew*D89,IF(I89="Market",Retention*TIRenewal*D89+(1-Retention)*TINew*D89,IF(I89="LeaseUp",TINew*D89,IF(I89="Option",TIRenewal*D89,0)))))+(IF(I89="Vacate",LCNew*H89*D89*(1+GrowthMarketRent)^7,IF(I89="Market",Retention*LCRenewal*H89*D89*(1+GrowthMarketRent)^7+(1-Retention)*LCNew*H89*D89*(1+GrowthMarketRent)^7,IF(I89="LeaseUp",LCNew*H89*D89*(1+GrowthMarketRent)^7,IF(I89="Option",LCRenewal*H89*D89*(1+GrowthMarketRent)^7,0))))),0))),0)</f>
        <v/>
      </c>
      <c r="AG89" s="14">
        <f>IFERROR(IF(AND(I89="LeaseUp",8=0),(IF(I89="Vacate",TINew*D89,IF(I89="Market",Retention*TIRenewal*D89+(1-Retention)*TINew*D89,IF(I89="LeaseUp",TINew*D89,IF(I89="Option",TIRenewal*D89,0)))))+(IF(I89="Vacate",LCNew*H89*D89*(1+GrowthMarketRent)^8,IF(I89="Market",Retention*LCRenewal*H89*D89*(1+GrowthMarketRent)^8+(1-Retention)*LCNew*H89*D89*(1+GrowthMarketRent)^8,IF(I89="LeaseUp",LCNew*H89*D89*(1+GrowthMarketRent)^8,IF(I89="Option",LCRenewal*H89*D89*(1+GrowthMarketRent)^8,0))))),IF(F89="",0,IF(AND(F89&gt;=DATE(2026+8,5,1),F89&lt;=DATE(2027+8,4,30)),(IF(I89="Vacate",TINew*D89,IF(I89="Market",Retention*TIRenewal*D89+(1-Retention)*TINew*D89,IF(I89="LeaseUp",TINew*D89,IF(I89="Option",TIRenewal*D89,0)))))+(IF(I89="Vacate",LCNew*H89*D89*(1+GrowthMarketRent)^8,IF(I89="Market",Retention*LCRenewal*H89*D89*(1+GrowthMarketRent)^8+(1-Retention)*LCNew*H89*D89*(1+GrowthMarketRent)^8,IF(I89="LeaseUp",LCNew*H89*D89*(1+GrowthMarketRent)^8,IF(I89="Option",LCRenewal*H89*D89*(1+GrowthMarketRent)^8,0))))),0))),0)</f>
        <v/>
      </c>
      <c r="AH89" s="14">
        <f>IFERROR(IF(AND(I89="LeaseUp",9=0),(IF(I89="Vacate",TINew*D89,IF(I89="Market",Retention*TIRenewal*D89+(1-Retention)*TINew*D89,IF(I89="LeaseUp",TINew*D89,IF(I89="Option",TIRenewal*D89,0)))))+(IF(I89="Vacate",LCNew*H89*D89*(1+GrowthMarketRent)^9,IF(I89="Market",Retention*LCRenewal*H89*D89*(1+GrowthMarketRent)^9+(1-Retention)*LCNew*H89*D89*(1+GrowthMarketRent)^9,IF(I89="LeaseUp",LCNew*H89*D89*(1+GrowthMarketRent)^9,IF(I89="Option",LCRenewal*H89*D89*(1+GrowthMarketRent)^9,0))))),IF(F89="",0,IF(AND(F89&gt;=DATE(2026+9,5,1),F89&lt;=DATE(2027+9,4,30)),(IF(I89="Vacate",TINew*D89,IF(I89="Market",Retention*TIRenewal*D89+(1-Retention)*TINew*D89,IF(I89="LeaseUp",TINew*D89,IF(I89="Option",TIRenewal*D89,0)))))+(IF(I89="Vacate",LCNew*H89*D89*(1+GrowthMarketRent)^9,IF(I89="Market",Retention*LCRenewal*H89*D89*(1+GrowthMarketRent)^9+(1-Retention)*LCNew*H89*D89*(1+GrowthMarketRent)^9,IF(I89="LeaseUp",LCNew*H89*D89*(1+GrowthMarketRent)^9,IF(I89="Option",LCRenewal*H89*D89*(1+GrowthMarketRent)^9,0))))),0))),0)</f>
        <v/>
      </c>
      <c r="AI89" s="14">
        <f>IFERROR(IF(AND(I89="LeaseUp",10=0),(IF(I89="Vacate",TINew*D89,IF(I89="Market",Retention*TIRenewal*D89+(1-Retention)*TINew*D89,IF(I89="LeaseUp",TINew*D89,IF(I89="Option",TIRenewal*D89,0)))))+(IF(I89="Vacate",LCNew*H89*D89*(1+GrowthMarketRent)^10,IF(I89="Market",Retention*LCRenewal*H89*D89*(1+GrowthMarketRent)^10+(1-Retention)*LCNew*H89*D89*(1+GrowthMarketRent)^10,IF(I89="LeaseUp",LCNew*H89*D89*(1+GrowthMarketRent)^10,IF(I89="Option",LCRenewal*H89*D89*(1+GrowthMarketRent)^10,0))))),IF(F89="",0,IF(AND(F89&gt;=DATE(2026+10,5,1),F89&lt;=DATE(2027+10,4,30)),(IF(I89="Vacate",TINew*D89,IF(I89="Market",Retention*TIRenewal*D89+(1-Retention)*TINew*D89,IF(I89="LeaseUp",TINew*D89,IF(I89="Option",TIRenewal*D89,0)))))+(IF(I89="Vacate",LCNew*H89*D89*(1+GrowthMarketRent)^10,IF(I89="Market",Retention*LCRenewal*H89*D89*(1+GrowthMarketRent)^10+(1-Retention)*LCNew*H89*D89*(1+GrowthMarketRent)^10,IF(I89="LeaseUp",LCNew*H89*D89*(1+GrowthMarketRent)^10,IF(I89="Option",LCRenewal*H89*D89*(1+GrowthMarketRent)^10,0))))),0))),0)</f>
        <v/>
      </c>
    </row>
    <row r="90">
      <c r="A90" t="inlineStr">
        <is>
          <t>Mesquite</t>
        </is>
      </c>
      <c r="B90" t="inlineStr">
        <is>
          <t>210</t>
        </is>
      </c>
      <c r="C90" t="inlineStr">
        <is>
          <t>e2 Power LLC</t>
        </is>
      </c>
      <c r="D90" s="32" t="n">
        <v>1870</v>
      </c>
      <c r="E90" s="33" t="n">
        <v>44986</v>
      </c>
      <c r="F90" s="33" t="n">
        <v>46235</v>
      </c>
      <c r="G90" s="34" t="n">
        <v>15.3459893048128</v>
      </c>
      <c r="H90" s="16">
        <f>VLOOKUP(A90,MLA!$A$5:$L$11,3,FALSE)</f>
        <v/>
      </c>
      <c r="I90" s="11" t="inlineStr">
        <is>
          <t>Vacate</t>
        </is>
      </c>
      <c r="J90" t="inlineStr">
        <is>
          <t>Studio</t>
        </is>
      </c>
      <c r="K90" t="inlineStr">
        <is>
          <t>Occupied</t>
        </is>
      </c>
      <c r="L90" t="inlineStr">
        <is>
          <t>Studio; assumed vacate 08/26; Guarantor: Michael Stephens</t>
        </is>
      </c>
      <c r="M90" s="20">
        <f>IF(E90="",0,(AnalysisStart-E90)/365.25)</f>
        <v/>
      </c>
      <c r="N90" s="14">
        <f>IFERROR(IF(I90="LeaseUp",H90*D90*(1+GrowthMarketRent)^0*IF(0=0,(12-DowntimeNew)/12,1),IF(F90="",0,IF(F90&gt;=DATE(2027+0,4,30),G90*D90*(1+EscalatorInLease)^(0+M90),IF(F90&lt;DATE(2026+0,5,1),IF(I90="Vacate",H90*D90*(1+GrowthMarketRent)^0*IF(INT((DATE(2026+0,10,31)-F90)/365.25)=0,(12-DowntimeNew)/12,1),IF(I90="Option",G90*D90*1.025*(1+EscalatorInLease)^0,IF(I90="Market",Retention*G90*D90*(1+EscalatorInLease)^(0+M90)+(1-Retention)*H90*D90*(1+GrowthMarketRent)^0*IF(INT((DATE(2026+0,10,31)-F90)/365.25)=0,(12-DowntimeNew)/12,1),IF(I90="LeaseUp",H90*D90*(1+GrowthMarketRent)^0*IF(0=0,(12-DowntimeNew)/12,1),0)))),((F90-DATE(2026+0,5,1))/365.25)*G90*D90*(1+EscalatorInLease)^(0+M90)+((DATE(2027+0,4,30)-F90)/365.25)*IF(I90="Vacate",H90*D90*(1+GrowthMarketRent)^0*IF(INT((DATE(2026+0,10,31)-F90)/365.25)=0,(12-DowntimeNew)/12,1),IF(I90="Option",G90*D90*1.025*(1+EscalatorInLease)^0,IF(I90="Market",Retention*G90*D90*(1+EscalatorInLease)^(0+M90)+(1-Retention)*H90*D90*(1+GrowthMarketRent)^0*IF(INT((DATE(2026+0,10,31)-F90)/365.25)=0,(12-DowntimeNew)/12,1),IF(I90="LeaseUp",H90*D90*(1+GrowthMarketRent)^0*IF(0=0,(12-DowntimeNew)/12,1),0)))))))),0)</f>
        <v/>
      </c>
      <c r="O90" s="14">
        <f>IFERROR(IF(I90="LeaseUp",H90*D90*(1+GrowthMarketRent)^1*IF(1=0,(12-DowntimeNew)/12,1),IF(F90="",0,IF(F90&gt;=DATE(2027+1,4,30),G90*D90*(1+EscalatorInLease)^(1+M90),IF(F90&lt;DATE(2026+1,5,1),IF(I90="Vacate",H90*D90*(1+GrowthMarketRent)^1*IF(INT((DATE(2026+1,10,31)-F90)/365.25)=0,(12-DowntimeNew)/12,1),IF(I90="Option",G90*D90*1.025*(1+EscalatorInLease)^1,IF(I90="Market",Retention*G90*D90*(1+EscalatorInLease)^(1+M90)+(1-Retention)*H90*D90*(1+GrowthMarketRent)^1*IF(INT((DATE(2026+1,10,31)-F90)/365.25)=0,(12-DowntimeNew)/12,1),IF(I90="LeaseUp",H90*D90*(1+GrowthMarketRent)^1*IF(1=0,(12-DowntimeNew)/12,1),0)))),((F90-DATE(2026+1,5,1))/365.25)*G90*D90*(1+EscalatorInLease)^(1+M90)+((DATE(2027+1,4,30)-F90)/365.25)*IF(I90="Vacate",H90*D90*(1+GrowthMarketRent)^1*IF(INT((DATE(2026+1,10,31)-F90)/365.25)=0,(12-DowntimeNew)/12,1),IF(I90="Option",G90*D90*1.025*(1+EscalatorInLease)^1,IF(I90="Market",Retention*G90*D90*(1+EscalatorInLease)^(1+M90)+(1-Retention)*H90*D90*(1+GrowthMarketRent)^1*IF(INT((DATE(2026+1,10,31)-F90)/365.25)=0,(12-DowntimeNew)/12,1),IF(I90="LeaseUp",H90*D90*(1+GrowthMarketRent)^1*IF(1=0,(12-DowntimeNew)/12,1),0)))))))),0)</f>
        <v/>
      </c>
      <c r="P90" s="14">
        <f>IFERROR(IF(I90="LeaseUp",H90*D90*(1+GrowthMarketRent)^2*IF(2=0,(12-DowntimeNew)/12,1),IF(F90="",0,IF(F90&gt;=DATE(2027+2,4,30),G90*D90*(1+EscalatorInLease)^(2+M90),IF(F90&lt;DATE(2026+2,5,1),IF(I90="Vacate",H90*D90*(1+GrowthMarketRent)^2*IF(INT((DATE(2026+2,10,31)-F90)/365.25)=0,(12-DowntimeNew)/12,1),IF(I90="Option",G90*D90*1.025*(1+EscalatorInLease)^2,IF(I90="Market",Retention*G90*D90*(1+EscalatorInLease)^(2+M90)+(1-Retention)*H90*D90*(1+GrowthMarketRent)^2*IF(INT((DATE(2026+2,10,31)-F90)/365.25)=0,(12-DowntimeNew)/12,1),IF(I90="LeaseUp",H90*D90*(1+GrowthMarketRent)^2*IF(2=0,(12-DowntimeNew)/12,1),0)))),((F90-DATE(2026+2,5,1))/365.25)*G90*D90*(1+EscalatorInLease)^(2+M90)+((DATE(2027+2,4,30)-F90)/365.25)*IF(I90="Vacate",H90*D90*(1+GrowthMarketRent)^2*IF(INT((DATE(2026+2,10,31)-F90)/365.25)=0,(12-DowntimeNew)/12,1),IF(I90="Option",G90*D90*1.025*(1+EscalatorInLease)^2,IF(I90="Market",Retention*G90*D90*(1+EscalatorInLease)^(2+M90)+(1-Retention)*H90*D90*(1+GrowthMarketRent)^2*IF(INT((DATE(2026+2,10,31)-F90)/365.25)=0,(12-DowntimeNew)/12,1),IF(I90="LeaseUp",H90*D90*(1+GrowthMarketRent)^2*IF(2=0,(12-DowntimeNew)/12,1),0)))))))),0)</f>
        <v/>
      </c>
      <c r="Q90" s="14">
        <f>IFERROR(IF(I90="LeaseUp",H90*D90*(1+GrowthMarketRent)^3*IF(3=0,(12-DowntimeNew)/12,1),IF(F90="",0,IF(F90&gt;=DATE(2027+3,4,30),G90*D90*(1+EscalatorInLease)^(3+M90),IF(F90&lt;DATE(2026+3,5,1),IF(I90="Vacate",H90*D90*(1+GrowthMarketRent)^3*IF(INT((DATE(2026+3,10,31)-F90)/365.25)=0,(12-DowntimeNew)/12,1),IF(I90="Option",G90*D90*1.025*(1+EscalatorInLease)^3,IF(I90="Market",Retention*G90*D90*(1+EscalatorInLease)^(3+M90)+(1-Retention)*H90*D90*(1+GrowthMarketRent)^3*IF(INT((DATE(2026+3,10,31)-F90)/365.25)=0,(12-DowntimeNew)/12,1),IF(I90="LeaseUp",H90*D90*(1+GrowthMarketRent)^3*IF(3=0,(12-DowntimeNew)/12,1),0)))),((F90-DATE(2026+3,5,1))/365.25)*G90*D90*(1+EscalatorInLease)^(3+M90)+((DATE(2027+3,4,30)-F90)/365.25)*IF(I90="Vacate",H90*D90*(1+GrowthMarketRent)^3*IF(INT((DATE(2026+3,10,31)-F90)/365.25)=0,(12-DowntimeNew)/12,1),IF(I90="Option",G90*D90*1.025*(1+EscalatorInLease)^3,IF(I90="Market",Retention*G90*D90*(1+EscalatorInLease)^(3+M90)+(1-Retention)*H90*D90*(1+GrowthMarketRent)^3*IF(INT((DATE(2026+3,10,31)-F90)/365.25)=0,(12-DowntimeNew)/12,1),IF(I90="LeaseUp",H90*D90*(1+GrowthMarketRent)^3*IF(3=0,(12-DowntimeNew)/12,1),0)))))))),0)</f>
        <v/>
      </c>
      <c r="R90" s="14">
        <f>IFERROR(IF(I90="LeaseUp",H90*D90*(1+GrowthMarketRent)^4*IF(4=0,(12-DowntimeNew)/12,1),IF(F90="",0,IF(F90&gt;=DATE(2027+4,4,30),G90*D90*(1+EscalatorInLease)^(4+M90),IF(F90&lt;DATE(2026+4,5,1),IF(I90="Vacate",H90*D90*(1+GrowthMarketRent)^4*IF(INT((DATE(2026+4,10,31)-F90)/365.25)=0,(12-DowntimeNew)/12,1),IF(I90="Option",G90*D90*1.025*(1+EscalatorInLease)^4,IF(I90="Market",Retention*G90*D90*(1+EscalatorInLease)^(4+M90)+(1-Retention)*H90*D90*(1+GrowthMarketRent)^4*IF(INT((DATE(2026+4,10,31)-F90)/365.25)=0,(12-DowntimeNew)/12,1),IF(I90="LeaseUp",H90*D90*(1+GrowthMarketRent)^4*IF(4=0,(12-DowntimeNew)/12,1),0)))),((F90-DATE(2026+4,5,1))/365.25)*G90*D90*(1+EscalatorInLease)^(4+M90)+((DATE(2027+4,4,30)-F90)/365.25)*IF(I90="Vacate",H90*D90*(1+GrowthMarketRent)^4*IF(INT((DATE(2026+4,10,31)-F90)/365.25)=0,(12-DowntimeNew)/12,1),IF(I90="Option",G90*D90*1.025*(1+EscalatorInLease)^4,IF(I90="Market",Retention*G90*D90*(1+EscalatorInLease)^(4+M90)+(1-Retention)*H90*D90*(1+GrowthMarketRent)^4*IF(INT((DATE(2026+4,10,31)-F90)/365.25)=0,(12-DowntimeNew)/12,1),IF(I90="LeaseUp",H90*D90*(1+GrowthMarketRent)^4*IF(4=0,(12-DowntimeNew)/12,1),0)))))))),0)</f>
        <v/>
      </c>
      <c r="S90" s="14">
        <f>IFERROR(IF(I90="LeaseUp",H90*D90*(1+GrowthMarketRent)^5*IF(5=0,(12-DowntimeNew)/12,1),IF(F90="",0,IF(F90&gt;=DATE(2027+5,4,30),G90*D90*(1+EscalatorInLease)^(5+M90),IF(F90&lt;DATE(2026+5,5,1),IF(I90="Vacate",H90*D90*(1+GrowthMarketRent)^5*IF(INT((DATE(2026+5,10,31)-F90)/365.25)=0,(12-DowntimeNew)/12,1),IF(I90="Option",G90*D90*1.025*(1+EscalatorInLease)^5,IF(I90="Market",Retention*G90*D90*(1+EscalatorInLease)^(5+M90)+(1-Retention)*H90*D90*(1+GrowthMarketRent)^5*IF(INT((DATE(2026+5,10,31)-F90)/365.25)=0,(12-DowntimeNew)/12,1),IF(I90="LeaseUp",H90*D90*(1+GrowthMarketRent)^5*IF(5=0,(12-DowntimeNew)/12,1),0)))),((F90-DATE(2026+5,5,1))/365.25)*G90*D90*(1+EscalatorInLease)^(5+M90)+((DATE(2027+5,4,30)-F90)/365.25)*IF(I90="Vacate",H90*D90*(1+GrowthMarketRent)^5*IF(INT((DATE(2026+5,10,31)-F90)/365.25)=0,(12-DowntimeNew)/12,1),IF(I90="Option",G90*D90*1.025*(1+EscalatorInLease)^5,IF(I90="Market",Retention*G90*D90*(1+EscalatorInLease)^(5+M90)+(1-Retention)*H90*D90*(1+GrowthMarketRent)^5*IF(INT((DATE(2026+5,10,31)-F90)/365.25)=0,(12-DowntimeNew)/12,1),IF(I90="LeaseUp",H90*D90*(1+GrowthMarketRent)^5*IF(5=0,(12-DowntimeNew)/12,1),0)))))))),0)</f>
        <v/>
      </c>
      <c r="T90" s="14">
        <f>IFERROR(IF(I90="LeaseUp",H90*D90*(1+GrowthMarketRent)^6*IF(6=0,(12-DowntimeNew)/12,1),IF(F90="",0,IF(F90&gt;=DATE(2027+6,4,30),G90*D90*(1+EscalatorInLease)^(6+M90),IF(F90&lt;DATE(2026+6,5,1),IF(I90="Vacate",H90*D90*(1+GrowthMarketRent)^6*IF(INT((DATE(2026+6,10,31)-F90)/365.25)=0,(12-DowntimeNew)/12,1),IF(I90="Option",G90*D90*1.025*(1+EscalatorInLease)^6,IF(I90="Market",Retention*G90*D90*(1+EscalatorInLease)^(6+M90)+(1-Retention)*H90*D90*(1+GrowthMarketRent)^6*IF(INT((DATE(2026+6,10,31)-F90)/365.25)=0,(12-DowntimeNew)/12,1),IF(I90="LeaseUp",H90*D90*(1+GrowthMarketRent)^6*IF(6=0,(12-DowntimeNew)/12,1),0)))),((F90-DATE(2026+6,5,1))/365.25)*G90*D90*(1+EscalatorInLease)^(6+M90)+((DATE(2027+6,4,30)-F90)/365.25)*IF(I90="Vacate",H90*D90*(1+GrowthMarketRent)^6*IF(INT((DATE(2026+6,10,31)-F90)/365.25)=0,(12-DowntimeNew)/12,1),IF(I90="Option",G90*D90*1.025*(1+EscalatorInLease)^6,IF(I90="Market",Retention*G90*D90*(1+EscalatorInLease)^(6+M90)+(1-Retention)*H90*D90*(1+GrowthMarketRent)^6*IF(INT((DATE(2026+6,10,31)-F90)/365.25)=0,(12-DowntimeNew)/12,1),IF(I90="LeaseUp",H90*D90*(1+GrowthMarketRent)^6*IF(6=0,(12-DowntimeNew)/12,1),0)))))))),0)</f>
        <v/>
      </c>
      <c r="U90" s="14">
        <f>IFERROR(IF(I90="LeaseUp",H90*D90*(1+GrowthMarketRent)^7*IF(7=0,(12-DowntimeNew)/12,1),IF(F90="",0,IF(F90&gt;=DATE(2027+7,4,30),G90*D90*(1+EscalatorInLease)^(7+M90),IF(F90&lt;DATE(2026+7,5,1),IF(I90="Vacate",H90*D90*(1+GrowthMarketRent)^7*IF(INT((DATE(2026+7,10,31)-F90)/365.25)=0,(12-DowntimeNew)/12,1),IF(I90="Option",G90*D90*1.025*(1+EscalatorInLease)^7,IF(I90="Market",Retention*G90*D90*(1+EscalatorInLease)^(7+M90)+(1-Retention)*H90*D90*(1+GrowthMarketRent)^7*IF(INT((DATE(2026+7,10,31)-F90)/365.25)=0,(12-DowntimeNew)/12,1),IF(I90="LeaseUp",H90*D90*(1+GrowthMarketRent)^7*IF(7=0,(12-DowntimeNew)/12,1),0)))),((F90-DATE(2026+7,5,1))/365.25)*G90*D90*(1+EscalatorInLease)^(7+M90)+((DATE(2027+7,4,30)-F90)/365.25)*IF(I90="Vacate",H90*D90*(1+GrowthMarketRent)^7*IF(INT((DATE(2026+7,10,31)-F90)/365.25)=0,(12-DowntimeNew)/12,1),IF(I90="Option",G90*D90*1.025*(1+EscalatorInLease)^7,IF(I90="Market",Retention*G90*D90*(1+EscalatorInLease)^(7+M90)+(1-Retention)*H90*D90*(1+GrowthMarketRent)^7*IF(INT((DATE(2026+7,10,31)-F90)/365.25)=0,(12-DowntimeNew)/12,1),IF(I90="LeaseUp",H90*D90*(1+GrowthMarketRent)^7*IF(7=0,(12-DowntimeNew)/12,1),0)))))))),0)</f>
        <v/>
      </c>
      <c r="V90" s="14">
        <f>IFERROR(IF(I90="LeaseUp",H90*D90*(1+GrowthMarketRent)^8*IF(8=0,(12-DowntimeNew)/12,1),IF(F90="",0,IF(F90&gt;=DATE(2027+8,4,30),G90*D90*(1+EscalatorInLease)^(8+M90),IF(F90&lt;DATE(2026+8,5,1),IF(I90="Vacate",H90*D90*(1+GrowthMarketRent)^8*IF(INT((DATE(2026+8,10,31)-F90)/365.25)=0,(12-DowntimeNew)/12,1),IF(I90="Option",G90*D90*1.025*(1+EscalatorInLease)^8,IF(I90="Market",Retention*G90*D90*(1+EscalatorInLease)^(8+M90)+(1-Retention)*H90*D90*(1+GrowthMarketRent)^8*IF(INT((DATE(2026+8,10,31)-F90)/365.25)=0,(12-DowntimeNew)/12,1),IF(I90="LeaseUp",H90*D90*(1+GrowthMarketRent)^8*IF(8=0,(12-DowntimeNew)/12,1),0)))),((F90-DATE(2026+8,5,1))/365.25)*G90*D90*(1+EscalatorInLease)^(8+M90)+((DATE(2027+8,4,30)-F90)/365.25)*IF(I90="Vacate",H90*D90*(1+GrowthMarketRent)^8*IF(INT((DATE(2026+8,10,31)-F90)/365.25)=0,(12-DowntimeNew)/12,1),IF(I90="Option",G90*D90*1.025*(1+EscalatorInLease)^8,IF(I90="Market",Retention*G90*D90*(1+EscalatorInLease)^(8+M90)+(1-Retention)*H90*D90*(1+GrowthMarketRent)^8*IF(INT((DATE(2026+8,10,31)-F90)/365.25)=0,(12-DowntimeNew)/12,1),IF(I90="LeaseUp",H90*D90*(1+GrowthMarketRent)^8*IF(8=0,(12-DowntimeNew)/12,1),0)))))))),0)</f>
        <v/>
      </c>
      <c r="W90" s="14">
        <f>IFERROR(IF(I90="LeaseUp",H90*D90*(1+GrowthMarketRent)^9*IF(9=0,(12-DowntimeNew)/12,1),IF(F90="",0,IF(F90&gt;=DATE(2027+9,4,30),G90*D90*(1+EscalatorInLease)^(9+M90),IF(F90&lt;DATE(2026+9,5,1),IF(I90="Vacate",H90*D90*(1+GrowthMarketRent)^9*IF(INT((DATE(2026+9,10,31)-F90)/365.25)=0,(12-DowntimeNew)/12,1),IF(I90="Option",G90*D90*1.025*(1+EscalatorInLease)^9,IF(I90="Market",Retention*G90*D90*(1+EscalatorInLease)^(9+M90)+(1-Retention)*H90*D90*(1+GrowthMarketRent)^9*IF(INT((DATE(2026+9,10,31)-F90)/365.25)=0,(12-DowntimeNew)/12,1),IF(I90="LeaseUp",H90*D90*(1+GrowthMarketRent)^9*IF(9=0,(12-DowntimeNew)/12,1),0)))),((F90-DATE(2026+9,5,1))/365.25)*G90*D90*(1+EscalatorInLease)^(9+M90)+((DATE(2027+9,4,30)-F90)/365.25)*IF(I90="Vacate",H90*D90*(1+GrowthMarketRent)^9*IF(INT((DATE(2026+9,10,31)-F90)/365.25)=0,(12-DowntimeNew)/12,1),IF(I90="Option",G90*D90*1.025*(1+EscalatorInLease)^9,IF(I90="Market",Retention*G90*D90*(1+EscalatorInLease)^(9+M90)+(1-Retention)*H90*D90*(1+GrowthMarketRent)^9*IF(INT((DATE(2026+9,10,31)-F90)/365.25)=0,(12-DowntimeNew)/12,1),IF(I90="LeaseUp",H90*D90*(1+GrowthMarketRent)^9*IF(9=0,(12-DowntimeNew)/12,1),0)))))))),0)</f>
        <v/>
      </c>
      <c r="X90" s="14">
        <f>IFERROR(IF(I90="LeaseUp",H90*D90*(1+GrowthMarketRent)^10*IF(10=0,(12-DowntimeNew)/12,1),IF(F90="",0,IF(F90&gt;=DATE(2027+10,4,30),G90*D90*(1+EscalatorInLease)^(10+M90),IF(F90&lt;DATE(2026+10,5,1),IF(I90="Vacate",H90*D90*(1+GrowthMarketRent)^10*IF(INT((DATE(2026+10,10,31)-F90)/365.25)=0,(12-DowntimeNew)/12,1),IF(I90="Option",G90*D90*1.025*(1+EscalatorInLease)^10,IF(I90="Market",Retention*G90*D90*(1+EscalatorInLease)^(10+M90)+(1-Retention)*H90*D90*(1+GrowthMarketRent)^10*IF(INT((DATE(2026+10,10,31)-F90)/365.25)=0,(12-DowntimeNew)/12,1),IF(I90="LeaseUp",H90*D90*(1+GrowthMarketRent)^10*IF(10=0,(12-DowntimeNew)/12,1),0)))),((F90-DATE(2026+10,5,1))/365.25)*G90*D90*(1+EscalatorInLease)^(10+M90)+((DATE(2027+10,4,30)-F90)/365.25)*IF(I90="Vacate",H90*D90*(1+GrowthMarketRent)^10*IF(INT((DATE(2026+10,10,31)-F90)/365.25)=0,(12-DowntimeNew)/12,1),IF(I90="Option",G90*D90*1.025*(1+EscalatorInLease)^10,IF(I90="Market",Retention*G90*D90*(1+EscalatorInLease)^(10+M90)+(1-Retention)*H90*D90*(1+GrowthMarketRent)^10*IF(INT((DATE(2026+10,10,31)-F90)/365.25)=0,(12-DowntimeNew)/12,1),IF(I90="LeaseUp",H90*D90*(1+GrowthMarketRent)^10*IF(10=0,(12-DowntimeNew)/12,1),0)))))))),0)</f>
        <v/>
      </c>
      <c r="Y90" s="14">
        <f>IFERROR(IF(AND(I90="LeaseUp",0=0),(IF(I90="Vacate",TINew*D90,IF(I90="Market",Retention*TIRenewal*D90+(1-Retention)*TINew*D90,IF(I90="LeaseUp",TINew*D90,IF(I90="Option",TIRenewal*D90,0)))))+(IF(I90="Vacate",LCNew*H90*D90*(1+GrowthMarketRent)^0,IF(I90="Market",Retention*LCRenewal*H90*D90*(1+GrowthMarketRent)^0+(1-Retention)*LCNew*H90*D90*(1+GrowthMarketRent)^0,IF(I90="LeaseUp",LCNew*H90*D90*(1+GrowthMarketRent)^0,IF(I90="Option",LCRenewal*H90*D90*(1+GrowthMarketRent)^0,0))))),IF(F90="",0,IF(AND(F90&gt;=DATE(2026+0,5,1),F90&lt;=DATE(2027+0,4,30)),(IF(I90="Vacate",TINew*D90,IF(I90="Market",Retention*TIRenewal*D90+(1-Retention)*TINew*D90,IF(I90="LeaseUp",TINew*D90,IF(I90="Option",TIRenewal*D90,0)))))+(IF(I90="Vacate",LCNew*H90*D90*(1+GrowthMarketRent)^0,IF(I90="Market",Retention*LCRenewal*H90*D90*(1+GrowthMarketRent)^0+(1-Retention)*LCNew*H90*D90*(1+GrowthMarketRent)^0,IF(I90="LeaseUp",LCNew*H90*D90*(1+GrowthMarketRent)^0,IF(I90="Option",LCRenewal*H90*D90*(1+GrowthMarketRent)^0,0))))),0))),0)</f>
        <v/>
      </c>
      <c r="Z90" s="14">
        <f>IFERROR(IF(AND(I90="LeaseUp",1=0),(IF(I90="Vacate",TINew*D90,IF(I90="Market",Retention*TIRenewal*D90+(1-Retention)*TINew*D90,IF(I90="LeaseUp",TINew*D90,IF(I90="Option",TIRenewal*D90,0)))))+(IF(I90="Vacate",LCNew*H90*D90*(1+GrowthMarketRent)^1,IF(I90="Market",Retention*LCRenewal*H90*D90*(1+GrowthMarketRent)^1+(1-Retention)*LCNew*H90*D90*(1+GrowthMarketRent)^1,IF(I90="LeaseUp",LCNew*H90*D90*(1+GrowthMarketRent)^1,IF(I90="Option",LCRenewal*H90*D90*(1+GrowthMarketRent)^1,0))))),IF(F90="",0,IF(AND(F90&gt;=DATE(2026+1,5,1),F90&lt;=DATE(2027+1,4,30)),(IF(I90="Vacate",TINew*D90,IF(I90="Market",Retention*TIRenewal*D90+(1-Retention)*TINew*D90,IF(I90="LeaseUp",TINew*D90,IF(I90="Option",TIRenewal*D90,0)))))+(IF(I90="Vacate",LCNew*H90*D90*(1+GrowthMarketRent)^1,IF(I90="Market",Retention*LCRenewal*H90*D90*(1+GrowthMarketRent)^1+(1-Retention)*LCNew*H90*D90*(1+GrowthMarketRent)^1,IF(I90="LeaseUp",LCNew*H90*D90*(1+GrowthMarketRent)^1,IF(I90="Option",LCRenewal*H90*D90*(1+GrowthMarketRent)^1,0))))),0))),0)</f>
        <v/>
      </c>
      <c r="AA90" s="14">
        <f>IFERROR(IF(AND(I90="LeaseUp",2=0),(IF(I90="Vacate",TINew*D90,IF(I90="Market",Retention*TIRenewal*D90+(1-Retention)*TINew*D90,IF(I90="LeaseUp",TINew*D90,IF(I90="Option",TIRenewal*D90,0)))))+(IF(I90="Vacate",LCNew*H90*D90*(1+GrowthMarketRent)^2,IF(I90="Market",Retention*LCRenewal*H90*D90*(1+GrowthMarketRent)^2+(1-Retention)*LCNew*H90*D90*(1+GrowthMarketRent)^2,IF(I90="LeaseUp",LCNew*H90*D90*(1+GrowthMarketRent)^2,IF(I90="Option",LCRenewal*H90*D90*(1+GrowthMarketRent)^2,0))))),IF(F90="",0,IF(AND(F90&gt;=DATE(2026+2,5,1),F90&lt;=DATE(2027+2,4,30)),(IF(I90="Vacate",TINew*D90,IF(I90="Market",Retention*TIRenewal*D90+(1-Retention)*TINew*D90,IF(I90="LeaseUp",TINew*D90,IF(I90="Option",TIRenewal*D90,0)))))+(IF(I90="Vacate",LCNew*H90*D90*(1+GrowthMarketRent)^2,IF(I90="Market",Retention*LCRenewal*H90*D90*(1+GrowthMarketRent)^2+(1-Retention)*LCNew*H90*D90*(1+GrowthMarketRent)^2,IF(I90="LeaseUp",LCNew*H90*D90*(1+GrowthMarketRent)^2,IF(I90="Option",LCRenewal*H90*D90*(1+GrowthMarketRent)^2,0))))),0))),0)</f>
        <v/>
      </c>
      <c r="AB90" s="14">
        <f>IFERROR(IF(AND(I90="LeaseUp",3=0),(IF(I90="Vacate",TINew*D90,IF(I90="Market",Retention*TIRenewal*D90+(1-Retention)*TINew*D90,IF(I90="LeaseUp",TINew*D90,IF(I90="Option",TIRenewal*D90,0)))))+(IF(I90="Vacate",LCNew*H90*D90*(1+GrowthMarketRent)^3,IF(I90="Market",Retention*LCRenewal*H90*D90*(1+GrowthMarketRent)^3+(1-Retention)*LCNew*H90*D90*(1+GrowthMarketRent)^3,IF(I90="LeaseUp",LCNew*H90*D90*(1+GrowthMarketRent)^3,IF(I90="Option",LCRenewal*H90*D90*(1+GrowthMarketRent)^3,0))))),IF(F90="",0,IF(AND(F90&gt;=DATE(2026+3,5,1),F90&lt;=DATE(2027+3,4,30)),(IF(I90="Vacate",TINew*D90,IF(I90="Market",Retention*TIRenewal*D90+(1-Retention)*TINew*D90,IF(I90="LeaseUp",TINew*D90,IF(I90="Option",TIRenewal*D90,0)))))+(IF(I90="Vacate",LCNew*H90*D90*(1+GrowthMarketRent)^3,IF(I90="Market",Retention*LCRenewal*H90*D90*(1+GrowthMarketRent)^3+(1-Retention)*LCNew*H90*D90*(1+GrowthMarketRent)^3,IF(I90="LeaseUp",LCNew*H90*D90*(1+GrowthMarketRent)^3,IF(I90="Option",LCRenewal*H90*D90*(1+GrowthMarketRent)^3,0))))),0))),0)</f>
        <v/>
      </c>
      <c r="AC90" s="14">
        <f>IFERROR(IF(AND(I90="LeaseUp",4=0),(IF(I90="Vacate",TINew*D90,IF(I90="Market",Retention*TIRenewal*D90+(1-Retention)*TINew*D90,IF(I90="LeaseUp",TINew*D90,IF(I90="Option",TIRenewal*D90,0)))))+(IF(I90="Vacate",LCNew*H90*D90*(1+GrowthMarketRent)^4,IF(I90="Market",Retention*LCRenewal*H90*D90*(1+GrowthMarketRent)^4+(1-Retention)*LCNew*H90*D90*(1+GrowthMarketRent)^4,IF(I90="LeaseUp",LCNew*H90*D90*(1+GrowthMarketRent)^4,IF(I90="Option",LCRenewal*H90*D90*(1+GrowthMarketRent)^4,0))))),IF(F90="",0,IF(AND(F90&gt;=DATE(2026+4,5,1),F90&lt;=DATE(2027+4,4,30)),(IF(I90="Vacate",TINew*D90,IF(I90="Market",Retention*TIRenewal*D90+(1-Retention)*TINew*D90,IF(I90="LeaseUp",TINew*D90,IF(I90="Option",TIRenewal*D90,0)))))+(IF(I90="Vacate",LCNew*H90*D90*(1+GrowthMarketRent)^4,IF(I90="Market",Retention*LCRenewal*H90*D90*(1+GrowthMarketRent)^4+(1-Retention)*LCNew*H90*D90*(1+GrowthMarketRent)^4,IF(I90="LeaseUp",LCNew*H90*D90*(1+GrowthMarketRent)^4,IF(I90="Option",LCRenewal*H90*D90*(1+GrowthMarketRent)^4,0))))),0))),0)</f>
        <v/>
      </c>
      <c r="AD90" s="14">
        <f>IFERROR(IF(AND(I90="LeaseUp",5=0),(IF(I90="Vacate",TINew*D90,IF(I90="Market",Retention*TIRenewal*D90+(1-Retention)*TINew*D90,IF(I90="LeaseUp",TINew*D90,IF(I90="Option",TIRenewal*D90,0)))))+(IF(I90="Vacate",LCNew*H90*D90*(1+GrowthMarketRent)^5,IF(I90="Market",Retention*LCRenewal*H90*D90*(1+GrowthMarketRent)^5+(1-Retention)*LCNew*H90*D90*(1+GrowthMarketRent)^5,IF(I90="LeaseUp",LCNew*H90*D90*(1+GrowthMarketRent)^5,IF(I90="Option",LCRenewal*H90*D90*(1+GrowthMarketRent)^5,0))))),IF(F90="",0,IF(AND(F90&gt;=DATE(2026+5,5,1),F90&lt;=DATE(2027+5,4,30)),(IF(I90="Vacate",TINew*D90,IF(I90="Market",Retention*TIRenewal*D90+(1-Retention)*TINew*D90,IF(I90="LeaseUp",TINew*D90,IF(I90="Option",TIRenewal*D90,0)))))+(IF(I90="Vacate",LCNew*H90*D90*(1+GrowthMarketRent)^5,IF(I90="Market",Retention*LCRenewal*H90*D90*(1+GrowthMarketRent)^5+(1-Retention)*LCNew*H90*D90*(1+GrowthMarketRent)^5,IF(I90="LeaseUp",LCNew*H90*D90*(1+GrowthMarketRent)^5,IF(I90="Option",LCRenewal*H90*D90*(1+GrowthMarketRent)^5,0))))),0))),0)</f>
        <v/>
      </c>
      <c r="AE90" s="14">
        <f>IFERROR(IF(AND(I90="LeaseUp",6=0),(IF(I90="Vacate",TINew*D90,IF(I90="Market",Retention*TIRenewal*D90+(1-Retention)*TINew*D90,IF(I90="LeaseUp",TINew*D90,IF(I90="Option",TIRenewal*D90,0)))))+(IF(I90="Vacate",LCNew*H90*D90*(1+GrowthMarketRent)^6,IF(I90="Market",Retention*LCRenewal*H90*D90*(1+GrowthMarketRent)^6+(1-Retention)*LCNew*H90*D90*(1+GrowthMarketRent)^6,IF(I90="LeaseUp",LCNew*H90*D90*(1+GrowthMarketRent)^6,IF(I90="Option",LCRenewal*H90*D90*(1+GrowthMarketRent)^6,0))))),IF(F90="",0,IF(AND(F90&gt;=DATE(2026+6,5,1),F90&lt;=DATE(2027+6,4,30)),(IF(I90="Vacate",TINew*D90,IF(I90="Market",Retention*TIRenewal*D90+(1-Retention)*TINew*D90,IF(I90="LeaseUp",TINew*D90,IF(I90="Option",TIRenewal*D90,0)))))+(IF(I90="Vacate",LCNew*H90*D90*(1+GrowthMarketRent)^6,IF(I90="Market",Retention*LCRenewal*H90*D90*(1+GrowthMarketRent)^6+(1-Retention)*LCNew*H90*D90*(1+GrowthMarketRent)^6,IF(I90="LeaseUp",LCNew*H90*D90*(1+GrowthMarketRent)^6,IF(I90="Option",LCRenewal*H90*D90*(1+GrowthMarketRent)^6,0))))),0))),0)</f>
        <v/>
      </c>
      <c r="AF90" s="14">
        <f>IFERROR(IF(AND(I90="LeaseUp",7=0),(IF(I90="Vacate",TINew*D90,IF(I90="Market",Retention*TIRenewal*D90+(1-Retention)*TINew*D90,IF(I90="LeaseUp",TINew*D90,IF(I90="Option",TIRenewal*D90,0)))))+(IF(I90="Vacate",LCNew*H90*D90*(1+GrowthMarketRent)^7,IF(I90="Market",Retention*LCRenewal*H90*D90*(1+GrowthMarketRent)^7+(1-Retention)*LCNew*H90*D90*(1+GrowthMarketRent)^7,IF(I90="LeaseUp",LCNew*H90*D90*(1+GrowthMarketRent)^7,IF(I90="Option",LCRenewal*H90*D90*(1+GrowthMarketRent)^7,0))))),IF(F90="",0,IF(AND(F90&gt;=DATE(2026+7,5,1),F90&lt;=DATE(2027+7,4,30)),(IF(I90="Vacate",TINew*D90,IF(I90="Market",Retention*TIRenewal*D90+(1-Retention)*TINew*D90,IF(I90="LeaseUp",TINew*D90,IF(I90="Option",TIRenewal*D90,0)))))+(IF(I90="Vacate",LCNew*H90*D90*(1+GrowthMarketRent)^7,IF(I90="Market",Retention*LCRenewal*H90*D90*(1+GrowthMarketRent)^7+(1-Retention)*LCNew*H90*D90*(1+GrowthMarketRent)^7,IF(I90="LeaseUp",LCNew*H90*D90*(1+GrowthMarketRent)^7,IF(I90="Option",LCRenewal*H90*D90*(1+GrowthMarketRent)^7,0))))),0))),0)</f>
        <v/>
      </c>
      <c r="AG90" s="14">
        <f>IFERROR(IF(AND(I90="LeaseUp",8=0),(IF(I90="Vacate",TINew*D90,IF(I90="Market",Retention*TIRenewal*D90+(1-Retention)*TINew*D90,IF(I90="LeaseUp",TINew*D90,IF(I90="Option",TIRenewal*D90,0)))))+(IF(I90="Vacate",LCNew*H90*D90*(1+GrowthMarketRent)^8,IF(I90="Market",Retention*LCRenewal*H90*D90*(1+GrowthMarketRent)^8+(1-Retention)*LCNew*H90*D90*(1+GrowthMarketRent)^8,IF(I90="LeaseUp",LCNew*H90*D90*(1+GrowthMarketRent)^8,IF(I90="Option",LCRenewal*H90*D90*(1+GrowthMarketRent)^8,0))))),IF(F90="",0,IF(AND(F90&gt;=DATE(2026+8,5,1),F90&lt;=DATE(2027+8,4,30)),(IF(I90="Vacate",TINew*D90,IF(I90="Market",Retention*TIRenewal*D90+(1-Retention)*TINew*D90,IF(I90="LeaseUp",TINew*D90,IF(I90="Option",TIRenewal*D90,0)))))+(IF(I90="Vacate",LCNew*H90*D90*(1+GrowthMarketRent)^8,IF(I90="Market",Retention*LCRenewal*H90*D90*(1+GrowthMarketRent)^8+(1-Retention)*LCNew*H90*D90*(1+GrowthMarketRent)^8,IF(I90="LeaseUp",LCNew*H90*D90*(1+GrowthMarketRent)^8,IF(I90="Option",LCRenewal*H90*D90*(1+GrowthMarketRent)^8,0))))),0))),0)</f>
        <v/>
      </c>
      <c r="AH90" s="14">
        <f>IFERROR(IF(AND(I90="LeaseUp",9=0),(IF(I90="Vacate",TINew*D90,IF(I90="Market",Retention*TIRenewal*D90+(1-Retention)*TINew*D90,IF(I90="LeaseUp",TINew*D90,IF(I90="Option",TIRenewal*D90,0)))))+(IF(I90="Vacate",LCNew*H90*D90*(1+GrowthMarketRent)^9,IF(I90="Market",Retention*LCRenewal*H90*D90*(1+GrowthMarketRent)^9+(1-Retention)*LCNew*H90*D90*(1+GrowthMarketRent)^9,IF(I90="LeaseUp",LCNew*H90*D90*(1+GrowthMarketRent)^9,IF(I90="Option",LCRenewal*H90*D90*(1+GrowthMarketRent)^9,0))))),IF(F90="",0,IF(AND(F90&gt;=DATE(2026+9,5,1),F90&lt;=DATE(2027+9,4,30)),(IF(I90="Vacate",TINew*D90,IF(I90="Market",Retention*TIRenewal*D90+(1-Retention)*TINew*D90,IF(I90="LeaseUp",TINew*D90,IF(I90="Option",TIRenewal*D90,0)))))+(IF(I90="Vacate",LCNew*H90*D90*(1+GrowthMarketRent)^9,IF(I90="Market",Retention*LCRenewal*H90*D90*(1+GrowthMarketRent)^9+(1-Retention)*LCNew*H90*D90*(1+GrowthMarketRent)^9,IF(I90="LeaseUp",LCNew*H90*D90*(1+GrowthMarketRent)^9,IF(I90="Option",LCRenewal*H90*D90*(1+GrowthMarketRent)^9,0))))),0))),0)</f>
        <v/>
      </c>
      <c r="AI90" s="14">
        <f>IFERROR(IF(AND(I90="LeaseUp",10=0),(IF(I90="Vacate",TINew*D90,IF(I90="Market",Retention*TIRenewal*D90+(1-Retention)*TINew*D90,IF(I90="LeaseUp",TINew*D90,IF(I90="Option",TIRenewal*D90,0)))))+(IF(I90="Vacate",LCNew*H90*D90*(1+GrowthMarketRent)^10,IF(I90="Market",Retention*LCRenewal*H90*D90*(1+GrowthMarketRent)^10+(1-Retention)*LCNew*H90*D90*(1+GrowthMarketRent)^10,IF(I90="LeaseUp",LCNew*H90*D90*(1+GrowthMarketRent)^10,IF(I90="Option",LCRenewal*H90*D90*(1+GrowthMarketRent)^10,0))))),IF(F90="",0,IF(AND(F90&gt;=DATE(2026+10,5,1),F90&lt;=DATE(2027+10,4,30)),(IF(I90="Vacate",TINew*D90,IF(I90="Market",Retention*TIRenewal*D90+(1-Retention)*TINew*D90,IF(I90="LeaseUp",TINew*D90,IF(I90="Option",TIRenewal*D90,0)))))+(IF(I90="Vacate",LCNew*H90*D90*(1+GrowthMarketRent)^10,IF(I90="Market",Retention*LCRenewal*H90*D90*(1+GrowthMarketRent)^10+(1-Retention)*LCNew*H90*D90*(1+GrowthMarketRent)^10,IF(I90="LeaseUp",LCNew*H90*D90*(1+GrowthMarketRent)^10,IF(I90="Option",LCRenewal*H90*D90*(1+GrowthMarketRent)^10,0))))),0))),0)</f>
        <v/>
      </c>
    </row>
    <row r="91">
      <c r="A91" t="inlineStr">
        <is>
          <t>Lewisville</t>
        </is>
      </c>
      <c r="B91" t="inlineStr">
        <is>
          <t>101</t>
        </is>
      </c>
      <c r="C91" t="inlineStr">
        <is>
          <t>Designer Countertops LLC</t>
        </is>
      </c>
      <c r="D91" s="32" t="n">
        <v>2600</v>
      </c>
      <c r="E91" s="33" t="n">
        <v>45108</v>
      </c>
      <c r="F91" s="33" t="n">
        <v>46357</v>
      </c>
      <c r="G91" s="34" t="n">
        <v>15.4965384615385</v>
      </c>
      <c r="H91" s="16">
        <f>VLOOKUP(A91,MLA!$A$5:$L$11,3,FALSE)</f>
        <v/>
      </c>
      <c r="I91" s="11" t="inlineStr">
        <is>
          <t>Vacate</t>
        </is>
      </c>
      <c r="J91" t="inlineStr">
        <is>
          <t>Shop</t>
        </is>
      </c>
      <c r="K91" t="inlineStr">
        <is>
          <t>Occupied</t>
        </is>
      </c>
      <c r="L91" t="inlineStr">
        <is>
          <t>Shop; assumed vacate 12/26; Guarantor: Dan Villareal Jr.</t>
        </is>
      </c>
      <c r="M91" s="20">
        <f>IF(E91="",0,(AnalysisStart-E91)/365.25)</f>
        <v/>
      </c>
      <c r="N91" s="14">
        <f>IFERROR(IF(I91="LeaseUp",H91*D91*(1+GrowthMarketRent)^0*IF(0=0,(12-DowntimeNew)/12,1),IF(F91="",0,IF(F91&gt;=DATE(2027+0,4,30),G91*D91*(1+EscalatorInLease)^(0+M91),IF(F91&lt;DATE(2026+0,5,1),IF(I91="Vacate",H91*D91*(1+GrowthMarketRent)^0*IF(INT((DATE(2026+0,10,31)-F91)/365.25)=0,(12-DowntimeNew)/12,1),IF(I91="Option",G91*D91*1.025*(1+EscalatorInLease)^0,IF(I91="Market",Retention*G91*D91*(1+EscalatorInLease)^(0+M91)+(1-Retention)*H91*D91*(1+GrowthMarketRent)^0*IF(INT((DATE(2026+0,10,31)-F91)/365.25)=0,(12-DowntimeNew)/12,1),IF(I91="LeaseUp",H91*D91*(1+GrowthMarketRent)^0*IF(0=0,(12-DowntimeNew)/12,1),0)))),((F91-DATE(2026+0,5,1))/365.25)*G91*D91*(1+EscalatorInLease)^(0+M91)+((DATE(2027+0,4,30)-F91)/365.25)*IF(I91="Vacate",H91*D91*(1+GrowthMarketRent)^0*IF(INT((DATE(2026+0,10,31)-F91)/365.25)=0,(12-DowntimeNew)/12,1),IF(I91="Option",G91*D91*1.025*(1+EscalatorInLease)^0,IF(I91="Market",Retention*G91*D91*(1+EscalatorInLease)^(0+M91)+(1-Retention)*H91*D91*(1+GrowthMarketRent)^0*IF(INT((DATE(2026+0,10,31)-F91)/365.25)=0,(12-DowntimeNew)/12,1),IF(I91="LeaseUp",H91*D91*(1+GrowthMarketRent)^0*IF(0=0,(12-DowntimeNew)/12,1),0)))))))),0)</f>
        <v/>
      </c>
      <c r="O91" s="14">
        <f>IFERROR(IF(I91="LeaseUp",H91*D91*(1+GrowthMarketRent)^1*IF(1=0,(12-DowntimeNew)/12,1),IF(F91="",0,IF(F91&gt;=DATE(2027+1,4,30),G91*D91*(1+EscalatorInLease)^(1+M91),IF(F91&lt;DATE(2026+1,5,1),IF(I91="Vacate",H91*D91*(1+GrowthMarketRent)^1*IF(INT((DATE(2026+1,10,31)-F91)/365.25)=0,(12-DowntimeNew)/12,1),IF(I91="Option",G91*D91*1.025*(1+EscalatorInLease)^1,IF(I91="Market",Retention*G91*D91*(1+EscalatorInLease)^(1+M91)+(1-Retention)*H91*D91*(1+GrowthMarketRent)^1*IF(INT((DATE(2026+1,10,31)-F91)/365.25)=0,(12-DowntimeNew)/12,1),IF(I91="LeaseUp",H91*D91*(1+GrowthMarketRent)^1*IF(1=0,(12-DowntimeNew)/12,1),0)))),((F91-DATE(2026+1,5,1))/365.25)*G91*D91*(1+EscalatorInLease)^(1+M91)+((DATE(2027+1,4,30)-F91)/365.25)*IF(I91="Vacate",H91*D91*(1+GrowthMarketRent)^1*IF(INT((DATE(2026+1,10,31)-F91)/365.25)=0,(12-DowntimeNew)/12,1),IF(I91="Option",G91*D91*1.025*(1+EscalatorInLease)^1,IF(I91="Market",Retention*G91*D91*(1+EscalatorInLease)^(1+M91)+(1-Retention)*H91*D91*(1+GrowthMarketRent)^1*IF(INT((DATE(2026+1,10,31)-F91)/365.25)=0,(12-DowntimeNew)/12,1),IF(I91="LeaseUp",H91*D91*(1+GrowthMarketRent)^1*IF(1=0,(12-DowntimeNew)/12,1),0)))))))),0)</f>
        <v/>
      </c>
      <c r="P91" s="14">
        <f>IFERROR(IF(I91="LeaseUp",H91*D91*(1+GrowthMarketRent)^2*IF(2=0,(12-DowntimeNew)/12,1),IF(F91="",0,IF(F91&gt;=DATE(2027+2,4,30),G91*D91*(1+EscalatorInLease)^(2+M91),IF(F91&lt;DATE(2026+2,5,1),IF(I91="Vacate",H91*D91*(1+GrowthMarketRent)^2*IF(INT((DATE(2026+2,10,31)-F91)/365.25)=0,(12-DowntimeNew)/12,1),IF(I91="Option",G91*D91*1.025*(1+EscalatorInLease)^2,IF(I91="Market",Retention*G91*D91*(1+EscalatorInLease)^(2+M91)+(1-Retention)*H91*D91*(1+GrowthMarketRent)^2*IF(INT((DATE(2026+2,10,31)-F91)/365.25)=0,(12-DowntimeNew)/12,1),IF(I91="LeaseUp",H91*D91*(1+GrowthMarketRent)^2*IF(2=0,(12-DowntimeNew)/12,1),0)))),((F91-DATE(2026+2,5,1))/365.25)*G91*D91*(1+EscalatorInLease)^(2+M91)+((DATE(2027+2,4,30)-F91)/365.25)*IF(I91="Vacate",H91*D91*(1+GrowthMarketRent)^2*IF(INT((DATE(2026+2,10,31)-F91)/365.25)=0,(12-DowntimeNew)/12,1),IF(I91="Option",G91*D91*1.025*(1+EscalatorInLease)^2,IF(I91="Market",Retention*G91*D91*(1+EscalatorInLease)^(2+M91)+(1-Retention)*H91*D91*(1+GrowthMarketRent)^2*IF(INT((DATE(2026+2,10,31)-F91)/365.25)=0,(12-DowntimeNew)/12,1),IF(I91="LeaseUp",H91*D91*(1+GrowthMarketRent)^2*IF(2=0,(12-DowntimeNew)/12,1),0)))))))),0)</f>
        <v/>
      </c>
      <c r="Q91" s="14">
        <f>IFERROR(IF(I91="LeaseUp",H91*D91*(1+GrowthMarketRent)^3*IF(3=0,(12-DowntimeNew)/12,1),IF(F91="",0,IF(F91&gt;=DATE(2027+3,4,30),G91*D91*(1+EscalatorInLease)^(3+M91),IF(F91&lt;DATE(2026+3,5,1),IF(I91="Vacate",H91*D91*(1+GrowthMarketRent)^3*IF(INT((DATE(2026+3,10,31)-F91)/365.25)=0,(12-DowntimeNew)/12,1),IF(I91="Option",G91*D91*1.025*(1+EscalatorInLease)^3,IF(I91="Market",Retention*G91*D91*(1+EscalatorInLease)^(3+M91)+(1-Retention)*H91*D91*(1+GrowthMarketRent)^3*IF(INT((DATE(2026+3,10,31)-F91)/365.25)=0,(12-DowntimeNew)/12,1),IF(I91="LeaseUp",H91*D91*(1+GrowthMarketRent)^3*IF(3=0,(12-DowntimeNew)/12,1),0)))),((F91-DATE(2026+3,5,1))/365.25)*G91*D91*(1+EscalatorInLease)^(3+M91)+((DATE(2027+3,4,30)-F91)/365.25)*IF(I91="Vacate",H91*D91*(1+GrowthMarketRent)^3*IF(INT((DATE(2026+3,10,31)-F91)/365.25)=0,(12-DowntimeNew)/12,1),IF(I91="Option",G91*D91*1.025*(1+EscalatorInLease)^3,IF(I91="Market",Retention*G91*D91*(1+EscalatorInLease)^(3+M91)+(1-Retention)*H91*D91*(1+GrowthMarketRent)^3*IF(INT((DATE(2026+3,10,31)-F91)/365.25)=0,(12-DowntimeNew)/12,1),IF(I91="LeaseUp",H91*D91*(1+GrowthMarketRent)^3*IF(3=0,(12-DowntimeNew)/12,1),0)))))))),0)</f>
        <v/>
      </c>
      <c r="R91" s="14">
        <f>IFERROR(IF(I91="LeaseUp",H91*D91*(1+GrowthMarketRent)^4*IF(4=0,(12-DowntimeNew)/12,1),IF(F91="",0,IF(F91&gt;=DATE(2027+4,4,30),G91*D91*(1+EscalatorInLease)^(4+M91),IF(F91&lt;DATE(2026+4,5,1),IF(I91="Vacate",H91*D91*(1+GrowthMarketRent)^4*IF(INT((DATE(2026+4,10,31)-F91)/365.25)=0,(12-DowntimeNew)/12,1),IF(I91="Option",G91*D91*1.025*(1+EscalatorInLease)^4,IF(I91="Market",Retention*G91*D91*(1+EscalatorInLease)^(4+M91)+(1-Retention)*H91*D91*(1+GrowthMarketRent)^4*IF(INT((DATE(2026+4,10,31)-F91)/365.25)=0,(12-DowntimeNew)/12,1),IF(I91="LeaseUp",H91*D91*(1+GrowthMarketRent)^4*IF(4=0,(12-DowntimeNew)/12,1),0)))),((F91-DATE(2026+4,5,1))/365.25)*G91*D91*(1+EscalatorInLease)^(4+M91)+((DATE(2027+4,4,30)-F91)/365.25)*IF(I91="Vacate",H91*D91*(1+GrowthMarketRent)^4*IF(INT((DATE(2026+4,10,31)-F91)/365.25)=0,(12-DowntimeNew)/12,1),IF(I91="Option",G91*D91*1.025*(1+EscalatorInLease)^4,IF(I91="Market",Retention*G91*D91*(1+EscalatorInLease)^(4+M91)+(1-Retention)*H91*D91*(1+GrowthMarketRent)^4*IF(INT((DATE(2026+4,10,31)-F91)/365.25)=0,(12-DowntimeNew)/12,1),IF(I91="LeaseUp",H91*D91*(1+GrowthMarketRent)^4*IF(4=0,(12-DowntimeNew)/12,1),0)))))))),0)</f>
        <v/>
      </c>
      <c r="S91" s="14">
        <f>IFERROR(IF(I91="LeaseUp",H91*D91*(1+GrowthMarketRent)^5*IF(5=0,(12-DowntimeNew)/12,1),IF(F91="",0,IF(F91&gt;=DATE(2027+5,4,30),G91*D91*(1+EscalatorInLease)^(5+M91),IF(F91&lt;DATE(2026+5,5,1),IF(I91="Vacate",H91*D91*(1+GrowthMarketRent)^5*IF(INT((DATE(2026+5,10,31)-F91)/365.25)=0,(12-DowntimeNew)/12,1),IF(I91="Option",G91*D91*1.025*(1+EscalatorInLease)^5,IF(I91="Market",Retention*G91*D91*(1+EscalatorInLease)^(5+M91)+(1-Retention)*H91*D91*(1+GrowthMarketRent)^5*IF(INT((DATE(2026+5,10,31)-F91)/365.25)=0,(12-DowntimeNew)/12,1),IF(I91="LeaseUp",H91*D91*(1+GrowthMarketRent)^5*IF(5=0,(12-DowntimeNew)/12,1),0)))),((F91-DATE(2026+5,5,1))/365.25)*G91*D91*(1+EscalatorInLease)^(5+M91)+((DATE(2027+5,4,30)-F91)/365.25)*IF(I91="Vacate",H91*D91*(1+GrowthMarketRent)^5*IF(INT((DATE(2026+5,10,31)-F91)/365.25)=0,(12-DowntimeNew)/12,1),IF(I91="Option",G91*D91*1.025*(1+EscalatorInLease)^5,IF(I91="Market",Retention*G91*D91*(1+EscalatorInLease)^(5+M91)+(1-Retention)*H91*D91*(1+GrowthMarketRent)^5*IF(INT((DATE(2026+5,10,31)-F91)/365.25)=0,(12-DowntimeNew)/12,1),IF(I91="LeaseUp",H91*D91*(1+GrowthMarketRent)^5*IF(5=0,(12-DowntimeNew)/12,1),0)))))))),0)</f>
        <v/>
      </c>
      <c r="T91" s="14">
        <f>IFERROR(IF(I91="LeaseUp",H91*D91*(1+GrowthMarketRent)^6*IF(6=0,(12-DowntimeNew)/12,1),IF(F91="",0,IF(F91&gt;=DATE(2027+6,4,30),G91*D91*(1+EscalatorInLease)^(6+M91),IF(F91&lt;DATE(2026+6,5,1),IF(I91="Vacate",H91*D91*(1+GrowthMarketRent)^6*IF(INT((DATE(2026+6,10,31)-F91)/365.25)=0,(12-DowntimeNew)/12,1),IF(I91="Option",G91*D91*1.025*(1+EscalatorInLease)^6,IF(I91="Market",Retention*G91*D91*(1+EscalatorInLease)^(6+M91)+(1-Retention)*H91*D91*(1+GrowthMarketRent)^6*IF(INT((DATE(2026+6,10,31)-F91)/365.25)=0,(12-DowntimeNew)/12,1),IF(I91="LeaseUp",H91*D91*(1+GrowthMarketRent)^6*IF(6=0,(12-DowntimeNew)/12,1),0)))),((F91-DATE(2026+6,5,1))/365.25)*G91*D91*(1+EscalatorInLease)^(6+M91)+((DATE(2027+6,4,30)-F91)/365.25)*IF(I91="Vacate",H91*D91*(1+GrowthMarketRent)^6*IF(INT((DATE(2026+6,10,31)-F91)/365.25)=0,(12-DowntimeNew)/12,1),IF(I91="Option",G91*D91*1.025*(1+EscalatorInLease)^6,IF(I91="Market",Retention*G91*D91*(1+EscalatorInLease)^(6+M91)+(1-Retention)*H91*D91*(1+GrowthMarketRent)^6*IF(INT((DATE(2026+6,10,31)-F91)/365.25)=0,(12-DowntimeNew)/12,1),IF(I91="LeaseUp",H91*D91*(1+GrowthMarketRent)^6*IF(6=0,(12-DowntimeNew)/12,1),0)))))))),0)</f>
        <v/>
      </c>
      <c r="U91" s="14">
        <f>IFERROR(IF(I91="LeaseUp",H91*D91*(1+GrowthMarketRent)^7*IF(7=0,(12-DowntimeNew)/12,1),IF(F91="",0,IF(F91&gt;=DATE(2027+7,4,30),G91*D91*(1+EscalatorInLease)^(7+M91),IF(F91&lt;DATE(2026+7,5,1),IF(I91="Vacate",H91*D91*(1+GrowthMarketRent)^7*IF(INT((DATE(2026+7,10,31)-F91)/365.25)=0,(12-DowntimeNew)/12,1),IF(I91="Option",G91*D91*1.025*(1+EscalatorInLease)^7,IF(I91="Market",Retention*G91*D91*(1+EscalatorInLease)^(7+M91)+(1-Retention)*H91*D91*(1+GrowthMarketRent)^7*IF(INT((DATE(2026+7,10,31)-F91)/365.25)=0,(12-DowntimeNew)/12,1),IF(I91="LeaseUp",H91*D91*(1+GrowthMarketRent)^7*IF(7=0,(12-DowntimeNew)/12,1),0)))),((F91-DATE(2026+7,5,1))/365.25)*G91*D91*(1+EscalatorInLease)^(7+M91)+((DATE(2027+7,4,30)-F91)/365.25)*IF(I91="Vacate",H91*D91*(1+GrowthMarketRent)^7*IF(INT((DATE(2026+7,10,31)-F91)/365.25)=0,(12-DowntimeNew)/12,1),IF(I91="Option",G91*D91*1.025*(1+EscalatorInLease)^7,IF(I91="Market",Retention*G91*D91*(1+EscalatorInLease)^(7+M91)+(1-Retention)*H91*D91*(1+GrowthMarketRent)^7*IF(INT((DATE(2026+7,10,31)-F91)/365.25)=0,(12-DowntimeNew)/12,1),IF(I91="LeaseUp",H91*D91*(1+GrowthMarketRent)^7*IF(7=0,(12-DowntimeNew)/12,1),0)))))))),0)</f>
        <v/>
      </c>
      <c r="V91" s="14">
        <f>IFERROR(IF(I91="LeaseUp",H91*D91*(1+GrowthMarketRent)^8*IF(8=0,(12-DowntimeNew)/12,1),IF(F91="",0,IF(F91&gt;=DATE(2027+8,4,30),G91*D91*(1+EscalatorInLease)^(8+M91),IF(F91&lt;DATE(2026+8,5,1),IF(I91="Vacate",H91*D91*(1+GrowthMarketRent)^8*IF(INT((DATE(2026+8,10,31)-F91)/365.25)=0,(12-DowntimeNew)/12,1),IF(I91="Option",G91*D91*1.025*(1+EscalatorInLease)^8,IF(I91="Market",Retention*G91*D91*(1+EscalatorInLease)^(8+M91)+(1-Retention)*H91*D91*(1+GrowthMarketRent)^8*IF(INT((DATE(2026+8,10,31)-F91)/365.25)=0,(12-DowntimeNew)/12,1),IF(I91="LeaseUp",H91*D91*(1+GrowthMarketRent)^8*IF(8=0,(12-DowntimeNew)/12,1),0)))),((F91-DATE(2026+8,5,1))/365.25)*G91*D91*(1+EscalatorInLease)^(8+M91)+((DATE(2027+8,4,30)-F91)/365.25)*IF(I91="Vacate",H91*D91*(1+GrowthMarketRent)^8*IF(INT((DATE(2026+8,10,31)-F91)/365.25)=0,(12-DowntimeNew)/12,1),IF(I91="Option",G91*D91*1.025*(1+EscalatorInLease)^8,IF(I91="Market",Retention*G91*D91*(1+EscalatorInLease)^(8+M91)+(1-Retention)*H91*D91*(1+GrowthMarketRent)^8*IF(INT((DATE(2026+8,10,31)-F91)/365.25)=0,(12-DowntimeNew)/12,1),IF(I91="LeaseUp",H91*D91*(1+GrowthMarketRent)^8*IF(8=0,(12-DowntimeNew)/12,1),0)))))))),0)</f>
        <v/>
      </c>
      <c r="W91" s="14">
        <f>IFERROR(IF(I91="LeaseUp",H91*D91*(1+GrowthMarketRent)^9*IF(9=0,(12-DowntimeNew)/12,1),IF(F91="",0,IF(F91&gt;=DATE(2027+9,4,30),G91*D91*(1+EscalatorInLease)^(9+M91),IF(F91&lt;DATE(2026+9,5,1),IF(I91="Vacate",H91*D91*(1+GrowthMarketRent)^9*IF(INT((DATE(2026+9,10,31)-F91)/365.25)=0,(12-DowntimeNew)/12,1),IF(I91="Option",G91*D91*1.025*(1+EscalatorInLease)^9,IF(I91="Market",Retention*G91*D91*(1+EscalatorInLease)^(9+M91)+(1-Retention)*H91*D91*(1+GrowthMarketRent)^9*IF(INT((DATE(2026+9,10,31)-F91)/365.25)=0,(12-DowntimeNew)/12,1),IF(I91="LeaseUp",H91*D91*(1+GrowthMarketRent)^9*IF(9=0,(12-DowntimeNew)/12,1),0)))),((F91-DATE(2026+9,5,1))/365.25)*G91*D91*(1+EscalatorInLease)^(9+M91)+((DATE(2027+9,4,30)-F91)/365.25)*IF(I91="Vacate",H91*D91*(1+GrowthMarketRent)^9*IF(INT((DATE(2026+9,10,31)-F91)/365.25)=0,(12-DowntimeNew)/12,1),IF(I91="Option",G91*D91*1.025*(1+EscalatorInLease)^9,IF(I91="Market",Retention*G91*D91*(1+EscalatorInLease)^(9+M91)+(1-Retention)*H91*D91*(1+GrowthMarketRent)^9*IF(INT((DATE(2026+9,10,31)-F91)/365.25)=0,(12-DowntimeNew)/12,1),IF(I91="LeaseUp",H91*D91*(1+GrowthMarketRent)^9*IF(9=0,(12-DowntimeNew)/12,1),0)))))))),0)</f>
        <v/>
      </c>
      <c r="X91" s="14">
        <f>IFERROR(IF(I91="LeaseUp",H91*D91*(1+GrowthMarketRent)^10*IF(10=0,(12-DowntimeNew)/12,1),IF(F91="",0,IF(F91&gt;=DATE(2027+10,4,30),G91*D91*(1+EscalatorInLease)^(10+M91),IF(F91&lt;DATE(2026+10,5,1),IF(I91="Vacate",H91*D91*(1+GrowthMarketRent)^10*IF(INT((DATE(2026+10,10,31)-F91)/365.25)=0,(12-DowntimeNew)/12,1),IF(I91="Option",G91*D91*1.025*(1+EscalatorInLease)^10,IF(I91="Market",Retention*G91*D91*(1+EscalatorInLease)^(10+M91)+(1-Retention)*H91*D91*(1+GrowthMarketRent)^10*IF(INT((DATE(2026+10,10,31)-F91)/365.25)=0,(12-DowntimeNew)/12,1),IF(I91="LeaseUp",H91*D91*(1+GrowthMarketRent)^10*IF(10=0,(12-DowntimeNew)/12,1),0)))),((F91-DATE(2026+10,5,1))/365.25)*G91*D91*(1+EscalatorInLease)^(10+M91)+((DATE(2027+10,4,30)-F91)/365.25)*IF(I91="Vacate",H91*D91*(1+GrowthMarketRent)^10*IF(INT((DATE(2026+10,10,31)-F91)/365.25)=0,(12-DowntimeNew)/12,1),IF(I91="Option",G91*D91*1.025*(1+EscalatorInLease)^10,IF(I91="Market",Retention*G91*D91*(1+EscalatorInLease)^(10+M91)+(1-Retention)*H91*D91*(1+GrowthMarketRent)^10*IF(INT((DATE(2026+10,10,31)-F91)/365.25)=0,(12-DowntimeNew)/12,1),IF(I91="LeaseUp",H91*D91*(1+GrowthMarketRent)^10*IF(10=0,(12-DowntimeNew)/12,1),0)))))))),0)</f>
        <v/>
      </c>
      <c r="Y91" s="14">
        <f>IFERROR(IF(AND(I91="LeaseUp",0=0),(IF(I91="Vacate",TINew*D91,IF(I91="Market",Retention*TIRenewal*D91+(1-Retention)*TINew*D91,IF(I91="LeaseUp",TINew*D91,IF(I91="Option",TIRenewal*D91,0)))))+(IF(I91="Vacate",LCNew*H91*D91*(1+GrowthMarketRent)^0,IF(I91="Market",Retention*LCRenewal*H91*D91*(1+GrowthMarketRent)^0+(1-Retention)*LCNew*H91*D91*(1+GrowthMarketRent)^0,IF(I91="LeaseUp",LCNew*H91*D91*(1+GrowthMarketRent)^0,IF(I91="Option",LCRenewal*H91*D91*(1+GrowthMarketRent)^0,0))))),IF(F91="",0,IF(AND(F91&gt;=DATE(2026+0,5,1),F91&lt;=DATE(2027+0,4,30)),(IF(I91="Vacate",TINew*D91,IF(I91="Market",Retention*TIRenewal*D91+(1-Retention)*TINew*D91,IF(I91="LeaseUp",TINew*D91,IF(I91="Option",TIRenewal*D91,0)))))+(IF(I91="Vacate",LCNew*H91*D91*(1+GrowthMarketRent)^0,IF(I91="Market",Retention*LCRenewal*H91*D91*(1+GrowthMarketRent)^0+(1-Retention)*LCNew*H91*D91*(1+GrowthMarketRent)^0,IF(I91="LeaseUp",LCNew*H91*D91*(1+GrowthMarketRent)^0,IF(I91="Option",LCRenewal*H91*D91*(1+GrowthMarketRent)^0,0))))),0))),0)</f>
        <v/>
      </c>
      <c r="Z91" s="14">
        <f>IFERROR(IF(AND(I91="LeaseUp",1=0),(IF(I91="Vacate",TINew*D91,IF(I91="Market",Retention*TIRenewal*D91+(1-Retention)*TINew*D91,IF(I91="LeaseUp",TINew*D91,IF(I91="Option",TIRenewal*D91,0)))))+(IF(I91="Vacate",LCNew*H91*D91*(1+GrowthMarketRent)^1,IF(I91="Market",Retention*LCRenewal*H91*D91*(1+GrowthMarketRent)^1+(1-Retention)*LCNew*H91*D91*(1+GrowthMarketRent)^1,IF(I91="LeaseUp",LCNew*H91*D91*(1+GrowthMarketRent)^1,IF(I91="Option",LCRenewal*H91*D91*(1+GrowthMarketRent)^1,0))))),IF(F91="",0,IF(AND(F91&gt;=DATE(2026+1,5,1),F91&lt;=DATE(2027+1,4,30)),(IF(I91="Vacate",TINew*D91,IF(I91="Market",Retention*TIRenewal*D91+(1-Retention)*TINew*D91,IF(I91="LeaseUp",TINew*D91,IF(I91="Option",TIRenewal*D91,0)))))+(IF(I91="Vacate",LCNew*H91*D91*(1+GrowthMarketRent)^1,IF(I91="Market",Retention*LCRenewal*H91*D91*(1+GrowthMarketRent)^1+(1-Retention)*LCNew*H91*D91*(1+GrowthMarketRent)^1,IF(I91="LeaseUp",LCNew*H91*D91*(1+GrowthMarketRent)^1,IF(I91="Option",LCRenewal*H91*D91*(1+GrowthMarketRent)^1,0))))),0))),0)</f>
        <v/>
      </c>
      <c r="AA91" s="14">
        <f>IFERROR(IF(AND(I91="LeaseUp",2=0),(IF(I91="Vacate",TINew*D91,IF(I91="Market",Retention*TIRenewal*D91+(1-Retention)*TINew*D91,IF(I91="LeaseUp",TINew*D91,IF(I91="Option",TIRenewal*D91,0)))))+(IF(I91="Vacate",LCNew*H91*D91*(1+GrowthMarketRent)^2,IF(I91="Market",Retention*LCRenewal*H91*D91*(1+GrowthMarketRent)^2+(1-Retention)*LCNew*H91*D91*(1+GrowthMarketRent)^2,IF(I91="LeaseUp",LCNew*H91*D91*(1+GrowthMarketRent)^2,IF(I91="Option",LCRenewal*H91*D91*(1+GrowthMarketRent)^2,0))))),IF(F91="",0,IF(AND(F91&gt;=DATE(2026+2,5,1),F91&lt;=DATE(2027+2,4,30)),(IF(I91="Vacate",TINew*D91,IF(I91="Market",Retention*TIRenewal*D91+(1-Retention)*TINew*D91,IF(I91="LeaseUp",TINew*D91,IF(I91="Option",TIRenewal*D91,0)))))+(IF(I91="Vacate",LCNew*H91*D91*(1+GrowthMarketRent)^2,IF(I91="Market",Retention*LCRenewal*H91*D91*(1+GrowthMarketRent)^2+(1-Retention)*LCNew*H91*D91*(1+GrowthMarketRent)^2,IF(I91="LeaseUp",LCNew*H91*D91*(1+GrowthMarketRent)^2,IF(I91="Option",LCRenewal*H91*D91*(1+GrowthMarketRent)^2,0))))),0))),0)</f>
        <v/>
      </c>
      <c r="AB91" s="14">
        <f>IFERROR(IF(AND(I91="LeaseUp",3=0),(IF(I91="Vacate",TINew*D91,IF(I91="Market",Retention*TIRenewal*D91+(1-Retention)*TINew*D91,IF(I91="LeaseUp",TINew*D91,IF(I91="Option",TIRenewal*D91,0)))))+(IF(I91="Vacate",LCNew*H91*D91*(1+GrowthMarketRent)^3,IF(I91="Market",Retention*LCRenewal*H91*D91*(1+GrowthMarketRent)^3+(1-Retention)*LCNew*H91*D91*(1+GrowthMarketRent)^3,IF(I91="LeaseUp",LCNew*H91*D91*(1+GrowthMarketRent)^3,IF(I91="Option",LCRenewal*H91*D91*(1+GrowthMarketRent)^3,0))))),IF(F91="",0,IF(AND(F91&gt;=DATE(2026+3,5,1),F91&lt;=DATE(2027+3,4,30)),(IF(I91="Vacate",TINew*D91,IF(I91="Market",Retention*TIRenewal*D91+(1-Retention)*TINew*D91,IF(I91="LeaseUp",TINew*D91,IF(I91="Option",TIRenewal*D91,0)))))+(IF(I91="Vacate",LCNew*H91*D91*(1+GrowthMarketRent)^3,IF(I91="Market",Retention*LCRenewal*H91*D91*(1+GrowthMarketRent)^3+(1-Retention)*LCNew*H91*D91*(1+GrowthMarketRent)^3,IF(I91="LeaseUp",LCNew*H91*D91*(1+GrowthMarketRent)^3,IF(I91="Option",LCRenewal*H91*D91*(1+GrowthMarketRent)^3,0))))),0))),0)</f>
        <v/>
      </c>
      <c r="AC91" s="14">
        <f>IFERROR(IF(AND(I91="LeaseUp",4=0),(IF(I91="Vacate",TINew*D91,IF(I91="Market",Retention*TIRenewal*D91+(1-Retention)*TINew*D91,IF(I91="LeaseUp",TINew*D91,IF(I91="Option",TIRenewal*D91,0)))))+(IF(I91="Vacate",LCNew*H91*D91*(1+GrowthMarketRent)^4,IF(I91="Market",Retention*LCRenewal*H91*D91*(1+GrowthMarketRent)^4+(1-Retention)*LCNew*H91*D91*(1+GrowthMarketRent)^4,IF(I91="LeaseUp",LCNew*H91*D91*(1+GrowthMarketRent)^4,IF(I91="Option",LCRenewal*H91*D91*(1+GrowthMarketRent)^4,0))))),IF(F91="",0,IF(AND(F91&gt;=DATE(2026+4,5,1),F91&lt;=DATE(2027+4,4,30)),(IF(I91="Vacate",TINew*D91,IF(I91="Market",Retention*TIRenewal*D91+(1-Retention)*TINew*D91,IF(I91="LeaseUp",TINew*D91,IF(I91="Option",TIRenewal*D91,0)))))+(IF(I91="Vacate",LCNew*H91*D91*(1+GrowthMarketRent)^4,IF(I91="Market",Retention*LCRenewal*H91*D91*(1+GrowthMarketRent)^4+(1-Retention)*LCNew*H91*D91*(1+GrowthMarketRent)^4,IF(I91="LeaseUp",LCNew*H91*D91*(1+GrowthMarketRent)^4,IF(I91="Option",LCRenewal*H91*D91*(1+GrowthMarketRent)^4,0))))),0))),0)</f>
        <v/>
      </c>
      <c r="AD91" s="14">
        <f>IFERROR(IF(AND(I91="LeaseUp",5=0),(IF(I91="Vacate",TINew*D91,IF(I91="Market",Retention*TIRenewal*D91+(1-Retention)*TINew*D91,IF(I91="LeaseUp",TINew*D91,IF(I91="Option",TIRenewal*D91,0)))))+(IF(I91="Vacate",LCNew*H91*D91*(1+GrowthMarketRent)^5,IF(I91="Market",Retention*LCRenewal*H91*D91*(1+GrowthMarketRent)^5+(1-Retention)*LCNew*H91*D91*(1+GrowthMarketRent)^5,IF(I91="LeaseUp",LCNew*H91*D91*(1+GrowthMarketRent)^5,IF(I91="Option",LCRenewal*H91*D91*(1+GrowthMarketRent)^5,0))))),IF(F91="",0,IF(AND(F91&gt;=DATE(2026+5,5,1),F91&lt;=DATE(2027+5,4,30)),(IF(I91="Vacate",TINew*D91,IF(I91="Market",Retention*TIRenewal*D91+(1-Retention)*TINew*D91,IF(I91="LeaseUp",TINew*D91,IF(I91="Option",TIRenewal*D91,0)))))+(IF(I91="Vacate",LCNew*H91*D91*(1+GrowthMarketRent)^5,IF(I91="Market",Retention*LCRenewal*H91*D91*(1+GrowthMarketRent)^5+(1-Retention)*LCNew*H91*D91*(1+GrowthMarketRent)^5,IF(I91="LeaseUp",LCNew*H91*D91*(1+GrowthMarketRent)^5,IF(I91="Option",LCRenewal*H91*D91*(1+GrowthMarketRent)^5,0))))),0))),0)</f>
        <v/>
      </c>
      <c r="AE91" s="14">
        <f>IFERROR(IF(AND(I91="LeaseUp",6=0),(IF(I91="Vacate",TINew*D91,IF(I91="Market",Retention*TIRenewal*D91+(1-Retention)*TINew*D91,IF(I91="LeaseUp",TINew*D91,IF(I91="Option",TIRenewal*D91,0)))))+(IF(I91="Vacate",LCNew*H91*D91*(1+GrowthMarketRent)^6,IF(I91="Market",Retention*LCRenewal*H91*D91*(1+GrowthMarketRent)^6+(1-Retention)*LCNew*H91*D91*(1+GrowthMarketRent)^6,IF(I91="LeaseUp",LCNew*H91*D91*(1+GrowthMarketRent)^6,IF(I91="Option",LCRenewal*H91*D91*(1+GrowthMarketRent)^6,0))))),IF(F91="",0,IF(AND(F91&gt;=DATE(2026+6,5,1),F91&lt;=DATE(2027+6,4,30)),(IF(I91="Vacate",TINew*D91,IF(I91="Market",Retention*TIRenewal*D91+(1-Retention)*TINew*D91,IF(I91="LeaseUp",TINew*D91,IF(I91="Option",TIRenewal*D91,0)))))+(IF(I91="Vacate",LCNew*H91*D91*(1+GrowthMarketRent)^6,IF(I91="Market",Retention*LCRenewal*H91*D91*(1+GrowthMarketRent)^6+(1-Retention)*LCNew*H91*D91*(1+GrowthMarketRent)^6,IF(I91="LeaseUp",LCNew*H91*D91*(1+GrowthMarketRent)^6,IF(I91="Option",LCRenewal*H91*D91*(1+GrowthMarketRent)^6,0))))),0))),0)</f>
        <v/>
      </c>
      <c r="AF91" s="14">
        <f>IFERROR(IF(AND(I91="LeaseUp",7=0),(IF(I91="Vacate",TINew*D91,IF(I91="Market",Retention*TIRenewal*D91+(1-Retention)*TINew*D91,IF(I91="LeaseUp",TINew*D91,IF(I91="Option",TIRenewal*D91,0)))))+(IF(I91="Vacate",LCNew*H91*D91*(1+GrowthMarketRent)^7,IF(I91="Market",Retention*LCRenewal*H91*D91*(1+GrowthMarketRent)^7+(1-Retention)*LCNew*H91*D91*(1+GrowthMarketRent)^7,IF(I91="LeaseUp",LCNew*H91*D91*(1+GrowthMarketRent)^7,IF(I91="Option",LCRenewal*H91*D91*(1+GrowthMarketRent)^7,0))))),IF(F91="",0,IF(AND(F91&gt;=DATE(2026+7,5,1),F91&lt;=DATE(2027+7,4,30)),(IF(I91="Vacate",TINew*D91,IF(I91="Market",Retention*TIRenewal*D91+(1-Retention)*TINew*D91,IF(I91="LeaseUp",TINew*D91,IF(I91="Option",TIRenewal*D91,0)))))+(IF(I91="Vacate",LCNew*H91*D91*(1+GrowthMarketRent)^7,IF(I91="Market",Retention*LCRenewal*H91*D91*(1+GrowthMarketRent)^7+(1-Retention)*LCNew*H91*D91*(1+GrowthMarketRent)^7,IF(I91="LeaseUp",LCNew*H91*D91*(1+GrowthMarketRent)^7,IF(I91="Option",LCRenewal*H91*D91*(1+GrowthMarketRent)^7,0))))),0))),0)</f>
        <v/>
      </c>
      <c r="AG91" s="14">
        <f>IFERROR(IF(AND(I91="LeaseUp",8=0),(IF(I91="Vacate",TINew*D91,IF(I91="Market",Retention*TIRenewal*D91+(1-Retention)*TINew*D91,IF(I91="LeaseUp",TINew*D91,IF(I91="Option",TIRenewal*D91,0)))))+(IF(I91="Vacate",LCNew*H91*D91*(1+GrowthMarketRent)^8,IF(I91="Market",Retention*LCRenewal*H91*D91*(1+GrowthMarketRent)^8+(1-Retention)*LCNew*H91*D91*(1+GrowthMarketRent)^8,IF(I91="LeaseUp",LCNew*H91*D91*(1+GrowthMarketRent)^8,IF(I91="Option",LCRenewal*H91*D91*(1+GrowthMarketRent)^8,0))))),IF(F91="",0,IF(AND(F91&gt;=DATE(2026+8,5,1),F91&lt;=DATE(2027+8,4,30)),(IF(I91="Vacate",TINew*D91,IF(I91="Market",Retention*TIRenewal*D91+(1-Retention)*TINew*D91,IF(I91="LeaseUp",TINew*D91,IF(I91="Option",TIRenewal*D91,0)))))+(IF(I91="Vacate",LCNew*H91*D91*(1+GrowthMarketRent)^8,IF(I91="Market",Retention*LCRenewal*H91*D91*(1+GrowthMarketRent)^8+(1-Retention)*LCNew*H91*D91*(1+GrowthMarketRent)^8,IF(I91="LeaseUp",LCNew*H91*D91*(1+GrowthMarketRent)^8,IF(I91="Option",LCRenewal*H91*D91*(1+GrowthMarketRent)^8,0))))),0))),0)</f>
        <v/>
      </c>
      <c r="AH91" s="14">
        <f>IFERROR(IF(AND(I91="LeaseUp",9=0),(IF(I91="Vacate",TINew*D91,IF(I91="Market",Retention*TIRenewal*D91+(1-Retention)*TINew*D91,IF(I91="LeaseUp",TINew*D91,IF(I91="Option",TIRenewal*D91,0)))))+(IF(I91="Vacate",LCNew*H91*D91*(1+GrowthMarketRent)^9,IF(I91="Market",Retention*LCRenewal*H91*D91*(1+GrowthMarketRent)^9+(1-Retention)*LCNew*H91*D91*(1+GrowthMarketRent)^9,IF(I91="LeaseUp",LCNew*H91*D91*(1+GrowthMarketRent)^9,IF(I91="Option",LCRenewal*H91*D91*(1+GrowthMarketRent)^9,0))))),IF(F91="",0,IF(AND(F91&gt;=DATE(2026+9,5,1),F91&lt;=DATE(2027+9,4,30)),(IF(I91="Vacate",TINew*D91,IF(I91="Market",Retention*TIRenewal*D91+(1-Retention)*TINew*D91,IF(I91="LeaseUp",TINew*D91,IF(I91="Option",TIRenewal*D91,0)))))+(IF(I91="Vacate",LCNew*H91*D91*(1+GrowthMarketRent)^9,IF(I91="Market",Retention*LCRenewal*H91*D91*(1+GrowthMarketRent)^9+(1-Retention)*LCNew*H91*D91*(1+GrowthMarketRent)^9,IF(I91="LeaseUp",LCNew*H91*D91*(1+GrowthMarketRent)^9,IF(I91="Option",LCRenewal*H91*D91*(1+GrowthMarketRent)^9,0))))),0))),0)</f>
        <v/>
      </c>
      <c r="AI91" s="14">
        <f>IFERROR(IF(AND(I91="LeaseUp",10=0),(IF(I91="Vacate",TINew*D91,IF(I91="Market",Retention*TIRenewal*D91+(1-Retention)*TINew*D91,IF(I91="LeaseUp",TINew*D91,IF(I91="Option",TIRenewal*D91,0)))))+(IF(I91="Vacate",LCNew*H91*D91*(1+GrowthMarketRent)^10,IF(I91="Market",Retention*LCRenewal*H91*D91*(1+GrowthMarketRent)^10+(1-Retention)*LCNew*H91*D91*(1+GrowthMarketRent)^10,IF(I91="LeaseUp",LCNew*H91*D91*(1+GrowthMarketRent)^10,IF(I91="Option",LCRenewal*H91*D91*(1+GrowthMarketRent)^10,0))))),IF(F91="",0,IF(AND(F91&gt;=DATE(2026+10,5,1),F91&lt;=DATE(2027+10,4,30)),(IF(I91="Vacate",TINew*D91,IF(I91="Market",Retention*TIRenewal*D91+(1-Retention)*TINew*D91,IF(I91="LeaseUp",TINew*D91,IF(I91="Option",TIRenewal*D91,0)))))+(IF(I91="Vacate",LCNew*H91*D91*(1+GrowthMarketRent)^10,IF(I91="Market",Retention*LCRenewal*H91*D91*(1+GrowthMarketRent)^10+(1-Retention)*LCNew*H91*D91*(1+GrowthMarketRent)^10,IF(I91="LeaseUp",LCNew*H91*D91*(1+GrowthMarketRent)^10,IF(I91="Option",LCRenewal*H91*D91*(1+GrowthMarketRent)^10,0))))),0))),0)</f>
        <v/>
      </c>
    </row>
    <row r="92">
      <c r="A92" t="inlineStr">
        <is>
          <t>Lewisville</t>
        </is>
      </c>
      <c r="B92" t="inlineStr">
        <is>
          <t>102</t>
        </is>
      </c>
      <c r="C92" t="inlineStr">
        <is>
          <t>Tasman Geosciences Inc.</t>
        </is>
      </c>
      <c r="D92" s="32" t="n">
        <v>2600</v>
      </c>
      <c r="E92" s="33" t="n">
        <v>45992</v>
      </c>
      <c r="F92" s="33" t="n">
        <v>47270</v>
      </c>
      <c r="G92" s="34" t="n">
        <v>18</v>
      </c>
      <c r="H92" s="16">
        <f>VLOOKUP(A92,MLA!$A$5:$L$11,3,FALSE)</f>
        <v/>
      </c>
      <c r="I92" s="11" t="inlineStr">
        <is>
          <t>Option</t>
        </is>
      </c>
      <c r="J92" t="inlineStr">
        <is>
          <t>Shop</t>
        </is>
      </c>
      <c r="K92" t="inlineStr">
        <is>
          <t>Occupied</t>
        </is>
      </c>
      <c r="L92" t="inlineStr">
        <is>
          <t>Shop; Two 3yr options @ FMV</t>
        </is>
      </c>
      <c r="M92" s="20">
        <f>IF(E92="",0,(AnalysisStart-E92)/365.25)</f>
        <v/>
      </c>
      <c r="N92" s="14">
        <f>IFERROR(IF(I92="LeaseUp",H92*D92*(1+GrowthMarketRent)^0*IF(0=0,(12-DowntimeNew)/12,1),IF(F92="",0,IF(F92&gt;=DATE(2027+0,4,30),G92*D92*(1+EscalatorInLease)^(0+M92),IF(F92&lt;DATE(2026+0,5,1),IF(I92="Vacate",H92*D92*(1+GrowthMarketRent)^0*IF(INT((DATE(2026+0,10,31)-F92)/365.25)=0,(12-DowntimeNew)/12,1),IF(I92="Option",G92*D92*1.025*(1+EscalatorInLease)^0,IF(I92="Market",Retention*G92*D92*(1+EscalatorInLease)^(0+M92)+(1-Retention)*H92*D92*(1+GrowthMarketRent)^0*IF(INT((DATE(2026+0,10,31)-F92)/365.25)=0,(12-DowntimeNew)/12,1),IF(I92="LeaseUp",H92*D92*(1+GrowthMarketRent)^0*IF(0=0,(12-DowntimeNew)/12,1),0)))),((F92-DATE(2026+0,5,1))/365.25)*G92*D92*(1+EscalatorInLease)^(0+M92)+((DATE(2027+0,4,30)-F92)/365.25)*IF(I92="Vacate",H92*D92*(1+GrowthMarketRent)^0*IF(INT((DATE(2026+0,10,31)-F92)/365.25)=0,(12-DowntimeNew)/12,1),IF(I92="Option",G92*D92*1.025*(1+EscalatorInLease)^0,IF(I92="Market",Retention*G92*D92*(1+EscalatorInLease)^(0+M92)+(1-Retention)*H92*D92*(1+GrowthMarketRent)^0*IF(INT((DATE(2026+0,10,31)-F92)/365.25)=0,(12-DowntimeNew)/12,1),IF(I92="LeaseUp",H92*D92*(1+GrowthMarketRent)^0*IF(0=0,(12-DowntimeNew)/12,1),0)))))))),0)</f>
        <v/>
      </c>
      <c r="O92" s="14">
        <f>IFERROR(IF(I92="LeaseUp",H92*D92*(1+GrowthMarketRent)^1*IF(1=0,(12-DowntimeNew)/12,1),IF(F92="",0,IF(F92&gt;=DATE(2027+1,4,30),G92*D92*(1+EscalatorInLease)^(1+M92),IF(F92&lt;DATE(2026+1,5,1),IF(I92="Vacate",H92*D92*(1+GrowthMarketRent)^1*IF(INT((DATE(2026+1,10,31)-F92)/365.25)=0,(12-DowntimeNew)/12,1),IF(I92="Option",G92*D92*1.025*(1+EscalatorInLease)^1,IF(I92="Market",Retention*G92*D92*(1+EscalatorInLease)^(1+M92)+(1-Retention)*H92*D92*(1+GrowthMarketRent)^1*IF(INT((DATE(2026+1,10,31)-F92)/365.25)=0,(12-DowntimeNew)/12,1),IF(I92="LeaseUp",H92*D92*(1+GrowthMarketRent)^1*IF(1=0,(12-DowntimeNew)/12,1),0)))),((F92-DATE(2026+1,5,1))/365.25)*G92*D92*(1+EscalatorInLease)^(1+M92)+((DATE(2027+1,4,30)-F92)/365.25)*IF(I92="Vacate",H92*D92*(1+GrowthMarketRent)^1*IF(INT((DATE(2026+1,10,31)-F92)/365.25)=0,(12-DowntimeNew)/12,1),IF(I92="Option",G92*D92*1.025*(1+EscalatorInLease)^1,IF(I92="Market",Retention*G92*D92*(1+EscalatorInLease)^(1+M92)+(1-Retention)*H92*D92*(1+GrowthMarketRent)^1*IF(INT((DATE(2026+1,10,31)-F92)/365.25)=0,(12-DowntimeNew)/12,1),IF(I92="LeaseUp",H92*D92*(1+GrowthMarketRent)^1*IF(1=0,(12-DowntimeNew)/12,1),0)))))))),0)</f>
        <v/>
      </c>
      <c r="P92" s="14">
        <f>IFERROR(IF(I92="LeaseUp",H92*D92*(1+GrowthMarketRent)^2*IF(2=0,(12-DowntimeNew)/12,1),IF(F92="",0,IF(F92&gt;=DATE(2027+2,4,30),G92*D92*(1+EscalatorInLease)^(2+M92),IF(F92&lt;DATE(2026+2,5,1),IF(I92="Vacate",H92*D92*(1+GrowthMarketRent)^2*IF(INT((DATE(2026+2,10,31)-F92)/365.25)=0,(12-DowntimeNew)/12,1),IF(I92="Option",G92*D92*1.025*(1+EscalatorInLease)^2,IF(I92="Market",Retention*G92*D92*(1+EscalatorInLease)^(2+M92)+(1-Retention)*H92*D92*(1+GrowthMarketRent)^2*IF(INT((DATE(2026+2,10,31)-F92)/365.25)=0,(12-DowntimeNew)/12,1),IF(I92="LeaseUp",H92*D92*(1+GrowthMarketRent)^2*IF(2=0,(12-DowntimeNew)/12,1),0)))),((F92-DATE(2026+2,5,1))/365.25)*G92*D92*(1+EscalatorInLease)^(2+M92)+((DATE(2027+2,4,30)-F92)/365.25)*IF(I92="Vacate",H92*D92*(1+GrowthMarketRent)^2*IF(INT((DATE(2026+2,10,31)-F92)/365.25)=0,(12-DowntimeNew)/12,1),IF(I92="Option",G92*D92*1.025*(1+EscalatorInLease)^2,IF(I92="Market",Retention*G92*D92*(1+EscalatorInLease)^(2+M92)+(1-Retention)*H92*D92*(1+GrowthMarketRent)^2*IF(INT((DATE(2026+2,10,31)-F92)/365.25)=0,(12-DowntimeNew)/12,1),IF(I92="LeaseUp",H92*D92*(1+GrowthMarketRent)^2*IF(2=0,(12-DowntimeNew)/12,1),0)))))))),0)</f>
        <v/>
      </c>
      <c r="Q92" s="14">
        <f>IFERROR(IF(I92="LeaseUp",H92*D92*(1+GrowthMarketRent)^3*IF(3=0,(12-DowntimeNew)/12,1),IF(F92="",0,IF(F92&gt;=DATE(2027+3,4,30),G92*D92*(1+EscalatorInLease)^(3+M92),IF(F92&lt;DATE(2026+3,5,1),IF(I92="Vacate",H92*D92*(1+GrowthMarketRent)^3*IF(INT((DATE(2026+3,10,31)-F92)/365.25)=0,(12-DowntimeNew)/12,1),IF(I92="Option",G92*D92*1.025*(1+EscalatorInLease)^3,IF(I92="Market",Retention*G92*D92*(1+EscalatorInLease)^(3+M92)+(1-Retention)*H92*D92*(1+GrowthMarketRent)^3*IF(INT((DATE(2026+3,10,31)-F92)/365.25)=0,(12-DowntimeNew)/12,1),IF(I92="LeaseUp",H92*D92*(1+GrowthMarketRent)^3*IF(3=0,(12-DowntimeNew)/12,1),0)))),((F92-DATE(2026+3,5,1))/365.25)*G92*D92*(1+EscalatorInLease)^(3+M92)+((DATE(2027+3,4,30)-F92)/365.25)*IF(I92="Vacate",H92*D92*(1+GrowthMarketRent)^3*IF(INT((DATE(2026+3,10,31)-F92)/365.25)=0,(12-DowntimeNew)/12,1),IF(I92="Option",G92*D92*1.025*(1+EscalatorInLease)^3,IF(I92="Market",Retention*G92*D92*(1+EscalatorInLease)^(3+M92)+(1-Retention)*H92*D92*(1+GrowthMarketRent)^3*IF(INT((DATE(2026+3,10,31)-F92)/365.25)=0,(12-DowntimeNew)/12,1),IF(I92="LeaseUp",H92*D92*(1+GrowthMarketRent)^3*IF(3=0,(12-DowntimeNew)/12,1),0)))))))),0)</f>
        <v/>
      </c>
      <c r="R92" s="14">
        <f>IFERROR(IF(I92="LeaseUp",H92*D92*(1+GrowthMarketRent)^4*IF(4=0,(12-DowntimeNew)/12,1),IF(F92="",0,IF(F92&gt;=DATE(2027+4,4,30),G92*D92*(1+EscalatorInLease)^(4+M92),IF(F92&lt;DATE(2026+4,5,1),IF(I92="Vacate",H92*D92*(1+GrowthMarketRent)^4*IF(INT((DATE(2026+4,10,31)-F92)/365.25)=0,(12-DowntimeNew)/12,1),IF(I92="Option",G92*D92*1.025*(1+EscalatorInLease)^4,IF(I92="Market",Retention*G92*D92*(1+EscalatorInLease)^(4+M92)+(1-Retention)*H92*D92*(1+GrowthMarketRent)^4*IF(INT((DATE(2026+4,10,31)-F92)/365.25)=0,(12-DowntimeNew)/12,1),IF(I92="LeaseUp",H92*D92*(1+GrowthMarketRent)^4*IF(4=0,(12-DowntimeNew)/12,1),0)))),((F92-DATE(2026+4,5,1))/365.25)*G92*D92*(1+EscalatorInLease)^(4+M92)+((DATE(2027+4,4,30)-F92)/365.25)*IF(I92="Vacate",H92*D92*(1+GrowthMarketRent)^4*IF(INT((DATE(2026+4,10,31)-F92)/365.25)=0,(12-DowntimeNew)/12,1),IF(I92="Option",G92*D92*1.025*(1+EscalatorInLease)^4,IF(I92="Market",Retention*G92*D92*(1+EscalatorInLease)^(4+M92)+(1-Retention)*H92*D92*(1+GrowthMarketRent)^4*IF(INT((DATE(2026+4,10,31)-F92)/365.25)=0,(12-DowntimeNew)/12,1),IF(I92="LeaseUp",H92*D92*(1+GrowthMarketRent)^4*IF(4=0,(12-DowntimeNew)/12,1),0)))))))),0)</f>
        <v/>
      </c>
      <c r="S92" s="14">
        <f>IFERROR(IF(I92="LeaseUp",H92*D92*(1+GrowthMarketRent)^5*IF(5=0,(12-DowntimeNew)/12,1),IF(F92="",0,IF(F92&gt;=DATE(2027+5,4,30),G92*D92*(1+EscalatorInLease)^(5+M92),IF(F92&lt;DATE(2026+5,5,1),IF(I92="Vacate",H92*D92*(1+GrowthMarketRent)^5*IF(INT((DATE(2026+5,10,31)-F92)/365.25)=0,(12-DowntimeNew)/12,1),IF(I92="Option",G92*D92*1.025*(1+EscalatorInLease)^5,IF(I92="Market",Retention*G92*D92*(1+EscalatorInLease)^(5+M92)+(1-Retention)*H92*D92*(1+GrowthMarketRent)^5*IF(INT((DATE(2026+5,10,31)-F92)/365.25)=0,(12-DowntimeNew)/12,1),IF(I92="LeaseUp",H92*D92*(1+GrowthMarketRent)^5*IF(5=0,(12-DowntimeNew)/12,1),0)))),((F92-DATE(2026+5,5,1))/365.25)*G92*D92*(1+EscalatorInLease)^(5+M92)+((DATE(2027+5,4,30)-F92)/365.25)*IF(I92="Vacate",H92*D92*(1+GrowthMarketRent)^5*IF(INT((DATE(2026+5,10,31)-F92)/365.25)=0,(12-DowntimeNew)/12,1),IF(I92="Option",G92*D92*1.025*(1+EscalatorInLease)^5,IF(I92="Market",Retention*G92*D92*(1+EscalatorInLease)^(5+M92)+(1-Retention)*H92*D92*(1+GrowthMarketRent)^5*IF(INT((DATE(2026+5,10,31)-F92)/365.25)=0,(12-DowntimeNew)/12,1),IF(I92="LeaseUp",H92*D92*(1+GrowthMarketRent)^5*IF(5=0,(12-DowntimeNew)/12,1),0)))))))),0)</f>
        <v/>
      </c>
      <c r="T92" s="14">
        <f>IFERROR(IF(I92="LeaseUp",H92*D92*(1+GrowthMarketRent)^6*IF(6=0,(12-DowntimeNew)/12,1),IF(F92="",0,IF(F92&gt;=DATE(2027+6,4,30),G92*D92*(1+EscalatorInLease)^(6+M92),IF(F92&lt;DATE(2026+6,5,1),IF(I92="Vacate",H92*D92*(1+GrowthMarketRent)^6*IF(INT((DATE(2026+6,10,31)-F92)/365.25)=0,(12-DowntimeNew)/12,1),IF(I92="Option",G92*D92*1.025*(1+EscalatorInLease)^6,IF(I92="Market",Retention*G92*D92*(1+EscalatorInLease)^(6+M92)+(1-Retention)*H92*D92*(1+GrowthMarketRent)^6*IF(INT((DATE(2026+6,10,31)-F92)/365.25)=0,(12-DowntimeNew)/12,1),IF(I92="LeaseUp",H92*D92*(1+GrowthMarketRent)^6*IF(6=0,(12-DowntimeNew)/12,1),0)))),((F92-DATE(2026+6,5,1))/365.25)*G92*D92*(1+EscalatorInLease)^(6+M92)+((DATE(2027+6,4,30)-F92)/365.25)*IF(I92="Vacate",H92*D92*(1+GrowthMarketRent)^6*IF(INT((DATE(2026+6,10,31)-F92)/365.25)=0,(12-DowntimeNew)/12,1),IF(I92="Option",G92*D92*1.025*(1+EscalatorInLease)^6,IF(I92="Market",Retention*G92*D92*(1+EscalatorInLease)^(6+M92)+(1-Retention)*H92*D92*(1+GrowthMarketRent)^6*IF(INT((DATE(2026+6,10,31)-F92)/365.25)=0,(12-DowntimeNew)/12,1),IF(I92="LeaseUp",H92*D92*(1+GrowthMarketRent)^6*IF(6=0,(12-DowntimeNew)/12,1),0)))))))),0)</f>
        <v/>
      </c>
      <c r="U92" s="14">
        <f>IFERROR(IF(I92="LeaseUp",H92*D92*(1+GrowthMarketRent)^7*IF(7=0,(12-DowntimeNew)/12,1),IF(F92="",0,IF(F92&gt;=DATE(2027+7,4,30),G92*D92*(1+EscalatorInLease)^(7+M92),IF(F92&lt;DATE(2026+7,5,1),IF(I92="Vacate",H92*D92*(1+GrowthMarketRent)^7*IF(INT((DATE(2026+7,10,31)-F92)/365.25)=0,(12-DowntimeNew)/12,1),IF(I92="Option",G92*D92*1.025*(1+EscalatorInLease)^7,IF(I92="Market",Retention*G92*D92*(1+EscalatorInLease)^(7+M92)+(1-Retention)*H92*D92*(1+GrowthMarketRent)^7*IF(INT((DATE(2026+7,10,31)-F92)/365.25)=0,(12-DowntimeNew)/12,1),IF(I92="LeaseUp",H92*D92*(1+GrowthMarketRent)^7*IF(7=0,(12-DowntimeNew)/12,1),0)))),((F92-DATE(2026+7,5,1))/365.25)*G92*D92*(1+EscalatorInLease)^(7+M92)+((DATE(2027+7,4,30)-F92)/365.25)*IF(I92="Vacate",H92*D92*(1+GrowthMarketRent)^7*IF(INT((DATE(2026+7,10,31)-F92)/365.25)=0,(12-DowntimeNew)/12,1),IF(I92="Option",G92*D92*1.025*(1+EscalatorInLease)^7,IF(I92="Market",Retention*G92*D92*(1+EscalatorInLease)^(7+M92)+(1-Retention)*H92*D92*(1+GrowthMarketRent)^7*IF(INT((DATE(2026+7,10,31)-F92)/365.25)=0,(12-DowntimeNew)/12,1),IF(I92="LeaseUp",H92*D92*(1+GrowthMarketRent)^7*IF(7=0,(12-DowntimeNew)/12,1),0)))))))),0)</f>
        <v/>
      </c>
      <c r="V92" s="14">
        <f>IFERROR(IF(I92="LeaseUp",H92*D92*(1+GrowthMarketRent)^8*IF(8=0,(12-DowntimeNew)/12,1),IF(F92="",0,IF(F92&gt;=DATE(2027+8,4,30),G92*D92*(1+EscalatorInLease)^(8+M92),IF(F92&lt;DATE(2026+8,5,1),IF(I92="Vacate",H92*D92*(1+GrowthMarketRent)^8*IF(INT((DATE(2026+8,10,31)-F92)/365.25)=0,(12-DowntimeNew)/12,1),IF(I92="Option",G92*D92*1.025*(1+EscalatorInLease)^8,IF(I92="Market",Retention*G92*D92*(1+EscalatorInLease)^(8+M92)+(1-Retention)*H92*D92*(1+GrowthMarketRent)^8*IF(INT((DATE(2026+8,10,31)-F92)/365.25)=0,(12-DowntimeNew)/12,1),IF(I92="LeaseUp",H92*D92*(1+GrowthMarketRent)^8*IF(8=0,(12-DowntimeNew)/12,1),0)))),((F92-DATE(2026+8,5,1))/365.25)*G92*D92*(1+EscalatorInLease)^(8+M92)+((DATE(2027+8,4,30)-F92)/365.25)*IF(I92="Vacate",H92*D92*(1+GrowthMarketRent)^8*IF(INT((DATE(2026+8,10,31)-F92)/365.25)=0,(12-DowntimeNew)/12,1),IF(I92="Option",G92*D92*1.025*(1+EscalatorInLease)^8,IF(I92="Market",Retention*G92*D92*(1+EscalatorInLease)^(8+M92)+(1-Retention)*H92*D92*(1+GrowthMarketRent)^8*IF(INT((DATE(2026+8,10,31)-F92)/365.25)=0,(12-DowntimeNew)/12,1),IF(I92="LeaseUp",H92*D92*(1+GrowthMarketRent)^8*IF(8=0,(12-DowntimeNew)/12,1),0)))))))),0)</f>
        <v/>
      </c>
      <c r="W92" s="14">
        <f>IFERROR(IF(I92="LeaseUp",H92*D92*(1+GrowthMarketRent)^9*IF(9=0,(12-DowntimeNew)/12,1),IF(F92="",0,IF(F92&gt;=DATE(2027+9,4,30),G92*D92*(1+EscalatorInLease)^(9+M92),IF(F92&lt;DATE(2026+9,5,1),IF(I92="Vacate",H92*D92*(1+GrowthMarketRent)^9*IF(INT((DATE(2026+9,10,31)-F92)/365.25)=0,(12-DowntimeNew)/12,1),IF(I92="Option",G92*D92*1.025*(1+EscalatorInLease)^9,IF(I92="Market",Retention*G92*D92*(1+EscalatorInLease)^(9+M92)+(1-Retention)*H92*D92*(1+GrowthMarketRent)^9*IF(INT((DATE(2026+9,10,31)-F92)/365.25)=0,(12-DowntimeNew)/12,1),IF(I92="LeaseUp",H92*D92*(1+GrowthMarketRent)^9*IF(9=0,(12-DowntimeNew)/12,1),0)))),((F92-DATE(2026+9,5,1))/365.25)*G92*D92*(1+EscalatorInLease)^(9+M92)+((DATE(2027+9,4,30)-F92)/365.25)*IF(I92="Vacate",H92*D92*(1+GrowthMarketRent)^9*IF(INT((DATE(2026+9,10,31)-F92)/365.25)=0,(12-DowntimeNew)/12,1),IF(I92="Option",G92*D92*1.025*(1+EscalatorInLease)^9,IF(I92="Market",Retention*G92*D92*(1+EscalatorInLease)^(9+M92)+(1-Retention)*H92*D92*(1+GrowthMarketRent)^9*IF(INT((DATE(2026+9,10,31)-F92)/365.25)=0,(12-DowntimeNew)/12,1),IF(I92="LeaseUp",H92*D92*(1+GrowthMarketRent)^9*IF(9=0,(12-DowntimeNew)/12,1),0)))))))),0)</f>
        <v/>
      </c>
      <c r="X92" s="14">
        <f>IFERROR(IF(I92="LeaseUp",H92*D92*(1+GrowthMarketRent)^10*IF(10=0,(12-DowntimeNew)/12,1),IF(F92="",0,IF(F92&gt;=DATE(2027+10,4,30),G92*D92*(1+EscalatorInLease)^(10+M92),IF(F92&lt;DATE(2026+10,5,1),IF(I92="Vacate",H92*D92*(1+GrowthMarketRent)^10*IF(INT((DATE(2026+10,10,31)-F92)/365.25)=0,(12-DowntimeNew)/12,1),IF(I92="Option",G92*D92*1.025*(1+EscalatorInLease)^10,IF(I92="Market",Retention*G92*D92*(1+EscalatorInLease)^(10+M92)+(1-Retention)*H92*D92*(1+GrowthMarketRent)^10*IF(INT((DATE(2026+10,10,31)-F92)/365.25)=0,(12-DowntimeNew)/12,1),IF(I92="LeaseUp",H92*D92*(1+GrowthMarketRent)^10*IF(10=0,(12-DowntimeNew)/12,1),0)))),((F92-DATE(2026+10,5,1))/365.25)*G92*D92*(1+EscalatorInLease)^(10+M92)+((DATE(2027+10,4,30)-F92)/365.25)*IF(I92="Vacate",H92*D92*(1+GrowthMarketRent)^10*IF(INT((DATE(2026+10,10,31)-F92)/365.25)=0,(12-DowntimeNew)/12,1),IF(I92="Option",G92*D92*1.025*(1+EscalatorInLease)^10,IF(I92="Market",Retention*G92*D92*(1+EscalatorInLease)^(10+M92)+(1-Retention)*H92*D92*(1+GrowthMarketRent)^10*IF(INT((DATE(2026+10,10,31)-F92)/365.25)=0,(12-DowntimeNew)/12,1),IF(I92="LeaseUp",H92*D92*(1+GrowthMarketRent)^10*IF(10=0,(12-DowntimeNew)/12,1),0)))))))),0)</f>
        <v/>
      </c>
      <c r="Y92" s="14">
        <f>IFERROR(IF(AND(I92="LeaseUp",0=0),(IF(I92="Vacate",TINew*D92,IF(I92="Market",Retention*TIRenewal*D92+(1-Retention)*TINew*D92,IF(I92="LeaseUp",TINew*D92,IF(I92="Option",TIRenewal*D92,0)))))+(IF(I92="Vacate",LCNew*H92*D92*(1+GrowthMarketRent)^0,IF(I92="Market",Retention*LCRenewal*H92*D92*(1+GrowthMarketRent)^0+(1-Retention)*LCNew*H92*D92*(1+GrowthMarketRent)^0,IF(I92="LeaseUp",LCNew*H92*D92*(1+GrowthMarketRent)^0,IF(I92="Option",LCRenewal*H92*D92*(1+GrowthMarketRent)^0,0))))),IF(F92="",0,IF(AND(F92&gt;=DATE(2026+0,5,1),F92&lt;=DATE(2027+0,4,30)),(IF(I92="Vacate",TINew*D92,IF(I92="Market",Retention*TIRenewal*D92+(1-Retention)*TINew*D92,IF(I92="LeaseUp",TINew*D92,IF(I92="Option",TIRenewal*D92,0)))))+(IF(I92="Vacate",LCNew*H92*D92*(1+GrowthMarketRent)^0,IF(I92="Market",Retention*LCRenewal*H92*D92*(1+GrowthMarketRent)^0+(1-Retention)*LCNew*H92*D92*(1+GrowthMarketRent)^0,IF(I92="LeaseUp",LCNew*H92*D92*(1+GrowthMarketRent)^0,IF(I92="Option",LCRenewal*H92*D92*(1+GrowthMarketRent)^0,0))))),0))),0)</f>
        <v/>
      </c>
      <c r="Z92" s="14">
        <f>IFERROR(IF(AND(I92="LeaseUp",1=0),(IF(I92="Vacate",TINew*D92,IF(I92="Market",Retention*TIRenewal*D92+(1-Retention)*TINew*D92,IF(I92="LeaseUp",TINew*D92,IF(I92="Option",TIRenewal*D92,0)))))+(IF(I92="Vacate",LCNew*H92*D92*(1+GrowthMarketRent)^1,IF(I92="Market",Retention*LCRenewal*H92*D92*(1+GrowthMarketRent)^1+(1-Retention)*LCNew*H92*D92*(1+GrowthMarketRent)^1,IF(I92="LeaseUp",LCNew*H92*D92*(1+GrowthMarketRent)^1,IF(I92="Option",LCRenewal*H92*D92*(1+GrowthMarketRent)^1,0))))),IF(F92="",0,IF(AND(F92&gt;=DATE(2026+1,5,1),F92&lt;=DATE(2027+1,4,30)),(IF(I92="Vacate",TINew*D92,IF(I92="Market",Retention*TIRenewal*D92+(1-Retention)*TINew*D92,IF(I92="LeaseUp",TINew*D92,IF(I92="Option",TIRenewal*D92,0)))))+(IF(I92="Vacate",LCNew*H92*D92*(1+GrowthMarketRent)^1,IF(I92="Market",Retention*LCRenewal*H92*D92*(1+GrowthMarketRent)^1+(1-Retention)*LCNew*H92*D92*(1+GrowthMarketRent)^1,IF(I92="LeaseUp",LCNew*H92*D92*(1+GrowthMarketRent)^1,IF(I92="Option",LCRenewal*H92*D92*(1+GrowthMarketRent)^1,0))))),0))),0)</f>
        <v/>
      </c>
      <c r="AA92" s="14">
        <f>IFERROR(IF(AND(I92="LeaseUp",2=0),(IF(I92="Vacate",TINew*D92,IF(I92="Market",Retention*TIRenewal*D92+(1-Retention)*TINew*D92,IF(I92="LeaseUp",TINew*D92,IF(I92="Option",TIRenewal*D92,0)))))+(IF(I92="Vacate",LCNew*H92*D92*(1+GrowthMarketRent)^2,IF(I92="Market",Retention*LCRenewal*H92*D92*(1+GrowthMarketRent)^2+(1-Retention)*LCNew*H92*D92*(1+GrowthMarketRent)^2,IF(I92="LeaseUp",LCNew*H92*D92*(1+GrowthMarketRent)^2,IF(I92="Option",LCRenewal*H92*D92*(1+GrowthMarketRent)^2,0))))),IF(F92="",0,IF(AND(F92&gt;=DATE(2026+2,5,1),F92&lt;=DATE(2027+2,4,30)),(IF(I92="Vacate",TINew*D92,IF(I92="Market",Retention*TIRenewal*D92+(1-Retention)*TINew*D92,IF(I92="LeaseUp",TINew*D92,IF(I92="Option",TIRenewal*D92,0)))))+(IF(I92="Vacate",LCNew*H92*D92*(1+GrowthMarketRent)^2,IF(I92="Market",Retention*LCRenewal*H92*D92*(1+GrowthMarketRent)^2+(1-Retention)*LCNew*H92*D92*(1+GrowthMarketRent)^2,IF(I92="LeaseUp",LCNew*H92*D92*(1+GrowthMarketRent)^2,IF(I92="Option",LCRenewal*H92*D92*(1+GrowthMarketRent)^2,0))))),0))),0)</f>
        <v/>
      </c>
      <c r="AB92" s="14">
        <f>IFERROR(IF(AND(I92="LeaseUp",3=0),(IF(I92="Vacate",TINew*D92,IF(I92="Market",Retention*TIRenewal*D92+(1-Retention)*TINew*D92,IF(I92="LeaseUp",TINew*D92,IF(I92="Option",TIRenewal*D92,0)))))+(IF(I92="Vacate",LCNew*H92*D92*(1+GrowthMarketRent)^3,IF(I92="Market",Retention*LCRenewal*H92*D92*(1+GrowthMarketRent)^3+(1-Retention)*LCNew*H92*D92*(1+GrowthMarketRent)^3,IF(I92="LeaseUp",LCNew*H92*D92*(1+GrowthMarketRent)^3,IF(I92="Option",LCRenewal*H92*D92*(1+GrowthMarketRent)^3,0))))),IF(F92="",0,IF(AND(F92&gt;=DATE(2026+3,5,1),F92&lt;=DATE(2027+3,4,30)),(IF(I92="Vacate",TINew*D92,IF(I92="Market",Retention*TIRenewal*D92+(1-Retention)*TINew*D92,IF(I92="LeaseUp",TINew*D92,IF(I92="Option",TIRenewal*D92,0)))))+(IF(I92="Vacate",LCNew*H92*D92*(1+GrowthMarketRent)^3,IF(I92="Market",Retention*LCRenewal*H92*D92*(1+GrowthMarketRent)^3+(1-Retention)*LCNew*H92*D92*(1+GrowthMarketRent)^3,IF(I92="LeaseUp",LCNew*H92*D92*(1+GrowthMarketRent)^3,IF(I92="Option",LCRenewal*H92*D92*(1+GrowthMarketRent)^3,0))))),0))),0)</f>
        <v/>
      </c>
      <c r="AC92" s="14">
        <f>IFERROR(IF(AND(I92="LeaseUp",4=0),(IF(I92="Vacate",TINew*D92,IF(I92="Market",Retention*TIRenewal*D92+(1-Retention)*TINew*D92,IF(I92="LeaseUp",TINew*D92,IF(I92="Option",TIRenewal*D92,0)))))+(IF(I92="Vacate",LCNew*H92*D92*(1+GrowthMarketRent)^4,IF(I92="Market",Retention*LCRenewal*H92*D92*(1+GrowthMarketRent)^4+(1-Retention)*LCNew*H92*D92*(1+GrowthMarketRent)^4,IF(I92="LeaseUp",LCNew*H92*D92*(1+GrowthMarketRent)^4,IF(I92="Option",LCRenewal*H92*D92*(1+GrowthMarketRent)^4,0))))),IF(F92="",0,IF(AND(F92&gt;=DATE(2026+4,5,1),F92&lt;=DATE(2027+4,4,30)),(IF(I92="Vacate",TINew*D92,IF(I92="Market",Retention*TIRenewal*D92+(1-Retention)*TINew*D92,IF(I92="LeaseUp",TINew*D92,IF(I92="Option",TIRenewal*D92,0)))))+(IF(I92="Vacate",LCNew*H92*D92*(1+GrowthMarketRent)^4,IF(I92="Market",Retention*LCRenewal*H92*D92*(1+GrowthMarketRent)^4+(1-Retention)*LCNew*H92*D92*(1+GrowthMarketRent)^4,IF(I92="LeaseUp",LCNew*H92*D92*(1+GrowthMarketRent)^4,IF(I92="Option",LCRenewal*H92*D92*(1+GrowthMarketRent)^4,0))))),0))),0)</f>
        <v/>
      </c>
      <c r="AD92" s="14">
        <f>IFERROR(IF(AND(I92="LeaseUp",5=0),(IF(I92="Vacate",TINew*D92,IF(I92="Market",Retention*TIRenewal*D92+(1-Retention)*TINew*D92,IF(I92="LeaseUp",TINew*D92,IF(I92="Option",TIRenewal*D92,0)))))+(IF(I92="Vacate",LCNew*H92*D92*(1+GrowthMarketRent)^5,IF(I92="Market",Retention*LCRenewal*H92*D92*(1+GrowthMarketRent)^5+(1-Retention)*LCNew*H92*D92*(1+GrowthMarketRent)^5,IF(I92="LeaseUp",LCNew*H92*D92*(1+GrowthMarketRent)^5,IF(I92="Option",LCRenewal*H92*D92*(1+GrowthMarketRent)^5,0))))),IF(F92="",0,IF(AND(F92&gt;=DATE(2026+5,5,1),F92&lt;=DATE(2027+5,4,30)),(IF(I92="Vacate",TINew*D92,IF(I92="Market",Retention*TIRenewal*D92+(1-Retention)*TINew*D92,IF(I92="LeaseUp",TINew*D92,IF(I92="Option",TIRenewal*D92,0)))))+(IF(I92="Vacate",LCNew*H92*D92*(1+GrowthMarketRent)^5,IF(I92="Market",Retention*LCRenewal*H92*D92*(1+GrowthMarketRent)^5+(1-Retention)*LCNew*H92*D92*(1+GrowthMarketRent)^5,IF(I92="LeaseUp",LCNew*H92*D92*(1+GrowthMarketRent)^5,IF(I92="Option",LCRenewal*H92*D92*(1+GrowthMarketRent)^5,0))))),0))),0)</f>
        <v/>
      </c>
      <c r="AE92" s="14">
        <f>IFERROR(IF(AND(I92="LeaseUp",6=0),(IF(I92="Vacate",TINew*D92,IF(I92="Market",Retention*TIRenewal*D92+(1-Retention)*TINew*D92,IF(I92="LeaseUp",TINew*D92,IF(I92="Option",TIRenewal*D92,0)))))+(IF(I92="Vacate",LCNew*H92*D92*(1+GrowthMarketRent)^6,IF(I92="Market",Retention*LCRenewal*H92*D92*(1+GrowthMarketRent)^6+(1-Retention)*LCNew*H92*D92*(1+GrowthMarketRent)^6,IF(I92="LeaseUp",LCNew*H92*D92*(1+GrowthMarketRent)^6,IF(I92="Option",LCRenewal*H92*D92*(1+GrowthMarketRent)^6,0))))),IF(F92="",0,IF(AND(F92&gt;=DATE(2026+6,5,1),F92&lt;=DATE(2027+6,4,30)),(IF(I92="Vacate",TINew*D92,IF(I92="Market",Retention*TIRenewal*D92+(1-Retention)*TINew*D92,IF(I92="LeaseUp",TINew*D92,IF(I92="Option",TIRenewal*D92,0)))))+(IF(I92="Vacate",LCNew*H92*D92*(1+GrowthMarketRent)^6,IF(I92="Market",Retention*LCRenewal*H92*D92*(1+GrowthMarketRent)^6+(1-Retention)*LCNew*H92*D92*(1+GrowthMarketRent)^6,IF(I92="LeaseUp",LCNew*H92*D92*(1+GrowthMarketRent)^6,IF(I92="Option",LCRenewal*H92*D92*(1+GrowthMarketRent)^6,0))))),0))),0)</f>
        <v/>
      </c>
      <c r="AF92" s="14">
        <f>IFERROR(IF(AND(I92="LeaseUp",7=0),(IF(I92="Vacate",TINew*D92,IF(I92="Market",Retention*TIRenewal*D92+(1-Retention)*TINew*D92,IF(I92="LeaseUp",TINew*D92,IF(I92="Option",TIRenewal*D92,0)))))+(IF(I92="Vacate",LCNew*H92*D92*(1+GrowthMarketRent)^7,IF(I92="Market",Retention*LCRenewal*H92*D92*(1+GrowthMarketRent)^7+(1-Retention)*LCNew*H92*D92*(1+GrowthMarketRent)^7,IF(I92="LeaseUp",LCNew*H92*D92*(1+GrowthMarketRent)^7,IF(I92="Option",LCRenewal*H92*D92*(1+GrowthMarketRent)^7,0))))),IF(F92="",0,IF(AND(F92&gt;=DATE(2026+7,5,1),F92&lt;=DATE(2027+7,4,30)),(IF(I92="Vacate",TINew*D92,IF(I92="Market",Retention*TIRenewal*D92+(1-Retention)*TINew*D92,IF(I92="LeaseUp",TINew*D92,IF(I92="Option",TIRenewal*D92,0)))))+(IF(I92="Vacate",LCNew*H92*D92*(1+GrowthMarketRent)^7,IF(I92="Market",Retention*LCRenewal*H92*D92*(1+GrowthMarketRent)^7+(1-Retention)*LCNew*H92*D92*(1+GrowthMarketRent)^7,IF(I92="LeaseUp",LCNew*H92*D92*(1+GrowthMarketRent)^7,IF(I92="Option",LCRenewal*H92*D92*(1+GrowthMarketRent)^7,0))))),0))),0)</f>
        <v/>
      </c>
      <c r="AG92" s="14">
        <f>IFERROR(IF(AND(I92="LeaseUp",8=0),(IF(I92="Vacate",TINew*D92,IF(I92="Market",Retention*TIRenewal*D92+(1-Retention)*TINew*D92,IF(I92="LeaseUp",TINew*D92,IF(I92="Option",TIRenewal*D92,0)))))+(IF(I92="Vacate",LCNew*H92*D92*(1+GrowthMarketRent)^8,IF(I92="Market",Retention*LCRenewal*H92*D92*(1+GrowthMarketRent)^8+(1-Retention)*LCNew*H92*D92*(1+GrowthMarketRent)^8,IF(I92="LeaseUp",LCNew*H92*D92*(1+GrowthMarketRent)^8,IF(I92="Option",LCRenewal*H92*D92*(1+GrowthMarketRent)^8,0))))),IF(F92="",0,IF(AND(F92&gt;=DATE(2026+8,5,1),F92&lt;=DATE(2027+8,4,30)),(IF(I92="Vacate",TINew*D92,IF(I92="Market",Retention*TIRenewal*D92+(1-Retention)*TINew*D92,IF(I92="LeaseUp",TINew*D92,IF(I92="Option",TIRenewal*D92,0)))))+(IF(I92="Vacate",LCNew*H92*D92*(1+GrowthMarketRent)^8,IF(I92="Market",Retention*LCRenewal*H92*D92*(1+GrowthMarketRent)^8+(1-Retention)*LCNew*H92*D92*(1+GrowthMarketRent)^8,IF(I92="LeaseUp",LCNew*H92*D92*(1+GrowthMarketRent)^8,IF(I92="Option",LCRenewal*H92*D92*(1+GrowthMarketRent)^8,0))))),0))),0)</f>
        <v/>
      </c>
      <c r="AH92" s="14">
        <f>IFERROR(IF(AND(I92="LeaseUp",9=0),(IF(I92="Vacate",TINew*D92,IF(I92="Market",Retention*TIRenewal*D92+(1-Retention)*TINew*D92,IF(I92="LeaseUp",TINew*D92,IF(I92="Option",TIRenewal*D92,0)))))+(IF(I92="Vacate",LCNew*H92*D92*(1+GrowthMarketRent)^9,IF(I92="Market",Retention*LCRenewal*H92*D92*(1+GrowthMarketRent)^9+(1-Retention)*LCNew*H92*D92*(1+GrowthMarketRent)^9,IF(I92="LeaseUp",LCNew*H92*D92*(1+GrowthMarketRent)^9,IF(I92="Option",LCRenewal*H92*D92*(1+GrowthMarketRent)^9,0))))),IF(F92="",0,IF(AND(F92&gt;=DATE(2026+9,5,1),F92&lt;=DATE(2027+9,4,30)),(IF(I92="Vacate",TINew*D92,IF(I92="Market",Retention*TIRenewal*D92+(1-Retention)*TINew*D92,IF(I92="LeaseUp",TINew*D92,IF(I92="Option",TIRenewal*D92,0)))))+(IF(I92="Vacate",LCNew*H92*D92*(1+GrowthMarketRent)^9,IF(I92="Market",Retention*LCRenewal*H92*D92*(1+GrowthMarketRent)^9+(1-Retention)*LCNew*H92*D92*(1+GrowthMarketRent)^9,IF(I92="LeaseUp",LCNew*H92*D92*(1+GrowthMarketRent)^9,IF(I92="Option",LCRenewal*H92*D92*(1+GrowthMarketRent)^9,0))))),0))),0)</f>
        <v/>
      </c>
      <c r="AI92" s="14">
        <f>IFERROR(IF(AND(I92="LeaseUp",10=0),(IF(I92="Vacate",TINew*D92,IF(I92="Market",Retention*TIRenewal*D92+(1-Retention)*TINew*D92,IF(I92="LeaseUp",TINew*D92,IF(I92="Option",TIRenewal*D92,0)))))+(IF(I92="Vacate",LCNew*H92*D92*(1+GrowthMarketRent)^10,IF(I92="Market",Retention*LCRenewal*H92*D92*(1+GrowthMarketRent)^10+(1-Retention)*LCNew*H92*D92*(1+GrowthMarketRent)^10,IF(I92="LeaseUp",LCNew*H92*D92*(1+GrowthMarketRent)^10,IF(I92="Option",LCRenewal*H92*D92*(1+GrowthMarketRent)^10,0))))),IF(F92="",0,IF(AND(F92&gt;=DATE(2026+10,5,1),F92&lt;=DATE(2027+10,4,30)),(IF(I92="Vacate",TINew*D92,IF(I92="Market",Retention*TIRenewal*D92+(1-Retention)*TINew*D92,IF(I92="LeaseUp",TINew*D92,IF(I92="Option",TIRenewal*D92,0)))))+(IF(I92="Vacate",LCNew*H92*D92*(1+GrowthMarketRent)^10,IF(I92="Market",Retention*LCRenewal*H92*D92*(1+GrowthMarketRent)^10+(1-Retention)*LCNew*H92*D92*(1+GrowthMarketRent)^10,IF(I92="LeaseUp",LCNew*H92*D92*(1+GrowthMarketRent)^10,IF(I92="Option",LCRenewal*H92*D92*(1+GrowthMarketRent)^10,0))))),0))),0)</f>
        <v/>
      </c>
    </row>
    <row r="93">
      <c r="A93" t="inlineStr">
        <is>
          <t>Lewisville</t>
        </is>
      </c>
      <c r="B93" t="inlineStr">
        <is>
          <t>103</t>
        </is>
      </c>
      <c r="C93" t="inlineStr">
        <is>
          <t>McWhorter Coffee LLC</t>
        </is>
      </c>
      <c r="D93" s="32" t="n">
        <v>2600</v>
      </c>
      <c r="E93" s="33" t="n">
        <v>45078</v>
      </c>
      <c r="F93" s="33" t="n">
        <v>46327</v>
      </c>
      <c r="G93" s="34" t="n">
        <v>14.9715384615385</v>
      </c>
      <c r="H93" s="16">
        <f>VLOOKUP(A93,MLA!$A$5:$L$11,3,FALSE)</f>
        <v/>
      </c>
      <c r="I93" s="11" t="inlineStr">
        <is>
          <t>Option</t>
        </is>
      </c>
      <c r="J93" t="inlineStr">
        <is>
          <t>Shop</t>
        </is>
      </c>
      <c r="K93" t="inlineStr">
        <is>
          <t>Occupied</t>
        </is>
      </c>
      <c r="L93" t="inlineStr">
        <is>
          <t>Shop; Guarantor: James McWhorter; Two 3yr options</t>
        </is>
      </c>
      <c r="M93" s="20">
        <f>IF(E93="",0,(AnalysisStart-E93)/365.25)</f>
        <v/>
      </c>
      <c r="N93" s="14">
        <f>IFERROR(IF(I93="LeaseUp",H93*D93*(1+GrowthMarketRent)^0*IF(0=0,(12-DowntimeNew)/12,1),IF(F93="",0,IF(F93&gt;=DATE(2027+0,4,30),G93*D93*(1+EscalatorInLease)^(0+M93),IF(F93&lt;DATE(2026+0,5,1),IF(I93="Vacate",H93*D93*(1+GrowthMarketRent)^0*IF(INT((DATE(2026+0,10,31)-F93)/365.25)=0,(12-DowntimeNew)/12,1),IF(I93="Option",G93*D93*1.025*(1+EscalatorInLease)^0,IF(I93="Market",Retention*G93*D93*(1+EscalatorInLease)^(0+M93)+(1-Retention)*H93*D93*(1+GrowthMarketRent)^0*IF(INT((DATE(2026+0,10,31)-F93)/365.25)=0,(12-DowntimeNew)/12,1),IF(I93="LeaseUp",H93*D93*(1+GrowthMarketRent)^0*IF(0=0,(12-DowntimeNew)/12,1),0)))),((F93-DATE(2026+0,5,1))/365.25)*G93*D93*(1+EscalatorInLease)^(0+M93)+((DATE(2027+0,4,30)-F93)/365.25)*IF(I93="Vacate",H93*D93*(1+GrowthMarketRent)^0*IF(INT((DATE(2026+0,10,31)-F93)/365.25)=0,(12-DowntimeNew)/12,1),IF(I93="Option",G93*D93*1.025*(1+EscalatorInLease)^0,IF(I93="Market",Retention*G93*D93*(1+EscalatorInLease)^(0+M93)+(1-Retention)*H93*D93*(1+GrowthMarketRent)^0*IF(INT((DATE(2026+0,10,31)-F93)/365.25)=0,(12-DowntimeNew)/12,1),IF(I93="LeaseUp",H93*D93*(1+GrowthMarketRent)^0*IF(0=0,(12-DowntimeNew)/12,1),0)))))))),0)</f>
        <v/>
      </c>
      <c r="O93" s="14">
        <f>IFERROR(IF(I93="LeaseUp",H93*D93*(1+GrowthMarketRent)^1*IF(1=0,(12-DowntimeNew)/12,1),IF(F93="",0,IF(F93&gt;=DATE(2027+1,4,30),G93*D93*(1+EscalatorInLease)^(1+M93),IF(F93&lt;DATE(2026+1,5,1),IF(I93="Vacate",H93*D93*(1+GrowthMarketRent)^1*IF(INT((DATE(2026+1,10,31)-F93)/365.25)=0,(12-DowntimeNew)/12,1),IF(I93="Option",G93*D93*1.025*(1+EscalatorInLease)^1,IF(I93="Market",Retention*G93*D93*(1+EscalatorInLease)^(1+M93)+(1-Retention)*H93*D93*(1+GrowthMarketRent)^1*IF(INT((DATE(2026+1,10,31)-F93)/365.25)=0,(12-DowntimeNew)/12,1),IF(I93="LeaseUp",H93*D93*(1+GrowthMarketRent)^1*IF(1=0,(12-DowntimeNew)/12,1),0)))),((F93-DATE(2026+1,5,1))/365.25)*G93*D93*(1+EscalatorInLease)^(1+M93)+((DATE(2027+1,4,30)-F93)/365.25)*IF(I93="Vacate",H93*D93*(1+GrowthMarketRent)^1*IF(INT((DATE(2026+1,10,31)-F93)/365.25)=0,(12-DowntimeNew)/12,1),IF(I93="Option",G93*D93*1.025*(1+EscalatorInLease)^1,IF(I93="Market",Retention*G93*D93*(1+EscalatorInLease)^(1+M93)+(1-Retention)*H93*D93*(1+GrowthMarketRent)^1*IF(INT((DATE(2026+1,10,31)-F93)/365.25)=0,(12-DowntimeNew)/12,1),IF(I93="LeaseUp",H93*D93*(1+GrowthMarketRent)^1*IF(1=0,(12-DowntimeNew)/12,1),0)))))))),0)</f>
        <v/>
      </c>
      <c r="P93" s="14">
        <f>IFERROR(IF(I93="LeaseUp",H93*D93*(1+GrowthMarketRent)^2*IF(2=0,(12-DowntimeNew)/12,1),IF(F93="",0,IF(F93&gt;=DATE(2027+2,4,30),G93*D93*(1+EscalatorInLease)^(2+M93),IF(F93&lt;DATE(2026+2,5,1),IF(I93="Vacate",H93*D93*(1+GrowthMarketRent)^2*IF(INT((DATE(2026+2,10,31)-F93)/365.25)=0,(12-DowntimeNew)/12,1),IF(I93="Option",G93*D93*1.025*(1+EscalatorInLease)^2,IF(I93="Market",Retention*G93*D93*(1+EscalatorInLease)^(2+M93)+(1-Retention)*H93*D93*(1+GrowthMarketRent)^2*IF(INT((DATE(2026+2,10,31)-F93)/365.25)=0,(12-DowntimeNew)/12,1),IF(I93="LeaseUp",H93*D93*(1+GrowthMarketRent)^2*IF(2=0,(12-DowntimeNew)/12,1),0)))),((F93-DATE(2026+2,5,1))/365.25)*G93*D93*(1+EscalatorInLease)^(2+M93)+((DATE(2027+2,4,30)-F93)/365.25)*IF(I93="Vacate",H93*D93*(1+GrowthMarketRent)^2*IF(INT((DATE(2026+2,10,31)-F93)/365.25)=0,(12-DowntimeNew)/12,1),IF(I93="Option",G93*D93*1.025*(1+EscalatorInLease)^2,IF(I93="Market",Retention*G93*D93*(1+EscalatorInLease)^(2+M93)+(1-Retention)*H93*D93*(1+GrowthMarketRent)^2*IF(INT((DATE(2026+2,10,31)-F93)/365.25)=0,(12-DowntimeNew)/12,1),IF(I93="LeaseUp",H93*D93*(1+GrowthMarketRent)^2*IF(2=0,(12-DowntimeNew)/12,1),0)))))))),0)</f>
        <v/>
      </c>
      <c r="Q93" s="14">
        <f>IFERROR(IF(I93="LeaseUp",H93*D93*(1+GrowthMarketRent)^3*IF(3=0,(12-DowntimeNew)/12,1),IF(F93="",0,IF(F93&gt;=DATE(2027+3,4,30),G93*D93*(1+EscalatorInLease)^(3+M93),IF(F93&lt;DATE(2026+3,5,1),IF(I93="Vacate",H93*D93*(1+GrowthMarketRent)^3*IF(INT((DATE(2026+3,10,31)-F93)/365.25)=0,(12-DowntimeNew)/12,1),IF(I93="Option",G93*D93*1.025*(1+EscalatorInLease)^3,IF(I93="Market",Retention*G93*D93*(1+EscalatorInLease)^(3+M93)+(1-Retention)*H93*D93*(1+GrowthMarketRent)^3*IF(INT((DATE(2026+3,10,31)-F93)/365.25)=0,(12-DowntimeNew)/12,1),IF(I93="LeaseUp",H93*D93*(1+GrowthMarketRent)^3*IF(3=0,(12-DowntimeNew)/12,1),0)))),((F93-DATE(2026+3,5,1))/365.25)*G93*D93*(1+EscalatorInLease)^(3+M93)+((DATE(2027+3,4,30)-F93)/365.25)*IF(I93="Vacate",H93*D93*(1+GrowthMarketRent)^3*IF(INT((DATE(2026+3,10,31)-F93)/365.25)=0,(12-DowntimeNew)/12,1),IF(I93="Option",G93*D93*1.025*(1+EscalatorInLease)^3,IF(I93="Market",Retention*G93*D93*(1+EscalatorInLease)^(3+M93)+(1-Retention)*H93*D93*(1+GrowthMarketRent)^3*IF(INT((DATE(2026+3,10,31)-F93)/365.25)=0,(12-DowntimeNew)/12,1),IF(I93="LeaseUp",H93*D93*(1+GrowthMarketRent)^3*IF(3=0,(12-DowntimeNew)/12,1),0)))))))),0)</f>
        <v/>
      </c>
      <c r="R93" s="14">
        <f>IFERROR(IF(I93="LeaseUp",H93*D93*(1+GrowthMarketRent)^4*IF(4=0,(12-DowntimeNew)/12,1),IF(F93="",0,IF(F93&gt;=DATE(2027+4,4,30),G93*D93*(1+EscalatorInLease)^(4+M93),IF(F93&lt;DATE(2026+4,5,1),IF(I93="Vacate",H93*D93*(1+GrowthMarketRent)^4*IF(INT((DATE(2026+4,10,31)-F93)/365.25)=0,(12-DowntimeNew)/12,1),IF(I93="Option",G93*D93*1.025*(1+EscalatorInLease)^4,IF(I93="Market",Retention*G93*D93*(1+EscalatorInLease)^(4+M93)+(1-Retention)*H93*D93*(1+GrowthMarketRent)^4*IF(INT((DATE(2026+4,10,31)-F93)/365.25)=0,(12-DowntimeNew)/12,1),IF(I93="LeaseUp",H93*D93*(1+GrowthMarketRent)^4*IF(4=0,(12-DowntimeNew)/12,1),0)))),((F93-DATE(2026+4,5,1))/365.25)*G93*D93*(1+EscalatorInLease)^(4+M93)+((DATE(2027+4,4,30)-F93)/365.25)*IF(I93="Vacate",H93*D93*(1+GrowthMarketRent)^4*IF(INT((DATE(2026+4,10,31)-F93)/365.25)=0,(12-DowntimeNew)/12,1),IF(I93="Option",G93*D93*1.025*(1+EscalatorInLease)^4,IF(I93="Market",Retention*G93*D93*(1+EscalatorInLease)^(4+M93)+(1-Retention)*H93*D93*(1+GrowthMarketRent)^4*IF(INT((DATE(2026+4,10,31)-F93)/365.25)=0,(12-DowntimeNew)/12,1),IF(I93="LeaseUp",H93*D93*(1+GrowthMarketRent)^4*IF(4=0,(12-DowntimeNew)/12,1),0)))))))),0)</f>
        <v/>
      </c>
      <c r="S93" s="14">
        <f>IFERROR(IF(I93="LeaseUp",H93*D93*(1+GrowthMarketRent)^5*IF(5=0,(12-DowntimeNew)/12,1),IF(F93="",0,IF(F93&gt;=DATE(2027+5,4,30),G93*D93*(1+EscalatorInLease)^(5+M93),IF(F93&lt;DATE(2026+5,5,1),IF(I93="Vacate",H93*D93*(1+GrowthMarketRent)^5*IF(INT((DATE(2026+5,10,31)-F93)/365.25)=0,(12-DowntimeNew)/12,1),IF(I93="Option",G93*D93*1.025*(1+EscalatorInLease)^5,IF(I93="Market",Retention*G93*D93*(1+EscalatorInLease)^(5+M93)+(1-Retention)*H93*D93*(1+GrowthMarketRent)^5*IF(INT((DATE(2026+5,10,31)-F93)/365.25)=0,(12-DowntimeNew)/12,1),IF(I93="LeaseUp",H93*D93*(1+GrowthMarketRent)^5*IF(5=0,(12-DowntimeNew)/12,1),0)))),((F93-DATE(2026+5,5,1))/365.25)*G93*D93*(1+EscalatorInLease)^(5+M93)+((DATE(2027+5,4,30)-F93)/365.25)*IF(I93="Vacate",H93*D93*(1+GrowthMarketRent)^5*IF(INT((DATE(2026+5,10,31)-F93)/365.25)=0,(12-DowntimeNew)/12,1),IF(I93="Option",G93*D93*1.025*(1+EscalatorInLease)^5,IF(I93="Market",Retention*G93*D93*(1+EscalatorInLease)^(5+M93)+(1-Retention)*H93*D93*(1+GrowthMarketRent)^5*IF(INT((DATE(2026+5,10,31)-F93)/365.25)=0,(12-DowntimeNew)/12,1),IF(I93="LeaseUp",H93*D93*(1+GrowthMarketRent)^5*IF(5=0,(12-DowntimeNew)/12,1),0)))))))),0)</f>
        <v/>
      </c>
      <c r="T93" s="14">
        <f>IFERROR(IF(I93="LeaseUp",H93*D93*(1+GrowthMarketRent)^6*IF(6=0,(12-DowntimeNew)/12,1),IF(F93="",0,IF(F93&gt;=DATE(2027+6,4,30),G93*D93*(1+EscalatorInLease)^(6+M93),IF(F93&lt;DATE(2026+6,5,1),IF(I93="Vacate",H93*D93*(1+GrowthMarketRent)^6*IF(INT((DATE(2026+6,10,31)-F93)/365.25)=0,(12-DowntimeNew)/12,1),IF(I93="Option",G93*D93*1.025*(1+EscalatorInLease)^6,IF(I93="Market",Retention*G93*D93*(1+EscalatorInLease)^(6+M93)+(1-Retention)*H93*D93*(1+GrowthMarketRent)^6*IF(INT((DATE(2026+6,10,31)-F93)/365.25)=0,(12-DowntimeNew)/12,1),IF(I93="LeaseUp",H93*D93*(1+GrowthMarketRent)^6*IF(6=0,(12-DowntimeNew)/12,1),0)))),((F93-DATE(2026+6,5,1))/365.25)*G93*D93*(1+EscalatorInLease)^(6+M93)+((DATE(2027+6,4,30)-F93)/365.25)*IF(I93="Vacate",H93*D93*(1+GrowthMarketRent)^6*IF(INT((DATE(2026+6,10,31)-F93)/365.25)=0,(12-DowntimeNew)/12,1),IF(I93="Option",G93*D93*1.025*(1+EscalatorInLease)^6,IF(I93="Market",Retention*G93*D93*(1+EscalatorInLease)^(6+M93)+(1-Retention)*H93*D93*(1+GrowthMarketRent)^6*IF(INT((DATE(2026+6,10,31)-F93)/365.25)=0,(12-DowntimeNew)/12,1),IF(I93="LeaseUp",H93*D93*(1+GrowthMarketRent)^6*IF(6=0,(12-DowntimeNew)/12,1),0)))))))),0)</f>
        <v/>
      </c>
      <c r="U93" s="14">
        <f>IFERROR(IF(I93="LeaseUp",H93*D93*(1+GrowthMarketRent)^7*IF(7=0,(12-DowntimeNew)/12,1),IF(F93="",0,IF(F93&gt;=DATE(2027+7,4,30),G93*D93*(1+EscalatorInLease)^(7+M93),IF(F93&lt;DATE(2026+7,5,1),IF(I93="Vacate",H93*D93*(1+GrowthMarketRent)^7*IF(INT((DATE(2026+7,10,31)-F93)/365.25)=0,(12-DowntimeNew)/12,1),IF(I93="Option",G93*D93*1.025*(1+EscalatorInLease)^7,IF(I93="Market",Retention*G93*D93*(1+EscalatorInLease)^(7+M93)+(1-Retention)*H93*D93*(1+GrowthMarketRent)^7*IF(INT((DATE(2026+7,10,31)-F93)/365.25)=0,(12-DowntimeNew)/12,1),IF(I93="LeaseUp",H93*D93*(1+GrowthMarketRent)^7*IF(7=0,(12-DowntimeNew)/12,1),0)))),((F93-DATE(2026+7,5,1))/365.25)*G93*D93*(1+EscalatorInLease)^(7+M93)+((DATE(2027+7,4,30)-F93)/365.25)*IF(I93="Vacate",H93*D93*(1+GrowthMarketRent)^7*IF(INT((DATE(2026+7,10,31)-F93)/365.25)=0,(12-DowntimeNew)/12,1),IF(I93="Option",G93*D93*1.025*(1+EscalatorInLease)^7,IF(I93="Market",Retention*G93*D93*(1+EscalatorInLease)^(7+M93)+(1-Retention)*H93*D93*(1+GrowthMarketRent)^7*IF(INT((DATE(2026+7,10,31)-F93)/365.25)=0,(12-DowntimeNew)/12,1),IF(I93="LeaseUp",H93*D93*(1+GrowthMarketRent)^7*IF(7=0,(12-DowntimeNew)/12,1),0)))))))),0)</f>
        <v/>
      </c>
      <c r="V93" s="14">
        <f>IFERROR(IF(I93="LeaseUp",H93*D93*(1+GrowthMarketRent)^8*IF(8=0,(12-DowntimeNew)/12,1),IF(F93="",0,IF(F93&gt;=DATE(2027+8,4,30),G93*D93*(1+EscalatorInLease)^(8+M93),IF(F93&lt;DATE(2026+8,5,1),IF(I93="Vacate",H93*D93*(1+GrowthMarketRent)^8*IF(INT((DATE(2026+8,10,31)-F93)/365.25)=0,(12-DowntimeNew)/12,1),IF(I93="Option",G93*D93*1.025*(1+EscalatorInLease)^8,IF(I93="Market",Retention*G93*D93*(1+EscalatorInLease)^(8+M93)+(1-Retention)*H93*D93*(1+GrowthMarketRent)^8*IF(INT((DATE(2026+8,10,31)-F93)/365.25)=0,(12-DowntimeNew)/12,1),IF(I93="LeaseUp",H93*D93*(1+GrowthMarketRent)^8*IF(8=0,(12-DowntimeNew)/12,1),0)))),((F93-DATE(2026+8,5,1))/365.25)*G93*D93*(1+EscalatorInLease)^(8+M93)+((DATE(2027+8,4,30)-F93)/365.25)*IF(I93="Vacate",H93*D93*(1+GrowthMarketRent)^8*IF(INT((DATE(2026+8,10,31)-F93)/365.25)=0,(12-DowntimeNew)/12,1),IF(I93="Option",G93*D93*1.025*(1+EscalatorInLease)^8,IF(I93="Market",Retention*G93*D93*(1+EscalatorInLease)^(8+M93)+(1-Retention)*H93*D93*(1+GrowthMarketRent)^8*IF(INT((DATE(2026+8,10,31)-F93)/365.25)=0,(12-DowntimeNew)/12,1),IF(I93="LeaseUp",H93*D93*(1+GrowthMarketRent)^8*IF(8=0,(12-DowntimeNew)/12,1),0)))))))),0)</f>
        <v/>
      </c>
      <c r="W93" s="14">
        <f>IFERROR(IF(I93="LeaseUp",H93*D93*(1+GrowthMarketRent)^9*IF(9=0,(12-DowntimeNew)/12,1),IF(F93="",0,IF(F93&gt;=DATE(2027+9,4,30),G93*D93*(1+EscalatorInLease)^(9+M93),IF(F93&lt;DATE(2026+9,5,1),IF(I93="Vacate",H93*D93*(1+GrowthMarketRent)^9*IF(INT((DATE(2026+9,10,31)-F93)/365.25)=0,(12-DowntimeNew)/12,1),IF(I93="Option",G93*D93*1.025*(1+EscalatorInLease)^9,IF(I93="Market",Retention*G93*D93*(1+EscalatorInLease)^(9+M93)+(1-Retention)*H93*D93*(1+GrowthMarketRent)^9*IF(INT((DATE(2026+9,10,31)-F93)/365.25)=0,(12-DowntimeNew)/12,1),IF(I93="LeaseUp",H93*D93*(1+GrowthMarketRent)^9*IF(9=0,(12-DowntimeNew)/12,1),0)))),((F93-DATE(2026+9,5,1))/365.25)*G93*D93*(1+EscalatorInLease)^(9+M93)+((DATE(2027+9,4,30)-F93)/365.25)*IF(I93="Vacate",H93*D93*(1+GrowthMarketRent)^9*IF(INT((DATE(2026+9,10,31)-F93)/365.25)=0,(12-DowntimeNew)/12,1),IF(I93="Option",G93*D93*1.025*(1+EscalatorInLease)^9,IF(I93="Market",Retention*G93*D93*(1+EscalatorInLease)^(9+M93)+(1-Retention)*H93*D93*(1+GrowthMarketRent)^9*IF(INT((DATE(2026+9,10,31)-F93)/365.25)=0,(12-DowntimeNew)/12,1),IF(I93="LeaseUp",H93*D93*(1+GrowthMarketRent)^9*IF(9=0,(12-DowntimeNew)/12,1),0)))))))),0)</f>
        <v/>
      </c>
      <c r="X93" s="14">
        <f>IFERROR(IF(I93="LeaseUp",H93*D93*(1+GrowthMarketRent)^10*IF(10=0,(12-DowntimeNew)/12,1),IF(F93="",0,IF(F93&gt;=DATE(2027+10,4,30),G93*D93*(1+EscalatorInLease)^(10+M93),IF(F93&lt;DATE(2026+10,5,1),IF(I93="Vacate",H93*D93*(1+GrowthMarketRent)^10*IF(INT((DATE(2026+10,10,31)-F93)/365.25)=0,(12-DowntimeNew)/12,1),IF(I93="Option",G93*D93*1.025*(1+EscalatorInLease)^10,IF(I93="Market",Retention*G93*D93*(1+EscalatorInLease)^(10+M93)+(1-Retention)*H93*D93*(1+GrowthMarketRent)^10*IF(INT((DATE(2026+10,10,31)-F93)/365.25)=0,(12-DowntimeNew)/12,1),IF(I93="LeaseUp",H93*D93*(1+GrowthMarketRent)^10*IF(10=0,(12-DowntimeNew)/12,1),0)))),((F93-DATE(2026+10,5,1))/365.25)*G93*D93*(1+EscalatorInLease)^(10+M93)+((DATE(2027+10,4,30)-F93)/365.25)*IF(I93="Vacate",H93*D93*(1+GrowthMarketRent)^10*IF(INT((DATE(2026+10,10,31)-F93)/365.25)=0,(12-DowntimeNew)/12,1),IF(I93="Option",G93*D93*1.025*(1+EscalatorInLease)^10,IF(I93="Market",Retention*G93*D93*(1+EscalatorInLease)^(10+M93)+(1-Retention)*H93*D93*(1+GrowthMarketRent)^10*IF(INT((DATE(2026+10,10,31)-F93)/365.25)=0,(12-DowntimeNew)/12,1),IF(I93="LeaseUp",H93*D93*(1+GrowthMarketRent)^10*IF(10=0,(12-DowntimeNew)/12,1),0)))))))),0)</f>
        <v/>
      </c>
      <c r="Y93" s="14">
        <f>IFERROR(IF(AND(I93="LeaseUp",0=0),(IF(I93="Vacate",TINew*D93,IF(I93="Market",Retention*TIRenewal*D93+(1-Retention)*TINew*D93,IF(I93="LeaseUp",TINew*D93,IF(I93="Option",TIRenewal*D93,0)))))+(IF(I93="Vacate",LCNew*H93*D93*(1+GrowthMarketRent)^0,IF(I93="Market",Retention*LCRenewal*H93*D93*(1+GrowthMarketRent)^0+(1-Retention)*LCNew*H93*D93*(1+GrowthMarketRent)^0,IF(I93="LeaseUp",LCNew*H93*D93*(1+GrowthMarketRent)^0,IF(I93="Option",LCRenewal*H93*D93*(1+GrowthMarketRent)^0,0))))),IF(F93="",0,IF(AND(F93&gt;=DATE(2026+0,5,1),F93&lt;=DATE(2027+0,4,30)),(IF(I93="Vacate",TINew*D93,IF(I93="Market",Retention*TIRenewal*D93+(1-Retention)*TINew*D93,IF(I93="LeaseUp",TINew*D93,IF(I93="Option",TIRenewal*D93,0)))))+(IF(I93="Vacate",LCNew*H93*D93*(1+GrowthMarketRent)^0,IF(I93="Market",Retention*LCRenewal*H93*D93*(1+GrowthMarketRent)^0+(1-Retention)*LCNew*H93*D93*(1+GrowthMarketRent)^0,IF(I93="LeaseUp",LCNew*H93*D93*(1+GrowthMarketRent)^0,IF(I93="Option",LCRenewal*H93*D93*(1+GrowthMarketRent)^0,0))))),0))),0)</f>
        <v/>
      </c>
      <c r="Z93" s="14">
        <f>IFERROR(IF(AND(I93="LeaseUp",1=0),(IF(I93="Vacate",TINew*D93,IF(I93="Market",Retention*TIRenewal*D93+(1-Retention)*TINew*D93,IF(I93="LeaseUp",TINew*D93,IF(I93="Option",TIRenewal*D93,0)))))+(IF(I93="Vacate",LCNew*H93*D93*(1+GrowthMarketRent)^1,IF(I93="Market",Retention*LCRenewal*H93*D93*(1+GrowthMarketRent)^1+(1-Retention)*LCNew*H93*D93*(1+GrowthMarketRent)^1,IF(I93="LeaseUp",LCNew*H93*D93*(1+GrowthMarketRent)^1,IF(I93="Option",LCRenewal*H93*D93*(1+GrowthMarketRent)^1,0))))),IF(F93="",0,IF(AND(F93&gt;=DATE(2026+1,5,1),F93&lt;=DATE(2027+1,4,30)),(IF(I93="Vacate",TINew*D93,IF(I93="Market",Retention*TIRenewal*D93+(1-Retention)*TINew*D93,IF(I93="LeaseUp",TINew*D93,IF(I93="Option",TIRenewal*D93,0)))))+(IF(I93="Vacate",LCNew*H93*D93*(1+GrowthMarketRent)^1,IF(I93="Market",Retention*LCRenewal*H93*D93*(1+GrowthMarketRent)^1+(1-Retention)*LCNew*H93*D93*(1+GrowthMarketRent)^1,IF(I93="LeaseUp",LCNew*H93*D93*(1+GrowthMarketRent)^1,IF(I93="Option",LCRenewal*H93*D93*(1+GrowthMarketRent)^1,0))))),0))),0)</f>
        <v/>
      </c>
      <c r="AA93" s="14">
        <f>IFERROR(IF(AND(I93="LeaseUp",2=0),(IF(I93="Vacate",TINew*D93,IF(I93="Market",Retention*TIRenewal*D93+(1-Retention)*TINew*D93,IF(I93="LeaseUp",TINew*D93,IF(I93="Option",TIRenewal*D93,0)))))+(IF(I93="Vacate",LCNew*H93*D93*(1+GrowthMarketRent)^2,IF(I93="Market",Retention*LCRenewal*H93*D93*(1+GrowthMarketRent)^2+(1-Retention)*LCNew*H93*D93*(1+GrowthMarketRent)^2,IF(I93="LeaseUp",LCNew*H93*D93*(1+GrowthMarketRent)^2,IF(I93="Option",LCRenewal*H93*D93*(1+GrowthMarketRent)^2,0))))),IF(F93="",0,IF(AND(F93&gt;=DATE(2026+2,5,1),F93&lt;=DATE(2027+2,4,30)),(IF(I93="Vacate",TINew*D93,IF(I93="Market",Retention*TIRenewal*D93+(1-Retention)*TINew*D93,IF(I93="LeaseUp",TINew*D93,IF(I93="Option",TIRenewal*D93,0)))))+(IF(I93="Vacate",LCNew*H93*D93*(1+GrowthMarketRent)^2,IF(I93="Market",Retention*LCRenewal*H93*D93*(1+GrowthMarketRent)^2+(1-Retention)*LCNew*H93*D93*(1+GrowthMarketRent)^2,IF(I93="LeaseUp",LCNew*H93*D93*(1+GrowthMarketRent)^2,IF(I93="Option",LCRenewal*H93*D93*(1+GrowthMarketRent)^2,0))))),0))),0)</f>
        <v/>
      </c>
      <c r="AB93" s="14">
        <f>IFERROR(IF(AND(I93="LeaseUp",3=0),(IF(I93="Vacate",TINew*D93,IF(I93="Market",Retention*TIRenewal*D93+(1-Retention)*TINew*D93,IF(I93="LeaseUp",TINew*D93,IF(I93="Option",TIRenewal*D93,0)))))+(IF(I93="Vacate",LCNew*H93*D93*(1+GrowthMarketRent)^3,IF(I93="Market",Retention*LCRenewal*H93*D93*(1+GrowthMarketRent)^3+(1-Retention)*LCNew*H93*D93*(1+GrowthMarketRent)^3,IF(I93="LeaseUp",LCNew*H93*D93*(1+GrowthMarketRent)^3,IF(I93="Option",LCRenewal*H93*D93*(1+GrowthMarketRent)^3,0))))),IF(F93="",0,IF(AND(F93&gt;=DATE(2026+3,5,1),F93&lt;=DATE(2027+3,4,30)),(IF(I93="Vacate",TINew*D93,IF(I93="Market",Retention*TIRenewal*D93+(1-Retention)*TINew*D93,IF(I93="LeaseUp",TINew*D93,IF(I93="Option",TIRenewal*D93,0)))))+(IF(I93="Vacate",LCNew*H93*D93*(1+GrowthMarketRent)^3,IF(I93="Market",Retention*LCRenewal*H93*D93*(1+GrowthMarketRent)^3+(1-Retention)*LCNew*H93*D93*(1+GrowthMarketRent)^3,IF(I93="LeaseUp",LCNew*H93*D93*(1+GrowthMarketRent)^3,IF(I93="Option",LCRenewal*H93*D93*(1+GrowthMarketRent)^3,0))))),0))),0)</f>
        <v/>
      </c>
      <c r="AC93" s="14">
        <f>IFERROR(IF(AND(I93="LeaseUp",4=0),(IF(I93="Vacate",TINew*D93,IF(I93="Market",Retention*TIRenewal*D93+(1-Retention)*TINew*D93,IF(I93="LeaseUp",TINew*D93,IF(I93="Option",TIRenewal*D93,0)))))+(IF(I93="Vacate",LCNew*H93*D93*(1+GrowthMarketRent)^4,IF(I93="Market",Retention*LCRenewal*H93*D93*(1+GrowthMarketRent)^4+(1-Retention)*LCNew*H93*D93*(1+GrowthMarketRent)^4,IF(I93="LeaseUp",LCNew*H93*D93*(1+GrowthMarketRent)^4,IF(I93="Option",LCRenewal*H93*D93*(1+GrowthMarketRent)^4,0))))),IF(F93="",0,IF(AND(F93&gt;=DATE(2026+4,5,1),F93&lt;=DATE(2027+4,4,30)),(IF(I93="Vacate",TINew*D93,IF(I93="Market",Retention*TIRenewal*D93+(1-Retention)*TINew*D93,IF(I93="LeaseUp",TINew*D93,IF(I93="Option",TIRenewal*D93,0)))))+(IF(I93="Vacate",LCNew*H93*D93*(1+GrowthMarketRent)^4,IF(I93="Market",Retention*LCRenewal*H93*D93*(1+GrowthMarketRent)^4+(1-Retention)*LCNew*H93*D93*(1+GrowthMarketRent)^4,IF(I93="LeaseUp",LCNew*H93*D93*(1+GrowthMarketRent)^4,IF(I93="Option",LCRenewal*H93*D93*(1+GrowthMarketRent)^4,0))))),0))),0)</f>
        <v/>
      </c>
      <c r="AD93" s="14">
        <f>IFERROR(IF(AND(I93="LeaseUp",5=0),(IF(I93="Vacate",TINew*D93,IF(I93="Market",Retention*TIRenewal*D93+(1-Retention)*TINew*D93,IF(I93="LeaseUp",TINew*D93,IF(I93="Option",TIRenewal*D93,0)))))+(IF(I93="Vacate",LCNew*H93*D93*(1+GrowthMarketRent)^5,IF(I93="Market",Retention*LCRenewal*H93*D93*(1+GrowthMarketRent)^5+(1-Retention)*LCNew*H93*D93*(1+GrowthMarketRent)^5,IF(I93="LeaseUp",LCNew*H93*D93*(1+GrowthMarketRent)^5,IF(I93="Option",LCRenewal*H93*D93*(1+GrowthMarketRent)^5,0))))),IF(F93="",0,IF(AND(F93&gt;=DATE(2026+5,5,1),F93&lt;=DATE(2027+5,4,30)),(IF(I93="Vacate",TINew*D93,IF(I93="Market",Retention*TIRenewal*D93+(1-Retention)*TINew*D93,IF(I93="LeaseUp",TINew*D93,IF(I93="Option",TIRenewal*D93,0)))))+(IF(I93="Vacate",LCNew*H93*D93*(1+GrowthMarketRent)^5,IF(I93="Market",Retention*LCRenewal*H93*D93*(1+GrowthMarketRent)^5+(1-Retention)*LCNew*H93*D93*(1+GrowthMarketRent)^5,IF(I93="LeaseUp",LCNew*H93*D93*(1+GrowthMarketRent)^5,IF(I93="Option",LCRenewal*H93*D93*(1+GrowthMarketRent)^5,0))))),0))),0)</f>
        <v/>
      </c>
      <c r="AE93" s="14">
        <f>IFERROR(IF(AND(I93="LeaseUp",6=0),(IF(I93="Vacate",TINew*D93,IF(I93="Market",Retention*TIRenewal*D93+(1-Retention)*TINew*D93,IF(I93="LeaseUp",TINew*D93,IF(I93="Option",TIRenewal*D93,0)))))+(IF(I93="Vacate",LCNew*H93*D93*(1+GrowthMarketRent)^6,IF(I93="Market",Retention*LCRenewal*H93*D93*(1+GrowthMarketRent)^6+(1-Retention)*LCNew*H93*D93*(1+GrowthMarketRent)^6,IF(I93="LeaseUp",LCNew*H93*D93*(1+GrowthMarketRent)^6,IF(I93="Option",LCRenewal*H93*D93*(1+GrowthMarketRent)^6,0))))),IF(F93="",0,IF(AND(F93&gt;=DATE(2026+6,5,1),F93&lt;=DATE(2027+6,4,30)),(IF(I93="Vacate",TINew*D93,IF(I93="Market",Retention*TIRenewal*D93+(1-Retention)*TINew*D93,IF(I93="LeaseUp",TINew*D93,IF(I93="Option",TIRenewal*D93,0)))))+(IF(I93="Vacate",LCNew*H93*D93*(1+GrowthMarketRent)^6,IF(I93="Market",Retention*LCRenewal*H93*D93*(1+GrowthMarketRent)^6+(1-Retention)*LCNew*H93*D93*(1+GrowthMarketRent)^6,IF(I93="LeaseUp",LCNew*H93*D93*(1+GrowthMarketRent)^6,IF(I93="Option",LCRenewal*H93*D93*(1+GrowthMarketRent)^6,0))))),0))),0)</f>
        <v/>
      </c>
      <c r="AF93" s="14">
        <f>IFERROR(IF(AND(I93="LeaseUp",7=0),(IF(I93="Vacate",TINew*D93,IF(I93="Market",Retention*TIRenewal*D93+(1-Retention)*TINew*D93,IF(I93="LeaseUp",TINew*D93,IF(I93="Option",TIRenewal*D93,0)))))+(IF(I93="Vacate",LCNew*H93*D93*(1+GrowthMarketRent)^7,IF(I93="Market",Retention*LCRenewal*H93*D93*(1+GrowthMarketRent)^7+(1-Retention)*LCNew*H93*D93*(1+GrowthMarketRent)^7,IF(I93="LeaseUp",LCNew*H93*D93*(1+GrowthMarketRent)^7,IF(I93="Option",LCRenewal*H93*D93*(1+GrowthMarketRent)^7,0))))),IF(F93="",0,IF(AND(F93&gt;=DATE(2026+7,5,1),F93&lt;=DATE(2027+7,4,30)),(IF(I93="Vacate",TINew*D93,IF(I93="Market",Retention*TIRenewal*D93+(1-Retention)*TINew*D93,IF(I93="LeaseUp",TINew*D93,IF(I93="Option",TIRenewal*D93,0)))))+(IF(I93="Vacate",LCNew*H93*D93*(1+GrowthMarketRent)^7,IF(I93="Market",Retention*LCRenewal*H93*D93*(1+GrowthMarketRent)^7+(1-Retention)*LCNew*H93*D93*(1+GrowthMarketRent)^7,IF(I93="LeaseUp",LCNew*H93*D93*(1+GrowthMarketRent)^7,IF(I93="Option",LCRenewal*H93*D93*(1+GrowthMarketRent)^7,0))))),0))),0)</f>
        <v/>
      </c>
      <c r="AG93" s="14">
        <f>IFERROR(IF(AND(I93="LeaseUp",8=0),(IF(I93="Vacate",TINew*D93,IF(I93="Market",Retention*TIRenewal*D93+(1-Retention)*TINew*D93,IF(I93="LeaseUp",TINew*D93,IF(I93="Option",TIRenewal*D93,0)))))+(IF(I93="Vacate",LCNew*H93*D93*(1+GrowthMarketRent)^8,IF(I93="Market",Retention*LCRenewal*H93*D93*(1+GrowthMarketRent)^8+(1-Retention)*LCNew*H93*D93*(1+GrowthMarketRent)^8,IF(I93="LeaseUp",LCNew*H93*D93*(1+GrowthMarketRent)^8,IF(I93="Option",LCRenewal*H93*D93*(1+GrowthMarketRent)^8,0))))),IF(F93="",0,IF(AND(F93&gt;=DATE(2026+8,5,1),F93&lt;=DATE(2027+8,4,30)),(IF(I93="Vacate",TINew*D93,IF(I93="Market",Retention*TIRenewal*D93+(1-Retention)*TINew*D93,IF(I93="LeaseUp",TINew*D93,IF(I93="Option",TIRenewal*D93,0)))))+(IF(I93="Vacate",LCNew*H93*D93*(1+GrowthMarketRent)^8,IF(I93="Market",Retention*LCRenewal*H93*D93*(1+GrowthMarketRent)^8+(1-Retention)*LCNew*H93*D93*(1+GrowthMarketRent)^8,IF(I93="LeaseUp",LCNew*H93*D93*(1+GrowthMarketRent)^8,IF(I93="Option",LCRenewal*H93*D93*(1+GrowthMarketRent)^8,0))))),0))),0)</f>
        <v/>
      </c>
      <c r="AH93" s="14">
        <f>IFERROR(IF(AND(I93="LeaseUp",9=0),(IF(I93="Vacate",TINew*D93,IF(I93="Market",Retention*TIRenewal*D93+(1-Retention)*TINew*D93,IF(I93="LeaseUp",TINew*D93,IF(I93="Option",TIRenewal*D93,0)))))+(IF(I93="Vacate",LCNew*H93*D93*(1+GrowthMarketRent)^9,IF(I93="Market",Retention*LCRenewal*H93*D93*(1+GrowthMarketRent)^9+(1-Retention)*LCNew*H93*D93*(1+GrowthMarketRent)^9,IF(I93="LeaseUp",LCNew*H93*D93*(1+GrowthMarketRent)^9,IF(I93="Option",LCRenewal*H93*D93*(1+GrowthMarketRent)^9,0))))),IF(F93="",0,IF(AND(F93&gt;=DATE(2026+9,5,1),F93&lt;=DATE(2027+9,4,30)),(IF(I93="Vacate",TINew*D93,IF(I93="Market",Retention*TIRenewal*D93+(1-Retention)*TINew*D93,IF(I93="LeaseUp",TINew*D93,IF(I93="Option",TIRenewal*D93,0)))))+(IF(I93="Vacate",LCNew*H93*D93*(1+GrowthMarketRent)^9,IF(I93="Market",Retention*LCRenewal*H93*D93*(1+GrowthMarketRent)^9+(1-Retention)*LCNew*H93*D93*(1+GrowthMarketRent)^9,IF(I93="LeaseUp",LCNew*H93*D93*(1+GrowthMarketRent)^9,IF(I93="Option",LCRenewal*H93*D93*(1+GrowthMarketRent)^9,0))))),0))),0)</f>
        <v/>
      </c>
      <c r="AI93" s="14">
        <f>IFERROR(IF(AND(I93="LeaseUp",10=0),(IF(I93="Vacate",TINew*D93,IF(I93="Market",Retention*TIRenewal*D93+(1-Retention)*TINew*D93,IF(I93="LeaseUp",TINew*D93,IF(I93="Option",TIRenewal*D93,0)))))+(IF(I93="Vacate",LCNew*H93*D93*(1+GrowthMarketRent)^10,IF(I93="Market",Retention*LCRenewal*H93*D93*(1+GrowthMarketRent)^10+(1-Retention)*LCNew*H93*D93*(1+GrowthMarketRent)^10,IF(I93="LeaseUp",LCNew*H93*D93*(1+GrowthMarketRent)^10,IF(I93="Option",LCRenewal*H93*D93*(1+GrowthMarketRent)^10,0))))),IF(F93="",0,IF(AND(F93&gt;=DATE(2026+10,5,1),F93&lt;=DATE(2027+10,4,30)),(IF(I93="Vacate",TINew*D93,IF(I93="Market",Retention*TIRenewal*D93+(1-Retention)*TINew*D93,IF(I93="LeaseUp",TINew*D93,IF(I93="Option",TIRenewal*D93,0)))))+(IF(I93="Vacate",LCNew*H93*D93*(1+GrowthMarketRent)^10,IF(I93="Market",Retention*LCRenewal*H93*D93*(1+GrowthMarketRent)^10+(1-Retention)*LCNew*H93*D93*(1+GrowthMarketRent)^10,IF(I93="LeaseUp",LCNew*H93*D93*(1+GrowthMarketRent)^10,IF(I93="Option",LCRenewal*H93*D93*(1+GrowthMarketRent)^10,0))))),0))),0)</f>
        <v/>
      </c>
    </row>
    <row r="94">
      <c r="A94" t="inlineStr">
        <is>
          <t>Lewisville</t>
        </is>
      </c>
      <c r="B94" t="inlineStr">
        <is>
          <t>104</t>
        </is>
      </c>
      <c r="C94" t="inlineStr">
        <is>
          <t>Alff Construction LLC</t>
        </is>
      </c>
      <c r="D94" s="32" t="n">
        <v>2600</v>
      </c>
      <c r="E94" s="33" t="n">
        <v>45078</v>
      </c>
      <c r="F94" s="33" t="n">
        <v>46327</v>
      </c>
      <c r="G94" s="34" t="n">
        <v>14.9715384615385</v>
      </c>
      <c r="H94" s="16">
        <f>VLOOKUP(A94,MLA!$A$5:$L$11,3,FALSE)</f>
        <v/>
      </c>
      <c r="I94" s="11" t="inlineStr">
        <is>
          <t>Option</t>
        </is>
      </c>
      <c r="J94" t="inlineStr">
        <is>
          <t>Shop</t>
        </is>
      </c>
      <c r="K94" t="inlineStr">
        <is>
          <t>Occupied</t>
        </is>
      </c>
      <c r="L94" t="inlineStr">
        <is>
          <t>Shop; Guarantor: Austin Alff; Two 3yr options</t>
        </is>
      </c>
      <c r="M94" s="20">
        <f>IF(E94="",0,(AnalysisStart-E94)/365.25)</f>
        <v/>
      </c>
      <c r="N94" s="14">
        <f>IFERROR(IF(I94="LeaseUp",H94*D94*(1+GrowthMarketRent)^0*IF(0=0,(12-DowntimeNew)/12,1),IF(F94="",0,IF(F94&gt;=DATE(2027+0,4,30),G94*D94*(1+EscalatorInLease)^(0+M94),IF(F94&lt;DATE(2026+0,5,1),IF(I94="Vacate",H94*D94*(1+GrowthMarketRent)^0*IF(INT((DATE(2026+0,10,31)-F94)/365.25)=0,(12-DowntimeNew)/12,1),IF(I94="Option",G94*D94*1.025*(1+EscalatorInLease)^0,IF(I94="Market",Retention*G94*D94*(1+EscalatorInLease)^(0+M94)+(1-Retention)*H94*D94*(1+GrowthMarketRent)^0*IF(INT((DATE(2026+0,10,31)-F94)/365.25)=0,(12-DowntimeNew)/12,1),IF(I94="LeaseUp",H94*D94*(1+GrowthMarketRent)^0*IF(0=0,(12-DowntimeNew)/12,1),0)))),((F94-DATE(2026+0,5,1))/365.25)*G94*D94*(1+EscalatorInLease)^(0+M94)+((DATE(2027+0,4,30)-F94)/365.25)*IF(I94="Vacate",H94*D94*(1+GrowthMarketRent)^0*IF(INT((DATE(2026+0,10,31)-F94)/365.25)=0,(12-DowntimeNew)/12,1),IF(I94="Option",G94*D94*1.025*(1+EscalatorInLease)^0,IF(I94="Market",Retention*G94*D94*(1+EscalatorInLease)^(0+M94)+(1-Retention)*H94*D94*(1+GrowthMarketRent)^0*IF(INT((DATE(2026+0,10,31)-F94)/365.25)=0,(12-DowntimeNew)/12,1),IF(I94="LeaseUp",H94*D94*(1+GrowthMarketRent)^0*IF(0=0,(12-DowntimeNew)/12,1),0)))))))),0)</f>
        <v/>
      </c>
      <c r="O94" s="14">
        <f>IFERROR(IF(I94="LeaseUp",H94*D94*(1+GrowthMarketRent)^1*IF(1=0,(12-DowntimeNew)/12,1),IF(F94="",0,IF(F94&gt;=DATE(2027+1,4,30),G94*D94*(1+EscalatorInLease)^(1+M94),IF(F94&lt;DATE(2026+1,5,1),IF(I94="Vacate",H94*D94*(1+GrowthMarketRent)^1*IF(INT((DATE(2026+1,10,31)-F94)/365.25)=0,(12-DowntimeNew)/12,1),IF(I94="Option",G94*D94*1.025*(1+EscalatorInLease)^1,IF(I94="Market",Retention*G94*D94*(1+EscalatorInLease)^(1+M94)+(1-Retention)*H94*D94*(1+GrowthMarketRent)^1*IF(INT((DATE(2026+1,10,31)-F94)/365.25)=0,(12-DowntimeNew)/12,1),IF(I94="LeaseUp",H94*D94*(1+GrowthMarketRent)^1*IF(1=0,(12-DowntimeNew)/12,1),0)))),((F94-DATE(2026+1,5,1))/365.25)*G94*D94*(1+EscalatorInLease)^(1+M94)+((DATE(2027+1,4,30)-F94)/365.25)*IF(I94="Vacate",H94*D94*(1+GrowthMarketRent)^1*IF(INT((DATE(2026+1,10,31)-F94)/365.25)=0,(12-DowntimeNew)/12,1),IF(I94="Option",G94*D94*1.025*(1+EscalatorInLease)^1,IF(I94="Market",Retention*G94*D94*(1+EscalatorInLease)^(1+M94)+(1-Retention)*H94*D94*(1+GrowthMarketRent)^1*IF(INT((DATE(2026+1,10,31)-F94)/365.25)=0,(12-DowntimeNew)/12,1),IF(I94="LeaseUp",H94*D94*(1+GrowthMarketRent)^1*IF(1=0,(12-DowntimeNew)/12,1),0)))))))),0)</f>
        <v/>
      </c>
      <c r="P94" s="14">
        <f>IFERROR(IF(I94="LeaseUp",H94*D94*(1+GrowthMarketRent)^2*IF(2=0,(12-DowntimeNew)/12,1),IF(F94="",0,IF(F94&gt;=DATE(2027+2,4,30),G94*D94*(1+EscalatorInLease)^(2+M94),IF(F94&lt;DATE(2026+2,5,1),IF(I94="Vacate",H94*D94*(1+GrowthMarketRent)^2*IF(INT((DATE(2026+2,10,31)-F94)/365.25)=0,(12-DowntimeNew)/12,1),IF(I94="Option",G94*D94*1.025*(1+EscalatorInLease)^2,IF(I94="Market",Retention*G94*D94*(1+EscalatorInLease)^(2+M94)+(1-Retention)*H94*D94*(1+GrowthMarketRent)^2*IF(INT((DATE(2026+2,10,31)-F94)/365.25)=0,(12-DowntimeNew)/12,1),IF(I94="LeaseUp",H94*D94*(1+GrowthMarketRent)^2*IF(2=0,(12-DowntimeNew)/12,1),0)))),((F94-DATE(2026+2,5,1))/365.25)*G94*D94*(1+EscalatorInLease)^(2+M94)+((DATE(2027+2,4,30)-F94)/365.25)*IF(I94="Vacate",H94*D94*(1+GrowthMarketRent)^2*IF(INT((DATE(2026+2,10,31)-F94)/365.25)=0,(12-DowntimeNew)/12,1),IF(I94="Option",G94*D94*1.025*(1+EscalatorInLease)^2,IF(I94="Market",Retention*G94*D94*(1+EscalatorInLease)^(2+M94)+(1-Retention)*H94*D94*(1+GrowthMarketRent)^2*IF(INT((DATE(2026+2,10,31)-F94)/365.25)=0,(12-DowntimeNew)/12,1),IF(I94="LeaseUp",H94*D94*(1+GrowthMarketRent)^2*IF(2=0,(12-DowntimeNew)/12,1),0)))))))),0)</f>
        <v/>
      </c>
      <c r="Q94" s="14">
        <f>IFERROR(IF(I94="LeaseUp",H94*D94*(1+GrowthMarketRent)^3*IF(3=0,(12-DowntimeNew)/12,1),IF(F94="",0,IF(F94&gt;=DATE(2027+3,4,30),G94*D94*(1+EscalatorInLease)^(3+M94),IF(F94&lt;DATE(2026+3,5,1),IF(I94="Vacate",H94*D94*(1+GrowthMarketRent)^3*IF(INT((DATE(2026+3,10,31)-F94)/365.25)=0,(12-DowntimeNew)/12,1),IF(I94="Option",G94*D94*1.025*(1+EscalatorInLease)^3,IF(I94="Market",Retention*G94*D94*(1+EscalatorInLease)^(3+M94)+(1-Retention)*H94*D94*(1+GrowthMarketRent)^3*IF(INT((DATE(2026+3,10,31)-F94)/365.25)=0,(12-DowntimeNew)/12,1),IF(I94="LeaseUp",H94*D94*(1+GrowthMarketRent)^3*IF(3=0,(12-DowntimeNew)/12,1),0)))),((F94-DATE(2026+3,5,1))/365.25)*G94*D94*(1+EscalatorInLease)^(3+M94)+((DATE(2027+3,4,30)-F94)/365.25)*IF(I94="Vacate",H94*D94*(1+GrowthMarketRent)^3*IF(INT((DATE(2026+3,10,31)-F94)/365.25)=0,(12-DowntimeNew)/12,1),IF(I94="Option",G94*D94*1.025*(1+EscalatorInLease)^3,IF(I94="Market",Retention*G94*D94*(1+EscalatorInLease)^(3+M94)+(1-Retention)*H94*D94*(1+GrowthMarketRent)^3*IF(INT((DATE(2026+3,10,31)-F94)/365.25)=0,(12-DowntimeNew)/12,1),IF(I94="LeaseUp",H94*D94*(1+GrowthMarketRent)^3*IF(3=0,(12-DowntimeNew)/12,1),0)))))))),0)</f>
        <v/>
      </c>
      <c r="R94" s="14">
        <f>IFERROR(IF(I94="LeaseUp",H94*D94*(1+GrowthMarketRent)^4*IF(4=0,(12-DowntimeNew)/12,1),IF(F94="",0,IF(F94&gt;=DATE(2027+4,4,30),G94*D94*(1+EscalatorInLease)^(4+M94),IF(F94&lt;DATE(2026+4,5,1),IF(I94="Vacate",H94*D94*(1+GrowthMarketRent)^4*IF(INT((DATE(2026+4,10,31)-F94)/365.25)=0,(12-DowntimeNew)/12,1),IF(I94="Option",G94*D94*1.025*(1+EscalatorInLease)^4,IF(I94="Market",Retention*G94*D94*(1+EscalatorInLease)^(4+M94)+(1-Retention)*H94*D94*(1+GrowthMarketRent)^4*IF(INT((DATE(2026+4,10,31)-F94)/365.25)=0,(12-DowntimeNew)/12,1),IF(I94="LeaseUp",H94*D94*(1+GrowthMarketRent)^4*IF(4=0,(12-DowntimeNew)/12,1),0)))),((F94-DATE(2026+4,5,1))/365.25)*G94*D94*(1+EscalatorInLease)^(4+M94)+((DATE(2027+4,4,30)-F94)/365.25)*IF(I94="Vacate",H94*D94*(1+GrowthMarketRent)^4*IF(INT((DATE(2026+4,10,31)-F94)/365.25)=0,(12-DowntimeNew)/12,1),IF(I94="Option",G94*D94*1.025*(1+EscalatorInLease)^4,IF(I94="Market",Retention*G94*D94*(1+EscalatorInLease)^(4+M94)+(1-Retention)*H94*D94*(1+GrowthMarketRent)^4*IF(INT((DATE(2026+4,10,31)-F94)/365.25)=0,(12-DowntimeNew)/12,1),IF(I94="LeaseUp",H94*D94*(1+GrowthMarketRent)^4*IF(4=0,(12-DowntimeNew)/12,1),0)))))))),0)</f>
        <v/>
      </c>
      <c r="S94" s="14">
        <f>IFERROR(IF(I94="LeaseUp",H94*D94*(1+GrowthMarketRent)^5*IF(5=0,(12-DowntimeNew)/12,1),IF(F94="",0,IF(F94&gt;=DATE(2027+5,4,30),G94*D94*(1+EscalatorInLease)^(5+M94),IF(F94&lt;DATE(2026+5,5,1),IF(I94="Vacate",H94*D94*(1+GrowthMarketRent)^5*IF(INT((DATE(2026+5,10,31)-F94)/365.25)=0,(12-DowntimeNew)/12,1),IF(I94="Option",G94*D94*1.025*(1+EscalatorInLease)^5,IF(I94="Market",Retention*G94*D94*(1+EscalatorInLease)^(5+M94)+(1-Retention)*H94*D94*(1+GrowthMarketRent)^5*IF(INT((DATE(2026+5,10,31)-F94)/365.25)=0,(12-DowntimeNew)/12,1),IF(I94="LeaseUp",H94*D94*(1+GrowthMarketRent)^5*IF(5=0,(12-DowntimeNew)/12,1),0)))),((F94-DATE(2026+5,5,1))/365.25)*G94*D94*(1+EscalatorInLease)^(5+M94)+((DATE(2027+5,4,30)-F94)/365.25)*IF(I94="Vacate",H94*D94*(1+GrowthMarketRent)^5*IF(INT((DATE(2026+5,10,31)-F94)/365.25)=0,(12-DowntimeNew)/12,1),IF(I94="Option",G94*D94*1.025*(1+EscalatorInLease)^5,IF(I94="Market",Retention*G94*D94*(1+EscalatorInLease)^(5+M94)+(1-Retention)*H94*D94*(1+GrowthMarketRent)^5*IF(INT((DATE(2026+5,10,31)-F94)/365.25)=0,(12-DowntimeNew)/12,1),IF(I94="LeaseUp",H94*D94*(1+GrowthMarketRent)^5*IF(5=0,(12-DowntimeNew)/12,1),0)))))))),0)</f>
        <v/>
      </c>
      <c r="T94" s="14">
        <f>IFERROR(IF(I94="LeaseUp",H94*D94*(1+GrowthMarketRent)^6*IF(6=0,(12-DowntimeNew)/12,1),IF(F94="",0,IF(F94&gt;=DATE(2027+6,4,30),G94*D94*(1+EscalatorInLease)^(6+M94),IF(F94&lt;DATE(2026+6,5,1),IF(I94="Vacate",H94*D94*(1+GrowthMarketRent)^6*IF(INT((DATE(2026+6,10,31)-F94)/365.25)=0,(12-DowntimeNew)/12,1),IF(I94="Option",G94*D94*1.025*(1+EscalatorInLease)^6,IF(I94="Market",Retention*G94*D94*(1+EscalatorInLease)^(6+M94)+(1-Retention)*H94*D94*(1+GrowthMarketRent)^6*IF(INT((DATE(2026+6,10,31)-F94)/365.25)=0,(12-DowntimeNew)/12,1),IF(I94="LeaseUp",H94*D94*(1+GrowthMarketRent)^6*IF(6=0,(12-DowntimeNew)/12,1),0)))),((F94-DATE(2026+6,5,1))/365.25)*G94*D94*(1+EscalatorInLease)^(6+M94)+((DATE(2027+6,4,30)-F94)/365.25)*IF(I94="Vacate",H94*D94*(1+GrowthMarketRent)^6*IF(INT((DATE(2026+6,10,31)-F94)/365.25)=0,(12-DowntimeNew)/12,1),IF(I94="Option",G94*D94*1.025*(1+EscalatorInLease)^6,IF(I94="Market",Retention*G94*D94*(1+EscalatorInLease)^(6+M94)+(1-Retention)*H94*D94*(1+GrowthMarketRent)^6*IF(INT((DATE(2026+6,10,31)-F94)/365.25)=0,(12-DowntimeNew)/12,1),IF(I94="LeaseUp",H94*D94*(1+GrowthMarketRent)^6*IF(6=0,(12-DowntimeNew)/12,1),0)))))))),0)</f>
        <v/>
      </c>
      <c r="U94" s="14">
        <f>IFERROR(IF(I94="LeaseUp",H94*D94*(1+GrowthMarketRent)^7*IF(7=0,(12-DowntimeNew)/12,1),IF(F94="",0,IF(F94&gt;=DATE(2027+7,4,30),G94*D94*(1+EscalatorInLease)^(7+M94),IF(F94&lt;DATE(2026+7,5,1),IF(I94="Vacate",H94*D94*(1+GrowthMarketRent)^7*IF(INT((DATE(2026+7,10,31)-F94)/365.25)=0,(12-DowntimeNew)/12,1),IF(I94="Option",G94*D94*1.025*(1+EscalatorInLease)^7,IF(I94="Market",Retention*G94*D94*(1+EscalatorInLease)^(7+M94)+(1-Retention)*H94*D94*(1+GrowthMarketRent)^7*IF(INT((DATE(2026+7,10,31)-F94)/365.25)=0,(12-DowntimeNew)/12,1),IF(I94="LeaseUp",H94*D94*(1+GrowthMarketRent)^7*IF(7=0,(12-DowntimeNew)/12,1),0)))),((F94-DATE(2026+7,5,1))/365.25)*G94*D94*(1+EscalatorInLease)^(7+M94)+((DATE(2027+7,4,30)-F94)/365.25)*IF(I94="Vacate",H94*D94*(1+GrowthMarketRent)^7*IF(INT((DATE(2026+7,10,31)-F94)/365.25)=0,(12-DowntimeNew)/12,1),IF(I94="Option",G94*D94*1.025*(1+EscalatorInLease)^7,IF(I94="Market",Retention*G94*D94*(1+EscalatorInLease)^(7+M94)+(1-Retention)*H94*D94*(1+GrowthMarketRent)^7*IF(INT((DATE(2026+7,10,31)-F94)/365.25)=0,(12-DowntimeNew)/12,1),IF(I94="LeaseUp",H94*D94*(1+GrowthMarketRent)^7*IF(7=0,(12-DowntimeNew)/12,1),0)))))))),0)</f>
        <v/>
      </c>
      <c r="V94" s="14">
        <f>IFERROR(IF(I94="LeaseUp",H94*D94*(1+GrowthMarketRent)^8*IF(8=0,(12-DowntimeNew)/12,1),IF(F94="",0,IF(F94&gt;=DATE(2027+8,4,30),G94*D94*(1+EscalatorInLease)^(8+M94),IF(F94&lt;DATE(2026+8,5,1),IF(I94="Vacate",H94*D94*(1+GrowthMarketRent)^8*IF(INT((DATE(2026+8,10,31)-F94)/365.25)=0,(12-DowntimeNew)/12,1),IF(I94="Option",G94*D94*1.025*(1+EscalatorInLease)^8,IF(I94="Market",Retention*G94*D94*(1+EscalatorInLease)^(8+M94)+(1-Retention)*H94*D94*(1+GrowthMarketRent)^8*IF(INT((DATE(2026+8,10,31)-F94)/365.25)=0,(12-DowntimeNew)/12,1),IF(I94="LeaseUp",H94*D94*(1+GrowthMarketRent)^8*IF(8=0,(12-DowntimeNew)/12,1),0)))),((F94-DATE(2026+8,5,1))/365.25)*G94*D94*(1+EscalatorInLease)^(8+M94)+((DATE(2027+8,4,30)-F94)/365.25)*IF(I94="Vacate",H94*D94*(1+GrowthMarketRent)^8*IF(INT((DATE(2026+8,10,31)-F94)/365.25)=0,(12-DowntimeNew)/12,1),IF(I94="Option",G94*D94*1.025*(1+EscalatorInLease)^8,IF(I94="Market",Retention*G94*D94*(1+EscalatorInLease)^(8+M94)+(1-Retention)*H94*D94*(1+GrowthMarketRent)^8*IF(INT((DATE(2026+8,10,31)-F94)/365.25)=0,(12-DowntimeNew)/12,1),IF(I94="LeaseUp",H94*D94*(1+GrowthMarketRent)^8*IF(8=0,(12-DowntimeNew)/12,1),0)))))))),0)</f>
        <v/>
      </c>
      <c r="W94" s="14">
        <f>IFERROR(IF(I94="LeaseUp",H94*D94*(1+GrowthMarketRent)^9*IF(9=0,(12-DowntimeNew)/12,1),IF(F94="",0,IF(F94&gt;=DATE(2027+9,4,30),G94*D94*(1+EscalatorInLease)^(9+M94),IF(F94&lt;DATE(2026+9,5,1),IF(I94="Vacate",H94*D94*(1+GrowthMarketRent)^9*IF(INT((DATE(2026+9,10,31)-F94)/365.25)=0,(12-DowntimeNew)/12,1),IF(I94="Option",G94*D94*1.025*(1+EscalatorInLease)^9,IF(I94="Market",Retention*G94*D94*(1+EscalatorInLease)^(9+M94)+(1-Retention)*H94*D94*(1+GrowthMarketRent)^9*IF(INT((DATE(2026+9,10,31)-F94)/365.25)=0,(12-DowntimeNew)/12,1),IF(I94="LeaseUp",H94*D94*(1+GrowthMarketRent)^9*IF(9=0,(12-DowntimeNew)/12,1),0)))),((F94-DATE(2026+9,5,1))/365.25)*G94*D94*(1+EscalatorInLease)^(9+M94)+((DATE(2027+9,4,30)-F94)/365.25)*IF(I94="Vacate",H94*D94*(1+GrowthMarketRent)^9*IF(INT((DATE(2026+9,10,31)-F94)/365.25)=0,(12-DowntimeNew)/12,1),IF(I94="Option",G94*D94*1.025*(1+EscalatorInLease)^9,IF(I94="Market",Retention*G94*D94*(1+EscalatorInLease)^(9+M94)+(1-Retention)*H94*D94*(1+GrowthMarketRent)^9*IF(INT((DATE(2026+9,10,31)-F94)/365.25)=0,(12-DowntimeNew)/12,1),IF(I94="LeaseUp",H94*D94*(1+GrowthMarketRent)^9*IF(9=0,(12-DowntimeNew)/12,1),0)))))))),0)</f>
        <v/>
      </c>
      <c r="X94" s="14">
        <f>IFERROR(IF(I94="LeaseUp",H94*D94*(1+GrowthMarketRent)^10*IF(10=0,(12-DowntimeNew)/12,1),IF(F94="",0,IF(F94&gt;=DATE(2027+10,4,30),G94*D94*(1+EscalatorInLease)^(10+M94),IF(F94&lt;DATE(2026+10,5,1),IF(I94="Vacate",H94*D94*(1+GrowthMarketRent)^10*IF(INT((DATE(2026+10,10,31)-F94)/365.25)=0,(12-DowntimeNew)/12,1),IF(I94="Option",G94*D94*1.025*(1+EscalatorInLease)^10,IF(I94="Market",Retention*G94*D94*(1+EscalatorInLease)^(10+M94)+(1-Retention)*H94*D94*(1+GrowthMarketRent)^10*IF(INT((DATE(2026+10,10,31)-F94)/365.25)=0,(12-DowntimeNew)/12,1),IF(I94="LeaseUp",H94*D94*(1+GrowthMarketRent)^10*IF(10=0,(12-DowntimeNew)/12,1),0)))),((F94-DATE(2026+10,5,1))/365.25)*G94*D94*(1+EscalatorInLease)^(10+M94)+((DATE(2027+10,4,30)-F94)/365.25)*IF(I94="Vacate",H94*D94*(1+GrowthMarketRent)^10*IF(INT((DATE(2026+10,10,31)-F94)/365.25)=0,(12-DowntimeNew)/12,1),IF(I94="Option",G94*D94*1.025*(1+EscalatorInLease)^10,IF(I94="Market",Retention*G94*D94*(1+EscalatorInLease)^(10+M94)+(1-Retention)*H94*D94*(1+GrowthMarketRent)^10*IF(INT((DATE(2026+10,10,31)-F94)/365.25)=0,(12-DowntimeNew)/12,1),IF(I94="LeaseUp",H94*D94*(1+GrowthMarketRent)^10*IF(10=0,(12-DowntimeNew)/12,1),0)))))))),0)</f>
        <v/>
      </c>
      <c r="Y94" s="14">
        <f>IFERROR(IF(AND(I94="LeaseUp",0=0),(IF(I94="Vacate",TINew*D94,IF(I94="Market",Retention*TIRenewal*D94+(1-Retention)*TINew*D94,IF(I94="LeaseUp",TINew*D94,IF(I94="Option",TIRenewal*D94,0)))))+(IF(I94="Vacate",LCNew*H94*D94*(1+GrowthMarketRent)^0,IF(I94="Market",Retention*LCRenewal*H94*D94*(1+GrowthMarketRent)^0+(1-Retention)*LCNew*H94*D94*(1+GrowthMarketRent)^0,IF(I94="LeaseUp",LCNew*H94*D94*(1+GrowthMarketRent)^0,IF(I94="Option",LCRenewal*H94*D94*(1+GrowthMarketRent)^0,0))))),IF(F94="",0,IF(AND(F94&gt;=DATE(2026+0,5,1),F94&lt;=DATE(2027+0,4,30)),(IF(I94="Vacate",TINew*D94,IF(I94="Market",Retention*TIRenewal*D94+(1-Retention)*TINew*D94,IF(I94="LeaseUp",TINew*D94,IF(I94="Option",TIRenewal*D94,0)))))+(IF(I94="Vacate",LCNew*H94*D94*(1+GrowthMarketRent)^0,IF(I94="Market",Retention*LCRenewal*H94*D94*(1+GrowthMarketRent)^0+(1-Retention)*LCNew*H94*D94*(1+GrowthMarketRent)^0,IF(I94="LeaseUp",LCNew*H94*D94*(1+GrowthMarketRent)^0,IF(I94="Option",LCRenewal*H94*D94*(1+GrowthMarketRent)^0,0))))),0))),0)</f>
        <v/>
      </c>
      <c r="Z94" s="14">
        <f>IFERROR(IF(AND(I94="LeaseUp",1=0),(IF(I94="Vacate",TINew*D94,IF(I94="Market",Retention*TIRenewal*D94+(1-Retention)*TINew*D94,IF(I94="LeaseUp",TINew*D94,IF(I94="Option",TIRenewal*D94,0)))))+(IF(I94="Vacate",LCNew*H94*D94*(1+GrowthMarketRent)^1,IF(I94="Market",Retention*LCRenewal*H94*D94*(1+GrowthMarketRent)^1+(1-Retention)*LCNew*H94*D94*(1+GrowthMarketRent)^1,IF(I94="LeaseUp",LCNew*H94*D94*(1+GrowthMarketRent)^1,IF(I94="Option",LCRenewal*H94*D94*(1+GrowthMarketRent)^1,0))))),IF(F94="",0,IF(AND(F94&gt;=DATE(2026+1,5,1),F94&lt;=DATE(2027+1,4,30)),(IF(I94="Vacate",TINew*D94,IF(I94="Market",Retention*TIRenewal*D94+(1-Retention)*TINew*D94,IF(I94="LeaseUp",TINew*D94,IF(I94="Option",TIRenewal*D94,0)))))+(IF(I94="Vacate",LCNew*H94*D94*(1+GrowthMarketRent)^1,IF(I94="Market",Retention*LCRenewal*H94*D94*(1+GrowthMarketRent)^1+(1-Retention)*LCNew*H94*D94*(1+GrowthMarketRent)^1,IF(I94="LeaseUp",LCNew*H94*D94*(1+GrowthMarketRent)^1,IF(I94="Option",LCRenewal*H94*D94*(1+GrowthMarketRent)^1,0))))),0))),0)</f>
        <v/>
      </c>
      <c r="AA94" s="14">
        <f>IFERROR(IF(AND(I94="LeaseUp",2=0),(IF(I94="Vacate",TINew*D94,IF(I94="Market",Retention*TIRenewal*D94+(1-Retention)*TINew*D94,IF(I94="LeaseUp",TINew*D94,IF(I94="Option",TIRenewal*D94,0)))))+(IF(I94="Vacate",LCNew*H94*D94*(1+GrowthMarketRent)^2,IF(I94="Market",Retention*LCRenewal*H94*D94*(1+GrowthMarketRent)^2+(1-Retention)*LCNew*H94*D94*(1+GrowthMarketRent)^2,IF(I94="LeaseUp",LCNew*H94*D94*(1+GrowthMarketRent)^2,IF(I94="Option",LCRenewal*H94*D94*(1+GrowthMarketRent)^2,0))))),IF(F94="",0,IF(AND(F94&gt;=DATE(2026+2,5,1),F94&lt;=DATE(2027+2,4,30)),(IF(I94="Vacate",TINew*D94,IF(I94="Market",Retention*TIRenewal*D94+(1-Retention)*TINew*D94,IF(I94="LeaseUp",TINew*D94,IF(I94="Option",TIRenewal*D94,0)))))+(IF(I94="Vacate",LCNew*H94*D94*(1+GrowthMarketRent)^2,IF(I94="Market",Retention*LCRenewal*H94*D94*(1+GrowthMarketRent)^2+(1-Retention)*LCNew*H94*D94*(1+GrowthMarketRent)^2,IF(I94="LeaseUp",LCNew*H94*D94*(1+GrowthMarketRent)^2,IF(I94="Option",LCRenewal*H94*D94*(1+GrowthMarketRent)^2,0))))),0))),0)</f>
        <v/>
      </c>
      <c r="AB94" s="14">
        <f>IFERROR(IF(AND(I94="LeaseUp",3=0),(IF(I94="Vacate",TINew*D94,IF(I94="Market",Retention*TIRenewal*D94+(1-Retention)*TINew*D94,IF(I94="LeaseUp",TINew*D94,IF(I94="Option",TIRenewal*D94,0)))))+(IF(I94="Vacate",LCNew*H94*D94*(1+GrowthMarketRent)^3,IF(I94="Market",Retention*LCRenewal*H94*D94*(1+GrowthMarketRent)^3+(1-Retention)*LCNew*H94*D94*(1+GrowthMarketRent)^3,IF(I94="LeaseUp",LCNew*H94*D94*(1+GrowthMarketRent)^3,IF(I94="Option",LCRenewal*H94*D94*(1+GrowthMarketRent)^3,0))))),IF(F94="",0,IF(AND(F94&gt;=DATE(2026+3,5,1),F94&lt;=DATE(2027+3,4,30)),(IF(I94="Vacate",TINew*D94,IF(I94="Market",Retention*TIRenewal*D94+(1-Retention)*TINew*D94,IF(I94="LeaseUp",TINew*D94,IF(I94="Option",TIRenewal*D94,0)))))+(IF(I94="Vacate",LCNew*H94*D94*(1+GrowthMarketRent)^3,IF(I94="Market",Retention*LCRenewal*H94*D94*(1+GrowthMarketRent)^3+(1-Retention)*LCNew*H94*D94*(1+GrowthMarketRent)^3,IF(I94="LeaseUp",LCNew*H94*D94*(1+GrowthMarketRent)^3,IF(I94="Option",LCRenewal*H94*D94*(1+GrowthMarketRent)^3,0))))),0))),0)</f>
        <v/>
      </c>
      <c r="AC94" s="14">
        <f>IFERROR(IF(AND(I94="LeaseUp",4=0),(IF(I94="Vacate",TINew*D94,IF(I94="Market",Retention*TIRenewal*D94+(1-Retention)*TINew*D94,IF(I94="LeaseUp",TINew*D94,IF(I94="Option",TIRenewal*D94,0)))))+(IF(I94="Vacate",LCNew*H94*D94*(1+GrowthMarketRent)^4,IF(I94="Market",Retention*LCRenewal*H94*D94*(1+GrowthMarketRent)^4+(1-Retention)*LCNew*H94*D94*(1+GrowthMarketRent)^4,IF(I94="LeaseUp",LCNew*H94*D94*(1+GrowthMarketRent)^4,IF(I94="Option",LCRenewal*H94*D94*(1+GrowthMarketRent)^4,0))))),IF(F94="",0,IF(AND(F94&gt;=DATE(2026+4,5,1),F94&lt;=DATE(2027+4,4,30)),(IF(I94="Vacate",TINew*D94,IF(I94="Market",Retention*TIRenewal*D94+(1-Retention)*TINew*D94,IF(I94="LeaseUp",TINew*D94,IF(I94="Option",TIRenewal*D94,0)))))+(IF(I94="Vacate",LCNew*H94*D94*(1+GrowthMarketRent)^4,IF(I94="Market",Retention*LCRenewal*H94*D94*(1+GrowthMarketRent)^4+(1-Retention)*LCNew*H94*D94*(1+GrowthMarketRent)^4,IF(I94="LeaseUp",LCNew*H94*D94*(1+GrowthMarketRent)^4,IF(I94="Option",LCRenewal*H94*D94*(1+GrowthMarketRent)^4,0))))),0))),0)</f>
        <v/>
      </c>
      <c r="AD94" s="14">
        <f>IFERROR(IF(AND(I94="LeaseUp",5=0),(IF(I94="Vacate",TINew*D94,IF(I94="Market",Retention*TIRenewal*D94+(1-Retention)*TINew*D94,IF(I94="LeaseUp",TINew*D94,IF(I94="Option",TIRenewal*D94,0)))))+(IF(I94="Vacate",LCNew*H94*D94*(1+GrowthMarketRent)^5,IF(I94="Market",Retention*LCRenewal*H94*D94*(1+GrowthMarketRent)^5+(1-Retention)*LCNew*H94*D94*(1+GrowthMarketRent)^5,IF(I94="LeaseUp",LCNew*H94*D94*(1+GrowthMarketRent)^5,IF(I94="Option",LCRenewal*H94*D94*(1+GrowthMarketRent)^5,0))))),IF(F94="",0,IF(AND(F94&gt;=DATE(2026+5,5,1),F94&lt;=DATE(2027+5,4,30)),(IF(I94="Vacate",TINew*D94,IF(I94="Market",Retention*TIRenewal*D94+(1-Retention)*TINew*D94,IF(I94="LeaseUp",TINew*D94,IF(I94="Option",TIRenewal*D94,0)))))+(IF(I94="Vacate",LCNew*H94*D94*(1+GrowthMarketRent)^5,IF(I94="Market",Retention*LCRenewal*H94*D94*(1+GrowthMarketRent)^5+(1-Retention)*LCNew*H94*D94*(1+GrowthMarketRent)^5,IF(I94="LeaseUp",LCNew*H94*D94*(1+GrowthMarketRent)^5,IF(I94="Option",LCRenewal*H94*D94*(1+GrowthMarketRent)^5,0))))),0))),0)</f>
        <v/>
      </c>
      <c r="AE94" s="14">
        <f>IFERROR(IF(AND(I94="LeaseUp",6=0),(IF(I94="Vacate",TINew*D94,IF(I94="Market",Retention*TIRenewal*D94+(1-Retention)*TINew*D94,IF(I94="LeaseUp",TINew*D94,IF(I94="Option",TIRenewal*D94,0)))))+(IF(I94="Vacate",LCNew*H94*D94*(1+GrowthMarketRent)^6,IF(I94="Market",Retention*LCRenewal*H94*D94*(1+GrowthMarketRent)^6+(1-Retention)*LCNew*H94*D94*(1+GrowthMarketRent)^6,IF(I94="LeaseUp",LCNew*H94*D94*(1+GrowthMarketRent)^6,IF(I94="Option",LCRenewal*H94*D94*(1+GrowthMarketRent)^6,0))))),IF(F94="",0,IF(AND(F94&gt;=DATE(2026+6,5,1),F94&lt;=DATE(2027+6,4,30)),(IF(I94="Vacate",TINew*D94,IF(I94="Market",Retention*TIRenewal*D94+(1-Retention)*TINew*D94,IF(I94="LeaseUp",TINew*D94,IF(I94="Option",TIRenewal*D94,0)))))+(IF(I94="Vacate",LCNew*H94*D94*(1+GrowthMarketRent)^6,IF(I94="Market",Retention*LCRenewal*H94*D94*(1+GrowthMarketRent)^6+(1-Retention)*LCNew*H94*D94*(1+GrowthMarketRent)^6,IF(I94="LeaseUp",LCNew*H94*D94*(1+GrowthMarketRent)^6,IF(I94="Option",LCRenewal*H94*D94*(1+GrowthMarketRent)^6,0))))),0))),0)</f>
        <v/>
      </c>
      <c r="AF94" s="14">
        <f>IFERROR(IF(AND(I94="LeaseUp",7=0),(IF(I94="Vacate",TINew*D94,IF(I94="Market",Retention*TIRenewal*D94+(1-Retention)*TINew*D94,IF(I94="LeaseUp",TINew*D94,IF(I94="Option",TIRenewal*D94,0)))))+(IF(I94="Vacate",LCNew*H94*D94*(1+GrowthMarketRent)^7,IF(I94="Market",Retention*LCRenewal*H94*D94*(1+GrowthMarketRent)^7+(1-Retention)*LCNew*H94*D94*(1+GrowthMarketRent)^7,IF(I94="LeaseUp",LCNew*H94*D94*(1+GrowthMarketRent)^7,IF(I94="Option",LCRenewal*H94*D94*(1+GrowthMarketRent)^7,0))))),IF(F94="",0,IF(AND(F94&gt;=DATE(2026+7,5,1),F94&lt;=DATE(2027+7,4,30)),(IF(I94="Vacate",TINew*D94,IF(I94="Market",Retention*TIRenewal*D94+(1-Retention)*TINew*D94,IF(I94="LeaseUp",TINew*D94,IF(I94="Option",TIRenewal*D94,0)))))+(IF(I94="Vacate",LCNew*H94*D94*(1+GrowthMarketRent)^7,IF(I94="Market",Retention*LCRenewal*H94*D94*(1+GrowthMarketRent)^7+(1-Retention)*LCNew*H94*D94*(1+GrowthMarketRent)^7,IF(I94="LeaseUp",LCNew*H94*D94*(1+GrowthMarketRent)^7,IF(I94="Option",LCRenewal*H94*D94*(1+GrowthMarketRent)^7,0))))),0))),0)</f>
        <v/>
      </c>
      <c r="AG94" s="14">
        <f>IFERROR(IF(AND(I94="LeaseUp",8=0),(IF(I94="Vacate",TINew*D94,IF(I94="Market",Retention*TIRenewal*D94+(1-Retention)*TINew*D94,IF(I94="LeaseUp",TINew*D94,IF(I94="Option",TIRenewal*D94,0)))))+(IF(I94="Vacate",LCNew*H94*D94*(1+GrowthMarketRent)^8,IF(I94="Market",Retention*LCRenewal*H94*D94*(1+GrowthMarketRent)^8+(1-Retention)*LCNew*H94*D94*(1+GrowthMarketRent)^8,IF(I94="LeaseUp",LCNew*H94*D94*(1+GrowthMarketRent)^8,IF(I94="Option",LCRenewal*H94*D94*(1+GrowthMarketRent)^8,0))))),IF(F94="",0,IF(AND(F94&gt;=DATE(2026+8,5,1),F94&lt;=DATE(2027+8,4,30)),(IF(I94="Vacate",TINew*D94,IF(I94="Market",Retention*TIRenewal*D94+(1-Retention)*TINew*D94,IF(I94="LeaseUp",TINew*D94,IF(I94="Option",TIRenewal*D94,0)))))+(IF(I94="Vacate",LCNew*H94*D94*(1+GrowthMarketRent)^8,IF(I94="Market",Retention*LCRenewal*H94*D94*(1+GrowthMarketRent)^8+(1-Retention)*LCNew*H94*D94*(1+GrowthMarketRent)^8,IF(I94="LeaseUp",LCNew*H94*D94*(1+GrowthMarketRent)^8,IF(I94="Option",LCRenewal*H94*D94*(1+GrowthMarketRent)^8,0))))),0))),0)</f>
        <v/>
      </c>
      <c r="AH94" s="14">
        <f>IFERROR(IF(AND(I94="LeaseUp",9=0),(IF(I94="Vacate",TINew*D94,IF(I94="Market",Retention*TIRenewal*D94+(1-Retention)*TINew*D94,IF(I94="LeaseUp",TINew*D94,IF(I94="Option",TIRenewal*D94,0)))))+(IF(I94="Vacate",LCNew*H94*D94*(1+GrowthMarketRent)^9,IF(I94="Market",Retention*LCRenewal*H94*D94*(1+GrowthMarketRent)^9+(1-Retention)*LCNew*H94*D94*(1+GrowthMarketRent)^9,IF(I94="LeaseUp",LCNew*H94*D94*(1+GrowthMarketRent)^9,IF(I94="Option",LCRenewal*H94*D94*(1+GrowthMarketRent)^9,0))))),IF(F94="",0,IF(AND(F94&gt;=DATE(2026+9,5,1),F94&lt;=DATE(2027+9,4,30)),(IF(I94="Vacate",TINew*D94,IF(I94="Market",Retention*TIRenewal*D94+(1-Retention)*TINew*D94,IF(I94="LeaseUp",TINew*D94,IF(I94="Option",TIRenewal*D94,0)))))+(IF(I94="Vacate",LCNew*H94*D94*(1+GrowthMarketRent)^9,IF(I94="Market",Retention*LCRenewal*H94*D94*(1+GrowthMarketRent)^9+(1-Retention)*LCNew*H94*D94*(1+GrowthMarketRent)^9,IF(I94="LeaseUp",LCNew*H94*D94*(1+GrowthMarketRent)^9,IF(I94="Option",LCRenewal*H94*D94*(1+GrowthMarketRent)^9,0))))),0))),0)</f>
        <v/>
      </c>
      <c r="AI94" s="14">
        <f>IFERROR(IF(AND(I94="LeaseUp",10=0),(IF(I94="Vacate",TINew*D94,IF(I94="Market",Retention*TIRenewal*D94+(1-Retention)*TINew*D94,IF(I94="LeaseUp",TINew*D94,IF(I94="Option",TIRenewal*D94,0)))))+(IF(I94="Vacate",LCNew*H94*D94*(1+GrowthMarketRent)^10,IF(I94="Market",Retention*LCRenewal*H94*D94*(1+GrowthMarketRent)^10+(1-Retention)*LCNew*H94*D94*(1+GrowthMarketRent)^10,IF(I94="LeaseUp",LCNew*H94*D94*(1+GrowthMarketRent)^10,IF(I94="Option",LCRenewal*H94*D94*(1+GrowthMarketRent)^10,0))))),IF(F94="",0,IF(AND(F94&gt;=DATE(2026+10,5,1),F94&lt;=DATE(2027+10,4,30)),(IF(I94="Vacate",TINew*D94,IF(I94="Market",Retention*TIRenewal*D94+(1-Retention)*TINew*D94,IF(I94="LeaseUp",TINew*D94,IF(I94="Option",TIRenewal*D94,0)))))+(IF(I94="Vacate",LCNew*H94*D94*(1+GrowthMarketRent)^10,IF(I94="Market",Retention*LCRenewal*H94*D94*(1+GrowthMarketRent)^10+(1-Retention)*LCNew*H94*D94*(1+GrowthMarketRent)^10,IF(I94="LeaseUp",LCNew*H94*D94*(1+GrowthMarketRent)^10,IF(I94="Option",LCRenewal*H94*D94*(1+GrowthMarketRent)^10,0))))),0))),0)</f>
        <v/>
      </c>
    </row>
    <row r="95">
      <c r="A95" t="inlineStr">
        <is>
          <t>Lewisville</t>
        </is>
      </c>
      <c r="B95" t="inlineStr">
        <is>
          <t>105</t>
        </is>
      </c>
      <c r="C95" t="inlineStr">
        <is>
          <t>Alff Construction LLC</t>
        </is>
      </c>
      <c r="D95" s="32" t="n">
        <v>2600</v>
      </c>
      <c r="E95" s="33" t="n">
        <v>45078</v>
      </c>
      <c r="F95" s="33" t="n">
        <v>46327</v>
      </c>
      <c r="G95" s="34" t="n">
        <v>14.9715384615385</v>
      </c>
      <c r="H95" s="16">
        <f>VLOOKUP(A95,MLA!$A$5:$L$11,3,FALSE)</f>
        <v/>
      </c>
      <c r="I95" s="11" t="inlineStr">
        <is>
          <t>Option</t>
        </is>
      </c>
      <c r="J95" t="inlineStr">
        <is>
          <t>Shop</t>
        </is>
      </c>
      <c r="K95" t="inlineStr">
        <is>
          <t>Occupied</t>
        </is>
      </c>
      <c r="L95" t="inlineStr">
        <is>
          <t>Shop; Guarantor: Austin Alff; Two 3yr options</t>
        </is>
      </c>
      <c r="M95" s="20">
        <f>IF(E95="",0,(AnalysisStart-E95)/365.25)</f>
        <v/>
      </c>
      <c r="N95" s="14">
        <f>IFERROR(IF(I95="LeaseUp",H95*D95*(1+GrowthMarketRent)^0*IF(0=0,(12-DowntimeNew)/12,1),IF(F95="",0,IF(F95&gt;=DATE(2027+0,4,30),G95*D95*(1+EscalatorInLease)^(0+M95),IF(F95&lt;DATE(2026+0,5,1),IF(I95="Vacate",H95*D95*(1+GrowthMarketRent)^0*IF(INT((DATE(2026+0,10,31)-F95)/365.25)=0,(12-DowntimeNew)/12,1),IF(I95="Option",G95*D95*1.025*(1+EscalatorInLease)^0,IF(I95="Market",Retention*G95*D95*(1+EscalatorInLease)^(0+M95)+(1-Retention)*H95*D95*(1+GrowthMarketRent)^0*IF(INT((DATE(2026+0,10,31)-F95)/365.25)=0,(12-DowntimeNew)/12,1),IF(I95="LeaseUp",H95*D95*(1+GrowthMarketRent)^0*IF(0=0,(12-DowntimeNew)/12,1),0)))),((F95-DATE(2026+0,5,1))/365.25)*G95*D95*(1+EscalatorInLease)^(0+M95)+((DATE(2027+0,4,30)-F95)/365.25)*IF(I95="Vacate",H95*D95*(1+GrowthMarketRent)^0*IF(INT((DATE(2026+0,10,31)-F95)/365.25)=0,(12-DowntimeNew)/12,1),IF(I95="Option",G95*D95*1.025*(1+EscalatorInLease)^0,IF(I95="Market",Retention*G95*D95*(1+EscalatorInLease)^(0+M95)+(1-Retention)*H95*D95*(1+GrowthMarketRent)^0*IF(INT((DATE(2026+0,10,31)-F95)/365.25)=0,(12-DowntimeNew)/12,1),IF(I95="LeaseUp",H95*D95*(1+GrowthMarketRent)^0*IF(0=0,(12-DowntimeNew)/12,1),0)))))))),0)</f>
        <v/>
      </c>
      <c r="O95" s="14">
        <f>IFERROR(IF(I95="LeaseUp",H95*D95*(1+GrowthMarketRent)^1*IF(1=0,(12-DowntimeNew)/12,1),IF(F95="",0,IF(F95&gt;=DATE(2027+1,4,30),G95*D95*(1+EscalatorInLease)^(1+M95),IF(F95&lt;DATE(2026+1,5,1),IF(I95="Vacate",H95*D95*(1+GrowthMarketRent)^1*IF(INT((DATE(2026+1,10,31)-F95)/365.25)=0,(12-DowntimeNew)/12,1),IF(I95="Option",G95*D95*1.025*(1+EscalatorInLease)^1,IF(I95="Market",Retention*G95*D95*(1+EscalatorInLease)^(1+M95)+(1-Retention)*H95*D95*(1+GrowthMarketRent)^1*IF(INT((DATE(2026+1,10,31)-F95)/365.25)=0,(12-DowntimeNew)/12,1),IF(I95="LeaseUp",H95*D95*(1+GrowthMarketRent)^1*IF(1=0,(12-DowntimeNew)/12,1),0)))),((F95-DATE(2026+1,5,1))/365.25)*G95*D95*(1+EscalatorInLease)^(1+M95)+((DATE(2027+1,4,30)-F95)/365.25)*IF(I95="Vacate",H95*D95*(1+GrowthMarketRent)^1*IF(INT((DATE(2026+1,10,31)-F95)/365.25)=0,(12-DowntimeNew)/12,1),IF(I95="Option",G95*D95*1.025*(1+EscalatorInLease)^1,IF(I95="Market",Retention*G95*D95*(1+EscalatorInLease)^(1+M95)+(1-Retention)*H95*D95*(1+GrowthMarketRent)^1*IF(INT((DATE(2026+1,10,31)-F95)/365.25)=0,(12-DowntimeNew)/12,1),IF(I95="LeaseUp",H95*D95*(1+GrowthMarketRent)^1*IF(1=0,(12-DowntimeNew)/12,1),0)))))))),0)</f>
        <v/>
      </c>
      <c r="P95" s="14">
        <f>IFERROR(IF(I95="LeaseUp",H95*D95*(1+GrowthMarketRent)^2*IF(2=0,(12-DowntimeNew)/12,1),IF(F95="",0,IF(F95&gt;=DATE(2027+2,4,30),G95*D95*(1+EscalatorInLease)^(2+M95),IF(F95&lt;DATE(2026+2,5,1),IF(I95="Vacate",H95*D95*(1+GrowthMarketRent)^2*IF(INT((DATE(2026+2,10,31)-F95)/365.25)=0,(12-DowntimeNew)/12,1),IF(I95="Option",G95*D95*1.025*(1+EscalatorInLease)^2,IF(I95="Market",Retention*G95*D95*(1+EscalatorInLease)^(2+M95)+(1-Retention)*H95*D95*(1+GrowthMarketRent)^2*IF(INT((DATE(2026+2,10,31)-F95)/365.25)=0,(12-DowntimeNew)/12,1),IF(I95="LeaseUp",H95*D95*(1+GrowthMarketRent)^2*IF(2=0,(12-DowntimeNew)/12,1),0)))),((F95-DATE(2026+2,5,1))/365.25)*G95*D95*(1+EscalatorInLease)^(2+M95)+((DATE(2027+2,4,30)-F95)/365.25)*IF(I95="Vacate",H95*D95*(1+GrowthMarketRent)^2*IF(INT((DATE(2026+2,10,31)-F95)/365.25)=0,(12-DowntimeNew)/12,1),IF(I95="Option",G95*D95*1.025*(1+EscalatorInLease)^2,IF(I95="Market",Retention*G95*D95*(1+EscalatorInLease)^(2+M95)+(1-Retention)*H95*D95*(1+GrowthMarketRent)^2*IF(INT((DATE(2026+2,10,31)-F95)/365.25)=0,(12-DowntimeNew)/12,1),IF(I95="LeaseUp",H95*D95*(1+GrowthMarketRent)^2*IF(2=0,(12-DowntimeNew)/12,1),0)))))))),0)</f>
        <v/>
      </c>
      <c r="Q95" s="14">
        <f>IFERROR(IF(I95="LeaseUp",H95*D95*(1+GrowthMarketRent)^3*IF(3=0,(12-DowntimeNew)/12,1),IF(F95="",0,IF(F95&gt;=DATE(2027+3,4,30),G95*D95*(1+EscalatorInLease)^(3+M95),IF(F95&lt;DATE(2026+3,5,1),IF(I95="Vacate",H95*D95*(1+GrowthMarketRent)^3*IF(INT((DATE(2026+3,10,31)-F95)/365.25)=0,(12-DowntimeNew)/12,1),IF(I95="Option",G95*D95*1.025*(1+EscalatorInLease)^3,IF(I95="Market",Retention*G95*D95*(1+EscalatorInLease)^(3+M95)+(1-Retention)*H95*D95*(1+GrowthMarketRent)^3*IF(INT((DATE(2026+3,10,31)-F95)/365.25)=0,(12-DowntimeNew)/12,1),IF(I95="LeaseUp",H95*D95*(1+GrowthMarketRent)^3*IF(3=0,(12-DowntimeNew)/12,1),0)))),((F95-DATE(2026+3,5,1))/365.25)*G95*D95*(1+EscalatorInLease)^(3+M95)+((DATE(2027+3,4,30)-F95)/365.25)*IF(I95="Vacate",H95*D95*(1+GrowthMarketRent)^3*IF(INT((DATE(2026+3,10,31)-F95)/365.25)=0,(12-DowntimeNew)/12,1),IF(I95="Option",G95*D95*1.025*(1+EscalatorInLease)^3,IF(I95="Market",Retention*G95*D95*(1+EscalatorInLease)^(3+M95)+(1-Retention)*H95*D95*(1+GrowthMarketRent)^3*IF(INT((DATE(2026+3,10,31)-F95)/365.25)=0,(12-DowntimeNew)/12,1),IF(I95="LeaseUp",H95*D95*(1+GrowthMarketRent)^3*IF(3=0,(12-DowntimeNew)/12,1),0)))))))),0)</f>
        <v/>
      </c>
      <c r="R95" s="14">
        <f>IFERROR(IF(I95="LeaseUp",H95*D95*(1+GrowthMarketRent)^4*IF(4=0,(12-DowntimeNew)/12,1),IF(F95="",0,IF(F95&gt;=DATE(2027+4,4,30),G95*D95*(1+EscalatorInLease)^(4+M95),IF(F95&lt;DATE(2026+4,5,1),IF(I95="Vacate",H95*D95*(1+GrowthMarketRent)^4*IF(INT((DATE(2026+4,10,31)-F95)/365.25)=0,(12-DowntimeNew)/12,1),IF(I95="Option",G95*D95*1.025*(1+EscalatorInLease)^4,IF(I95="Market",Retention*G95*D95*(1+EscalatorInLease)^(4+M95)+(1-Retention)*H95*D95*(1+GrowthMarketRent)^4*IF(INT((DATE(2026+4,10,31)-F95)/365.25)=0,(12-DowntimeNew)/12,1),IF(I95="LeaseUp",H95*D95*(1+GrowthMarketRent)^4*IF(4=0,(12-DowntimeNew)/12,1),0)))),((F95-DATE(2026+4,5,1))/365.25)*G95*D95*(1+EscalatorInLease)^(4+M95)+((DATE(2027+4,4,30)-F95)/365.25)*IF(I95="Vacate",H95*D95*(1+GrowthMarketRent)^4*IF(INT((DATE(2026+4,10,31)-F95)/365.25)=0,(12-DowntimeNew)/12,1),IF(I95="Option",G95*D95*1.025*(1+EscalatorInLease)^4,IF(I95="Market",Retention*G95*D95*(1+EscalatorInLease)^(4+M95)+(1-Retention)*H95*D95*(1+GrowthMarketRent)^4*IF(INT((DATE(2026+4,10,31)-F95)/365.25)=0,(12-DowntimeNew)/12,1),IF(I95="LeaseUp",H95*D95*(1+GrowthMarketRent)^4*IF(4=0,(12-DowntimeNew)/12,1),0)))))))),0)</f>
        <v/>
      </c>
      <c r="S95" s="14">
        <f>IFERROR(IF(I95="LeaseUp",H95*D95*(1+GrowthMarketRent)^5*IF(5=0,(12-DowntimeNew)/12,1),IF(F95="",0,IF(F95&gt;=DATE(2027+5,4,30),G95*D95*(1+EscalatorInLease)^(5+M95),IF(F95&lt;DATE(2026+5,5,1),IF(I95="Vacate",H95*D95*(1+GrowthMarketRent)^5*IF(INT((DATE(2026+5,10,31)-F95)/365.25)=0,(12-DowntimeNew)/12,1),IF(I95="Option",G95*D95*1.025*(1+EscalatorInLease)^5,IF(I95="Market",Retention*G95*D95*(1+EscalatorInLease)^(5+M95)+(1-Retention)*H95*D95*(1+GrowthMarketRent)^5*IF(INT((DATE(2026+5,10,31)-F95)/365.25)=0,(12-DowntimeNew)/12,1),IF(I95="LeaseUp",H95*D95*(1+GrowthMarketRent)^5*IF(5=0,(12-DowntimeNew)/12,1),0)))),((F95-DATE(2026+5,5,1))/365.25)*G95*D95*(1+EscalatorInLease)^(5+M95)+((DATE(2027+5,4,30)-F95)/365.25)*IF(I95="Vacate",H95*D95*(1+GrowthMarketRent)^5*IF(INT((DATE(2026+5,10,31)-F95)/365.25)=0,(12-DowntimeNew)/12,1),IF(I95="Option",G95*D95*1.025*(1+EscalatorInLease)^5,IF(I95="Market",Retention*G95*D95*(1+EscalatorInLease)^(5+M95)+(1-Retention)*H95*D95*(1+GrowthMarketRent)^5*IF(INT((DATE(2026+5,10,31)-F95)/365.25)=0,(12-DowntimeNew)/12,1),IF(I95="LeaseUp",H95*D95*(1+GrowthMarketRent)^5*IF(5=0,(12-DowntimeNew)/12,1),0)))))))),0)</f>
        <v/>
      </c>
      <c r="T95" s="14">
        <f>IFERROR(IF(I95="LeaseUp",H95*D95*(1+GrowthMarketRent)^6*IF(6=0,(12-DowntimeNew)/12,1),IF(F95="",0,IF(F95&gt;=DATE(2027+6,4,30),G95*D95*(1+EscalatorInLease)^(6+M95),IF(F95&lt;DATE(2026+6,5,1),IF(I95="Vacate",H95*D95*(1+GrowthMarketRent)^6*IF(INT((DATE(2026+6,10,31)-F95)/365.25)=0,(12-DowntimeNew)/12,1),IF(I95="Option",G95*D95*1.025*(1+EscalatorInLease)^6,IF(I95="Market",Retention*G95*D95*(1+EscalatorInLease)^(6+M95)+(1-Retention)*H95*D95*(1+GrowthMarketRent)^6*IF(INT((DATE(2026+6,10,31)-F95)/365.25)=0,(12-DowntimeNew)/12,1),IF(I95="LeaseUp",H95*D95*(1+GrowthMarketRent)^6*IF(6=0,(12-DowntimeNew)/12,1),0)))),((F95-DATE(2026+6,5,1))/365.25)*G95*D95*(1+EscalatorInLease)^(6+M95)+((DATE(2027+6,4,30)-F95)/365.25)*IF(I95="Vacate",H95*D95*(1+GrowthMarketRent)^6*IF(INT((DATE(2026+6,10,31)-F95)/365.25)=0,(12-DowntimeNew)/12,1),IF(I95="Option",G95*D95*1.025*(1+EscalatorInLease)^6,IF(I95="Market",Retention*G95*D95*(1+EscalatorInLease)^(6+M95)+(1-Retention)*H95*D95*(1+GrowthMarketRent)^6*IF(INT((DATE(2026+6,10,31)-F95)/365.25)=0,(12-DowntimeNew)/12,1),IF(I95="LeaseUp",H95*D95*(1+GrowthMarketRent)^6*IF(6=0,(12-DowntimeNew)/12,1),0)))))))),0)</f>
        <v/>
      </c>
      <c r="U95" s="14">
        <f>IFERROR(IF(I95="LeaseUp",H95*D95*(1+GrowthMarketRent)^7*IF(7=0,(12-DowntimeNew)/12,1),IF(F95="",0,IF(F95&gt;=DATE(2027+7,4,30),G95*D95*(1+EscalatorInLease)^(7+M95),IF(F95&lt;DATE(2026+7,5,1),IF(I95="Vacate",H95*D95*(1+GrowthMarketRent)^7*IF(INT((DATE(2026+7,10,31)-F95)/365.25)=0,(12-DowntimeNew)/12,1),IF(I95="Option",G95*D95*1.025*(1+EscalatorInLease)^7,IF(I95="Market",Retention*G95*D95*(1+EscalatorInLease)^(7+M95)+(1-Retention)*H95*D95*(1+GrowthMarketRent)^7*IF(INT((DATE(2026+7,10,31)-F95)/365.25)=0,(12-DowntimeNew)/12,1),IF(I95="LeaseUp",H95*D95*(1+GrowthMarketRent)^7*IF(7=0,(12-DowntimeNew)/12,1),0)))),((F95-DATE(2026+7,5,1))/365.25)*G95*D95*(1+EscalatorInLease)^(7+M95)+((DATE(2027+7,4,30)-F95)/365.25)*IF(I95="Vacate",H95*D95*(1+GrowthMarketRent)^7*IF(INT((DATE(2026+7,10,31)-F95)/365.25)=0,(12-DowntimeNew)/12,1),IF(I95="Option",G95*D95*1.025*(1+EscalatorInLease)^7,IF(I95="Market",Retention*G95*D95*(1+EscalatorInLease)^(7+M95)+(1-Retention)*H95*D95*(1+GrowthMarketRent)^7*IF(INT((DATE(2026+7,10,31)-F95)/365.25)=0,(12-DowntimeNew)/12,1),IF(I95="LeaseUp",H95*D95*(1+GrowthMarketRent)^7*IF(7=0,(12-DowntimeNew)/12,1),0)))))))),0)</f>
        <v/>
      </c>
      <c r="V95" s="14">
        <f>IFERROR(IF(I95="LeaseUp",H95*D95*(1+GrowthMarketRent)^8*IF(8=0,(12-DowntimeNew)/12,1),IF(F95="",0,IF(F95&gt;=DATE(2027+8,4,30),G95*D95*(1+EscalatorInLease)^(8+M95),IF(F95&lt;DATE(2026+8,5,1),IF(I95="Vacate",H95*D95*(1+GrowthMarketRent)^8*IF(INT((DATE(2026+8,10,31)-F95)/365.25)=0,(12-DowntimeNew)/12,1),IF(I95="Option",G95*D95*1.025*(1+EscalatorInLease)^8,IF(I95="Market",Retention*G95*D95*(1+EscalatorInLease)^(8+M95)+(1-Retention)*H95*D95*(1+GrowthMarketRent)^8*IF(INT((DATE(2026+8,10,31)-F95)/365.25)=0,(12-DowntimeNew)/12,1),IF(I95="LeaseUp",H95*D95*(1+GrowthMarketRent)^8*IF(8=0,(12-DowntimeNew)/12,1),0)))),((F95-DATE(2026+8,5,1))/365.25)*G95*D95*(1+EscalatorInLease)^(8+M95)+((DATE(2027+8,4,30)-F95)/365.25)*IF(I95="Vacate",H95*D95*(1+GrowthMarketRent)^8*IF(INT((DATE(2026+8,10,31)-F95)/365.25)=0,(12-DowntimeNew)/12,1),IF(I95="Option",G95*D95*1.025*(1+EscalatorInLease)^8,IF(I95="Market",Retention*G95*D95*(1+EscalatorInLease)^(8+M95)+(1-Retention)*H95*D95*(1+GrowthMarketRent)^8*IF(INT((DATE(2026+8,10,31)-F95)/365.25)=0,(12-DowntimeNew)/12,1),IF(I95="LeaseUp",H95*D95*(1+GrowthMarketRent)^8*IF(8=0,(12-DowntimeNew)/12,1),0)))))))),0)</f>
        <v/>
      </c>
      <c r="W95" s="14">
        <f>IFERROR(IF(I95="LeaseUp",H95*D95*(1+GrowthMarketRent)^9*IF(9=0,(12-DowntimeNew)/12,1),IF(F95="",0,IF(F95&gt;=DATE(2027+9,4,30),G95*D95*(1+EscalatorInLease)^(9+M95),IF(F95&lt;DATE(2026+9,5,1),IF(I95="Vacate",H95*D95*(1+GrowthMarketRent)^9*IF(INT((DATE(2026+9,10,31)-F95)/365.25)=0,(12-DowntimeNew)/12,1),IF(I95="Option",G95*D95*1.025*(1+EscalatorInLease)^9,IF(I95="Market",Retention*G95*D95*(1+EscalatorInLease)^(9+M95)+(1-Retention)*H95*D95*(1+GrowthMarketRent)^9*IF(INT((DATE(2026+9,10,31)-F95)/365.25)=0,(12-DowntimeNew)/12,1),IF(I95="LeaseUp",H95*D95*(1+GrowthMarketRent)^9*IF(9=0,(12-DowntimeNew)/12,1),0)))),((F95-DATE(2026+9,5,1))/365.25)*G95*D95*(1+EscalatorInLease)^(9+M95)+((DATE(2027+9,4,30)-F95)/365.25)*IF(I95="Vacate",H95*D95*(1+GrowthMarketRent)^9*IF(INT((DATE(2026+9,10,31)-F95)/365.25)=0,(12-DowntimeNew)/12,1),IF(I95="Option",G95*D95*1.025*(1+EscalatorInLease)^9,IF(I95="Market",Retention*G95*D95*(1+EscalatorInLease)^(9+M95)+(1-Retention)*H95*D95*(1+GrowthMarketRent)^9*IF(INT((DATE(2026+9,10,31)-F95)/365.25)=0,(12-DowntimeNew)/12,1),IF(I95="LeaseUp",H95*D95*(1+GrowthMarketRent)^9*IF(9=0,(12-DowntimeNew)/12,1),0)))))))),0)</f>
        <v/>
      </c>
      <c r="X95" s="14">
        <f>IFERROR(IF(I95="LeaseUp",H95*D95*(1+GrowthMarketRent)^10*IF(10=0,(12-DowntimeNew)/12,1),IF(F95="",0,IF(F95&gt;=DATE(2027+10,4,30),G95*D95*(1+EscalatorInLease)^(10+M95),IF(F95&lt;DATE(2026+10,5,1),IF(I95="Vacate",H95*D95*(1+GrowthMarketRent)^10*IF(INT((DATE(2026+10,10,31)-F95)/365.25)=0,(12-DowntimeNew)/12,1),IF(I95="Option",G95*D95*1.025*(1+EscalatorInLease)^10,IF(I95="Market",Retention*G95*D95*(1+EscalatorInLease)^(10+M95)+(1-Retention)*H95*D95*(1+GrowthMarketRent)^10*IF(INT((DATE(2026+10,10,31)-F95)/365.25)=0,(12-DowntimeNew)/12,1),IF(I95="LeaseUp",H95*D95*(1+GrowthMarketRent)^10*IF(10=0,(12-DowntimeNew)/12,1),0)))),((F95-DATE(2026+10,5,1))/365.25)*G95*D95*(1+EscalatorInLease)^(10+M95)+((DATE(2027+10,4,30)-F95)/365.25)*IF(I95="Vacate",H95*D95*(1+GrowthMarketRent)^10*IF(INT((DATE(2026+10,10,31)-F95)/365.25)=0,(12-DowntimeNew)/12,1),IF(I95="Option",G95*D95*1.025*(1+EscalatorInLease)^10,IF(I95="Market",Retention*G95*D95*(1+EscalatorInLease)^(10+M95)+(1-Retention)*H95*D95*(1+GrowthMarketRent)^10*IF(INT((DATE(2026+10,10,31)-F95)/365.25)=0,(12-DowntimeNew)/12,1),IF(I95="LeaseUp",H95*D95*(1+GrowthMarketRent)^10*IF(10=0,(12-DowntimeNew)/12,1),0)))))))),0)</f>
        <v/>
      </c>
      <c r="Y95" s="14">
        <f>IFERROR(IF(AND(I95="LeaseUp",0=0),(IF(I95="Vacate",TINew*D95,IF(I95="Market",Retention*TIRenewal*D95+(1-Retention)*TINew*D95,IF(I95="LeaseUp",TINew*D95,IF(I95="Option",TIRenewal*D95,0)))))+(IF(I95="Vacate",LCNew*H95*D95*(1+GrowthMarketRent)^0,IF(I95="Market",Retention*LCRenewal*H95*D95*(1+GrowthMarketRent)^0+(1-Retention)*LCNew*H95*D95*(1+GrowthMarketRent)^0,IF(I95="LeaseUp",LCNew*H95*D95*(1+GrowthMarketRent)^0,IF(I95="Option",LCRenewal*H95*D95*(1+GrowthMarketRent)^0,0))))),IF(F95="",0,IF(AND(F95&gt;=DATE(2026+0,5,1),F95&lt;=DATE(2027+0,4,30)),(IF(I95="Vacate",TINew*D95,IF(I95="Market",Retention*TIRenewal*D95+(1-Retention)*TINew*D95,IF(I95="LeaseUp",TINew*D95,IF(I95="Option",TIRenewal*D95,0)))))+(IF(I95="Vacate",LCNew*H95*D95*(1+GrowthMarketRent)^0,IF(I95="Market",Retention*LCRenewal*H95*D95*(1+GrowthMarketRent)^0+(1-Retention)*LCNew*H95*D95*(1+GrowthMarketRent)^0,IF(I95="LeaseUp",LCNew*H95*D95*(1+GrowthMarketRent)^0,IF(I95="Option",LCRenewal*H95*D95*(1+GrowthMarketRent)^0,0))))),0))),0)</f>
        <v/>
      </c>
      <c r="Z95" s="14">
        <f>IFERROR(IF(AND(I95="LeaseUp",1=0),(IF(I95="Vacate",TINew*D95,IF(I95="Market",Retention*TIRenewal*D95+(1-Retention)*TINew*D95,IF(I95="LeaseUp",TINew*D95,IF(I95="Option",TIRenewal*D95,0)))))+(IF(I95="Vacate",LCNew*H95*D95*(1+GrowthMarketRent)^1,IF(I95="Market",Retention*LCRenewal*H95*D95*(1+GrowthMarketRent)^1+(1-Retention)*LCNew*H95*D95*(1+GrowthMarketRent)^1,IF(I95="LeaseUp",LCNew*H95*D95*(1+GrowthMarketRent)^1,IF(I95="Option",LCRenewal*H95*D95*(1+GrowthMarketRent)^1,0))))),IF(F95="",0,IF(AND(F95&gt;=DATE(2026+1,5,1),F95&lt;=DATE(2027+1,4,30)),(IF(I95="Vacate",TINew*D95,IF(I95="Market",Retention*TIRenewal*D95+(1-Retention)*TINew*D95,IF(I95="LeaseUp",TINew*D95,IF(I95="Option",TIRenewal*D95,0)))))+(IF(I95="Vacate",LCNew*H95*D95*(1+GrowthMarketRent)^1,IF(I95="Market",Retention*LCRenewal*H95*D95*(1+GrowthMarketRent)^1+(1-Retention)*LCNew*H95*D95*(1+GrowthMarketRent)^1,IF(I95="LeaseUp",LCNew*H95*D95*(1+GrowthMarketRent)^1,IF(I95="Option",LCRenewal*H95*D95*(1+GrowthMarketRent)^1,0))))),0))),0)</f>
        <v/>
      </c>
      <c r="AA95" s="14">
        <f>IFERROR(IF(AND(I95="LeaseUp",2=0),(IF(I95="Vacate",TINew*D95,IF(I95="Market",Retention*TIRenewal*D95+(1-Retention)*TINew*D95,IF(I95="LeaseUp",TINew*D95,IF(I95="Option",TIRenewal*D95,0)))))+(IF(I95="Vacate",LCNew*H95*D95*(1+GrowthMarketRent)^2,IF(I95="Market",Retention*LCRenewal*H95*D95*(1+GrowthMarketRent)^2+(1-Retention)*LCNew*H95*D95*(1+GrowthMarketRent)^2,IF(I95="LeaseUp",LCNew*H95*D95*(1+GrowthMarketRent)^2,IF(I95="Option",LCRenewal*H95*D95*(1+GrowthMarketRent)^2,0))))),IF(F95="",0,IF(AND(F95&gt;=DATE(2026+2,5,1),F95&lt;=DATE(2027+2,4,30)),(IF(I95="Vacate",TINew*D95,IF(I95="Market",Retention*TIRenewal*D95+(1-Retention)*TINew*D95,IF(I95="LeaseUp",TINew*D95,IF(I95="Option",TIRenewal*D95,0)))))+(IF(I95="Vacate",LCNew*H95*D95*(1+GrowthMarketRent)^2,IF(I95="Market",Retention*LCRenewal*H95*D95*(1+GrowthMarketRent)^2+(1-Retention)*LCNew*H95*D95*(1+GrowthMarketRent)^2,IF(I95="LeaseUp",LCNew*H95*D95*(1+GrowthMarketRent)^2,IF(I95="Option",LCRenewal*H95*D95*(1+GrowthMarketRent)^2,0))))),0))),0)</f>
        <v/>
      </c>
      <c r="AB95" s="14">
        <f>IFERROR(IF(AND(I95="LeaseUp",3=0),(IF(I95="Vacate",TINew*D95,IF(I95="Market",Retention*TIRenewal*D95+(1-Retention)*TINew*D95,IF(I95="LeaseUp",TINew*D95,IF(I95="Option",TIRenewal*D95,0)))))+(IF(I95="Vacate",LCNew*H95*D95*(1+GrowthMarketRent)^3,IF(I95="Market",Retention*LCRenewal*H95*D95*(1+GrowthMarketRent)^3+(1-Retention)*LCNew*H95*D95*(1+GrowthMarketRent)^3,IF(I95="LeaseUp",LCNew*H95*D95*(1+GrowthMarketRent)^3,IF(I95="Option",LCRenewal*H95*D95*(1+GrowthMarketRent)^3,0))))),IF(F95="",0,IF(AND(F95&gt;=DATE(2026+3,5,1),F95&lt;=DATE(2027+3,4,30)),(IF(I95="Vacate",TINew*D95,IF(I95="Market",Retention*TIRenewal*D95+(1-Retention)*TINew*D95,IF(I95="LeaseUp",TINew*D95,IF(I95="Option",TIRenewal*D95,0)))))+(IF(I95="Vacate",LCNew*H95*D95*(1+GrowthMarketRent)^3,IF(I95="Market",Retention*LCRenewal*H95*D95*(1+GrowthMarketRent)^3+(1-Retention)*LCNew*H95*D95*(1+GrowthMarketRent)^3,IF(I95="LeaseUp",LCNew*H95*D95*(1+GrowthMarketRent)^3,IF(I95="Option",LCRenewal*H95*D95*(1+GrowthMarketRent)^3,0))))),0))),0)</f>
        <v/>
      </c>
      <c r="AC95" s="14">
        <f>IFERROR(IF(AND(I95="LeaseUp",4=0),(IF(I95="Vacate",TINew*D95,IF(I95="Market",Retention*TIRenewal*D95+(1-Retention)*TINew*D95,IF(I95="LeaseUp",TINew*D95,IF(I95="Option",TIRenewal*D95,0)))))+(IF(I95="Vacate",LCNew*H95*D95*(1+GrowthMarketRent)^4,IF(I95="Market",Retention*LCRenewal*H95*D95*(1+GrowthMarketRent)^4+(1-Retention)*LCNew*H95*D95*(1+GrowthMarketRent)^4,IF(I95="LeaseUp",LCNew*H95*D95*(1+GrowthMarketRent)^4,IF(I95="Option",LCRenewal*H95*D95*(1+GrowthMarketRent)^4,0))))),IF(F95="",0,IF(AND(F95&gt;=DATE(2026+4,5,1),F95&lt;=DATE(2027+4,4,30)),(IF(I95="Vacate",TINew*D95,IF(I95="Market",Retention*TIRenewal*D95+(1-Retention)*TINew*D95,IF(I95="LeaseUp",TINew*D95,IF(I95="Option",TIRenewal*D95,0)))))+(IF(I95="Vacate",LCNew*H95*D95*(1+GrowthMarketRent)^4,IF(I95="Market",Retention*LCRenewal*H95*D95*(1+GrowthMarketRent)^4+(1-Retention)*LCNew*H95*D95*(1+GrowthMarketRent)^4,IF(I95="LeaseUp",LCNew*H95*D95*(1+GrowthMarketRent)^4,IF(I95="Option",LCRenewal*H95*D95*(1+GrowthMarketRent)^4,0))))),0))),0)</f>
        <v/>
      </c>
      <c r="AD95" s="14">
        <f>IFERROR(IF(AND(I95="LeaseUp",5=0),(IF(I95="Vacate",TINew*D95,IF(I95="Market",Retention*TIRenewal*D95+(1-Retention)*TINew*D95,IF(I95="LeaseUp",TINew*D95,IF(I95="Option",TIRenewal*D95,0)))))+(IF(I95="Vacate",LCNew*H95*D95*(1+GrowthMarketRent)^5,IF(I95="Market",Retention*LCRenewal*H95*D95*(1+GrowthMarketRent)^5+(1-Retention)*LCNew*H95*D95*(1+GrowthMarketRent)^5,IF(I95="LeaseUp",LCNew*H95*D95*(1+GrowthMarketRent)^5,IF(I95="Option",LCRenewal*H95*D95*(1+GrowthMarketRent)^5,0))))),IF(F95="",0,IF(AND(F95&gt;=DATE(2026+5,5,1),F95&lt;=DATE(2027+5,4,30)),(IF(I95="Vacate",TINew*D95,IF(I95="Market",Retention*TIRenewal*D95+(1-Retention)*TINew*D95,IF(I95="LeaseUp",TINew*D95,IF(I95="Option",TIRenewal*D95,0)))))+(IF(I95="Vacate",LCNew*H95*D95*(1+GrowthMarketRent)^5,IF(I95="Market",Retention*LCRenewal*H95*D95*(1+GrowthMarketRent)^5+(1-Retention)*LCNew*H95*D95*(1+GrowthMarketRent)^5,IF(I95="LeaseUp",LCNew*H95*D95*(1+GrowthMarketRent)^5,IF(I95="Option",LCRenewal*H95*D95*(1+GrowthMarketRent)^5,0))))),0))),0)</f>
        <v/>
      </c>
      <c r="AE95" s="14">
        <f>IFERROR(IF(AND(I95="LeaseUp",6=0),(IF(I95="Vacate",TINew*D95,IF(I95="Market",Retention*TIRenewal*D95+(1-Retention)*TINew*D95,IF(I95="LeaseUp",TINew*D95,IF(I95="Option",TIRenewal*D95,0)))))+(IF(I95="Vacate",LCNew*H95*D95*(1+GrowthMarketRent)^6,IF(I95="Market",Retention*LCRenewal*H95*D95*(1+GrowthMarketRent)^6+(1-Retention)*LCNew*H95*D95*(1+GrowthMarketRent)^6,IF(I95="LeaseUp",LCNew*H95*D95*(1+GrowthMarketRent)^6,IF(I95="Option",LCRenewal*H95*D95*(1+GrowthMarketRent)^6,0))))),IF(F95="",0,IF(AND(F95&gt;=DATE(2026+6,5,1),F95&lt;=DATE(2027+6,4,30)),(IF(I95="Vacate",TINew*D95,IF(I95="Market",Retention*TIRenewal*D95+(1-Retention)*TINew*D95,IF(I95="LeaseUp",TINew*D95,IF(I95="Option",TIRenewal*D95,0)))))+(IF(I95="Vacate",LCNew*H95*D95*(1+GrowthMarketRent)^6,IF(I95="Market",Retention*LCRenewal*H95*D95*(1+GrowthMarketRent)^6+(1-Retention)*LCNew*H95*D95*(1+GrowthMarketRent)^6,IF(I95="LeaseUp",LCNew*H95*D95*(1+GrowthMarketRent)^6,IF(I95="Option",LCRenewal*H95*D95*(1+GrowthMarketRent)^6,0))))),0))),0)</f>
        <v/>
      </c>
      <c r="AF95" s="14">
        <f>IFERROR(IF(AND(I95="LeaseUp",7=0),(IF(I95="Vacate",TINew*D95,IF(I95="Market",Retention*TIRenewal*D95+(1-Retention)*TINew*D95,IF(I95="LeaseUp",TINew*D95,IF(I95="Option",TIRenewal*D95,0)))))+(IF(I95="Vacate",LCNew*H95*D95*(1+GrowthMarketRent)^7,IF(I95="Market",Retention*LCRenewal*H95*D95*(1+GrowthMarketRent)^7+(1-Retention)*LCNew*H95*D95*(1+GrowthMarketRent)^7,IF(I95="LeaseUp",LCNew*H95*D95*(1+GrowthMarketRent)^7,IF(I95="Option",LCRenewal*H95*D95*(1+GrowthMarketRent)^7,0))))),IF(F95="",0,IF(AND(F95&gt;=DATE(2026+7,5,1),F95&lt;=DATE(2027+7,4,30)),(IF(I95="Vacate",TINew*D95,IF(I95="Market",Retention*TIRenewal*D95+(1-Retention)*TINew*D95,IF(I95="LeaseUp",TINew*D95,IF(I95="Option",TIRenewal*D95,0)))))+(IF(I95="Vacate",LCNew*H95*D95*(1+GrowthMarketRent)^7,IF(I95="Market",Retention*LCRenewal*H95*D95*(1+GrowthMarketRent)^7+(1-Retention)*LCNew*H95*D95*(1+GrowthMarketRent)^7,IF(I95="LeaseUp",LCNew*H95*D95*(1+GrowthMarketRent)^7,IF(I95="Option",LCRenewal*H95*D95*(1+GrowthMarketRent)^7,0))))),0))),0)</f>
        <v/>
      </c>
      <c r="AG95" s="14">
        <f>IFERROR(IF(AND(I95="LeaseUp",8=0),(IF(I95="Vacate",TINew*D95,IF(I95="Market",Retention*TIRenewal*D95+(1-Retention)*TINew*D95,IF(I95="LeaseUp",TINew*D95,IF(I95="Option",TIRenewal*D95,0)))))+(IF(I95="Vacate",LCNew*H95*D95*(1+GrowthMarketRent)^8,IF(I95="Market",Retention*LCRenewal*H95*D95*(1+GrowthMarketRent)^8+(1-Retention)*LCNew*H95*D95*(1+GrowthMarketRent)^8,IF(I95="LeaseUp",LCNew*H95*D95*(1+GrowthMarketRent)^8,IF(I95="Option",LCRenewal*H95*D95*(1+GrowthMarketRent)^8,0))))),IF(F95="",0,IF(AND(F95&gt;=DATE(2026+8,5,1),F95&lt;=DATE(2027+8,4,30)),(IF(I95="Vacate",TINew*D95,IF(I95="Market",Retention*TIRenewal*D95+(1-Retention)*TINew*D95,IF(I95="LeaseUp",TINew*D95,IF(I95="Option",TIRenewal*D95,0)))))+(IF(I95="Vacate",LCNew*H95*D95*(1+GrowthMarketRent)^8,IF(I95="Market",Retention*LCRenewal*H95*D95*(1+GrowthMarketRent)^8+(1-Retention)*LCNew*H95*D95*(1+GrowthMarketRent)^8,IF(I95="LeaseUp",LCNew*H95*D95*(1+GrowthMarketRent)^8,IF(I95="Option",LCRenewal*H95*D95*(1+GrowthMarketRent)^8,0))))),0))),0)</f>
        <v/>
      </c>
      <c r="AH95" s="14">
        <f>IFERROR(IF(AND(I95="LeaseUp",9=0),(IF(I95="Vacate",TINew*D95,IF(I95="Market",Retention*TIRenewal*D95+(1-Retention)*TINew*D95,IF(I95="LeaseUp",TINew*D95,IF(I95="Option",TIRenewal*D95,0)))))+(IF(I95="Vacate",LCNew*H95*D95*(1+GrowthMarketRent)^9,IF(I95="Market",Retention*LCRenewal*H95*D95*(1+GrowthMarketRent)^9+(1-Retention)*LCNew*H95*D95*(1+GrowthMarketRent)^9,IF(I95="LeaseUp",LCNew*H95*D95*(1+GrowthMarketRent)^9,IF(I95="Option",LCRenewal*H95*D95*(1+GrowthMarketRent)^9,0))))),IF(F95="",0,IF(AND(F95&gt;=DATE(2026+9,5,1),F95&lt;=DATE(2027+9,4,30)),(IF(I95="Vacate",TINew*D95,IF(I95="Market",Retention*TIRenewal*D95+(1-Retention)*TINew*D95,IF(I95="LeaseUp",TINew*D95,IF(I95="Option",TIRenewal*D95,0)))))+(IF(I95="Vacate",LCNew*H95*D95*(1+GrowthMarketRent)^9,IF(I95="Market",Retention*LCRenewal*H95*D95*(1+GrowthMarketRent)^9+(1-Retention)*LCNew*H95*D95*(1+GrowthMarketRent)^9,IF(I95="LeaseUp",LCNew*H95*D95*(1+GrowthMarketRent)^9,IF(I95="Option",LCRenewal*H95*D95*(1+GrowthMarketRent)^9,0))))),0))),0)</f>
        <v/>
      </c>
      <c r="AI95" s="14">
        <f>IFERROR(IF(AND(I95="LeaseUp",10=0),(IF(I95="Vacate",TINew*D95,IF(I95="Market",Retention*TIRenewal*D95+(1-Retention)*TINew*D95,IF(I95="LeaseUp",TINew*D95,IF(I95="Option",TIRenewal*D95,0)))))+(IF(I95="Vacate",LCNew*H95*D95*(1+GrowthMarketRent)^10,IF(I95="Market",Retention*LCRenewal*H95*D95*(1+GrowthMarketRent)^10+(1-Retention)*LCNew*H95*D95*(1+GrowthMarketRent)^10,IF(I95="LeaseUp",LCNew*H95*D95*(1+GrowthMarketRent)^10,IF(I95="Option",LCRenewal*H95*D95*(1+GrowthMarketRent)^10,0))))),IF(F95="",0,IF(AND(F95&gt;=DATE(2026+10,5,1),F95&lt;=DATE(2027+10,4,30)),(IF(I95="Vacate",TINew*D95,IF(I95="Market",Retention*TIRenewal*D95+(1-Retention)*TINew*D95,IF(I95="LeaseUp",TINew*D95,IF(I95="Option",TIRenewal*D95,0)))))+(IF(I95="Vacate",LCNew*H95*D95*(1+GrowthMarketRent)^10,IF(I95="Market",Retention*LCRenewal*H95*D95*(1+GrowthMarketRent)^10+(1-Retention)*LCNew*H95*D95*(1+GrowthMarketRent)^10,IF(I95="LeaseUp",LCNew*H95*D95*(1+GrowthMarketRent)^10,IF(I95="Option",LCRenewal*H95*D95*(1+GrowthMarketRent)^10,0))))),0))),0)</f>
        <v/>
      </c>
    </row>
    <row r="96">
      <c r="A96" t="inlineStr">
        <is>
          <t>Lewisville</t>
        </is>
      </c>
      <c r="B96" t="inlineStr">
        <is>
          <t>106</t>
        </is>
      </c>
      <c r="C96" t="inlineStr">
        <is>
          <t>Immersive Tech Inc</t>
        </is>
      </c>
      <c r="D96" s="32" t="n">
        <v>2600</v>
      </c>
      <c r="E96" s="33" t="n">
        <v>45352</v>
      </c>
      <c r="F96" s="33" t="n">
        <v>46600</v>
      </c>
      <c r="G96" s="34" t="n">
        <v>15.7592307692308</v>
      </c>
      <c r="H96" s="16">
        <f>VLOOKUP(A96,MLA!$A$5:$L$11,3,FALSE)</f>
        <v/>
      </c>
      <c r="I96" s="11" t="inlineStr">
        <is>
          <t>Vacate</t>
        </is>
      </c>
      <c r="J96" t="inlineStr">
        <is>
          <t>Shop</t>
        </is>
      </c>
      <c r="K96" t="inlineStr">
        <is>
          <t>Occupied</t>
        </is>
      </c>
      <c r="L96" t="inlineStr">
        <is>
          <t>Shop; assumed vacate 08/27; Guarantor: Erik Maltais</t>
        </is>
      </c>
      <c r="M96" s="20">
        <f>IF(E96="",0,(AnalysisStart-E96)/365.25)</f>
        <v/>
      </c>
      <c r="N96" s="14">
        <f>IFERROR(IF(I96="LeaseUp",H96*D96*(1+GrowthMarketRent)^0*IF(0=0,(12-DowntimeNew)/12,1),IF(F96="",0,IF(F96&gt;=DATE(2027+0,4,30),G96*D96*(1+EscalatorInLease)^(0+M96),IF(F96&lt;DATE(2026+0,5,1),IF(I96="Vacate",H96*D96*(1+GrowthMarketRent)^0*IF(INT((DATE(2026+0,10,31)-F96)/365.25)=0,(12-DowntimeNew)/12,1),IF(I96="Option",G96*D96*1.025*(1+EscalatorInLease)^0,IF(I96="Market",Retention*G96*D96*(1+EscalatorInLease)^(0+M96)+(1-Retention)*H96*D96*(1+GrowthMarketRent)^0*IF(INT((DATE(2026+0,10,31)-F96)/365.25)=0,(12-DowntimeNew)/12,1),IF(I96="LeaseUp",H96*D96*(1+GrowthMarketRent)^0*IF(0=0,(12-DowntimeNew)/12,1),0)))),((F96-DATE(2026+0,5,1))/365.25)*G96*D96*(1+EscalatorInLease)^(0+M96)+((DATE(2027+0,4,30)-F96)/365.25)*IF(I96="Vacate",H96*D96*(1+GrowthMarketRent)^0*IF(INT((DATE(2026+0,10,31)-F96)/365.25)=0,(12-DowntimeNew)/12,1),IF(I96="Option",G96*D96*1.025*(1+EscalatorInLease)^0,IF(I96="Market",Retention*G96*D96*(1+EscalatorInLease)^(0+M96)+(1-Retention)*H96*D96*(1+GrowthMarketRent)^0*IF(INT((DATE(2026+0,10,31)-F96)/365.25)=0,(12-DowntimeNew)/12,1),IF(I96="LeaseUp",H96*D96*(1+GrowthMarketRent)^0*IF(0=0,(12-DowntimeNew)/12,1),0)))))))),0)</f>
        <v/>
      </c>
      <c r="O96" s="14">
        <f>IFERROR(IF(I96="LeaseUp",H96*D96*(1+GrowthMarketRent)^1*IF(1=0,(12-DowntimeNew)/12,1),IF(F96="",0,IF(F96&gt;=DATE(2027+1,4,30),G96*D96*(1+EscalatorInLease)^(1+M96),IF(F96&lt;DATE(2026+1,5,1),IF(I96="Vacate",H96*D96*(1+GrowthMarketRent)^1*IF(INT((DATE(2026+1,10,31)-F96)/365.25)=0,(12-DowntimeNew)/12,1),IF(I96="Option",G96*D96*1.025*(1+EscalatorInLease)^1,IF(I96="Market",Retention*G96*D96*(1+EscalatorInLease)^(1+M96)+(1-Retention)*H96*D96*(1+GrowthMarketRent)^1*IF(INT((DATE(2026+1,10,31)-F96)/365.25)=0,(12-DowntimeNew)/12,1),IF(I96="LeaseUp",H96*D96*(1+GrowthMarketRent)^1*IF(1=0,(12-DowntimeNew)/12,1),0)))),((F96-DATE(2026+1,5,1))/365.25)*G96*D96*(1+EscalatorInLease)^(1+M96)+((DATE(2027+1,4,30)-F96)/365.25)*IF(I96="Vacate",H96*D96*(1+GrowthMarketRent)^1*IF(INT((DATE(2026+1,10,31)-F96)/365.25)=0,(12-DowntimeNew)/12,1),IF(I96="Option",G96*D96*1.025*(1+EscalatorInLease)^1,IF(I96="Market",Retention*G96*D96*(1+EscalatorInLease)^(1+M96)+(1-Retention)*H96*D96*(1+GrowthMarketRent)^1*IF(INT((DATE(2026+1,10,31)-F96)/365.25)=0,(12-DowntimeNew)/12,1),IF(I96="LeaseUp",H96*D96*(1+GrowthMarketRent)^1*IF(1=0,(12-DowntimeNew)/12,1),0)))))))),0)</f>
        <v/>
      </c>
      <c r="P96" s="14">
        <f>IFERROR(IF(I96="LeaseUp",H96*D96*(1+GrowthMarketRent)^2*IF(2=0,(12-DowntimeNew)/12,1),IF(F96="",0,IF(F96&gt;=DATE(2027+2,4,30),G96*D96*(1+EscalatorInLease)^(2+M96),IF(F96&lt;DATE(2026+2,5,1),IF(I96="Vacate",H96*D96*(1+GrowthMarketRent)^2*IF(INT((DATE(2026+2,10,31)-F96)/365.25)=0,(12-DowntimeNew)/12,1),IF(I96="Option",G96*D96*1.025*(1+EscalatorInLease)^2,IF(I96="Market",Retention*G96*D96*(1+EscalatorInLease)^(2+M96)+(1-Retention)*H96*D96*(1+GrowthMarketRent)^2*IF(INT((DATE(2026+2,10,31)-F96)/365.25)=0,(12-DowntimeNew)/12,1),IF(I96="LeaseUp",H96*D96*(1+GrowthMarketRent)^2*IF(2=0,(12-DowntimeNew)/12,1),0)))),((F96-DATE(2026+2,5,1))/365.25)*G96*D96*(1+EscalatorInLease)^(2+M96)+((DATE(2027+2,4,30)-F96)/365.25)*IF(I96="Vacate",H96*D96*(1+GrowthMarketRent)^2*IF(INT((DATE(2026+2,10,31)-F96)/365.25)=0,(12-DowntimeNew)/12,1),IF(I96="Option",G96*D96*1.025*(1+EscalatorInLease)^2,IF(I96="Market",Retention*G96*D96*(1+EscalatorInLease)^(2+M96)+(1-Retention)*H96*D96*(1+GrowthMarketRent)^2*IF(INT((DATE(2026+2,10,31)-F96)/365.25)=0,(12-DowntimeNew)/12,1),IF(I96="LeaseUp",H96*D96*(1+GrowthMarketRent)^2*IF(2=0,(12-DowntimeNew)/12,1),0)))))))),0)</f>
        <v/>
      </c>
      <c r="Q96" s="14">
        <f>IFERROR(IF(I96="LeaseUp",H96*D96*(1+GrowthMarketRent)^3*IF(3=0,(12-DowntimeNew)/12,1),IF(F96="",0,IF(F96&gt;=DATE(2027+3,4,30),G96*D96*(1+EscalatorInLease)^(3+M96),IF(F96&lt;DATE(2026+3,5,1),IF(I96="Vacate",H96*D96*(1+GrowthMarketRent)^3*IF(INT((DATE(2026+3,10,31)-F96)/365.25)=0,(12-DowntimeNew)/12,1),IF(I96="Option",G96*D96*1.025*(1+EscalatorInLease)^3,IF(I96="Market",Retention*G96*D96*(1+EscalatorInLease)^(3+M96)+(1-Retention)*H96*D96*(1+GrowthMarketRent)^3*IF(INT((DATE(2026+3,10,31)-F96)/365.25)=0,(12-DowntimeNew)/12,1),IF(I96="LeaseUp",H96*D96*(1+GrowthMarketRent)^3*IF(3=0,(12-DowntimeNew)/12,1),0)))),((F96-DATE(2026+3,5,1))/365.25)*G96*D96*(1+EscalatorInLease)^(3+M96)+((DATE(2027+3,4,30)-F96)/365.25)*IF(I96="Vacate",H96*D96*(1+GrowthMarketRent)^3*IF(INT((DATE(2026+3,10,31)-F96)/365.25)=0,(12-DowntimeNew)/12,1),IF(I96="Option",G96*D96*1.025*(1+EscalatorInLease)^3,IF(I96="Market",Retention*G96*D96*(1+EscalatorInLease)^(3+M96)+(1-Retention)*H96*D96*(1+GrowthMarketRent)^3*IF(INT((DATE(2026+3,10,31)-F96)/365.25)=0,(12-DowntimeNew)/12,1),IF(I96="LeaseUp",H96*D96*(1+GrowthMarketRent)^3*IF(3=0,(12-DowntimeNew)/12,1),0)))))))),0)</f>
        <v/>
      </c>
      <c r="R96" s="14">
        <f>IFERROR(IF(I96="LeaseUp",H96*D96*(1+GrowthMarketRent)^4*IF(4=0,(12-DowntimeNew)/12,1),IF(F96="",0,IF(F96&gt;=DATE(2027+4,4,30),G96*D96*(1+EscalatorInLease)^(4+M96),IF(F96&lt;DATE(2026+4,5,1),IF(I96="Vacate",H96*D96*(1+GrowthMarketRent)^4*IF(INT((DATE(2026+4,10,31)-F96)/365.25)=0,(12-DowntimeNew)/12,1),IF(I96="Option",G96*D96*1.025*(1+EscalatorInLease)^4,IF(I96="Market",Retention*G96*D96*(1+EscalatorInLease)^(4+M96)+(1-Retention)*H96*D96*(1+GrowthMarketRent)^4*IF(INT((DATE(2026+4,10,31)-F96)/365.25)=0,(12-DowntimeNew)/12,1),IF(I96="LeaseUp",H96*D96*(1+GrowthMarketRent)^4*IF(4=0,(12-DowntimeNew)/12,1),0)))),((F96-DATE(2026+4,5,1))/365.25)*G96*D96*(1+EscalatorInLease)^(4+M96)+((DATE(2027+4,4,30)-F96)/365.25)*IF(I96="Vacate",H96*D96*(1+GrowthMarketRent)^4*IF(INT((DATE(2026+4,10,31)-F96)/365.25)=0,(12-DowntimeNew)/12,1),IF(I96="Option",G96*D96*1.025*(1+EscalatorInLease)^4,IF(I96="Market",Retention*G96*D96*(1+EscalatorInLease)^(4+M96)+(1-Retention)*H96*D96*(1+GrowthMarketRent)^4*IF(INT((DATE(2026+4,10,31)-F96)/365.25)=0,(12-DowntimeNew)/12,1),IF(I96="LeaseUp",H96*D96*(1+GrowthMarketRent)^4*IF(4=0,(12-DowntimeNew)/12,1),0)))))))),0)</f>
        <v/>
      </c>
      <c r="S96" s="14">
        <f>IFERROR(IF(I96="LeaseUp",H96*D96*(1+GrowthMarketRent)^5*IF(5=0,(12-DowntimeNew)/12,1),IF(F96="",0,IF(F96&gt;=DATE(2027+5,4,30),G96*D96*(1+EscalatorInLease)^(5+M96),IF(F96&lt;DATE(2026+5,5,1),IF(I96="Vacate",H96*D96*(1+GrowthMarketRent)^5*IF(INT((DATE(2026+5,10,31)-F96)/365.25)=0,(12-DowntimeNew)/12,1),IF(I96="Option",G96*D96*1.025*(1+EscalatorInLease)^5,IF(I96="Market",Retention*G96*D96*(1+EscalatorInLease)^(5+M96)+(1-Retention)*H96*D96*(1+GrowthMarketRent)^5*IF(INT((DATE(2026+5,10,31)-F96)/365.25)=0,(12-DowntimeNew)/12,1),IF(I96="LeaseUp",H96*D96*(1+GrowthMarketRent)^5*IF(5=0,(12-DowntimeNew)/12,1),0)))),((F96-DATE(2026+5,5,1))/365.25)*G96*D96*(1+EscalatorInLease)^(5+M96)+((DATE(2027+5,4,30)-F96)/365.25)*IF(I96="Vacate",H96*D96*(1+GrowthMarketRent)^5*IF(INT((DATE(2026+5,10,31)-F96)/365.25)=0,(12-DowntimeNew)/12,1),IF(I96="Option",G96*D96*1.025*(1+EscalatorInLease)^5,IF(I96="Market",Retention*G96*D96*(1+EscalatorInLease)^(5+M96)+(1-Retention)*H96*D96*(1+GrowthMarketRent)^5*IF(INT((DATE(2026+5,10,31)-F96)/365.25)=0,(12-DowntimeNew)/12,1),IF(I96="LeaseUp",H96*D96*(1+GrowthMarketRent)^5*IF(5=0,(12-DowntimeNew)/12,1),0)))))))),0)</f>
        <v/>
      </c>
      <c r="T96" s="14">
        <f>IFERROR(IF(I96="LeaseUp",H96*D96*(1+GrowthMarketRent)^6*IF(6=0,(12-DowntimeNew)/12,1),IF(F96="",0,IF(F96&gt;=DATE(2027+6,4,30),G96*D96*(1+EscalatorInLease)^(6+M96),IF(F96&lt;DATE(2026+6,5,1),IF(I96="Vacate",H96*D96*(1+GrowthMarketRent)^6*IF(INT((DATE(2026+6,10,31)-F96)/365.25)=0,(12-DowntimeNew)/12,1),IF(I96="Option",G96*D96*1.025*(1+EscalatorInLease)^6,IF(I96="Market",Retention*G96*D96*(1+EscalatorInLease)^(6+M96)+(1-Retention)*H96*D96*(1+GrowthMarketRent)^6*IF(INT((DATE(2026+6,10,31)-F96)/365.25)=0,(12-DowntimeNew)/12,1),IF(I96="LeaseUp",H96*D96*(1+GrowthMarketRent)^6*IF(6=0,(12-DowntimeNew)/12,1),0)))),((F96-DATE(2026+6,5,1))/365.25)*G96*D96*(1+EscalatorInLease)^(6+M96)+((DATE(2027+6,4,30)-F96)/365.25)*IF(I96="Vacate",H96*D96*(1+GrowthMarketRent)^6*IF(INT((DATE(2026+6,10,31)-F96)/365.25)=0,(12-DowntimeNew)/12,1),IF(I96="Option",G96*D96*1.025*(1+EscalatorInLease)^6,IF(I96="Market",Retention*G96*D96*(1+EscalatorInLease)^(6+M96)+(1-Retention)*H96*D96*(1+GrowthMarketRent)^6*IF(INT((DATE(2026+6,10,31)-F96)/365.25)=0,(12-DowntimeNew)/12,1),IF(I96="LeaseUp",H96*D96*(1+GrowthMarketRent)^6*IF(6=0,(12-DowntimeNew)/12,1),0)))))))),0)</f>
        <v/>
      </c>
      <c r="U96" s="14">
        <f>IFERROR(IF(I96="LeaseUp",H96*D96*(1+GrowthMarketRent)^7*IF(7=0,(12-DowntimeNew)/12,1),IF(F96="",0,IF(F96&gt;=DATE(2027+7,4,30),G96*D96*(1+EscalatorInLease)^(7+M96),IF(F96&lt;DATE(2026+7,5,1),IF(I96="Vacate",H96*D96*(1+GrowthMarketRent)^7*IF(INT((DATE(2026+7,10,31)-F96)/365.25)=0,(12-DowntimeNew)/12,1),IF(I96="Option",G96*D96*1.025*(1+EscalatorInLease)^7,IF(I96="Market",Retention*G96*D96*(1+EscalatorInLease)^(7+M96)+(1-Retention)*H96*D96*(1+GrowthMarketRent)^7*IF(INT((DATE(2026+7,10,31)-F96)/365.25)=0,(12-DowntimeNew)/12,1),IF(I96="LeaseUp",H96*D96*(1+GrowthMarketRent)^7*IF(7=0,(12-DowntimeNew)/12,1),0)))),((F96-DATE(2026+7,5,1))/365.25)*G96*D96*(1+EscalatorInLease)^(7+M96)+((DATE(2027+7,4,30)-F96)/365.25)*IF(I96="Vacate",H96*D96*(1+GrowthMarketRent)^7*IF(INT((DATE(2026+7,10,31)-F96)/365.25)=0,(12-DowntimeNew)/12,1),IF(I96="Option",G96*D96*1.025*(1+EscalatorInLease)^7,IF(I96="Market",Retention*G96*D96*(1+EscalatorInLease)^(7+M96)+(1-Retention)*H96*D96*(1+GrowthMarketRent)^7*IF(INT((DATE(2026+7,10,31)-F96)/365.25)=0,(12-DowntimeNew)/12,1),IF(I96="LeaseUp",H96*D96*(1+GrowthMarketRent)^7*IF(7=0,(12-DowntimeNew)/12,1),0)))))))),0)</f>
        <v/>
      </c>
      <c r="V96" s="14">
        <f>IFERROR(IF(I96="LeaseUp",H96*D96*(1+GrowthMarketRent)^8*IF(8=0,(12-DowntimeNew)/12,1),IF(F96="",0,IF(F96&gt;=DATE(2027+8,4,30),G96*D96*(1+EscalatorInLease)^(8+M96),IF(F96&lt;DATE(2026+8,5,1),IF(I96="Vacate",H96*D96*(1+GrowthMarketRent)^8*IF(INT((DATE(2026+8,10,31)-F96)/365.25)=0,(12-DowntimeNew)/12,1),IF(I96="Option",G96*D96*1.025*(1+EscalatorInLease)^8,IF(I96="Market",Retention*G96*D96*(1+EscalatorInLease)^(8+M96)+(1-Retention)*H96*D96*(1+GrowthMarketRent)^8*IF(INT((DATE(2026+8,10,31)-F96)/365.25)=0,(12-DowntimeNew)/12,1),IF(I96="LeaseUp",H96*D96*(1+GrowthMarketRent)^8*IF(8=0,(12-DowntimeNew)/12,1),0)))),((F96-DATE(2026+8,5,1))/365.25)*G96*D96*(1+EscalatorInLease)^(8+M96)+((DATE(2027+8,4,30)-F96)/365.25)*IF(I96="Vacate",H96*D96*(1+GrowthMarketRent)^8*IF(INT((DATE(2026+8,10,31)-F96)/365.25)=0,(12-DowntimeNew)/12,1),IF(I96="Option",G96*D96*1.025*(1+EscalatorInLease)^8,IF(I96="Market",Retention*G96*D96*(1+EscalatorInLease)^(8+M96)+(1-Retention)*H96*D96*(1+GrowthMarketRent)^8*IF(INT((DATE(2026+8,10,31)-F96)/365.25)=0,(12-DowntimeNew)/12,1),IF(I96="LeaseUp",H96*D96*(1+GrowthMarketRent)^8*IF(8=0,(12-DowntimeNew)/12,1),0)))))))),0)</f>
        <v/>
      </c>
      <c r="W96" s="14">
        <f>IFERROR(IF(I96="LeaseUp",H96*D96*(1+GrowthMarketRent)^9*IF(9=0,(12-DowntimeNew)/12,1),IF(F96="",0,IF(F96&gt;=DATE(2027+9,4,30),G96*D96*(1+EscalatorInLease)^(9+M96),IF(F96&lt;DATE(2026+9,5,1),IF(I96="Vacate",H96*D96*(1+GrowthMarketRent)^9*IF(INT((DATE(2026+9,10,31)-F96)/365.25)=0,(12-DowntimeNew)/12,1),IF(I96="Option",G96*D96*1.025*(1+EscalatorInLease)^9,IF(I96="Market",Retention*G96*D96*(1+EscalatorInLease)^(9+M96)+(1-Retention)*H96*D96*(1+GrowthMarketRent)^9*IF(INT((DATE(2026+9,10,31)-F96)/365.25)=0,(12-DowntimeNew)/12,1),IF(I96="LeaseUp",H96*D96*(1+GrowthMarketRent)^9*IF(9=0,(12-DowntimeNew)/12,1),0)))),((F96-DATE(2026+9,5,1))/365.25)*G96*D96*(1+EscalatorInLease)^(9+M96)+((DATE(2027+9,4,30)-F96)/365.25)*IF(I96="Vacate",H96*D96*(1+GrowthMarketRent)^9*IF(INT((DATE(2026+9,10,31)-F96)/365.25)=0,(12-DowntimeNew)/12,1),IF(I96="Option",G96*D96*1.025*(1+EscalatorInLease)^9,IF(I96="Market",Retention*G96*D96*(1+EscalatorInLease)^(9+M96)+(1-Retention)*H96*D96*(1+GrowthMarketRent)^9*IF(INT((DATE(2026+9,10,31)-F96)/365.25)=0,(12-DowntimeNew)/12,1),IF(I96="LeaseUp",H96*D96*(1+GrowthMarketRent)^9*IF(9=0,(12-DowntimeNew)/12,1),0)))))))),0)</f>
        <v/>
      </c>
      <c r="X96" s="14">
        <f>IFERROR(IF(I96="LeaseUp",H96*D96*(1+GrowthMarketRent)^10*IF(10=0,(12-DowntimeNew)/12,1),IF(F96="",0,IF(F96&gt;=DATE(2027+10,4,30),G96*D96*(1+EscalatorInLease)^(10+M96),IF(F96&lt;DATE(2026+10,5,1),IF(I96="Vacate",H96*D96*(1+GrowthMarketRent)^10*IF(INT((DATE(2026+10,10,31)-F96)/365.25)=0,(12-DowntimeNew)/12,1),IF(I96="Option",G96*D96*1.025*(1+EscalatorInLease)^10,IF(I96="Market",Retention*G96*D96*(1+EscalatorInLease)^(10+M96)+(1-Retention)*H96*D96*(1+GrowthMarketRent)^10*IF(INT((DATE(2026+10,10,31)-F96)/365.25)=0,(12-DowntimeNew)/12,1),IF(I96="LeaseUp",H96*D96*(1+GrowthMarketRent)^10*IF(10=0,(12-DowntimeNew)/12,1),0)))),((F96-DATE(2026+10,5,1))/365.25)*G96*D96*(1+EscalatorInLease)^(10+M96)+((DATE(2027+10,4,30)-F96)/365.25)*IF(I96="Vacate",H96*D96*(1+GrowthMarketRent)^10*IF(INT((DATE(2026+10,10,31)-F96)/365.25)=0,(12-DowntimeNew)/12,1),IF(I96="Option",G96*D96*1.025*(1+EscalatorInLease)^10,IF(I96="Market",Retention*G96*D96*(1+EscalatorInLease)^(10+M96)+(1-Retention)*H96*D96*(1+GrowthMarketRent)^10*IF(INT((DATE(2026+10,10,31)-F96)/365.25)=0,(12-DowntimeNew)/12,1),IF(I96="LeaseUp",H96*D96*(1+GrowthMarketRent)^10*IF(10=0,(12-DowntimeNew)/12,1),0)))))))),0)</f>
        <v/>
      </c>
      <c r="Y96" s="14">
        <f>IFERROR(IF(AND(I96="LeaseUp",0=0),(IF(I96="Vacate",TINew*D96,IF(I96="Market",Retention*TIRenewal*D96+(1-Retention)*TINew*D96,IF(I96="LeaseUp",TINew*D96,IF(I96="Option",TIRenewal*D96,0)))))+(IF(I96="Vacate",LCNew*H96*D96*(1+GrowthMarketRent)^0,IF(I96="Market",Retention*LCRenewal*H96*D96*(1+GrowthMarketRent)^0+(1-Retention)*LCNew*H96*D96*(1+GrowthMarketRent)^0,IF(I96="LeaseUp",LCNew*H96*D96*(1+GrowthMarketRent)^0,IF(I96="Option",LCRenewal*H96*D96*(1+GrowthMarketRent)^0,0))))),IF(F96="",0,IF(AND(F96&gt;=DATE(2026+0,5,1),F96&lt;=DATE(2027+0,4,30)),(IF(I96="Vacate",TINew*D96,IF(I96="Market",Retention*TIRenewal*D96+(1-Retention)*TINew*D96,IF(I96="LeaseUp",TINew*D96,IF(I96="Option",TIRenewal*D96,0)))))+(IF(I96="Vacate",LCNew*H96*D96*(1+GrowthMarketRent)^0,IF(I96="Market",Retention*LCRenewal*H96*D96*(1+GrowthMarketRent)^0+(1-Retention)*LCNew*H96*D96*(1+GrowthMarketRent)^0,IF(I96="LeaseUp",LCNew*H96*D96*(1+GrowthMarketRent)^0,IF(I96="Option",LCRenewal*H96*D96*(1+GrowthMarketRent)^0,0))))),0))),0)</f>
        <v/>
      </c>
      <c r="Z96" s="14">
        <f>IFERROR(IF(AND(I96="LeaseUp",1=0),(IF(I96="Vacate",TINew*D96,IF(I96="Market",Retention*TIRenewal*D96+(1-Retention)*TINew*D96,IF(I96="LeaseUp",TINew*D96,IF(I96="Option",TIRenewal*D96,0)))))+(IF(I96="Vacate",LCNew*H96*D96*(1+GrowthMarketRent)^1,IF(I96="Market",Retention*LCRenewal*H96*D96*(1+GrowthMarketRent)^1+(1-Retention)*LCNew*H96*D96*(1+GrowthMarketRent)^1,IF(I96="LeaseUp",LCNew*H96*D96*(1+GrowthMarketRent)^1,IF(I96="Option",LCRenewal*H96*D96*(1+GrowthMarketRent)^1,0))))),IF(F96="",0,IF(AND(F96&gt;=DATE(2026+1,5,1),F96&lt;=DATE(2027+1,4,30)),(IF(I96="Vacate",TINew*D96,IF(I96="Market",Retention*TIRenewal*D96+(1-Retention)*TINew*D96,IF(I96="LeaseUp",TINew*D96,IF(I96="Option",TIRenewal*D96,0)))))+(IF(I96="Vacate",LCNew*H96*D96*(1+GrowthMarketRent)^1,IF(I96="Market",Retention*LCRenewal*H96*D96*(1+GrowthMarketRent)^1+(1-Retention)*LCNew*H96*D96*(1+GrowthMarketRent)^1,IF(I96="LeaseUp",LCNew*H96*D96*(1+GrowthMarketRent)^1,IF(I96="Option",LCRenewal*H96*D96*(1+GrowthMarketRent)^1,0))))),0))),0)</f>
        <v/>
      </c>
      <c r="AA96" s="14">
        <f>IFERROR(IF(AND(I96="LeaseUp",2=0),(IF(I96="Vacate",TINew*D96,IF(I96="Market",Retention*TIRenewal*D96+(1-Retention)*TINew*D96,IF(I96="LeaseUp",TINew*D96,IF(I96="Option",TIRenewal*D96,0)))))+(IF(I96="Vacate",LCNew*H96*D96*(1+GrowthMarketRent)^2,IF(I96="Market",Retention*LCRenewal*H96*D96*(1+GrowthMarketRent)^2+(1-Retention)*LCNew*H96*D96*(1+GrowthMarketRent)^2,IF(I96="LeaseUp",LCNew*H96*D96*(1+GrowthMarketRent)^2,IF(I96="Option",LCRenewal*H96*D96*(1+GrowthMarketRent)^2,0))))),IF(F96="",0,IF(AND(F96&gt;=DATE(2026+2,5,1),F96&lt;=DATE(2027+2,4,30)),(IF(I96="Vacate",TINew*D96,IF(I96="Market",Retention*TIRenewal*D96+(1-Retention)*TINew*D96,IF(I96="LeaseUp",TINew*D96,IF(I96="Option",TIRenewal*D96,0)))))+(IF(I96="Vacate",LCNew*H96*D96*(1+GrowthMarketRent)^2,IF(I96="Market",Retention*LCRenewal*H96*D96*(1+GrowthMarketRent)^2+(1-Retention)*LCNew*H96*D96*(1+GrowthMarketRent)^2,IF(I96="LeaseUp",LCNew*H96*D96*(1+GrowthMarketRent)^2,IF(I96="Option",LCRenewal*H96*D96*(1+GrowthMarketRent)^2,0))))),0))),0)</f>
        <v/>
      </c>
      <c r="AB96" s="14">
        <f>IFERROR(IF(AND(I96="LeaseUp",3=0),(IF(I96="Vacate",TINew*D96,IF(I96="Market",Retention*TIRenewal*D96+(1-Retention)*TINew*D96,IF(I96="LeaseUp",TINew*D96,IF(I96="Option",TIRenewal*D96,0)))))+(IF(I96="Vacate",LCNew*H96*D96*(1+GrowthMarketRent)^3,IF(I96="Market",Retention*LCRenewal*H96*D96*(1+GrowthMarketRent)^3+(1-Retention)*LCNew*H96*D96*(1+GrowthMarketRent)^3,IF(I96="LeaseUp",LCNew*H96*D96*(1+GrowthMarketRent)^3,IF(I96="Option",LCRenewal*H96*D96*(1+GrowthMarketRent)^3,0))))),IF(F96="",0,IF(AND(F96&gt;=DATE(2026+3,5,1),F96&lt;=DATE(2027+3,4,30)),(IF(I96="Vacate",TINew*D96,IF(I96="Market",Retention*TIRenewal*D96+(1-Retention)*TINew*D96,IF(I96="LeaseUp",TINew*D96,IF(I96="Option",TIRenewal*D96,0)))))+(IF(I96="Vacate",LCNew*H96*D96*(1+GrowthMarketRent)^3,IF(I96="Market",Retention*LCRenewal*H96*D96*(1+GrowthMarketRent)^3+(1-Retention)*LCNew*H96*D96*(1+GrowthMarketRent)^3,IF(I96="LeaseUp",LCNew*H96*D96*(1+GrowthMarketRent)^3,IF(I96="Option",LCRenewal*H96*D96*(1+GrowthMarketRent)^3,0))))),0))),0)</f>
        <v/>
      </c>
      <c r="AC96" s="14">
        <f>IFERROR(IF(AND(I96="LeaseUp",4=0),(IF(I96="Vacate",TINew*D96,IF(I96="Market",Retention*TIRenewal*D96+(1-Retention)*TINew*D96,IF(I96="LeaseUp",TINew*D96,IF(I96="Option",TIRenewal*D96,0)))))+(IF(I96="Vacate",LCNew*H96*D96*(1+GrowthMarketRent)^4,IF(I96="Market",Retention*LCRenewal*H96*D96*(1+GrowthMarketRent)^4+(1-Retention)*LCNew*H96*D96*(1+GrowthMarketRent)^4,IF(I96="LeaseUp",LCNew*H96*D96*(1+GrowthMarketRent)^4,IF(I96="Option",LCRenewal*H96*D96*(1+GrowthMarketRent)^4,0))))),IF(F96="",0,IF(AND(F96&gt;=DATE(2026+4,5,1),F96&lt;=DATE(2027+4,4,30)),(IF(I96="Vacate",TINew*D96,IF(I96="Market",Retention*TIRenewal*D96+(1-Retention)*TINew*D96,IF(I96="LeaseUp",TINew*D96,IF(I96="Option",TIRenewal*D96,0)))))+(IF(I96="Vacate",LCNew*H96*D96*(1+GrowthMarketRent)^4,IF(I96="Market",Retention*LCRenewal*H96*D96*(1+GrowthMarketRent)^4+(1-Retention)*LCNew*H96*D96*(1+GrowthMarketRent)^4,IF(I96="LeaseUp",LCNew*H96*D96*(1+GrowthMarketRent)^4,IF(I96="Option",LCRenewal*H96*D96*(1+GrowthMarketRent)^4,0))))),0))),0)</f>
        <v/>
      </c>
      <c r="AD96" s="14">
        <f>IFERROR(IF(AND(I96="LeaseUp",5=0),(IF(I96="Vacate",TINew*D96,IF(I96="Market",Retention*TIRenewal*D96+(1-Retention)*TINew*D96,IF(I96="LeaseUp",TINew*D96,IF(I96="Option",TIRenewal*D96,0)))))+(IF(I96="Vacate",LCNew*H96*D96*(1+GrowthMarketRent)^5,IF(I96="Market",Retention*LCRenewal*H96*D96*(1+GrowthMarketRent)^5+(1-Retention)*LCNew*H96*D96*(1+GrowthMarketRent)^5,IF(I96="LeaseUp",LCNew*H96*D96*(1+GrowthMarketRent)^5,IF(I96="Option",LCRenewal*H96*D96*(1+GrowthMarketRent)^5,0))))),IF(F96="",0,IF(AND(F96&gt;=DATE(2026+5,5,1),F96&lt;=DATE(2027+5,4,30)),(IF(I96="Vacate",TINew*D96,IF(I96="Market",Retention*TIRenewal*D96+(1-Retention)*TINew*D96,IF(I96="LeaseUp",TINew*D96,IF(I96="Option",TIRenewal*D96,0)))))+(IF(I96="Vacate",LCNew*H96*D96*(1+GrowthMarketRent)^5,IF(I96="Market",Retention*LCRenewal*H96*D96*(1+GrowthMarketRent)^5+(1-Retention)*LCNew*H96*D96*(1+GrowthMarketRent)^5,IF(I96="LeaseUp",LCNew*H96*D96*(1+GrowthMarketRent)^5,IF(I96="Option",LCRenewal*H96*D96*(1+GrowthMarketRent)^5,0))))),0))),0)</f>
        <v/>
      </c>
      <c r="AE96" s="14">
        <f>IFERROR(IF(AND(I96="LeaseUp",6=0),(IF(I96="Vacate",TINew*D96,IF(I96="Market",Retention*TIRenewal*D96+(1-Retention)*TINew*D96,IF(I96="LeaseUp",TINew*D96,IF(I96="Option",TIRenewal*D96,0)))))+(IF(I96="Vacate",LCNew*H96*D96*(1+GrowthMarketRent)^6,IF(I96="Market",Retention*LCRenewal*H96*D96*(1+GrowthMarketRent)^6+(1-Retention)*LCNew*H96*D96*(1+GrowthMarketRent)^6,IF(I96="LeaseUp",LCNew*H96*D96*(1+GrowthMarketRent)^6,IF(I96="Option",LCRenewal*H96*D96*(1+GrowthMarketRent)^6,0))))),IF(F96="",0,IF(AND(F96&gt;=DATE(2026+6,5,1),F96&lt;=DATE(2027+6,4,30)),(IF(I96="Vacate",TINew*D96,IF(I96="Market",Retention*TIRenewal*D96+(1-Retention)*TINew*D96,IF(I96="LeaseUp",TINew*D96,IF(I96="Option",TIRenewal*D96,0)))))+(IF(I96="Vacate",LCNew*H96*D96*(1+GrowthMarketRent)^6,IF(I96="Market",Retention*LCRenewal*H96*D96*(1+GrowthMarketRent)^6+(1-Retention)*LCNew*H96*D96*(1+GrowthMarketRent)^6,IF(I96="LeaseUp",LCNew*H96*D96*(1+GrowthMarketRent)^6,IF(I96="Option",LCRenewal*H96*D96*(1+GrowthMarketRent)^6,0))))),0))),0)</f>
        <v/>
      </c>
      <c r="AF96" s="14">
        <f>IFERROR(IF(AND(I96="LeaseUp",7=0),(IF(I96="Vacate",TINew*D96,IF(I96="Market",Retention*TIRenewal*D96+(1-Retention)*TINew*D96,IF(I96="LeaseUp",TINew*D96,IF(I96="Option",TIRenewal*D96,0)))))+(IF(I96="Vacate",LCNew*H96*D96*(1+GrowthMarketRent)^7,IF(I96="Market",Retention*LCRenewal*H96*D96*(1+GrowthMarketRent)^7+(1-Retention)*LCNew*H96*D96*(1+GrowthMarketRent)^7,IF(I96="LeaseUp",LCNew*H96*D96*(1+GrowthMarketRent)^7,IF(I96="Option",LCRenewal*H96*D96*(1+GrowthMarketRent)^7,0))))),IF(F96="",0,IF(AND(F96&gt;=DATE(2026+7,5,1),F96&lt;=DATE(2027+7,4,30)),(IF(I96="Vacate",TINew*D96,IF(I96="Market",Retention*TIRenewal*D96+(1-Retention)*TINew*D96,IF(I96="LeaseUp",TINew*D96,IF(I96="Option",TIRenewal*D96,0)))))+(IF(I96="Vacate",LCNew*H96*D96*(1+GrowthMarketRent)^7,IF(I96="Market",Retention*LCRenewal*H96*D96*(1+GrowthMarketRent)^7+(1-Retention)*LCNew*H96*D96*(1+GrowthMarketRent)^7,IF(I96="LeaseUp",LCNew*H96*D96*(1+GrowthMarketRent)^7,IF(I96="Option",LCRenewal*H96*D96*(1+GrowthMarketRent)^7,0))))),0))),0)</f>
        <v/>
      </c>
      <c r="AG96" s="14">
        <f>IFERROR(IF(AND(I96="LeaseUp",8=0),(IF(I96="Vacate",TINew*D96,IF(I96="Market",Retention*TIRenewal*D96+(1-Retention)*TINew*D96,IF(I96="LeaseUp",TINew*D96,IF(I96="Option",TIRenewal*D96,0)))))+(IF(I96="Vacate",LCNew*H96*D96*(1+GrowthMarketRent)^8,IF(I96="Market",Retention*LCRenewal*H96*D96*(1+GrowthMarketRent)^8+(1-Retention)*LCNew*H96*D96*(1+GrowthMarketRent)^8,IF(I96="LeaseUp",LCNew*H96*D96*(1+GrowthMarketRent)^8,IF(I96="Option",LCRenewal*H96*D96*(1+GrowthMarketRent)^8,0))))),IF(F96="",0,IF(AND(F96&gt;=DATE(2026+8,5,1),F96&lt;=DATE(2027+8,4,30)),(IF(I96="Vacate",TINew*D96,IF(I96="Market",Retention*TIRenewal*D96+(1-Retention)*TINew*D96,IF(I96="LeaseUp",TINew*D96,IF(I96="Option",TIRenewal*D96,0)))))+(IF(I96="Vacate",LCNew*H96*D96*(1+GrowthMarketRent)^8,IF(I96="Market",Retention*LCRenewal*H96*D96*(1+GrowthMarketRent)^8+(1-Retention)*LCNew*H96*D96*(1+GrowthMarketRent)^8,IF(I96="LeaseUp",LCNew*H96*D96*(1+GrowthMarketRent)^8,IF(I96="Option",LCRenewal*H96*D96*(1+GrowthMarketRent)^8,0))))),0))),0)</f>
        <v/>
      </c>
      <c r="AH96" s="14">
        <f>IFERROR(IF(AND(I96="LeaseUp",9=0),(IF(I96="Vacate",TINew*D96,IF(I96="Market",Retention*TIRenewal*D96+(1-Retention)*TINew*D96,IF(I96="LeaseUp",TINew*D96,IF(I96="Option",TIRenewal*D96,0)))))+(IF(I96="Vacate",LCNew*H96*D96*(1+GrowthMarketRent)^9,IF(I96="Market",Retention*LCRenewal*H96*D96*(1+GrowthMarketRent)^9+(1-Retention)*LCNew*H96*D96*(1+GrowthMarketRent)^9,IF(I96="LeaseUp",LCNew*H96*D96*(1+GrowthMarketRent)^9,IF(I96="Option",LCRenewal*H96*D96*(1+GrowthMarketRent)^9,0))))),IF(F96="",0,IF(AND(F96&gt;=DATE(2026+9,5,1),F96&lt;=DATE(2027+9,4,30)),(IF(I96="Vacate",TINew*D96,IF(I96="Market",Retention*TIRenewal*D96+(1-Retention)*TINew*D96,IF(I96="LeaseUp",TINew*D96,IF(I96="Option",TIRenewal*D96,0)))))+(IF(I96="Vacate",LCNew*H96*D96*(1+GrowthMarketRent)^9,IF(I96="Market",Retention*LCRenewal*H96*D96*(1+GrowthMarketRent)^9+(1-Retention)*LCNew*H96*D96*(1+GrowthMarketRent)^9,IF(I96="LeaseUp",LCNew*H96*D96*(1+GrowthMarketRent)^9,IF(I96="Option",LCRenewal*H96*D96*(1+GrowthMarketRent)^9,0))))),0))),0)</f>
        <v/>
      </c>
      <c r="AI96" s="14">
        <f>IFERROR(IF(AND(I96="LeaseUp",10=0),(IF(I96="Vacate",TINew*D96,IF(I96="Market",Retention*TIRenewal*D96+(1-Retention)*TINew*D96,IF(I96="LeaseUp",TINew*D96,IF(I96="Option",TIRenewal*D96,0)))))+(IF(I96="Vacate",LCNew*H96*D96*(1+GrowthMarketRent)^10,IF(I96="Market",Retention*LCRenewal*H96*D96*(1+GrowthMarketRent)^10+(1-Retention)*LCNew*H96*D96*(1+GrowthMarketRent)^10,IF(I96="LeaseUp",LCNew*H96*D96*(1+GrowthMarketRent)^10,IF(I96="Option",LCRenewal*H96*D96*(1+GrowthMarketRent)^10,0))))),IF(F96="",0,IF(AND(F96&gt;=DATE(2026+10,5,1),F96&lt;=DATE(2027+10,4,30)),(IF(I96="Vacate",TINew*D96,IF(I96="Market",Retention*TIRenewal*D96+(1-Retention)*TINew*D96,IF(I96="LeaseUp",TINew*D96,IF(I96="Option",TIRenewal*D96,0)))))+(IF(I96="Vacate",LCNew*H96*D96*(1+GrowthMarketRent)^10,IF(I96="Market",Retention*LCRenewal*H96*D96*(1+GrowthMarketRent)^10+(1-Retention)*LCNew*H96*D96*(1+GrowthMarketRent)^10,IF(I96="LeaseUp",LCNew*H96*D96*(1+GrowthMarketRent)^10,IF(I96="Option",LCRenewal*H96*D96*(1+GrowthMarketRent)^10,0))))),0))),0)</f>
        <v/>
      </c>
    </row>
    <row r="97">
      <c r="A97" t="inlineStr">
        <is>
          <t>Lewisville</t>
        </is>
      </c>
      <c r="B97" t="inlineStr">
        <is>
          <t>107</t>
        </is>
      </c>
      <c r="C97" t="inlineStr">
        <is>
          <t>425 Apparel LLC</t>
        </is>
      </c>
      <c r="D97" s="32" t="n">
        <v>2600</v>
      </c>
      <c r="E97" s="33" t="n">
        <v>45505</v>
      </c>
      <c r="F97" s="33" t="n">
        <v>46784</v>
      </c>
      <c r="G97" s="34" t="n">
        <v>17.3326923076923</v>
      </c>
      <c r="H97" s="16">
        <f>VLOOKUP(A97,MLA!$A$5:$L$11,3,FALSE)</f>
        <v/>
      </c>
      <c r="I97" s="11" t="inlineStr">
        <is>
          <t>Option</t>
        </is>
      </c>
      <c r="J97" t="inlineStr">
        <is>
          <t>Shop</t>
        </is>
      </c>
      <c r="K97" t="inlineStr">
        <is>
          <t>Occupied</t>
        </is>
      </c>
      <c r="L97" t="inlineStr">
        <is>
          <t>Shop; Guarantor: Corey Lemle; Two 3yr options @ FMV</t>
        </is>
      </c>
      <c r="M97" s="20">
        <f>IF(E97="",0,(AnalysisStart-E97)/365.25)</f>
        <v/>
      </c>
      <c r="N97" s="14">
        <f>IFERROR(IF(I97="LeaseUp",H97*D97*(1+GrowthMarketRent)^0*IF(0=0,(12-DowntimeNew)/12,1),IF(F97="",0,IF(F97&gt;=DATE(2027+0,4,30),G97*D97*(1+EscalatorInLease)^(0+M97),IF(F97&lt;DATE(2026+0,5,1),IF(I97="Vacate",H97*D97*(1+GrowthMarketRent)^0*IF(INT((DATE(2026+0,10,31)-F97)/365.25)=0,(12-DowntimeNew)/12,1),IF(I97="Option",G97*D97*1.025*(1+EscalatorInLease)^0,IF(I97="Market",Retention*G97*D97*(1+EscalatorInLease)^(0+M97)+(1-Retention)*H97*D97*(1+GrowthMarketRent)^0*IF(INT((DATE(2026+0,10,31)-F97)/365.25)=0,(12-DowntimeNew)/12,1),IF(I97="LeaseUp",H97*D97*(1+GrowthMarketRent)^0*IF(0=0,(12-DowntimeNew)/12,1),0)))),((F97-DATE(2026+0,5,1))/365.25)*G97*D97*(1+EscalatorInLease)^(0+M97)+((DATE(2027+0,4,30)-F97)/365.25)*IF(I97="Vacate",H97*D97*(1+GrowthMarketRent)^0*IF(INT((DATE(2026+0,10,31)-F97)/365.25)=0,(12-DowntimeNew)/12,1),IF(I97="Option",G97*D97*1.025*(1+EscalatorInLease)^0,IF(I97="Market",Retention*G97*D97*(1+EscalatorInLease)^(0+M97)+(1-Retention)*H97*D97*(1+GrowthMarketRent)^0*IF(INT((DATE(2026+0,10,31)-F97)/365.25)=0,(12-DowntimeNew)/12,1),IF(I97="LeaseUp",H97*D97*(1+GrowthMarketRent)^0*IF(0=0,(12-DowntimeNew)/12,1),0)))))))),0)</f>
        <v/>
      </c>
      <c r="O97" s="14">
        <f>IFERROR(IF(I97="LeaseUp",H97*D97*(1+GrowthMarketRent)^1*IF(1=0,(12-DowntimeNew)/12,1),IF(F97="",0,IF(F97&gt;=DATE(2027+1,4,30),G97*D97*(1+EscalatorInLease)^(1+M97),IF(F97&lt;DATE(2026+1,5,1),IF(I97="Vacate",H97*D97*(1+GrowthMarketRent)^1*IF(INT((DATE(2026+1,10,31)-F97)/365.25)=0,(12-DowntimeNew)/12,1),IF(I97="Option",G97*D97*1.025*(1+EscalatorInLease)^1,IF(I97="Market",Retention*G97*D97*(1+EscalatorInLease)^(1+M97)+(1-Retention)*H97*D97*(1+GrowthMarketRent)^1*IF(INT((DATE(2026+1,10,31)-F97)/365.25)=0,(12-DowntimeNew)/12,1),IF(I97="LeaseUp",H97*D97*(1+GrowthMarketRent)^1*IF(1=0,(12-DowntimeNew)/12,1),0)))),((F97-DATE(2026+1,5,1))/365.25)*G97*D97*(1+EscalatorInLease)^(1+M97)+((DATE(2027+1,4,30)-F97)/365.25)*IF(I97="Vacate",H97*D97*(1+GrowthMarketRent)^1*IF(INT((DATE(2026+1,10,31)-F97)/365.25)=0,(12-DowntimeNew)/12,1),IF(I97="Option",G97*D97*1.025*(1+EscalatorInLease)^1,IF(I97="Market",Retention*G97*D97*(1+EscalatorInLease)^(1+M97)+(1-Retention)*H97*D97*(1+GrowthMarketRent)^1*IF(INT((DATE(2026+1,10,31)-F97)/365.25)=0,(12-DowntimeNew)/12,1),IF(I97="LeaseUp",H97*D97*(1+GrowthMarketRent)^1*IF(1=0,(12-DowntimeNew)/12,1),0)))))))),0)</f>
        <v/>
      </c>
      <c r="P97" s="14">
        <f>IFERROR(IF(I97="LeaseUp",H97*D97*(1+GrowthMarketRent)^2*IF(2=0,(12-DowntimeNew)/12,1),IF(F97="",0,IF(F97&gt;=DATE(2027+2,4,30),G97*D97*(1+EscalatorInLease)^(2+M97),IF(F97&lt;DATE(2026+2,5,1),IF(I97="Vacate",H97*D97*(1+GrowthMarketRent)^2*IF(INT((DATE(2026+2,10,31)-F97)/365.25)=0,(12-DowntimeNew)/12,1),IF(I97="Option",G97*D97*1.025*(1+EscalatorInLease)^2,IF(I97="Market",Retention*G97*D97*(1+EscalatorInLease)^(2+M97)+(1-Retention)*H97*D97*(1+GrowthMarketRent)^2*IF(INT((DATE(2026+2,10,31)-F97)/365.25)=0,(12-DowntimeNew)/12,1),IF(I97="LeaseUp",H97*D97*(1+GrowthMarketRent)^2*IF(2=0,(12-DowntimeNew)/12,1),0)))),((F97-DATE(2026+2,5,1))/365.25)*G97*D97*(1+EscalatorInLease)^(2+M97)+((DATE(2027+2,4,30)-F97)/365.25)*IF(I97="Vacate",H97*D97*(1+GrowthMarketRent)^2*IF(INT((DATE(2026+2,10,31)-F97)/365.25)=0,(12-DowntimeNew)/12,1),IF(I97="Option",G97*D97*1.025*(1+EscalatorInLease)^2,IF(I97="Market",Retention*G97*D97*(1+EscalatorInLease)^(2+M97)+(1-Retention)*H97*D97*(1+GrowthMarketRent)^2*IF(INT((DATE(2026+2,10,31)-F97)/365.25)=0,(12-DowntimeNew)/12,1),IF(I97="LeaseUp",H97*D97*(1+GrowthMarketRent)^2*IF(2=0,(12-DowntimeNew)/12,1),0)))))))),0)</f>
        <v/>
      </c>
      <c r="Q97" s="14">
        <f>IFERROR(IF(I97="LeaseUp",H97*D97*(1+GrowthMarketRent)^3*IF(3=0,(12-DowntimeNew)/12,1),IF(F97="",0,IF(F97&gt;=DATE(2027+3,4,30),G97*D97*(1+EscalatorInLease)^(3+M97),IF(F97&lt;DATE(2026+3,5,1),IF(I97="Vacate",H97*D97*(1+GrowthMarketRent)^3*IF(INT((DATE(2026+3,10,31)-F97)/365.25)=0,(12-DowntimeNew)/12,1),IF(I97="Option",G97*D97*1.025*(1+EscalatorInLease)^3,IF(I97="Market",Retention*G97*D97*(1+EscalatorInLease)^(3+M97)+(1-Retention)*H97*D97*(1+GrowthMarketRent)^3*IF(INT((DATE(2026+3,10,31)-F97)/365.25)=0,(12-DowntimeNew)/12,1),IF(I97="LeaseUp",H97*D97*(1+GrowthMarketRent)^3*IF(3=0,(12-DowntimeNew)/12,1),0)))),((F97-DATE(2026+3,5,1))/365.25)*G97*D97*(1+EscalatorInLease)^(3+M97)+((DATE(2027+3,4,30)-F97)/365.25)*IF(I97="Vacate",H97*D97*(1+GrowthMarketRent)^3*IF(INT((DATE(2026+3,10,31)-F97)/365.25)=0,(12-DowntimeNew)/12,1),IF(I97="Option",G97*D97*1.025*(1+EscalatorInLease)^3,IF(I97="Market",Retention*G97*D97*(1+EscalatorInLease)^(3+M97)+(1-Retention)*H97*D97*(1+GrowthMarketRent)^3*IF(INT((DATE(2026+3,10,31)-F97)/365.25)=0,(12-DowntimeNew)/12,1),IF(I97="LeaseUp",H97*D97*(1+GrowthMarketRent)^3*IF(3=0,(12-DowntimeNew)/12,1),0)))))))),0)</f>
        <v/>
      </c>
      <c r="R97" s="14">
        <f>IFERROR(IF(I97="LeaseUp",H97*D97*(1+GrowthMarketRent)^4*IF(4=0,(12-DowntimeNew)/12,1),IF(F97="",0,IF(F97&gt;=DATE(2027+4,4,30),G97*D97*(1+EscalatorInLease)^(4+M97),IF(F97&lt;DATE(2026+4,5,1),IF(I97="Vacate",H97*D97*(1+GrowthMarketRent)^4*IF(INT((DATE(2026+4,10,31)-F97)/365.25)=0,(12-DowntimeNew)/12,1),IF(I97="Option",G97*D97*1.025*(1+EscalatorInLease)^4,IF(I97="Market",Retention*G97*D97*(1+EscalatorInLease)^(4+M97)+(1-Retention)*H97*D97*(1+GrowthMarketRent)^4*IF(INT((DATE(2026+4,10,31)-F97)/365.25)=0,(12-DowntimeNew)/12,1),IF(I97="LeaseUp",H97*D97*(1+GrowthMarketRent)^4*IF(4=0,(12-DowntimeNew)/12,1),0)))),((F97-DATE(2026+4,5,1))/365.25)*G97*D97*(1+EscalatorInLease)^(4+M97)+((DATE(2027+4,4,30)-F97)/365.25)*IF(I97="Vacate",H97*D97*(1+GrowthMarketRent)^4*IF(INT((DATE(2026+4,10,31)-F97)/365.25)=0,(12-DowntimeNew)/12,1),IF(I97="Option",G97*D97*1.025*(1+EscalatorInLease)^4,IF(I97="Market",Retention*G97*D97*(1+EscalatorInLease)^(4+M97)+(1-Retention)*H97*D97*(1+GrowthMarketRent)^4*IF(INT((DATE(2026+4,10,31)-F97)/365.25)=0,(12-DowntimeNew)/12,1),IF(I97="LeaseUp",H97*D97*(1+GrowthMarketRent)^4*IF(4=0,(12-DowntimeNew)/12,1),0)))))))),0)</f>
        <v/>
      </c>
      <c r="S97" s="14">
        <f>IFERROR(IF(I97="LeaseUp",H97*D97*(1+GrowthMarketRent)^5*IF(5=0,(12-DowntimeNew)/12,1),IF(F97="",0,IF(F97&gt;=DATE(2027+5,4,30),G97*D97*(1+EscalatorInLease)^(5+M97),IF(F97&lt;DATE(2026+5,5,1),IF(I97="Vacate",H97*D97*(1+GrowthMarketRent)^5*IF(INT((DATE(2026+5,10,31)-F97)/365.25)=0,(12-DowntimeNew)/12,1),IF(I97="Option",G97*D97*1.025*(1+EscalatorInLease)^5,IF(I97="Market",Retention*G97*D97*(1+EscalatorInLease)^(5+M97)+(1-Retention)*H97*D97*(1+GrowthMarketRent)^5*IF(INT((DATE(2026+5,10,31)-F97)/365.25)=0,(12-DowntimeNew)/12,1),IF(I97="LeaseUp",H97*D97*(1+GrowthMarketRent)^5*IF(5=0,(12-DowntimeNew)/12,1),0)))),((F97-DATE(2026+5,5,1))/365.25)*G97*D97*(1+EscalatorInLease)^(5+M97)+((DATE(2027+5,4,30)-F97)/365.25)*IF(I97="Vacate",H97*D97*(1+GrowthMarketRent)^5*IF(INT((DATE(2026+5,10,31)-F97)/365.25)=0,(12-DowntimeNew)/12,1),IF(I97="Option",G97*D97*1.025*(1+EscalatorInLease)^5,IF(I97="Market",Retention*G97*D97*(1+EscalatorInLease)^(5+M97)+(1-Retention)*H97*D97*(1+GrowthMarketRent)^5*IF(INT((DATE(2026+5,10,31)-F97)/365.25)=0,(12-DowntimeNew)/12,1),IF(I97="LeaseUp",H97*D97*(1+GrowthMarketRent)^5*IF(5=0,(12-DowntimeNew)/12,1),0)))))))),0)</f>
        <v/>
      </c>
      <c r="T97" s="14">
        <f>IFERROR(IF(I97="LeaseUp",H97*D97*(1+GrowthMarketRent)^6*IF(6=0,(12-DowntimeNew)/12,1),IF(F97="",0,IF(F97&gt;=DATE(2027+6,4,30),G97*D97*(1+EscalatorInLease)^(6+M97),IF(F97&lt;DATE(2026+6,5,1),IF(I97="Vacate",H97*D97*(1+GrowthMarketRent)^6*IF(INT((DATE(2026+6,10,31)-F97)/365.25)=0,(12-DowntimeNew)/12,1),IF(I97="Option",G97*D97*1.025*(1+EscalatorInLease)^6,IF(I97="Market",Retention*G97*D97*(1+EscalatorInLease)^(6+M97)+(1-Retention)*H97*D97*(1+GrowthMarketRent)^6*IF(INT((DATE(2026+6,10,31)-F97)/365.25)=0,(12-DowntimeNew)/12,1),IF(I97="LeaseUp",H97*D97*(1+GrowthMarketRent)^6*IF(6=0,(12-DowntimeNew)/12,1),0)))),((F97-DATE(2026+6,5,1))/365.25)*G97*D97*(1+EscalatorInLease)^(6+M97)+((DATE(2027+6,4,30)-F97)/365.25)*IF(I97="Vacate",H97*D97*(1+GrowthMarketRent)^6*IF(INT((DATE(2026+6,10,31)-F97)/365.25)=0,(12-DowntimeNew)/12,1),IF(I97="Option",G97*D97*1.025*(1+EscalatorInLease)^6,IF(I97="Market",Retention*G97*D97*(1+EscalatorInLease)^(6+M97)+(1-Retention)*H97*D97*(1+GrowthMarketRent)^6*IF(INT((DATE(2026+6,10,31)-F97)/365.25)=0,(12-DowntimeNew)/12,1),IF(I97="LeaseUp",H97*D97*(1+GrowthMarketRent)^6*IF(6=0,(12-DowntimeNew)/12,1),0)))))))),0)</f>
        <v/>
      </c>
      <c r="U97" s="14">
        <f>IFERROR(IF(I97="LeaseUp",H97*D97*(1+GrowthMarketRent)^7*IF(7=0,(12-DowntimeNew)/12,1),IF(F97="",0,IF(F97&gt;=DATE(2027+7,4,30),G97*D97*(1+EscalatorInLease)^(7+M97),IF(F97&lt;DATE(2026+7,5,1),IF(I97="Vacate",H97*D97*(1+GrowthMarketRent)^7*IF(INT((DATE(2026+7,10,31)-F97)/365.25)=0,(12-DowntimeNew)/12,1),IF(I97="Option",G97*D97*1.025*(1+EscalatorInLease)^7,IF(I97="Market",Retention*G97*D97*(1+EscalatorInLease)^(7+M97)+(1-Retention)*H97*D97*(1+GrowthMarketRent)^7*IF(INT((DATE(2026+7,10,31)-F97)/365.25)=0,(12-DowntimeNew)/12,1),IF(I97="LeaseUp",H97*D97*(1+GrowthMarketRent)^7*IF(7=0,(12-DowntimeNew)/12,1),0)))),((F97-DATE(2026+7,5,1))/365.25)*G97*D97*(1+EscalatorInLease)^(7+M97)+((DATE(2027+7,4,30)-F97)/365.25)*IF(I97="Vacate",H97*D97*(1+GrowthMarketRent)^7*IF(INT((DATE(2026+7,10,31)-F97)/365.25)=0,(12-DowntimeNew)/12,1),IF(I97="Option",G97*D97*1.025*(1+EscalatorInLease)^7,IF(I97="Market",Retention*G97*D97*(1+EscalatorInLease)^(7+M97)+(1-Retention)*H97*D97*(1+GrowthMarketRent)^7*IF(INT((DATE(2026+7,10,31)-F97)/365.25)=0,(12-DowntimeNew)/12,1),IF(I97="LeaseUp",H97*D97*(1+GrowthMarketRent)^7*IF(7=0,(12-DowntimeNew)/12,1),0)))))))),0)</f>
        <v/>
      </c>
      <c r="V97" s="14">
        <f>IFERROR(IF(I97="LeaseUp",H97*D97*(1+GrowthMarketRent)^8*IF(8=0,(12-DowntimeNew)/12,1),IF(F97="",0,IF(F97&gt;=DATE(2027+8,4,30),G97*D97*(1+EscalatorInLease)^(8+M97),IF(F97&lt;DATE(2026+8,5,1),IF(I97="Vacate",H97*D97*(1+GrowthMarketRent)^8*IF(INT((DATE(2026+8,10,31)-F97)/365.25)=0,(12-DowntimeNew)/12,1),IF(I97="Option",G97*D97*1.025*(1+EscalatorInLease)^8,IF(I97="Market",Retention*G97*D97*(1+EscalatorInLease)^(8+M97)+(1-Retention)*H97*D97*(1+GrowthMarketRent)^8*IF(INT((DATE(2026+8,10,31)-F97)/365.25)=0,(12-DowntimeNew)/12,1),IF(I97="LeaseUp",H97*D97*(1+GrowthMarketRent)^8*IF(8=0,(12-DowntimeNew)/12,1),0)))),((F97-DATE(2026+8,5,1))/365.25)*G97*D97*(1+EscalatorInLease)^(8+M97)+((DATE(2027+8,4,30)-F97)/365.25)*IF(I97="Vacate",H97*D97*(1+GrowthMarketRent)^8*IF(INT((DATE(2026+8,10,31)-F97)/365.25)=0,(12-DowntimeNew)/12,1),IF(I97="Option",G97*D97*1.025*(1+EscalatorInLease)^8,IF(I97="Market",Retention*G97*D97*(1+EscalatorInLease)^(8+M97)+(1-Retention)*H97*D97*(1+GrowthMarketRent)^8*IF(INT((DATE(2026+8,10,31)-F97)/365.25)=0,(12-DowntimeNew)/12,1),IF(I97="LeaseUp",H97*D97*(1+GrowthMarketRent)^8*IF(8=0,(12-DowntimeNew)/12,1),0)))))))),0)</f>
        <v/>
      </c>
      <c r="W97" s="14">
        <f>IFERROR(IF(I97="LeaseUp",H97*D97*(1+GrowthMarketRent)^9*IF(9=0,(12-DowntimeNew)/12,1),IF(F97="",0,IF(F97&gt;=DATE(2027+9,4,30),G97*D97*(1+EscalatorInLease)^(9+M97),IF(F97&lt;DATE(2026+9,5,1),IF(I97="Vacate",H97*D97*(1+GrowthMarketRent)^9*IF(INT((DATE(2026+9,10,31)-F97)/365.25)=0,(12-DowntimeNew)/12,1),IF(I97="Option",G97*D97*1.025*(1+EscalatorInLease)^9,IF(I97="Market",Retention*G97*D97*(1+EscalatorInLease)^(9+M97)+(1-Retention)*H97*D97*(1+GrowthMarketRent)^9*IF(INT((DATE(2026+9,10,31)-F97)/365.25)=0,(12-DowntimeNew)/12,1),IF(I97="LeaseUp",H97*D97*(1+GrowthMarketRent)^9*IF(9=0,(12-DowntimeNew)/12,1),0)))),((F97-DATE(2026+9,5,1))/365.25)*G97*D97*(1+EscalatorInLease)^(9+M97)+((DATE(2027+9,4,30)-F97)/365.25)*IF(I97="Vacate",H97*D97*(1+GrowthMarketRent)^9*IF(INT((DATE(2026+9,10,31)-F97)/365.25)=0,(12-DowntimeNew)/12,1),IF(I97="Option",G97*D97*1.025*(1+EscalatorInLease)^9,IF(I97="Market",Retention*G97*D97*(1+EscalatorInLease)^(9+M97)+(1-Retention)*H97*D97*(1+GrowthMarketRent)^9*IF(INT((DATE(2026+9,10,31)-F97)/365.25)=0,(12-DowntimeNew)/12,1),IF(I97="LeaseUp",H97*D97*(1+GrowthMarketRent)^9*IF(9=0,(12-DowntimeNew)/12,1),0)))))))),0)</f>
        <v/>
      </c>
      <c r="X97" s="14">
        <f>IFERROR(IF(I97="LeaseUp",H97*D97*(1+GrowthMarketRent)^10*IF(10=0,(12-DowntimeNew)/12,1),IF(F97="",0,IF(F97&gt;=DATE(2027+10,4,30),G97*D97*(1+EscalatorInLease)^(10+M97),IF(F97&lt;DATE(2026+10,5,1),IF(I97="Vacate",H97*D97*(1+GrowthMarketRent)^10*IF(INT((DATE(2026+10,10,31)-F97)/365.25)=0,(12-DowntimeNew)/12,1),IF(I97="Option",G97*D97*1.025*(1+EscalatorInLease)^10,IF(I97="Market",Retention*G97*D97*(1+EscalatorInLease)^(10+M97)+(1-Retention)*H97*D97*(1+GrowthMarketRent)^10*IF(INT((DATE(2026+10,10,31)-F97)/365.25)=0,(12-DowntimeNew)/12,1),IF(I97="LeaseUp",H97*D97*(1+GrowthMarketRent)^10*IF(10=0,(12-DowntimeNew)/12,1),0)))),((F97-DATE(2026+10,5,1))/365.25)*G97*D97*(1+EscalatorInLease)^(10+M97)+((DATE(2027+10,4,30)-F97)/365.25)*IF(I97="Vacate",H97*D97*(1+GrowthMarketRent)^10*IF(INT((DATE(2026+10,10,31)-F97)/365.25)=0,(12-DowntimeNew)/12,1),IF(I97="Option",G97*D97*1.025*(1+EscalatorInLease)^10,IF(I97="Market",Retention*G97*D97*(1+EscalatorInLease)^(10+M97)+(1-Retention)*H97*D97*(1+GrowthMarketRent)^10*IF(INT((DATE(2026+10,10,31)-F97)/365.25)=0,(12-DowntimeNew)/12,1),IF(I97="LeaseUp",H97*D97*(1+GrowthMarketRent)^10*IF(10=0,(12-DowntimeNew)/12,1),0)))))))),0)</f>
        <v/>
      </c>
      <c r="Y97" s="14">
        <f>IFERROR(IF(AND(I97="LeaseUp",0=0),(IF(I97="Vacate",TINew*D97,IF(I97="Market",Retention*TIRenewal*D97+(1-Retention)*TINew*D97,IF(I97="LeaseUp",TINew*D97,IF(I97="Option",TIRenewal*D97,0)))))+(IF(I97="Vacate",LCNew*H97*D97*(1+GrowthMarketRent)^0,IF(I97="Market",Retention*LCRenewal*H97*D97*(1+GrowthMarketRent)^0+(1-Retention)*LCNew*H97*D97*(1+GrowthMarketRent)^0,IF(I97="LeaseUp",LCNew*H97*D97*(1+GrowthMarketRent)^0,IF(I97="Option",LCRenewal*H97*D97*(1+GrowthMarketRent)^0,0))))),IF(F97="",0,IF(AND(F97&gt;=DATE(2026+0,5,1),F97&lt;=DATE(2027+0,4,30)),(IF(I97="Vacate",TINew*D97,IF(I97="Market",Retention*TIRenewal*D97+(1-Retention)*TINew*D97,IF(I97="LeaseUp",TINew*D97,IF(I97="Option",TIRenewal*D97,0)))))+(IF(I97="Vacate",LCNew*H97*D97*(1+GrowthMarketRent)^0,IF(I97="Market",Retention*LCRenewal*H97*D97*(1+GrowthMarketRent)^0+(1-Retention)*LCNew*H97*D97*(1+GrowthMarketRent)^0,IF(I97="LeaseUp",LCNew*H97*D97*(1+GrowthMarketRent)^0,IF(I97="Option",LCRenewal*H97*D97*(1+GrowthMarketRent)^0,0))))),0))),0)</f>
        <v/>
      </c>
      <c r="Z97" s="14">
        <f>IFERROR(IF(AND(I97="LeaseUp",1=0),(IF(I97="Vacate",TINew*D97,IF(I97="Market",Retention*TIRenewal*D97+(1-Retention)*TINew*D97,IF(I97="LeaseUp",TINew*D97,IF(I97="Option",TIRenewal*D97,0)))))+(IF(I97="Vacate",LCNew*H97*D97*(1+GrowthMarketRent)^1,IF(I97="Market",Retention*LCRenewal*H97*D97*(1+GrowthMarketRent)^1+(1-Retention)*LCNew*H97*D97*(1+GrowthMarketRent)^1,IF(I97="LeaseUp",LCNew*H97*D97*(1+GrowthMarketRent)^1,IF(I97="Option",LCRenewal*H97*D97*(1+GrowthMarketRent)^1,0))))),IF(F97="",0,IF(AND(F97&gt;=DATE(2026+1,5,1),F97&lt;=DATE(2027+1,4,30)),(IF(I97="Vacate",TINew*D97,IF(I97="Market",Retention*TIRenewal*D97+(1-Retention)*TINew*D97,IF(I97="LeaseUp",TINew*D97,IF(I97="Option",TIRenewal*D97,0)))))+(IF(I97="Vacate",LCNew*H97*D97*(1+GrowthMarketRent)^1,IF(I97="Market",Retention*LCRenewal*H97*D97*(1+GrowthMarketRent)^1+(1-Retention)*LCNew*H97*D97*(1+GrowthMarketRent)^1,IF(I97="LeaseUp",LCNew*H97*D97*(1+GrowthMarketRent)^1,IF(I97="Option",LCRenewal*H97*D97*(1+GrowthMarketRent)^1,0))))),0))),0)</f>
        <v/>
      </c>
      <c r="AA97" s="14">
        <f>IFERROR(IF(AND(I97="LeaseUp",2=0),(IF(I97="Vacate",TINew*D97,IF(I97="Market",Retention*TIRenewal*D97+(1-Retention)*TINew*D97,IF(I97="LeaseUp",TINew*D97,IF(I97="Option",TIRenewal*D97,0)))))+(IF(I97="Vacate",LCNew*H97*D97*(1+GrowthMarketRent)^2,IF(I97="Market",Retention*LCRenewal*H97*D97*(1+GrowthMarketRent)^2+(1-Retention)*LCNew*H97*D97*(1+GrowthMarketRent)^2,IF(I97="LeaseUp",LCNew*H97*D97*(1+GrowthMarketRent)^2,IF(I97="Option",LCRenewal*H97*D97*(1+GrowthMarketRent)^2,0))))),IF(F97="",0,IF(AND(F97&gt;=DATE(2026+2,5,1),F97&lt;=DATE(2027+2,4,30)),(IF(I97="Vacate",TINew*D97,IF(I97="Market",Retention*TIRenewal*D97+(1-Retention)*TINew*D97,IF(I97="LeaseUp",TINew*D97,IF(I97="Option",TIRenewal*D97,0)))))+(IF(I97="Vacate",LCNew*H97*D97*(1+GrowthMarketRent)^2,IF(I97="Market",Retention*LCRenewal*H97*D97*(1+GrowthMarketRent)^2+(1-Retention)*LCNew*H97*D97*(1+GrowthMarketRent)^2,IF(I97="LeaseUp",LCNew*H97*D97*(1+GrowthMarketRent)^2,IF(I97="Option",LCRenewal*H97*D97*(1+GrowthMarketRent)^2,0))))),0))),0)</f>
        <v/>
      </c>
      <c r="AB97" s="14">
        <f>IFERROR(IF(AND(I97="LeaseUp",3=0),(IF(I97="Vacate",TINew*D97,IF(I97="Market",Retention*TIRenewal*D97+(1-Retention)*TINew*D97,IF(I97="LeaseUp",TINew*D97,IF(I97="Option",TIRenewal*D97,0)))))+(IF(I97="Vacate",LCNew*H97*D97*(1+GrowthMarketRent)^3,IF(I97="Market",Retention*LCRenewal*H97*D97*(1+GrowthMarketRent)^3+(1-Retention)*LCNew*H97*D97*(1+GrowthMarketRent)^3,IF(I97="LeaseUp",LCNew*H97*D97*(1+GrowthMarketRent)^3,IF(I97="Option",LCRenewal*H97*D97*(1+GrowthMarketRent)^3,0))))),IF(F97="",0,IF(AND(F97&gt;=DATE(2026+3,5,1),F97&lt;=DATE(2027+3,4,30)),(IF(I97="Vacate",TINew*D97,IF(I97="Market",Retention*TIRenewal*D97+(1-Retention)*TINew*D97,IF(I97="LeaseUp",TINew*D97,IF(I97="Option",TIRenewal*D97,0)))))+(IF(I97="Vacate",LCNew*H97*D97*(1+GrowthMarketRent)^3,IF(I97="Market",Retention*LCRenewal*H97*D97*(1+GrowthMarketRent)^3+(1-Retention)*LCNew*H97*D97*(1+GrowthMarketRent)^3,IF(I97="LeaseUp",LCNew*H97*D97*(1+GrowthMarketRent)^3,IF(I97="Option",LCRenewal*H97*D97*(1+GrowthMarketRent)^3,0))))),0))),0)</f>
        <v/>
      </c>
      <c r="AC97" s="14">
        <f>IFERROR(IF(AND(I97="LeaseUp",4=0),(IF(I97="Vacate",TINew*D97,IF(I97="Market",Retention*TIRenewal*D97+(1-Retention)*TINew*D97,IF(I97="LeaseUp",TINew*D97,IF(I97="Option",TIRenewal*D97,0)))))+(IF(I97="Vacate",LCNew*H97*D97*(1+GrowthMarketRent)^4,IF(I97="Market",Retention*LCRenewal*H97*D97*(1+GrowthMarketRent)^4+(1-Retention)*LCNew*H97*D97*(1+GrowthMarketRent)^4,IF(I97="LeaseUp",LCNew*H97*D97*(1+GrowthMarketRent)^4,IF(I97="Option",LCRenewal*H97*D97*(1+GrowthMarketRent)^4,0))))),IF(F97="",0,IF(AND(F97&gt;=DATE(2026+4,5,1),F97&lt;=DATE(2027+4,4,30)),(IF(I97="Vacate",TINew*D97,IF(I97="Market",Retention*TIRenewal*D97+(1-Retention)*TINew*D97,IF(I97="LeaseUp",TINew*D97,IF(I97="Option",TIRenewal*D97,0)))))+(IF(I97="Vacate",LCNew*H97*D97*(1+GrowthMarketRent)^4,IF(I97="Market",Retention*LCRenewal*H97*D97*(1+GrowthMarketRent)^4+(1-Retention)*LCNew*H97*D97*(1+GrowthMarketRent)^4,IF(I97="LeaseUp",LCNew*H97*D97*(1+GrowthMarketRent)^4,IF(I97="Option",LCRenewal*H97*D97*(1+GrowthMarketRent)^4,0))))),0))),0)</f>
        <v/>
      </c>
      <c r="AD97" s="14">
        <f>IFERROR(IF(AND(I97="LeaseUp",5=0),(IF(I97="Vacate",TINew*D97,IF(I97="Market",Retention*TIRenewal*D97+(1-Retention)*TINew*D97,IF(I97="LeaseUp",TINew*D97,IF(I97="Option",TIRenewal*D97,0)))))+(IF(I97="Vacate",LCNew*H97*D97*(1+GrowthMarketRent)^5,IF(I97="Market",Retention*LCRenewal*H97*D97*(1+GrowthMarketRent)^5+(1-Retention)*LCNew*H97*D97*(1+GrowthMarketRent)^5,IF(I97="LeaseUp",LCNew*H97*D97*(1+GrowthMarketRent)^5,IF(I97="Option",LCRenewal*H97*D97*(1+GrowthMarketRent)^5,0))))),IF(F97="",0,IF(AND(F97&gt;=DATE(2026+5,5,1),F97&lt;=DATE(2027+5,4,30)),(IF(I97="Vacate",TINew*D97,IF(I97="Market",Retention*TIRenewal*D97+(1-Retention)*TINew*D97,IF(I97="LeaseUp",TINew*D97,IF(I97="Option",TIRenewal*D97,0)))))+(IF(I97="Vacate",LCNew*H97*D97*(1+GrowthMarketRent)^5,IF(I97="Market",Retention*LCRenewal*H97*D97*(1+GrowthMarketRent)^5+(1-Retention)*LCNew*H97*D97*(1+GrowthMarketRent)^5,IF(I97="LeaseUp",LCNew*H97*D97*(1+GrowthMarketRent)^5,IF(I97="Option",LCRenewal*H97*D97*(1+GrowthMarketRent)^5,0))))),0))),0)</f>
        <v/>
      </c>
      <c r="AE97" s="14">
        <f>IFERROR(IF(AND(I97="LeaseUp",6=0),(IF(I97="Vacate",TINew*D97,IF(I97="Market",Retention*TIRenewal*D97+(1-Retention)*TINew*D97,IF(I97="LeaseUp",TINew*D97,IF(I97="Option",TIRenewal*D97,0)))))+(IF(I97="Vacate",LCNew*H97*D97*(1+GrowthMarketRent)^6,IF(I97="Market",Retention*LCRenewal*H97*D97*(1+GrowthMarketRent)^6+(1-Retention)*LCNew*H97*D97*(1+GrowthMarketRent)^6,IF(I97="LeaseUp",LCNew*H97*D97*(1+GrowthMarketRent)^6,IF(I97="Option",LCRenewal*H97*D97*(1+GrowthMarketRent)^6,0))))),IF(F97="",0,IF(AND(F97&gt;=DATE(2026+6,5,1),F97&lt;=DATE(2027+6,4,30)),(IF(I97="Vacate",TINew*D97,IF(I97="Market",Retention*TIRenewal*D97+(1-Retention)*TINew*D97,IF(I97="LeaseUp",TINew*D97,IF(I97="Option",TIRenewal*D97,0)))))+(IF(I97="Vacate",LCNew*H97*D97*(1+GrowthMarketRent)^6,IF(I97="Market",Retention*LCRenewal*H97*D97*(1+GrowthMarketRent)^6+(1-Retention)*LCNew*H97*D97*(1+GrowthMarketRent)^6,IF(I97="LeaseUp",LCNew*H97*D97*(1+GrowthMarketRent)^6,IF(I97="Option",LCRenewal*H97*D97*(1+GrowthMarketRent)^6,0))))),0))),0)</f>
        <v/>
      </c>
      <c r="AF97" s="14">
        <f>IFERROR(IF(AND(I97="LeaseUp",7=0),(IF(I97="Vacate",TINew*D97,IF(I97="Market",Retention*TIRenewal*D97+(1-Retention)*TINew*D97,IF(I97="LeaseUp",TINew*D97,IF(I97="Option",TIRenewal*D97,0)))))+(IF(I97="Vacate",LCNew*H97*D97*(1+GrowthMarketRent)^7,IF(I97="Market",Retention*LCRenewal*H97*D97*(1+GrowthMarketRent)^7+(1-Retention)*LCNew*H97*D97*(1+GrowthMarketRent)^7,IF(I97="LeaseUp",LCNew*H97*D97*(1+GrowthMarketRent)^7,IF(I97="Option",LCRenewal*H97*D97*(1+GrowthMarketRent)^7,0))))),IF(F97="",0,IF(AND(F97&gt;=DATE(2026+7,5,1),F97&lt;=DATE(2027+7,4,30)),(IF(I97="Vacate",TINew*D97,IF(I97="Market",Retention*TIRenewal*D97+(1-Retention)*TINew*D97,IF(I97="LeaseUp",TINew*D97,IF(I97="Option",TIRenewal*D97,0)))))+(IF(I97="Vacate",LCNew*H97*D97*(1+GrowthMarketRent)^7,IF(I97="Market",Retention*LCRenewal*H97*D97*(1+GrowthMarketRent)^7+(1-Retention)*LCNew*H97*D97*(1+GrowthMarketRent)^7,IF(I97="LeaseUp",LCNew*H97*D97*(1+GrowthMarketRent)^7,IF(I97="Option",LCRenewal*H97*D97*(1+GrowthMarketRent)^7,0))))),0))),0)</f>
        <v/>
      </c>
      <c r="AG97" s="14">
        <f>IFERROR(IF(AND(I97="LeaseUp",8=0),(IF(I97="Vacate",TINew*D97,IF(I97="Market",Retention*TIRenewal*D97+(1-Retention)*TINew*D97,IF(I97="LeaseUp",TINew*D97,IF(I97="Option",TIRenewal*D97,0)))))+(IF(I97="Vacate",LCNew*H97*D97*(1+GrowthMarketRent)^8,IF(I97="Market",Retention*LCRenewal*H97*D97*(1+GrowthMarketRent)^8+(1-Retention)*LCNew*H97*D97*(1+GrowthMarketRent)^8,IF(I97="LeaseUp",LCNew*H97*D97*(1+GrowthMarketRent)^8,IF(I97="Option",LCRenewal*H97*D97*(1+GrowthMarketRent)^8,0))))),IF(F97="",0,IF(AND(F97&gt;=DATE(2026+8,5,1),F97&lt;=DATE(2027+8,4,30)),(IF(I97="Vacate",TINew*D97,IF(I97="Market",Retention*TIRenewal*D97+(1-Retention)*TINew*D97,IF(I97="LeaseUp",TINew*D97,IF(I97="Option",TIRenewal*D97,0)))))+(IF(I97="Vacate",LCNew*H97*D97*(1+GrowthMarketRent)^8,IF(I97="Market",Retention*LCRenewal*H97*D97*(1+GrowthMarketRent)^8+(1-Retention)*LCNew*H97*D97*(1+GrowthMarketRent)^8,IF(I97="LeaseUp",LCNew*H97*D97*(1+GrowthMarketRent)^8,IF(I97="Option",LCRenewal*H97*D97*(1+GrowthMarketRent)^8,0))))),0))),0)</f>
        <v/>
      </c>
      <c r="AH97" s="14">
        <f>IFERROR(IF(AND(I97="LeaseUp",9=0),(IF(I97="Vacate",TINew*D97,IF(I97="Market",Retention*TIRenewal*D97+(1-Retention)*TINew*D97,IF(I97="LeaseUp",TINew*D97,IF(I97="Option",TIRenewal*D97,0)))))+(IF(I97="Vacate",LCNew*H97*D97*(1+GrowthMarketRent)^9,IF(I97="Market",Retention*LCRenewal*H97*D97*(1+GrowthMarketRent)^9+(1-Retention)*LCNew*H97*D97*(1+GrowthMarketRent)^9,IF(I97="LeaseUp",LCNew*H97*D97*(1+GrowthMarketRent)^9,IF(I97="Option",LCRenewal*H97*D97*(1+GrowthMarketRent)^9,0))))),IF(F97="",0,IF(AND(F97&gt;=DATE(2026+9,5,1),F97&lt;=DATE(2027+9,4,30)),(IF(I97="Vacate",TINew*D97,IF(I97="Market",Retention*TIRenewal*D97+(1-Retention)*TINew*D97,IF(I97="LeaseUp",TINew*D97,IF(I97="Option",TIRenewal*D97,0)))))+(IF(I97="Vacate",LCNew*H97*D97*(1+GrowthMarketRent)^9,IF(I97="Market",Retention*LCRenewal*H97*D97*(1+GrowthMarketRent)^9+(1-Retention)*LCNew*H97*D97*(1+GrowthMarketRent)^9,IF(I97="LeaseUp",LCNew*H97*D97*(1+GrowthMarketRent)^9,IF(I97="Option",LCRenewal*H97*D97*(1+GrowthMarketRent)^9,0))))),0))),0)</f>
        <v/>
      </c>
      <c r="AI97" s="14">
        <f>IFERROR(IF(AND(I97="LeaseUp",10=0),(IF(I97="Vacate",TINew*D97,IF(I97="Market",Retention*TIRenewal*D97+(1-Retention)*TINew*D97,IF(I97="LeaseUp",TINew*D97,IF(I97="Option",TIRenewal*D97,0)))))+(IF(I97="Vacate",LCNew*H97*D97*(1+GrowthMarketRent)^10,IF(I97="Market",Retention*LCRenewal*H97*D97*(1+GrowthMarketRent)^10+(1-Retention)*LCNew*H97*D97*(1+GrowthMarketRent)^10,IF(I97="LeaseUp",LCNew*H97*D97*(1+GrowthMarketRent)^10,IF(I97="Option",LCRenewal*H97*D97*(1+GrowthMarketRent)^10,0))))),IF(F97="",0,IF(AND(F97&gt;=DATE(2026+10,5,1),F97&lt;=DATE(2027+10,4,30)),(IF(I97="Vacate",TINew*D97,IF(I97="Market",Retention*TIRenewal*D97+(1-Retention)*TINew*D97,IF(I97="LeaseUp",TINew*D97,IF(I97="Option",TIRenewal*D97,0)))))+(IF(I97="Vacate",LCNew*H97*D97*(1+GrowthMarketRent)^10,IF(I97="Market",Retention*LCRenewal*H97*D97*(1+GrowthMarketRent)^10+(1-Retention)*LCNew*H97*D97*(1+GrowthMarketRent)^10,IF(I97="LeaseUp",LCNew*H97*D97*(1+GrowthMarketRent)^10,IF(I97="Option",LCRenewal*H97*D97*(1+GrowthMarketRent)^10,0))))),0))),0)</f>
        <v/>
      </c>
    </row>
    <row r="98">
      <c r="A98" t="inlineStr">
        <is>
          <t>Lewisville</t>
        </is>
      </c>
      <c r="B98" t="inlineStr">
        <is>
          <t>108</t>
        </is>
      </c>
      <c r="C98" t="inlineStr">
        <is>
          <t>Greenco Construction Services Inc.</t>
        </is>
      </c>
      <c r="D98" s="32" t="n">
        <v>2600</v>
      </c>
      <c r="E98" s="33" t="n">
        <v>45139</v>
      </c>
      <c r="F98" s="33" t="n">
        <v>46388</v>
      </c>
      <c r="G98" s="34" t="n">
        <v>15.4965384615385</v>
      </c>
      <c r="H98" s="16">
        <f>VLOOKUP(A98,MLA!$A$5:$L$11,3,FALSE)</f>
        <v/>
      </c>
      <c r="I98" s="11" t="inlineStr">
        <is>
          <t>Option</t>
        </is>
      </c>
      <c r="J98" t="inlineStr">
        <is>
          <t>Shop</t>
        </is>
      </c>
      <c r="K98" t="inlineStr">
        <is>
          <t>Occupied</t>
        </is>
      </c>
      <c r="L98" t="inlineStr">
        <is>
          <t>Shop; Guarantor: Tad Bush; Two 3yr options</t>
        </is>
      </c>
      <c r="M98" s="20">
        <f>IF(E98="",0,(AnalysisStart-E98)/365.25)</f>
        <v/>
      </c>
      <c r="N98" s="14">
        <f>IFERROR(IF(I98="LeaseUp",H98*D98*(1+GrowthMarketRent)^0*IF(0=0,(12-DowntimeNew)/12,1),IF(F98="",0,IF(F98&gt;=DATE(2027+0,4,30),G98*D98*(1+EscalatorInLease)^(0+M98),IF(F98&lt;DATE(2026+0,5,1),IF(I98="Vacate",H98*D98*(1+GrowthMarketRent)^0*IF(INT((DATE(2026+0,10,31)-F98)/365.25)=0,(12-DowntimeNew)/12,1),IF(I98="Option",G98*D98*1.025*(1+EscalatorInLease)^0,IF(I98="Market",Retention*G98*D98*(1+EscalatorInLease)^(0+M98)+(1-Retention)*H98*D98*(1+GrowthMarketRent)^0*IF(INT((DATE(2026+0,10,31)-F98)/365.25)=0,(12-DowntimeNew)/12,1),IF(I98="LeaseUp",H98*D98*(1+GrowthMarketRent)^0*IF(0=0,(12-DowntimeNew)/12,1),0)))),((F98-DATE(2026+0,5,1))/365.25)*G98*D98*(1+EscalatorInLease)^(0+M98)+((DATE(2027+0,4,30)-F98)/365.25)*IF(I98="Vacate",H98*D98*(1+GrowthMarketRent)^0*IF(INT((DATE(2026+0,10,31)-F98)/365.25)=0,(12-DowntimeNew)/12,1),IF(I98="Option",G98*D98*1.025*(1+EscalatorInLease)^0,IF(I98="Market",Retention*G98*D98*(1+EscalatorInLease)^(0+M98)+(1-Retention)*H98*D98*(1+GrowthMarketRent)^0*IF(INT((DATE(2026+0,10,31)-F98)/365.25)=0,(12-DowntimeNew)/12,1),IF(I98="LeaseUp",H98*D98*(1+GrowthMarketRent)^0*IF(0=0,(12-DowntimeNew)/12,1),0)))))))),0)</f>
        <v/>
      </c>
      <c r="O98" s="14">
        <f>IFERROR(IF(I98="LeaseUp",H98*D98*(1+GrowthMarketRent)^1*IF(1=0,(12-DowntimeNew)/12,1),IF(F98="",0,IF(F98&gt;=DATE(2027+1,4,30),G98*D98*(1+EscalatorInLease)^(1+M98),IF(F98&lt;DATE(2026+1,5,1),IF(I98="Vacate",H98*D98*(1+GrowthMarketRent)^1*IF(INT((DATE(2026+1,10,31)-F98)/365.25)=0,(12-DowntimeNew)/12,1),IF(I98="Option",G98*D98*1.025*(1+EscalatorInLease)^1,IF(I98="Market",Retention*G98*D98*(1+EscalatorInLease)^(1+M98)+(1-Retention)*H98*D98*(1+GrowthMarketRent)^1*IF(INT((DATE(2026+1,10,31)-F98)/365.25)=0,(12-DowntimeNew)/12,1),IF(I98="LeaseUp",H98*D98*(1+GrowthMarketRent)^1*IF(1=0,(12-DowntimeNew)/12,1),0)))),((F98-DATE(2026+1,5,1))/365.25)*G98*D98*(1+EscalatorInLease)^(1+M98)+((DATE(2027+1,4,30)-F98)/365.25)*IF(I98="Vacate",H98*D98*(1+GrowthMarketRent)^1*IF(INT((DATE(2026+1,10,31)-F98)/365.25)=0,(12-DowntimeNew)/12,1),IF(I98="Option",G98*D98*1.025*(1+EscalatorInLease)^1,IF(I98="Market",Retention*G98*D98*(1+EscalatorInLease)^(1+M98)+(1-Retention)*H98*D98*(1+GrowthMarketRent)^1*IF(INT((DATE(2026+1,10,31)-F98)/365.25)=0,(12-DowntimeNew)/12,1),IF(I98="LeaseUp",H98*D98*(1+GrowthMarketRent)^1*IF(1=0,(12-DowntimeNew)/12,1),0)))))))),0)</f>
        <v/>
      </c>
      <c r="P98" s="14">
        <f>IFERROR(IF(I98="LeaseUp",H98*D98*(1+GrowthMarketRent)^2*IF(2=0,(12-DowntimeNew)/12,1),IF(F98="",0,IF(F98&gt;=DATE(2027+2,4,30),G98*D98*(1+EscalatorInLease)^(2+M98),IF(F98&lt;DATE(2026+2,5,1),IF(I98="Vacate",H98*D98*(1+GrowthMarketRent)^2*IF(INT((DATE(2026+2,10,31)-F98)/365.25)=0,(12-DowntimeNew)/12,1),IF(I98="Option",G98*D98*1.025*(1+EscalatorInLease)^2,IF(I98="Market",Retention*G98*D98*(1+EscalatorInLease)^(2+M98)+(1-Retention)*H98*D98*(1+GrowthMarketRent)^2*IF(INT((DATE(2026+2,10,31)-F98)/365.25)=0,(12-DowntimeNew)/12,1),IF(I98="LeaseUp",H98*D98*(1+GrowthMarketRent)^2*IF(2=0,(12-DowntimeNew)/12,1),0)))),((F98-DATE(2026+2,5,1))/365.25)*G98*D98*(1+EscalatorInLease)^(2+M98)+((DATE(2027+2,4,30)-F98)/365.25)*IF(I98="Vacate",H98*D98*(1+GrowthMarketRent)^2*IF(INT((DATE(2026+2,10,31)-F98)/365.25)=0,(12-DowntimeNew)/12,1),IF(I98="Option",G98*D98*1.025*(1+EscalatorInLease)^2,IF(I98="Market",Retention*G98*D98*(1+EscalatorInLease)^(2+M98)+(1-Retention)*H98*D98*(1+GrowthMarketRent)^2*IF(INT((DATE(2026+2,10,31)-F98)/365.25)=0,(12-DowntimeNew)/12,1),IF(I98="LeaseUp",H98*D98*(1+GrowthMarketRent)^2*IF(2=0,(12-DowntimeNew)/12,1),0)))))))),0)</f>
        <v/>
      </c>
      <c r="Q98" s="14">
        <f>IFERROR(IF(I98="LeaseUp",H98*D98*(1+GrowthMarketRent)^3*IF(3=0,(12-DowntimeNew)/12,1),IF(F98="",0,IF(F98&gt;=DATE(2027+3,4,30),G98*D98*(1+EscalatorInLease)^(3+M98),IF(F98&lt;DATE(2026+3,5,1),IF(I98="Vacate",H98*D98*(1+GrowthMarketRent)^3*IF(INT((DATE(2026+3,10,31)-F98)/365.25)=0,(12-DowntimeNew)/12,1),IF(I98="Option",G98*D98*1.025*(1+EscalatorInLease)^3,IF(I98="Market",Retention*G98*D98*(1+EscalatorInLease)^(3+M98)+(1-Retention)*H98*D98*(1+GrowthMarketRent)^3*IF(INT((DATE(2026+3,10,31)-F98)/365.25)=0,(12-DowntimeNew)/12,1),IF(I98="LeaseUp",H98*D98*(1+GrowthMarketRent)^3*IF(3=0,(12-DowntimeNew)/12,1),0)))),((F98-DATE(2026+3,5,1))/365.25)*G98*D98*(1+EscalatorInLease)^(3+M98)+((DATE(2027+3,4,30)-F98)/365.25)*IF(I98="Vacate",H98*D98*(1+GrowthMarketRent)^3*IF(INT((DATE(2026+3,10,31)-F98)/365.25)=0,(12-DowntimeNew)/12,1),IF(I98="Option",G98*D98*1.025*(1+EscalatorInLease)^3,IF(I98="Market",Retention*G98*D98*(1+EscalatorInLease)^(3+M98)+(1-Retention)*H98*D98*(1+GrowthMarketRent)^3*IF(INT((DATE(2026+3,10,31)-F98)/365.25)=0,(12-DowntimeNew)/12,1),IF(I98="LeaseUp",H98*D98*(1+GrowthMarketRent)^3*IF(3=0,(12-DowntimeNew)/12,1),0)))))))),0)</f>
        <v/>
      </c>
      <c r="R98" s="14">
        <f>IFERROR(IF(I98="LeaseUp",H98*D98*(1+GrowthMarketRent)^4*IF(4=0,(12-DowntimeNew)/12,1),IF(F98="",0,IF(F98&gt;=DATE(2027+4,4,30),G98*D98*(1+EscalatorInLease)^(4+M98),IF(F98&lt;DATE(2026+4,5,1),IF(I98="Vacate",H98*D98*(1+GrowthMarketRent)^4*IF(INT((DATE(2026+4,10,31)-F98)/365.25)=0,(12-DowntimeNew)/12,1),IF(I98="Option",G98*D98*1.025*(1+EscalatorInLease)^4,IF(I98="Market",Retention*G98*D98*(1+EscalatorInLease)^(4+M98)+(1-Retention)*H98*D98*(1+GrowthMarketRent)^4*IF(INT((DATE(2026+4,10,31)-F98)/365.25)=0,(12-DowntimeNew)/12,1),IF(I98="LeaseUp",H98*D98*(1+GrowthMarketRent)^4*IF(4=0,(12-DowntimeNew)/12,1),0)))),((F98-DATE(2026+4,5,1))/365.25)*G98*D98*(1+EscalatorInLease)^(4+M98)+((DATE(2027+4,4,30)-F98)/365.25)*IF(I98="Vacate",H98*D98*(1+GrowthMarketRent)^4*IF(INT((DATE(2026+4,10,31)-F98)/365.25)=0,(12-DowntimeNew)/12,1),IF(I98="Option",G98*D98*1.025*(1+EscalatorInLease)^4,IF(I98="Market",Retention*G98*D98*(1+EscalatorInLease)^(4+M98)+(1-Retention)*H98*D98*(1+GrowthMarketRent)^4*IF(INT((DATE(2026+4,10,31)-F98)/365.25)=0,(12-DowntimeNew)/12,1),IF(I98="LeaseUp",H98*D98*(1+GrowthMarketRent)^4*IF(4=0,(12-DowntimeNew)/12,1),0)))))))),0)</f>
        <v/>
      </c>
      <c r="S98" s="14">
        <f>IFERROR(IF(I98="LeaseUp",H98*D98*(1+GrowthMarketRent)^5*IF(5=0,(12-DowntimeNew)/12,1),IF(F98="",0,IF(F98&gt;=DATE(2027+5,4,30),G98*D98*(1+EscalatorInLease)^(5+M98),IF(F98&lt;DATE(2026+5,5,1),IF(I98="Vacate",H98*D98*(1+GrowthMarketRent)^5*IF(INT((DATE(2026+5,10,31)-F98)/365.25)=0,(12-DowntimeNew)/12,1),IF(I98="Option",G98*D98*1.025*(1+EscalatorInLease)^5,IF(I98="Market",Retention*G98*D98*(1+EscalatorInLease)^(5+M98)+(1-Retention)*H98*D98*(1+GrowthMarketRent)^5*IF(INT((DATE(2026+5,10,31)-F98)/365.25)=0,(12-DowntimeNew)/12,1),IF(I98="LeaseUp",H98*D98*(1+GrowthMarketRent)^5*IF(5=0,(12-DowntimeNew)/12,1),0)))),((F98-DATE(2026+5,5,1))/365.25)*G98*D98*(1+EscalatorInLease)^(5+M98)+((DATE(2027+5,4,30)-F98)/365.25)*IF(I98="Vacate",H98*D98*(1+GrowthMarketRent)^5*IF(INT((DATE(2026+5,10,31)-F98)/365.25)=0,(12-DowntimeNew)/12,1),IF(I98="Option",G98*D98*1.025*(1+EscalatorInLease)^5,IF(I98="Market",Retention*G98*D98*(1+EscalatorInLease)^(5+M98)+(1-Retention)*H98*D98*(1+GrowthMarketRent)^5*IF(INT((DATE(2026+5,10,31)-F98)/365.25)=0,(12-DowntimeNew)/12,1),IF(I98="LeaseUp",H98*D98*(1+GrowthMarketRent)^5*IF(5=0,(12-DowntimeNew)/12,1),0)))))))),0)</f>
        <v/>
      </c>
      <c r="T98" s="14">
        <f>IFERROR(IF(I98="LeaseUp",H98*D98*(1+GrowthMarketRent)^6*IF(6=0,(12-DowntimeNew)/12,1),IF(F98="",0,IF(F98&gt;=DATE(2027+6,4,30),G98*D98*(1+EscalatorInLease)^(6+M98),IF(F98&lt;DATE(2026+6,5,1),IF(I98="Vacate",H98*D98*(1+GrowthMarketRent)^6*IF(INT((DATE(2026+6,10,31)-F98)/365.25)=0,(12-DowntimeNew)/12,1),IF(I98="Option",G98*D98*1.025*(1+EscalatorInLease)^6,IF(I98="Market",Retention*G98*D98*(1+EscalatorInLease)^(6+M98)+(1-Retention)*H98*D98*(1+GrowthMarketRent)^6*IF(INT((DATE(2026+6,10,31)-F98)/365.25)=0,(12-DowntimeNew)/12,1),IF(I98="LeaseUp",H98*D98*(1+GrowthMarketRent)^6*IF(6=0,(12-DowntimeNew)/12,1),0)))),((F98-DATE(2026+6,5,1))/365.25)*G98*D98*(1+EscalatorInLease)^(6+M98)+((DATE(2027+6,4,30)-F98)/365.25)*IF(I98="Vacate",H98*D98*(1+GrowthMarketRent)^6*IF(INT((DATE(2026+6,10,31)-F98)/365.25)=0,(12-DowntimeNew)/12,1),IF(I98="Option",G98*D98*1.025*(1+EscalatorInLease)^6,IF(I98="Market",Retention*G98*D98*(1+EscalatorInLease)^(6+M98)+(1-Retention)*H98*D98*(1+GrowthMarketRent)^6*IF(INT((DATE(2026+6,10,31)-F98)/365.25)=0,(12-DowntimeNew)/12,1),IF(I98="LeaseUp",H98*D98*(1+GrowthMarketRent)^6*IF(6=0,(12-DowntimeNew)/12,1),0)))))))),0)</f>
        <v/>
      </c>
      <c r="U98" s="14">
        <f>IFERROR(IF(I98="LeaseUp",H98*D98*(1+GrowthMarketRent)^7*IF(7=0,(12-DowntimeNew)/12,1),IF(F98="",0,IF(F98&gt;=DATE(2027+7,4,30),G98*D98*(1+EscalatorInLease)^(7+M98),IF(F98&lt;DATE(2026+7,5,1),IF(I98="Vacate",H98*D98*(1+GrowthMarketRent)^7*IF(INT((DATE(2026+7,10,31)-F98)/365.25)=0,(12-DowntimeNew)/12,1),IF(I98="Option",G98*D98*1.025*(1+EscalatorInLease)^7,IF(I98="Market",Retention*G98*D98*(1+EscalatorInLease)^(7+M98)+(1-Retention)*H98*D98*(1+GrowthMarketRent)^7*IF(INT((DATE(2026+7,10,31)-F98)/365.25)=0,(12-DowntimeNew)/12,1),IF(I98="LeaseUp",H98*D98*(1+GrowthMarketRent)^7*IF(7=0,(12-DowntimeNew)/12,1),0)))),((F98-DATE(2026+7,5,1))/365.25)*G98*D98*(1+EscalatorInLease)^(7+M98)+((DATE(2027+7,4,30)-F98)/365.25)*IF(I98="Vacate",H98*D98*(1+GrowthMarketRent)^7*IF(INT((DATE(2026+7,10,31)-F98)/365.25)=0,(12-DowntimeNew)/12,1),IF(I98="Option",G98*D98*1.025*(1+EscalatorInLease)^7,IF(I98="Market",Retention*G98*D98*(1+EscalatorInLease)^(7+M98)+(1-Retention)*H98*D98*(1+GrowthMarketRent)^7*IF(INT((DATE(2026+7,10,31)-F98)/365.25)=0,(12-DowntimeNew)/12,1),IF(I98="LeaseUp",H98*D98*(1+GrowthMarketRent)^7*IF(7=0,(12-DowntimeNew)/12,1),0)))))))),0)</f>
        <v/>
      </c>
      <c r="V98" s="14">
        <f>IFERROR(IF(I98="LeaseUp",H98*D98*(1+GrowthMarketRent)^8*IF(8=0,(12-DowntimeNew)/12,1),IF(F98="",0,IF(F98&gt;=DATE(2027+8,4,30),G98*D98*(1+EscalatorInLease)^(8+M98),IF(F98&lt;DATE(2026+8,5,1),IF(I98="Vacate",H98*D98*(1+GrowthMarketRent)^8*IF(INT((DATE(2026+8,10,31)-F98)/365.25)=0,(12-DowntimeNew)/12,1),IF(I98="Option",G98*D98*1.025*(1+EscalatorInLease)^8,IF(I98="Market",Retention*G98*D98*(1+EscalatorInLease)^(8+M98)+(1-Retention)*H98*D98*(1+GrowthMarketRent)^8*IF(INT((DATE(2026+8,10,31)-F98)/365.25)=0,(12-DowntimeNew)/12,1),IF(I98="LeaseUp",H98*D98*(1+GrowthMarketRent)^8*IF(8=0,(12-DowntimeNew)/12,1),0)))),((F98-DATE(2026+8,5,1))/365.25)*G98*D98*(1+EscalatorInLease)^(8+M98)+((DATE(2027+8,4,30)-F98)/365.25)*IF(I98="Vacate",H98*D98*(1+GrowthMarketRent)^8*IF(INT((DATE(2026+8,10,31)-F98)/365.25)=0,(12-DowntimeNew)/12,1),IF(I98="Option",G98*D98*1.025*(1+EscalatorInLease)^8,IF(I98="Market",Retention*G98*D98*(1+EscalatorInLease)^(8+M98)+(1-Retention)*H98*D98*(1+GrowthMarketRent)^8*IF(INT((DATE(2026+8,10,31)-F98)/365.25)=0,(12-DowntimeNew)/12,1),IF(I98="LeaseUp",H98*D98*(1+GrowthMarketRent)^8*IF(8=0,(12-DowntimeNew)/12,1),0)))))))),0)</f>
        <v/>
      </c>
      <c r="W98" s="14">
        <f>IFERROR(IF(I98="LeaseUp",H98*D98*(1+GrowthMarketRent)^9*IF(9=0,(12-DowntimeNew)/12,1),IF(F98="",0,IF(F98&gt;=DATE(2027+9,4,30),G98*D98*(1+EscalatorInLease)^(9+M98),IF(F98&lt;DATE(2026+9,5,1),IF(I98="Vacate",H98*D98*(1+GrowthMarketRent)^9*IF(INT((DATE(2026+9,10,31)-F98)/365.25)=0,(12-DowntimeNew)/12,1),IF(I98="Option",G98*D98*1.025*(1+EscalatorInLease)^9,IF(I98="Market",Retention*G98*D98*(1+EscalatorInLease)^(9+M98)+(1-Retention)*H98*D98*(1+GrowthMarketRent)^9*IF(INT((DATE(2026+9,10,31)-F98)/365.25)=0,(12-DowntimeNew)/12,1),IF(I98="LeaseUp",H98*D98*(1+GrowthMarketRent)^9*IF(9=0,(12-DowntimeNew)/12,1),0)))),((F98-DATE(2026+9,5,1))/365.25)*G98*D98*(1+EscalatorInLease)^(9+M98)+((DATE(2027+9,4,30)-F98)/365.25)*IF(I98="Vacate",H98*D98*(1+GrowthMarketRent)^9*IF(INT((DATE(2026+9,10,31)-F98)/365.25)=0,(12-DowntimeNew)/12,1),IF(I98="Option",G98*D98*1.025*(1+EscalatorInLease)^9,IF(I98="Market",Retention*G98*D98*(1+EscalatorInLease)^(9+M98)+(1-Retention)*H98*D98*(1+GrowthMarketRent)^9*IF(INT((DATE(2026+9,10,31)-F98)/365.25)=0,(12-DowntimeNew)/12,1),IF(I98="LeaseUp",H98*D98*(1+GrowthMarketRent)^9*IF(9=0,(12-DowntimeNew)/12,1),0)))))))),0)</f>
        <v/>
      </c>
      <c r="X98" s="14">
        <f>IFERROR(IF(I98="LeaseUp",H98*D98*(1+GrowthMarketRent)^10*IF(10=0,(12-DowntimeNew)/12,1),IF(F98="",0,IF(F98&gt;=DATE(2027+10,4,30),G98*D98*(1+EscalatorInLease)^(10+M98),IF(F98&lt;DATE(2026+10,5,1),IF(I98="Vacate",H98*D98*(1+GrowthMarketRent)^10*IF(INT((DATE(2026+10,10,31)-F98)/365.25)=0,(12-DowntimeNew)/12,1),IF(I98="Option",G98*D98*1.025*(1+EscalatorInLease)^10,IF(I98="Market",Retention*G98*D98*(1+EscalatorInLease)^(10+M98)+(1-Retention)*H98*D98*(1+GrowthMarketRent)^10*IF(INT((DATE(2026+10,10,31)-F98)/365.25)=0,(12-DowntimeNew)/12,1),IF(I98="LeaseUp",H98*D98*(1+GrowthMarketRent)^10*IF(10=0,(12-DowntimeNew)/12,1),0)))),((F98-DATE(2026+10,5,1))/365.25)*G98*D98*(1+EscalatorInLease)^(10+M98)+((DATE(2027+10,4,30)-F98)/365.25)*IF(I98="Vacate",H98*D98*(1+GrowthMarketRent)^10*IF(INT((DATE(2026+10,10,31)-F98)/365.25)=0,(12-DowntimeNew)/12,1),IF(I98="Option",G98*D98*1.025*(1+EscalatorInLease)^10,IF(I98="Market",Retention*G98*D98*(1+EscalatorInLease)^(10+M98)+(1-Retention)*H98*D98*(1+GrowthMarketRent)^10*IF(INT((DATE(2026+10,10,31)-F98)/365.25)=0,(12-DowntimeNew)/12,1),IF(I98="LeaseUp",H98*D98*(1+GrowthMarketRent)^10*IF(10=0,(12-DowntimeNew)/12,1),0)))))))),0)</f>
        <v/>
      </c>
      <c r="Y98" s="14">
        <f>IFERROR(IF(AND(I98="LeaseUp",0=0),(IF(I98="Vacate",TINew*D98,IF(I98="Market",Retention*TIRenewal*D98+(1-Retention)*TINew*D98,IF(I98="LeaseUp",TINew*D98,IF(I98="Option",TIRenewal*D98,0)))))+(IF(I98="Vacate",LCNew*H98*D98*(1+GrowthMarketRent)^0,IF(I98="Market",Retention*LCRenewal*H98*D98*(1+GrowthMarketRent)^0+(1-Retention)*LCNew*H98*D98*(1+GrowthMarketRent)^0,IF(I98="LeaseUp",LCNew*H98*D98*(1+GrowthMarketRent)^0,IF(I98="Option",LCRenewal*H98*D98*(1+GrowthMarketRent)^0,0))))),IF(F98="",0,IF(AND(F98&gt;=DATE(2026+0,5,1),F98&lt;=DATE(2027+0,4,30)),(IF(I98="Vacate",TINew*D98,IF(I98="Market",Retention*TIRenewal*D98+(1-Retention)*TINew*D98,IF(I98="LeaseUp",TINew*D98,IF(I98="Option",TIRenewal*D98,0)))))+(IF(I98="Vacate",LCNew*H98*D98*(1+GrowthMarketRent)^0,IF(I98="Market",Retention*LCRenewal*H98*D98*(1+GrowthMarketRent)^0+(1-Retention)*LCNew*H98*D98*(1+GrowthMarketRent)^0,IF(I98="LeaseUp",LCNew*H98*D98*(1+GrowthMarketRent)^0,IF(I98="Option",LCRenewal*H98*D98*(1+GrowthMarketRent)^0,0))))),0))),0)</f>
        <v/>
      </c>
      <c r="Z98" s="14">
        <f>IFERROR(IF(AND(I98="LeaseUp",1=0),(IF(I98="Vacate",TINew*D98,IF(I98="Market",Retention*TIRenewal*D98+(1-Retention)*TINew*D98,IF(I98="LeaseUp",TINew*D98,IF(I98="Option",TIRenewal*D98,0)))))+(IF(I98="Vacate",LCNew*H98*D98*(1+GrowthMarketRent)^1,IF(I98="Market",Retention*LCRenewal*H98*D98*(1+GrowthMarketRent)^1+(1-Retention)*LCNew*H98*D98*(1+GrowthMarketRent)^1,IF(I98="LeaseUp",LCNew*H98*D98*(1+GrowthMarketRent)^1,IF(I98="Option",LCRenewal*H98*D98*(1+GrowthMarketRent)^1,0))))),IF(F98="",0,IF(AND(F98&gt;=DATE(2026+1,5,1),F98&lt;=DATE(2027+1,4,30)),(IF(I98="Vacate",TINew*D98,IF(I98="Market",Retention*TIRenewal*D98+(1-Retention)*TINew*D98,IF(I98="LeaseUp",TINew*D98,IF(I98="Option",TIRenewal*D98,0)))))+(IF(I98="Vacate",LCNew*H98*D98*(1+GrowthMarketRent)^1,IF(I98="Market",Retention*LCRenewal*H98*D98*(1+GrowthMarketRent)^1+(1-Retention)*LCNew*H98*D98*(1+GrowthMarketRent)^1,IF(I98="LeaseUp",LCNew*H98*D98*(1+GrowthMarketRent)^1,IF(I98="Option",LCRenewal*H98*D98*(1+GrowthMarketRent)^1,0))))),0))),0)</f>
        <v/>
      </c>
      <c r="AA98" s="14">
        <f>IFERROR(IF(AND(I98="LeaseUp",2=0),(IF(I98="Vacate",TINew*D98,IF(I98="Market",Retention*TIRenewal*D98+(1-Retention)*TINew*D98,IF(I98="LeaseUp",TINew*D98,IF(I98="Option",TIRenewal*D98,0)))))+(IF(I98="Vacate",LCNew*H98*D98*(1+GrowthMarketRent)^2,IF(I98="Market",Retention*LCRenewal*H98*D98*(1+GrowthMarketRent)^2+(1-Retention)*LCNew*H98*D98*(1+GrowthMarketRent)^2,IF(I98="LeaseUp",LCNew*H98*D98*(1+GrowthMarketRent)^2,IF(I98="Option",LCRenewal*H98*D98*(1+GrowthMarketRent)^2,0))))),IF(F98="",0,IF(AND(F98&gt;=DATE(2026+2,5,1),F98&lt;=DATE(2027+2,4,30)),(IF(I98="Vacate",TINew*D98,IF(I98="Market",Retention*TIRenewal*D98+(1-Retention)*TINew*D98,IF(I98="LeaseUp",TINew*D98,IF(I98="Option",TIRenewal*D98,0)))))+(IF(I98="Vacate",LCNew*H98*D98*(1+GrowthMarketRent)^2,IF(I98="Market",Retention*LCRenewal*H98*D98*(1+GrowthMarketRent)^2+(1-Retention)*LCNew*H98*D98*(1+GrowthMarketRent)^2,IF(I98="LeaseUp",LCNew*H98*D98*(1+GrowthMarketRent)^2,IF(I98="Option",LCRenewal*H98*D98*(1+GrowthMarketRent)^2,0))))),0))),0)</f>
        <v/>
      </c>
      <c r="AB98" s="14">
        <f>IFERROR(IF(AND(I98="LeaseUp",3=0),(IF(I98="Vacate",TINew*D98,IF(I98="Market",Retention*TIRenewal*D98+(1-Retention)*TINew*D98,IF(I98="LeaseUp",TINew*D98,IF(I98="Option",TIRenewal*D98,0)))))+(IF(I98="Vacate",LCNew*H98*D98*(1+GrowthMarketRent)^3,IF(I98="Market",Retention*LCRenewal*H98*D98*(1+GrowthMarketRent)^3+(1-Retention)*LCNew*H98*D98*(1+GrowthMarketRent)^3,IF(I98="LeaseUp",LCNew*H98*D98*(1+GrowthMarketRent)^3,IF(I98="Option",LCRenewal*H98*D98*(1+GrowthMarketRent)^3,0))))),IF(F98="",0,IF(AND(F98&gt;=DATE(2026+3,5,1),F98&lt;=DATE(2027+3,4,30)),(IF(I98="Vacate",TINew*D98,IF(I98="Market",Retention*TIRenewal*D98+(1-Retention)*TINew*D98,IF(I98="LeaseUp",TINew*D98,IF(I98="Option",TIRenewal*D98,0)))))+(IF(I98="Vacate",LCNew*H98*D98*(1+GrowthMarketRent)^3,IF(I98="Market",Retention*LCRenewal*H98*D98*(1+GrowthMarketRent)^3+(1-Retention)*LCNew*H98*D98*(1+GrowthMarketRent)^3,IF(I98="LeaseUp",LCNew*H98*D98*(1+GrowthMarketRent)^3,IF(I98="Option",LCRenewal*H98*D98*(1+GrowthMarketRent)^3,0))))),0))),0)</f>
        <v/>
      </c>
      <c r="AC98" s="14">
        <f>IFERROR(IF(AND(I98="LeaseUp",4=0),(IF(I98="Vacate",TINew*D98,IF(I98="Market",Retention*TIRenewal*D98+(1-Retention)*TINew*D98,IF(I98="LeaseUp",TINew*D98,IF(I98="Option",TIRenewal*D98,0)))))+(IF(I98="Vacate",LCNew*H98*D98*(1+GrowthMarketRent)^4,IF(I98="Market",Retention*LCRenewal*H98*D98*(1+GrowthMarketRent)^4+(1-Retention)*LCNew*H98*D98*(1+GrowthMarketRent)^4,IF(I98="LeaseUp",LCNew*H98*D98*(1+GrowthMarketRent)^4,IF(I98="Option",LCRenewal*H98*D98*(1+GrowthMarketRent)^4,0))))),IF(F98="",0,IF(AND(F98&gt;=DATE(2026+4,5,1),F98&lt;=DATE(2027+4,4,30)),(IF(I98="Vacate",TINew*D98,IF(I98="Market",Retention*TIRenewal*D98+(1-Retention)*TINew*D98,IF(I98="LeaseUp",TINew*D98,IF(I98="Option",TIRenewal*D98,0)))))+(IF(I98="Vacate",LCNew*H98*D98*(1+GrowthMarketRent)^4,IF(I98="Market",Retention*LCRenewal*H98*D98*(1+GrowthMarketRent)^4+(1-Retention)*LCNew*H98*D98*(1+GrowthMarketRent)^4,IF(I98="LeaseUp",LCNew*H98*D98*(1+GrowthMarketRent)^4,IF(I98="Option",LCRenewal*H98*D98*(1+GrowthMarketRent)^4,0))))),0))),0)</f>
        <v/>
      </c>
      <c r="AD98" s="14">
        <f>IFERROR(IF(AND(I98="LeaseUp",5=0),(IF(I98="Vacate",TINew*D98,IF(I98="Market",Retention*TIRenewal*D98+(1-Retention)*TINew*D98,IF(I98="LeaseUp",TINew*D98,IF(I98="Option",TIRenewal*D98,0)))))+(IF(I98="Vacate",LCNew*H98*D98*(1+GrowthMarketRent)^5,IF(I98="Market",Retention*LCRenewal*H98*D98*(1+GrowthMarketRent)^5+(1-Retention)*LCNew*H98*D98*(1+GrowthMarketRent)^5,IF(I98="LeaseUp",LCNew*H98*D98*(1+GrowthMarketRent)^5,IF(I98="Option",LCRenewal*H98*D98*(1+GrowthMarketRent)^5,0))))),IF(F98="",0,IF(AND(F98&gt;=DATE(2026+5,5,1),F98&lt;=DATE(2027+5,4,30)),(IF(I98="Vacate",TINew*D98,IF(I98="Market",Retention*TIRenewal*D98+(1-Retention)*TINew*D98,IF(I98="LeaseUp",TINew*D98,IF(I98="Option",TIRenewal*D98,0)))))+(IF(I98="Vacate",LCNew*H98*D98*(1+GrowthMarketRent)^5,IF(I98="Market",Retention*LCRenewal*H98*D98*(1+GrowthMarketRent)^5+(1-Retention)*LCNew*H98*D98*(1+GrowthMarketRent)^5,IF(I98="LeaseUp",LCNew*H98*D98*(1+GrowthMarketRent)^5,IF(I98="Option",LCRenewal*H98*D98*(1+GrowthMarketRent)^5,0))))),0))),0)</f>
        <v/>
      </c>
      <c r="AE98" s="14">
        <f>IFERROR(IF(AND(I98="LeaseUp",6=0),(IF(I98="Vacate",TINew*D98,IF(I98="Market",Retention*TIRenewal*D98+(1-Retention)*TINew*D98,IF(I98="LeaseUp",TINew*D98,IF(I98="Option",TIRenewal*D98,0)))))+(IF(I98="Vacate",LCNew*H98*D98*(1+GrowthMarketRent)^6,IF(I98="Market",Retention*LCRenewal*H98*D98*(1+GrowthMarketRent)^6+(1-Retention)*LCNew*H98*D98*(1+GrowthMarketRent)^6,IF(I98="LeaseUp",LCNew*H98*D98*(1+GrowthMarketRent)^6,IF(I98="Option",LCRenewal*H98*D98*(1+GrowthMarketRent)^6,0))))),IF(F98="",0,IF(AND(F98&gt;=DATE(2026+6,5,1),F98&lt;=DATE(2027+6,4,30)),(IF(I98="Vacate",TINew*D98,IF(I98="Market",Retention*TIRenewal*D98+(1-Retention)*TINew*D98,IF(I98="LeaseUp",TINew*D98,IF(I98="Option",TIRenewal*D98,0)))))+(IF(I98="Vacate",LCNew*H98*D98*(1+GrowthMarketRent)^6,IF(I98="Market",Retention*LCRenewal*H98*D98*(1+GrowthMarketRent)^6+(1-Retention)*LCNew*H98*D98*(1+GrowthMarketRent)^6,IF(I98="LeaseUp",LCNew*H98*D98*(1+GrowthMarketRent)^6,IF(I98="Option",LCRenewal*H98*D98*(1+GrowthMarketRent)^6,0))))),0))),0)</f>
        <v/>
      </c>
      <c r="AF98" s="14">
        <f>IFERROR(IF(AND(I98="LeaseUp",7=0),(IF(I98="Vacate",TINew*D98,IF(I98="Market",Retention*TIRenewal*D98+(1-Retention)*TINew*D98,IF(I98="LeaseUp",TINew*D98,IF(I98="Option",TIRenewal*D98,0)))))+(IF(I98="Vacate",LCNew*H98*D98*(1+GrowthMarketRent)^7,IF(I98="Market",Retention*LCRenewal*H98*D98*(1+GrowthMarketRent)^7+(1-Retention)*LCNew*H98*D98*(1+GrowthMarketRent)^7,IF(I98="LeaseUp",LCNew*H98*D98*(1+GrowthMarketRent)^7,IF(I98="Option",LCRenewal*H98*D98*(1+GrowthMarketRent)^7,0))))),IF(F98="",0,IF(AND(F98&gt;=DATE(2026+7,5,1),F98&lt;=DATE(2027+7,4,30)),(IF(I98="Vacate",TINew*D98,IF(I98="Market",Retention*TIRenewal*D98+(1-Retention)*TINew*D98,IF(I98="LeaseUp",TINew*D98,IF(I98="Option",TIRenewal*D98,0)))))+(IF(I98="Vacate",LCNew*H98*D98*(1+GrowthMarketRent)^7,IF(I98="Market",Retention*LCRenewal*H98*D98*(1+GrowthMarketRent)^7+(1-Retention)*LCNew*H98*D98*(1+GrowthMarketRent)^7,IF(I98="LeaseUp",LCNew*H98*D98*(1+GrowthMarketRent)^7,IF(I98="Option",LCRenewal*H98*D98*(1+GrowthMarketRent)^7,0))))),0))),0)</f>
        <v/>
      </c>
      <c r="AG98" s="14">
        <f>IFERROR(IF(AND(I98="LeaseUp",8=0),(IF(I98="Vacate",TINew*D98,IF(I98="Market",Retention*TIRenewal*D98+(1-Retention)*TINew*D98,IF(I98="LeaseUp",TINew*D98,IF(I98="Option",TIRenewal*D98,0)))))+(IF(I98="Vacate",LCNew*H98*D98*(1+GrowthMarketRent)^8,IF(I98="Market",Retention*LCRenewal*H98*D98*(1+GrowthMarketRent)^8+(1-Retention)*LCNew*H98*D98*(1+GrowthMarketRent)^8,IF(I98="LeaseUp",LCNew*H98*D98*(1+GrowthMarketRent)^8,IF(I98="Option",LCRenewal*H98*D98*(1+GrowthMarketRent)^8,0))))),IF(F98="",0,IF(AND(F98&gt;=DATE(2026+8,5,1),F98&lt;=DATE(2027+8,4,30)),(IF(I98="Vacate",TINew*D98,IF(I98="Market",Retention*TIRenewal*D98+(1-Retention)*TINew*D98,IF(I98="LeaseUp",TINew*D98,IF(I98="Option",TIRenewal*D98,0)))))+(IF(I98="Vacate",LCNew*H98*D98*(1+GrowthMarketRent)^8,IF(I98="Market",Retention*LCRenewal*H98*D98*(1+GrowthMarketRent)^8+(1-Retention)*LCNew*H98*D98*(1+GrowthMarketRent)^8,IF(I98="LeaseUp",LCNew*H98*D98*(1+GrowthMarketRent)^8,IF(I98="Option",LCRenewal*H98*D98*(1+GrowthMarketRent)^8,0))))),0))),0)</f>
        <v/>
      </c>
      <c r="AH98" s="14">
        <f>IFERROR(IF(AND(I98="LeaseUp",9=0),(IF(I98="Vacate",TINew*D98,IF(I98="Market",Retention*TIRenewal*D98+(1-Retention)*TINew*D98,IF(I98="LeaseUp",TINew*D98,IF(I98="Option",TIRenewal*D98,0)))))+(IF(I98="Vacate",LCNew*H98*D98*(1+GrowthMarketRent)^9,IF(I98="Market",Retention*LCRenewal*H98*D98*(1+GrowthMarketRent)^9+(1-Retention)*LCNew*H98*D98*(1+GrowthMarketRent)^9,IF(I98="LeaseUp",LCNew*H98*D98*(1+GrowthMarketRent)^9,IF(I98="Option",LCRenewal*H98*D98*(1+GrowthMarketRent)^9,0))))),IF(F98="",0,IF(AND(F98&gt;=DATE(2026+9,5,1),F98&lt;=DATE(2027+9,4,30)),(IF(I98="Vacate",TINew*D98,IF(I98="Market",Retention*TIRenewal*D98+(1-Retention)*TINew*D98,IF(I98="LeaseUp",TINew*D98,IF(I98="Option",TIRenewal*D98,0)))))+(IF(I98="Vacate",LCNew*H98*D98*(1+GrowthMarketRent)^9,IF(I98="Market",Retention*LCRenewal*H98*D98*(1+GrowthMarketRent)^9+(1-Retention)*LCNew*H98*D98*(1+GrowthMarketRent)^9,IF(I98="LeaseUp",LCNew*H98*D98*(1+GrowthMarketRent)^9,IF(I98="Option",LCRenewal*H98*D98*(1+GrowthMarketRent)^9,0))))),0))),0)</f>
        <v/>
      </c>
      <c r="AI98" s="14">
        <f>IFERROR(IF(AND(I98="LeaseUp",10=0),(IF(I98="Vacate",TINew*D98,IF(I98="Market",Retention*TIRenewal*D98+(1-Retention)*TINew*D98,IF(I98="LeaseUp",TINew*D98,IF(I98="Option",TIRenewal*D98,0)))))+(IF(I98="Vacate",LCNew*H98*D98*(1+GrowthMarketRent)^10,IF(I98="Market",Retention*LCRenewal*H98*D98*(1+GrowthMarketRent)^10+(1-Retention)*LCNew*H98*D98*(1+GrowthMarketRent)^10,IF(I98="LeaseUp",LCNew*H98*D98*(1+GrowthMarketRent)^10,IF(I98="Option",LCRenewal*H98*D98*(1+GrowthMarketRent)^10,0))))),IF(F98="",0,IF(AND(F98&gt;=DATE(2026+10,5,1),F98&lt;=DATE(2027+10,4,30)),(IF(I98="Vacate",TINew*D98,IF(I98="Market",Retention*TIRenewal*D98+(1-Retention)*TINew*D98,IF(I98="LeaseUp",TINew*D98,IF(I98="Option",TIRenewal*D98,0)))))+(IF(I98="Vacate",LCNew*H98*D98*(1+GrowthMarketRent)^10,IF(I98="Market",Retention*LCRenewal*H98*D98*(1+GrowthMarketRent)^10+(1-Retention)*LCNew*H98*D98*(1+GrowthMarketRent)^10,IF(I98="LeaseUp",LCNew*H98*D98*(1+GrowthMarketRent)^10,IF(I98="Option",LCRenewal*H98*D98*(1+GrowthMarketRent)^10,0))))),0))),0)</f>
        <v/>
      </c>
    </row>
    <row r="99">
      <c r="A99" t="inlineStr">
        <is>
          <t>Lewisville</t>
        </is>
      </c>
      <c r="B99" t="inlineStr">
        <is>
          <t>109</t>
        </is>
      </c>
      <c r="C99" t="inlineStr">
        <is>
          <t>Morrison Construction Company Inc.</t>
        </is>
      </c>
      <c r="D99" s="32" t="n">
        <v>2600</v>
      </c>
      <c r="E99" s="33" t="n">
        <v>45352</v>
      </c>
      <c r="F99" s="33" t="n">
        <v>46600</v>
      </c>
      <c r="G99" s="34" t="n">
        <v>16.81</v>
      </c>
      <c r="H99" s="16">
        <f>VLOOKUP(A99,MLA!$A$5:$L$11,3,FALSE)</f>
        <v/>
      </c>
      <c r="I99" s="11" t="inlineStr">
        <is>
          <t>Option</t>
        </is>
      </c>
      <c r="J99" t="inlineStr">
        <is>
          <t>Shop</t>
        </is>
      </c>
      <c r="K99" t="inlineStr">
        <is>
          <t>Occupied</t>
        </is>
      </c>
      <c r="L99" t="inlineStr">
        <is>
          <t>Shop; Guarantor: William J. Gilbert; Two 3yr options</t>
        </is>
      </c>
      <c r="M99" s="20">
        <f>IF(E99="",0,(AnalysisStart-E99)/365.25)</f>
        <v/>
      </c>
      <c r="N99" s="14">
        <f>IFERROR(IF(I99="LeaseUp",H99*D99*(1+GrowthMarketRent)^0*IF(0=0,(12-DowntimeNew)/12,1),IF(F99="",0,IF(F99&gt;=DATE(2027+0,4,30),G99*D99*(1+EscalatorInLease)^(0+M99),IF(F99&lt;DATE(2026+0,5,1),IF(I99="Vacate",H99*D99*(1+GrowthMarketRent)^0*IF(INT((DATE(2026+0,10,31)-F99)/365.25)=0,(12-DowntimeNew)/12,1),IF(I99="Option",G99*D99*1.025*(1+EscalatorInLease)^0,IF(I99="Market",Retention*G99*D99*(1+EscalatorInLease)^(0+M99)+(1-Retention)*H99*D99*(1+GrowthMarketRent)^0*IF(INT((DATE(2026+0,10,31)-F99)/365.25)=0,(12-DowntimeNew)/12,1),IF(I99="LeaseUp",H99*D99*(1+GrowthMarketRent)^0*IF(0=0,(12-DowntimeNew)/12,1),0)))),((F99-DATE(2026+0,5,1))/365.25)*G99*D99*(1+EscalatorInLease)^(0+M99)+((DATE(2027+0,4,30)-F99)/365.25)*IF(I99="Vacate",H99*D99*(1+GrowthMarketRent)^0*IF(INT((DATE(2026+0,10,31)-F99)/365.25)=0,(12-DowntimeNew)/12,1),IF(I99="Option",G99*D99*1.025*(1+EscalatorInLease)^0,IF(I99="Market",Retention*G99*D99*(1+EscalatorInLease)^(0+M99)+(1-Retention)*H99*D99*(1+GrowthMarketRent)^0*IF(INT((DATE(2026+0,10,31)-F99)/365.25)=0,(12-DowntimeNew)/12,1),IF(I99="LeaseUp",H99*D99*(1+GrowthMarketRent)^0*IF(0=0,(12-DowntimeNew)/12,1),0)))))))),0)</f>
        <v/>
      </c>
      <c r="O99" s="14">
        <f>IFERROR(IF(I99="LeaseUp",H99*D99*(1+GrowthMarketRent)^1*IF(1=0,(12-DowntimeNew)/12,1),IF(F99="",0,IF(F99&gt;=DATE(2027+1,4,30),G99*D99*(1+EscalatorInLease)^(1+M99),IF(F99&lt;DATE(2026+1,5,1),IF(I99="Vacate",H99*D99*(1+GrowthMarketRent)^1*IF(INT((DATE(2026+1,10,31)-F99)/365.25)=0,(12-DowntimeNew)/12,1),IF(I99="Option",G99*D99*1.025*(1+EscalatorInLease)^1,IF(I99="Market",Retention*G99*D99*(1+EscalatorInLease)^(1+M99)+(1-Retention)*H99*D99*(1+GrowthMarketRent)^1*IF(INT((DATE(2026+1,10,31)-F99)/365.25)=0,(12-DowntimeNew)/12,1),IF(I99="LeaseUp",H99*D99*(1+GrowthMarketRent)^1*IF(1=0,(12-DowntimeNew)/12,1),0)))),((F99-DATE(2026+1,5,1))/365.25)*G99*D99*(1+EscalatorInLease)^(1+M99)+((DATE(2027+1,4,30)-F99)/365.25)*IF(I99="Vacate",H99*D99*(1+GrowthMarketRent)^1*IF(INT((DATE(2026+1,10,31)-F99)/365.25)=0,(12-DowntimeNew)/12,1),IF(I99="Option",G99*D99*1.025*(1+EscalatorInLease)^1,IF(I99="Market",Retention*G99*D99*(1+EscalatorInLease)^(1+M99)+(1-Retention)*H99*D99*(1+GrowthMarketRent)^1*IF(INT((DATE(2026+1,10,31)-F99)/365.25)=0,(12-DowntimeNew)/12,1),IF(I99="LeaseUp",H99*D99*(1+GrowthMarketRent)^1*IF(1=0,(12-DowntimeNew)/12,1),0)))))))),0)</f>
        <v/>
      </c>
      <c r="P99" s="14">
        <f>IFERROR(IF(I99="LeaseUp",H99*D99*(1+GrowthMarketRent)^2*IF(2=0,(12-DowntimeNew)/12,1),IF(F99="",0,IF(F99&gt;=DATE(2027+2,4,30),G99*D99*(1+EscalatorInLease)^(2+M99),IF(F99&lt;DATE(2026+2,5,1),IF(I99="Vacate",H99*D99*(1+GrowthMarketRent)^2*IF(INT((DATE(2026+2,10,31)-F99)/365.25)=0,(12-DowntimeNew)/12,1),IF(I99="Option",G99*D99*1.025*(1+EscalatorInLease)^2,IF(I99="Market",Retention*G99*D99*(1+EscalatorInLease)^(2+M99)+(1-Retention)*H99*D99*(1+GrowthMarketRent)^2*IF(INT((DATE(2026+2,10,31)-F99)/365.25)=0,(12-DowntimeNew)/12,1),IF(I99="LeaseUp",H99*D99*(1+GrowthMarketRent)^2*IF(2=0,(12-DowntimeNew)/12,1),0)))),((F99-DATE(2026+2,5,1))/365.25)*G99*D99*(1+EscalatorInLease)^(2+M99)+((DATE(2027+2,4,30)-F99)/365.25)*IF(I99="Vacate",H99*D99*(1+GrowthMarketRent)^2*IF(INT((DATE(2026+2,10,31)-F99)/365.25)=0,(12-DowntimeNew)/12,1),IF(I99="Option",G99*D99*1.025*(1+EscalatorInLease)^2,IF(I99="Market",Retention*G99*D99*(1+EscalatorInLease)^(2+M99)+(1-Retention)*H99*D99*(1+GrowthMarketRent)^2*IF(INT((DATE(2026+2,10,31)-F99)/365.25)=0,(12-DowntimeNew)/12,1),IF(I99="LeaseUp",H99*D99*(1+GrowthMarketRent)^2*IF(2=0,(12-DowntimeNew)/12,1),0)))))))),0)</f>
        <v/>
      </c>
      <c r="Q99" s="14">
        <f>IFERROR(IF(I99="LeaseUp",H99*D99*(1+GrowthMarketRent)^3*IF(3=0,(12-DowntimeNew)/12,1),IF(F99="",0,IF(F99&gt;=DATE(2027+3,4,30),G99*D99*(1+EscalatorInLease)^(3+M99),IF(F99&lt;DATE(2026+3,5,1),IF(I99="Vacate",H99*D99*(1+GrowthMarketRent)^3*IF(INT((DATE(2026+3,10,31)-F99)/365.25)=0,(12-DowntimeNew)/12,1),IF(I99="Option",G99*D99*1.025*(1+EscalatorInLease)^3,IF(I99="Market",Retention*G99*D99*(1+EscalatorInLease)^(3+M99)+(1-Retention)*H99*D99*(1+GrowthMarketRent)^3*IF(INT((DATE(2026+3,10,31)-F99)/365.25)=0,(12-DowntimeNew)/12,1),IF(I99="LeaseUp",H99*D99*(1+GrowthMarketRent)^3*IF(3=0,(12-DowntimeNew)/12,1),0)))),((F99-DATE(2026+3,5,1))/365.25)*G99*D99*(1+EscalatorInLease)^(3+M99)+((DATE(2027+3,4,30)-F99)/365.25)*IF(I99="Vacate",H99*D99*(1+GrowthMarketRent)^3*IF(INT((DATE(2026+3,10,31)-F99)/365.25)=0,(12-DowntimeNew)/12,1),IF(I99="Option",G99*D99*1.025*(1+EscalatorInLease)^3,IF(I99="Market",Retention*G99*D99*(1+EscalatorInLease)^(3+M99)+(1-Retention)*H99*D99*(1+GrowthMarketRent)^3*IF(INT((DATE(2026+3,10,31)-F99)/365.25)=0,(12-DowntimeNew)/12,1),IF(I99="LeaseUp",H99*D99*(1+GrowthMarketRent)^3*IF(3=0,(12-DowntimeNew)/12,1),0)))))))),0)</f>
        <v/>
      </c>
      <c r="R99" s="14">
        <f>IFERROR(IF(I99="LeaseUp",H99*D99*(1+GrowthMarketRent)^4*IF(4=0,(12-DowntimeNew)/12,1),IF(F99="",0,IF(F99&gt;=DATE(2027+4,4,30),G99*D99*(1+EscalatorInLease)^(4+M99),IF(F99&lt;DATE(2026+4,5,1),IF(I99="Vacate",H99*D99*(1+GrowthMarketRent)^4*IF(INT((DATE(2026+4,10,31)-F99)/365.25)=0,(12-DowntimeNew)/12,1),IF(I99="Option",G99*D99*1.025*(1+EscalatorInLease)^4,IF(I99="Market",Retention*G99*D99*(1+EscalatorInLease)^(4+M99)+(1-Retention)*H99*D99*(1+GrowthMarketRent)^4*IF(INT((DATE(2026+4,10,31)-F99)/365.25)=0,(12-DowntimeNew)/12,1),IF(I99="LeaseUp",H99*D99*(1+GrowthMarketRent)^4*IF(4=0,(12-DowntimeNew)/12,1),0)))),((F99-DATE(2026+4,5,1))/365.25)*G99*D99*(1+EscalatorInLease)^(4+M99)+((DATE(2027+4,4,30)-F99)/365.25)*IF(I99="Vacate",H99*D99*(1+GrowthMarketRent)^4*IF(INT((DATE(2026+4,10,31)-F99)/365.25)=0,(12-DowntimeNew)/12,1),IF(I99="Option",G99*D99*1.025*(1+EscalatorInLease)^4,IF(I99="Market",Retention*G99*D99*(1+EscalatorInLease)^(4+M99)+(1-Retention)*H99*D99*(1+GrowthMarketRent)^4*IF(INT((DATE(2026+4,10,31)-F99)/365.25)=0,(12-DowntimeNew)/12,1),IF(I99="LeaseUp",H99*D99*(1+GrowthMarketRent)^4*IF(4=0,(12-DowntimeNew)/12,1),0)))))))),0)</f>
        <v/>
      </c>
      <c r="S99" s="14">
        <f>IFERROR(IF(I99="LeaseUp",H99*D99*(1+GrowthMarketRent)^5*IF(5=0,(12-DowntimeNew)/12,1),IF(F99="",0,IF(F99&gt;=DATE(2027+5,4,30),G99*D99*(1+EscalatorInLease)^(5+M99),IF(F99&lt;DATE(2026+5,5,1),IF(I99="Vacate",H99*D99*(1+GrowthMarketRent)^5*IF(INT((DATE(2026+5,10,31)-F99)/365.25)=0,(12-DowntimeNew)/12,1),IF(I99="Option",G99*D99*1.025*(1+EscalatorInLease)^5,IF(I99="Market",Retention*G99*D99*(1+EscalatorInLease)^(5+M99)+(1-Retention)*H99*D99*(1+GrowthMarketRent)^5*IF(INT((DATE(2026+5,10,31)-F99)/365.25)=0,(12-DowntimeNew)/12,1),IF(I99="LeaseUp",H99*D99*(1+GrowthMarketRent)^5*IF(5=0,(12-DowntimeNew)/12,1),0)))),((F99-DATE(2026+5,5,1))/365.25)*G99*D99*(1+EscalatorInLease)^(5+M99)+((DATE(2027+5,4,30)-F99)/365.25)*IF(I99="Vacate",H99*D99*(1+GrowthMarketRent)^5*IF(INT((DATE(2026+5,10,31)-F99)/365.25)=0,(12-DowntimeNew)/12,1),IF(I99="Option",G99*D99*1.025*(1+EscalatorInLease)^5,IF(I99="Market",Retention*G99*D99*(1+EscalatorInLease)^(5+M99)+(1-Retention)*H99*D99*(1+GrowthMarketRent)^5*IF(INT((DATE(2026+5,10,31)-F99)/365.25)=0,(12-DowntimeNew)/12,1),IF(I99="LeaseUp",H99*D99*(1+GrowthMarketRent)^5*IF(5=0,(12-DowntimeNew)/12,1),0)))))))),0)</f>
        <v/>
      </c>
      <c r="T99" s="14">
        <f>IFERROR(IF(I99="LeaseUp",H99*D99*(1+GrowthMarketRent)^6*IF(6=0,(12-DowntimeNew)/12,1),IF(F99="",0,IF(F99&gt;=DATE(2027+6,4,30),G99*D99*(1+EscalatorInLease)^(6+M99),IF(F99&lt;DATE(2026+6,5,1),IF(I99="Vacate",H99*D99*(1+GrowthMarketRent)^6*IF(INT((DATE(2026+6,10,31)-F99)/365.25)=0,(12-DowntimeNew)/12,1),IF(I99="Option",G99*D99*1.025*(1+EscalatorInLease)^6,IF(I99="Market",Retention*G99*D99*(1+EscalatorInLease)^(6+M99)+(1-Retention)*H99*D99*(1+GrowthMarketRent)^6*IF(INT((DATE(2026+6,10,31)-F99)/365.25)=0,(12-DowntimeNew)/12,1),IF(I99="LeaseUp",H99*D99*(1+GrowthMarketRent)^6*IF(6=0,(12-DowntimeNew)/12,1),0)))),((F99-DATE(2026+6,5,1))/365.25)*G99*D99*(1+EscalatorInLease)^(6+M99)+((DATE(2027+6,4,30)-F99)/365.25)*IF(I99="Vacate",H99*D99*(1+GrowthMarketRent)^6*IF(INT((DATE(2026+6,10,31)-F99)/365.25)=0,(12-DowntimeNew)/12,1),IF(I99="Option",G99*D99*1.025*(1+EscalatorInLease)^6,IF(I99="Market",Retention*G99*D99*(1+EscalatorInLease)^(6+M99)+(1-Retention)*H99*D99*(1+GrowthMarketRent)^6*IF(INT((DATE(2026+6,10,31)-F99)/365.25)=0,(12-DowntimeNew)/12,1),IF(I99="LeaseUp",H99*D99*(1+GrowthMarketRent)^6*IF(6=0,(12-DowntimeNew)/12,1),0)))))))),0)</f>
        <v/>
      </c>
      <c r="U99" s="14">
        <f>IFERROR(IF(I99="LeaseUp",H99*D99*(1+GrowthMarketRent)^7*IF(7=0,(12-DowntimeNew)/12,1),IF(F99="",0,IF(F99&gt;=DATE(2027+7,4,30),G99*D99*(1+EscalatorInLease)^(7+M99),IF(F99&lt;DATE(2026+7,5,1),IF(I99="Vacate",H99*D99*(1+GrowthMarketRent)^7*IF(INT((DATE(2026+7,10,31)-F99)/365.25)=0,(12-DowntimeNew)/12,1),IF(I99="Option",G99*D99*1.025*(1+EscalatorInLease)^7,IF(I99="Market",Retention*G99*D99*(1+EscalatorInLease)^(7+M99)+(1-Retention)*H99*D99*(1+GrowthMarketRent)^7*IF(INT((DATE(2026+7,10,31)-F99)/365.25)=0,(12-DowntimeNew)/12,1),IF(I99="LeaseUp",H99*D99*(1+GrowthMarketRent)^7*IF(7=0,(12-DowntimeNew)/12,1),0)))),((F99-DATE(2026+7,5,1))/365.25)*G99*D99*(1+EscalatorInLease)^(7+M99)+((DATE(2027+7,4,30)-F99)/365.25)*IF(I99="Vacate",H99*D99*(1+GrowthMarketRent)^7*IF(INT((DATE(2026+7,10,31)-F99)/365.25)=0,(12-DowntimeNew)/12,1),IF(I99="Option",G99*D99*1.025*(1+EscalatorInLease)^7,IF(I99="Market",Retention*G99*D99*(1+EscalatorInLease)^(7+M99)+(1-Retention)*H99*D99*(1+GrowthMarketRent)^7*IF(INT((DATE(2026+7,10,31)-F99)/365.25)=0,(12-DowntimeNew)/12,1),IF(I99="LeaseUp",H99*D99*(1+GrowthMarketRent)^7*IF(7=0,(12-DowntimeNew)/12,1),0)))))))),0)</f>
        <v/>
      </c>
      <c r="V99" s="14">
        <f>IFERROR(IF(I99="LeaseUp",H99*D99*(1+GrowthMarketRent)^8*IF(8=0,(12-DowntimeNew)/12,1),IF(F99="",0,IF(F99&gt;=DATE(2027+8,4,30),G99*D99*(1+EscalatorInLease)^(8+M99),IF(F99&lt;DATE(2026+8,5,1),IF(I99="Vacate",H99*D99*(1+GrowthMarketRent)^8*IF(INT((DATE(2026+8,10,31)-F99)/365.25)=0,(12-DowntimeNew)/12,1),IF(I99="Option",G99*D99*1.025*(1+EscalatorInLease)^8,IF(I99="Market",Retention*G99*D99*(1+EscalatorInLease)^(8+M99)+(1-Retention)*H99*D99*(1+GrowthMarketRent)^8*IF(INT((DATE(2026+8,10,31)-F99)/365.25)=0,(12-DowntimeNew)/12,1),IF(I99="LeaseUp",H99*D99*(1+GrowthMarketRent)^8*IF(8=0,(12-DowntimeNew)/12,1),0)))),((F99-DATE(2026+8,5,1))/365.25)*G99*D99*(1+EscalatorInLease)^(8+M99)+((DATE(2027+8,4,30)-F99)/365.25)*IF(I99="Vacate",H99*D99*(1+GrowthMarketRent)^8*IF(INT((DATE(2026+8,10,31)-F99)/365.25)=0,(12-DowntimeNew)/12,1),IF(I99="Option",G99*D99*1.025*(1+EscalatorInLease)^8,IF(I99="Market",Retention*G99*D99*(1+EscalatorInLease)^(8+M99)+(1-Retention)*H99*D99*(1+GrowthMarketRent)^8*IF(INT((DATE(2026+8,10,31)-F99)/365.25)=0,(12-DowntimeNew)/12,1),IF(I99="LeaseUp",H99*D99*(1+GrowthMarketRent)^8*IF(8=0,(12-DowntimeNew)/12,1),0)))))))),0)</f>
        <v/>
      </c>
      <c r="W99" s="14">
        <f>IFERROR(IF(I99="LeaseUp",H99*D99*(1+GrowthMarketRent)^9*IF(9=0,(12-DowntimeNew)/12,1),IF(F99="",0,IF(F99&gt;=DATE(2027+9,4,30),G99*D99*(1+EscalatorInLease)^(9+M99),IF(F99&lt;DATE(2026+9,5,1),IF(I99="Vacate",H99*D99*(1+GrowthMarketRent)^9*IF(INT((DATE(2026+9,10,31)-F99)/365.25)=0,(12-DowntimeNew)/12,1),IF(I99="Option",G99*D99*1.025*(1+EscalatorInLease)^9,IF(I99="Market",Retention*G99*D99*(1+EscalatorInLease)^(9+M99)+(1-Retention)*H99*D99*(1+GrowthMarketRent)^9*IF(INT((DATE(2026+9,10,31)-F99)/365.25)=0,(12-DowntimeNew)/12,1),IF(I99="LeaseUp",H99*D99*(1+GrowthMarketRent)^9*IF(9=0,(12-DowntimeNew)/12,1),0)))),((F99-DATE(2026+9,5,1))/365.25)*G99*D99*(1+EscalatorInLease)^(9+M99)+((DATE(2027+9,4,30)-F99)/365.25)*IF(I99="Vacate",H99*D99*(1+GrowthMarketRent)^9*IF(INT((DATE(2026+9,10,31)-F99)/365.25)=0,(12-DowntimeNew)/12,1),IF(I99="Option",G99*D99*1.025*(1+EscalatorInLease)^9,IF(I99="Market",Retention*G99*D99*(1+EscalatorInLease)^(9+M99)+(1-Retention)*H99*D99*(1+GrowthMarketRent)^9*IF(INT((DATE(2026+9,10,31)-F99)/365.25)=0,(12-DowntimeNew)/12,1),IF(I99="LeaseUp",H99*D99*(1+GrowthMarketRent)^9*IF(9=0,(12-DowntimeNew)/12,1),0)))))))),0)</f>
        <v/>
      </c>
      <c r="X99" s="14">
        <f>IFERROR(IF(I99="LeaseUp",H99*D99*(1+GrowthMarketRent)^10*IF(10=0,(12-DowntimeNew)/12,1),IF(F99="",0,IF(F99&gt;=DATE(2027+10,4,30),G99*D99*(1+EscalatorInLease)^(10+M99),IF(F99&lt;DATE(2026+10,5,1),IF(I99="Vacate",H99*D99*(1+GrowthMarketRent)^10*IF(INT((DATE(2026+10,10,31)-F99)/365.25)=0,(12-DowntimeNew)/12,1),IF(I99="Option",G99*D99*1.025*(1+EscalatorInLease)^10,IF(I99="Market",Retention*G99*D99*(1+EscalatorInLease)^(10+M99)+(1-Retention)*H99*D99*(1+GrowthMarketRent)^10*IF(INT((DATE(2026+10,10,31)-F99)/365.25)=0,(12-DowntimeNew)/12,1),IF(I99="LeaseUp",H99*D99*(1+GrowthMarketRent)^10*IF(10=0,(12-DowntimeNew)/12,1),0)))),((F99-DATE(2026+10,5,1))/365.25)*G99*D99*(1+EscalatorInLease)^(10+M99)+((DATE(2027+10,4,30)-F99)/365.25)*IF(I99="Vacate",H99*D99*(1+GrowthMarketRent)^10*IF(INT((DATE(2026+10,10,31)-F99)/365.25)=0,(12-DowntimeNew)/12,1),IF(I99="Option",G99*D99*1.025*(1+EscalatorInLease)^10,IF(I99="Market",Retention*G99*D99*(1+EscalatorInLease)^(10+M99)+(1-Retention)*H99*D99*(1+GrowthMarketRent)^10*IF(INT((DATE(2026+10,10,31)-F99)/365.25)=0,(12-DowntimeNew)/12,1),IF(I99="LeaseUp",H99*D99*(1+GrowthMarketRent)^10*IF(10=0,(12-DowntimeNew)/12,1),0)))))))),0)</f>
        <v/>
      </c>
      <c r="Y99" s="14">
        <f>IFERROR(IF(AND(I99="LeaseUp",0=0),(IF(I99="Vacate",TINew*D99,IF(I99="Market",Retention*TIRenewal*D99+(1-Retention)*TINew*D99,IF(I99="LeaseUp",TINew*D99,IF(I99="Option",TIRenewal*D99,0)))))+(IF(I99="Vacate",LCNew*H99*D99*(1+GrowthMarketRent)^0,IF(I99="Market",Retention*LCRenewal*H99*D99*(1+GrowthMarketRent)^0+(1-Retention)*LCNew*H99*D99*(1+GrowthMarketRent)^0,IF(I99="LeaseUp",LCNew*H99*D99*(1+GrowthMarketRent)^0,IF(I99="Option",LCRenewal*H99*D99*(1+GrowthMarketRent)^0,0))))),IF(F99="",0,IF(AND(F99&gt;=DATE(2026+0,5,1),F99&lt;=DATE(2027+0,4,30)),(IF(I99="Vacate",TINew*D99,IF(I99="Market",Retention*TIRenewal*D99+(1-Retention)*TINew*D99,IF(I99="LeaseUp",TINew*D99,IF(I99="Option",TIRenewal*D99,0)))))+(IF(I99="Vacate",LCNew*H99*D99*(1+GrowthMarketRent)^0,IF(I99="Market",Retention*LCRenewal*H99*D99*(1+GrowthMarketRent)^0+(1-Retention)*LCNew*H99*D99*(1+GrowthMarketRent)^0,IF(I99="LeaseUp",LCNew*H99*D99*(1+GrowthMarketRent)^0,IF(I99="Option",LCRenewal*H99*D99*(1+GrowthMarketRent)^0,0))))),0))),0)</f>
        <v/>
      </c>
      <c r="Z99" s="14">
        <f>IFERROR(IF(AND(I99="LeaseUp",1=0),(IF(I99="Vacate",TINew*D99,IF(I99="Market",Retention*TIRenewal*D99+(1-Retention)*TINew*D99,IF(I99="LeaseUp",TINew*D99,IF(I99="Option",TIRenewal*D99,0)))))+(IF(I99="Vacate",LCNew*H99*D99*(1+GrowthMarketRent)^1,IF(I99="Market",Retention*LCRenewal*H99*D99*(1+GrowthMarketRent)^1+(1-Retention)*LCNew*H99*D99*(1+GrowthMarketRent)^1,IF(I99="LeaseUp",LCNew*H99*D99*(1+GrowthMarketRent)^1,IF(I99="Option",LCRenewal*H99*D99*(1+GrowthMarketRent)^1,0))))),IF(F99="",0,IF(AND(F99&gt;=DATE(2026+1,5,1),F99&lt;=DATE(2027+1,4,30)),(IF(I99="Vacate",TINew*D99,IF(I99="Market",Retention*TIRenewal*D99+(1-Retention)*TINew*D99,IF(I99="LeaseUp",TINew*D99,IF(I99="Option",TIRenewal*D99,0)))))+(IF(I99="Vacate",LCNew*H99*D99*(1+GrowthMarketRent)^1,IF(I99="Market",Retention*LCRenewal*H99*D99*(1+GrowthMarketRent)^1+(1-Retention)*LCNew*H99*D99*(1+GrowthMarketRent)^1,IF(I99="LeaseUp",LCNew*H99*D99*(1+GrowthMarketRent)^1,IF(I99="Option",LCRenewal*H99*D99*(1+GrowthMarketRent)^1,0))))),0))),0)</f>
        <v/>
      </c>
      <c r="AA99" s="14">
        <f>IFERROR(IF(AND(I99="LeaseUp",2=0),(IF(I99="Vacate",TINew*D99,IF(I99="Market",Retention*TIRenewal*D99+(1-Retention)*TINew*D99,IF(I99="LeaseUp",TINew*D99,IF(I99="Option",TIRenewal*D99,0)))))+(IF(I99="Vacate",LCNew*H99*D99*(1+GrowthMarketRent)^2,IF(I99="Market",Retention*LCRenewal*H99*D99*(1+GrowthMarketRent)^2+(1-Retention)*LCNew*H99*D99*(1+GrowthMarketRent)^2,IF(I99="LeaseUp",LCNew*H99*D99*(1+GrowthMarketRent)^2,IF(I99="Option",LCRenewal*H99*D99*(1+GrowthMarketRent)^2,0))))),IF(F99="",0,IF(AND(F99&gt;=DATE(2026+2,5,1),F99&lt;=DATE(2027+2,4,30)),(IF(I99="Vacate",TINew*D99,IF(I99="Market",Retention*TIRenewal*D99+(1-Retention)*TINew*D99,IF(I99="LeaseUp",TINew*D99,IF(I99="Option",TIRenewal*D99,0)))))+(IF(I99="Vacate",LCNew*H99*D99*(1+GrowthMarketRent)^2,IF(I99="Market",Retention*LCRenewal*H99*D99*(1+GrowthMarketRent)^2+(1-Retention)*LCNew*H99*D99*(1+GrowthMarketRent)^2,IF(I99="LeaseUp",LCNew*H99*D99*(1+GrowthMarketRent)^2,IF(I99="Option",LCRenewal*H99*D99*(1+GrowthMarketRent)^2,0))))),0))),0)</f>
        <v/>
      </c>
      <c r="AB99" s="14">
        <f>IFERROR(IF(AND(I99="LeaseUp",3=0),(IF(I99="Vacate",TINew*D99,IF(I99="Market",Retention*TIRenewal*D99+(1-Retention)*TINew*D99,IF(I99="LeaseUp",TINew*D99,IF(I99="Option",TIRenewal*D99,0)))))+(IF(I99="Vacate",LCNew*H99*D99*(1+GrowthMarketRent)^3,IF(I99="Market",Retention*LCRenewal*H99*D99*(1+GrowthMarketRent)^3+(1-Retention)*LCNew*H99*D99*(1+GrowthMarketRent)^3,IF(I99="LeaseUp",LCNew*H99*D99*(1+GrowthMarketRent)^3,IF(I99="Option",LCRenewal*H99*D99*(1+GrowthMarketRent)^3,0))))),IF(F99="",0,IF(AND(F99&gt;=DATE(2026+3,5,1),F99&lt;=DATE(2027+3,4,30)),(IF(I99="Vacate",TINew*D99,IF(I99="Market",Retention*TIRenewal*D99+(1-Retention)*TINew*D99,IF(I99="LeaseUp",TINew*D99,IF(I99="Option",TIRenewal*D99,0)))))+(IF(I99="Vacate",LCNew*H99*D99*(1+GrowthMarketRent)^3,IF(I99="Market",Retention*LCRenewal*H99*D99*(1+GrowthMarketRent)^3+(1-Retention)*LCNew*H99*D99*(1+GrowthMarketRent)^3,IF(I99="LeaseUp",LCNew*H99*D99*(1+GrowthMarketRent)^3,IF(I99="Option",LCRenewal*H99*D99*(1+GrowthMarketRent)^3,0))))),0))),0)</f>
        <v/>
      </c>
      <c r="AC99" s="14">
        <f>IFERROR(IF(AND(I99="LeaseUp",4=0),(IF(I99="Vacate",TINew*D99,IF(I99="Market",Retention*TIRenewal*D99+(1-Retention)*TINew*D99,IF(I99="LeaseUp",TINew*D99,IF(I99="Option",TIRenewal*D99,0)))))+(IF(I99="Vacate",LCNew*H99*D99*(1+GrowthMarketRent)^4,IF(I99="Market",Retention*LCRenewal*H99*D99*(1+GrowthMarketRent)^4+(1-Retention)*LCNew*H99*D99*(1+GrowthMarketRent)^4,IF(I99="LeaseUp",LCNew*H99*D99*(1+GrowthMarketRent)^4,IF(I99="Option",LCRenewal*H99*D99*(1+GrowthMarketRent)^4,0))))),IF(F99="",0,IF(AND(F99&gt;=DATE(2026+4,5,1),F99&lt;=DATE(2027+4,4,30)),(IF(I99="Vacate",TINew*D99,IF(I99="Market",Retention*TIRenewal*D99+(1-Retention)*TINew*D99,IF(I99="LeaseUp",TINew*D99,IF(I99="Option",TIRenewal*D99,0)))))+(IF(I99="Vacate",LCNew*H99*D99*(1+GrowthMarketRent)^4,IF(I99="Market",Retention*LCRenewal*H99*D99*(1+GrowthMarketRent)^4+(1-Retention)*LCNew*H99*D99*(1+GrowthMarketRent)^4,IF(I99="LeaseUp",LCNew*H99*D99*(1+GrowthMarketRent)^4,IF(I99="Option",LCRenewal*H99*D99*(1+GrowthMarketRent)^4,0))))),0))),0)</f>
        <v/>
      </c>
      <c r="AD99" s="14">
        <f>IFERROR(IF(AND(I99="LeaseUp",5=0),(IF(I99="Vacate",TINew*D99,IF(I99="Market",Retention*TIRenewal*D99+(1-Retention)*TINew*D99,IF(I99="LeaseUp",TINew*D99,IF(I99="Option",TIRenewal*D99,0)))))+(IF(I99="Vacate",LCNew*H99*D99*(1+GrowthMarketRent)^5,IF(I99="Market",Retention*LCRenewal*H99*D99*(1+GrowthMarketRent)^5+(1-Retention)*LCNew*H99*D99*(1+GrowthMarketRent)^5,IF(I99="LeaseUp",LCNew*H99*D99*(1+GrowthMarketRent)^5,IF(I99="Option",LCRenewal*H99*D99*(1+GrowthMarketRent)^5,0))))),IF(F99="",0,IF(AND(F99&gt;=DATE(2026+5,5,1),F99&lt;=DATE(2027+5,4,30)),(IF(I99="Vacate",TINew*D99,IF(I99="Market",Retention*TIRenewal*D99+(1-Retention)*TINew*D99,IF(I99="LeaseUp",TINew*D99,IF(I99="Option",TIRenewal*D99,0)))))+(IF(I99="Vacate",LCNew*H99*D99*(1+GrowthMarketRent)^5,IF(I99="Market",Retention*LCRenewal*H99*D99*(1+GrowthMarketRent)^5+(1-Retention)*LCNew*H99*D99*(1+GrowthMarketRent)^5,IF(I99="LeaseUp",LCNew*H99*D99*(1+GrowthMarketRent)^5,IF(I99="Option",LCRenewal*H99*D99*(1+GrowthMarketRent)^5,0))))),0))),0)</f>
        <v/>
      </c>
      <c r="AE99" s="14">
        <f>IFERROR(IF(AND(I99="LeaseUp",6=0),(IF(I99="Vacate",TINew*D99,IF(I99="Market",Retention*TIRenewal*D99+(1-Retention)*TINew*D99,IF(I99="LeaseUp",TINew*D99,IF(I99="Option",TIRenewal*D99,0)))))+(IF(I99="Vacate",LCNew*H99*D99*(1+GrowthMarketRent)^6,IF(I99="Market",Retention*LCRenewal*H99*D99*(1+GrowthMarketRent)^6+(1-Retention)*LCNew*H99*D99*(1+GrowthMarketRent)^6,IF(I99="LeaseUp",LCNew*H99*D99*(1+GrowthMarketRent)^6,IF(I99="Option",LCRenewal*H99*D99*(1+GrowthMarketRent)^6,0))))),IF(F99="",0,IF(AND(F99&gt;=DATE(2026+6,5,1),F99&lt;=DATE(2027+6,4,30)),(IF(I99="Vacate",TINew*D99,IF(I99="Market",Retention*TIRenewal*D99+(1-Retention)*TINew*D99,IF(I99="LeaseUp",TINew*D99,IF(I99="Option",TIRenewal*D99,0)))))+(IF(I99="Vacate",LCNew*H99*D99*(1+GrowthMarketRent)^6,IF(I99="Market",Retention*LCRenewal*H99*D99*(1+GrowthMarketRent)^6+(1-Retention)*LCNew*H99*D99*(1+GrowthMarketRent)^6,IF(I99="LeaseUp",LCNew*H99*D99*(1+GrowthMarketRent)^6,IF(I99="Option",LCRenewal*H99*D99*(1+GrowthMarketRent)^6,0))))),0))),0)</f>
        <v/>
      </c>
      <c r="AF99" s="14">
        <f>IFERROR(IF(AND(I99="LeaseUp",7=0),(IF(I99="Vacate",TINew*D99,IF(I99="Market",Retention*TIRenewal*D99+(1-Retention)*TINew*D99,IF(I99="LeaseUp",TINew*D99,IF(I99="Option",TIRenewal*D99,0)))))+(IF(I99="Vacate",LCNew*H99*D99*(1+GrowthMarketRent)^7,IF(I99="Market",Retention*LCRenewal*H99*D99*(1+GrowthMarketRent)^7+(1-Retention)*LCNew*H99*D99*(1+GrowthMarketRent)^7,IF(I99="LeaseUp",LCNew*H99*D99*(1+GrowthMarketRent)^7,IF(I99="Option",LCRenewal*H99*D99*(1+GrowthMarketRent)^7,0))))),IF(F99="",0,IF(AND(F99&gt;=DATE(2026+7,5,1),F99&lt;=DATE(2027+7,4,30)),(IF(I99="Vacate",TINew*D99,IF(I99="Market",Retention*TIRenewal*D99+(1-Retention)*TINew*D99,IF(I99="LeaseUp",TINew*D99,IF(I99="Option",TIRenewal*D99,0)))))+(IF(I99="Vacate",LCNew*H99*D99*(1+GrowthMarketRent)^7,IF(I99="Market",Retention*LCRenewal*H99*D99*(1+GrowthMarketRent)^7+(1-Retention)*LCNew*H99*D99*(1+GrowthMarketRent)^7,IF(I99="LeaseUp",LCNew*H99*D99*(1+GrowthMarketRent)^7,IF(I99="Option",LCRenewal*H99*D99*(1+GrowthMarketRent)^7,0))))),0))),0)</f>
        <v/>
      </c>
      <c r="AG99" s="14">
        <f>IFERROR(IF(AND(I99="LeaseUp",8=0),(IF(I99="Vacate",TINew*D99,IF(I99="Market",Retention*TIRenewal*D99+(1-Retention)*TINew*D99,IF(I99="LeaseUp",TINew*D99,IF(I99="Option",TIRenewal*D99,0)))))+(IF(I99="Vacate",LCNew*H99*D99*(1+GrowthMarketRent)^8,IF(I99="Market",Retention*LCRenewal*H99*D99*(1+GrowthMarketRent)^8+(1-Retention)*LCNew*H99*D99*(1+GrowthMarketRent)^8,IF(I99="LeaseUp",LCNew*H99*D99*(1+GrowthMarketRent)^8,IF(I99="Option",LCRenewal*H99*D99*(1+GrowthMarketRent)^8,0))))),IF(F99="",0,IF(AND(F99&gt;=DATE(2026+8,5,1),F99&lt;=DATE(2027+8,4,30)),(IF(I99="Vacate",TINew*D99,IF(I99="Market",Retention*TIRenewal*D99+(1-Retention)*TINew*D99,IF(I99="LeaseUp",TINew*D99,IF(I99="Option",TIRenewal*D99,0)))))+(IF(I99="Vacate",LCNew*H99*D99*(1+GrowthMarketRent)^8,IF(I99="Market",Retention*LCRenewal*H99*D99*(1+GrowthMarketRent)^8+(1-Retention)*LCNew*H99*D99*(1+GrowthMarketRent)^8,IF(I99="LeaseUp",LCNew*H99*D99*(1+GrowthMarketRent)^8,IF(I99="Option",LCRenewal*H99*D99*(1+GrowthMarketRent)^8,0))))),0))),0)</f>
        <v/>
      </c>
      <c r="AH99" s="14">
        <f>IFERROR(IF(AND(I99="LeaseUp",9=0),(IF(I99="Vacate",TINew*D99,IF(I99="Market",Retention*TIRenewal*D99+(1-Retention)*TINew*D99,IF(I99="LeaseUp",TINew*D99,IF(I99="Option",TIRenewal*D99,0)))))+(IF(I99="Vacate",LCNew*H99*D99*(1+GrowthMarketRent)^9,IF(I99="Market",Retention*LCRenewal*H99*D99*(1+GrowthMarketRent)^9+(1-Retention)*LCNew*H99*D99*(1+GrowthMarketRent)^9,IF(I99="LeaseUp",LCNew*H99*D99*(1+GrowthMarketRent)^9,IF(I99="Option",LCRenewal*H99*D99*(1+GrowthMarketRent)^9,0))))),IF(F99="",0,IF(AND(F99&gt;=DATE(2026+9,5,1),F99&lt;=DATE(2027+9,4,30)),(IF(I99="Vacate",TINew*D99,IF(I99="Market",Retention*TIRenewal*D99+(1-Retention)*TINew*D99,IF(I99="LeaseUp",TINew*D99,IF(I99="Option",TIRenewal*D99,0)))))+(IF(I99="Vacate",LCNew*H99*D99*(1+GrowthMarketRent)^9,IF(I99="Market",Retention*LCRenewal*H99*D99*(1+GrowthMarketRent)^9+(1-Retention)*LCNew*H99*D99*(1+GrowthMarketRent)^9,IF(I99="LeaseUp",LCNew*H99*D99*(1+GrowthMarketRent)^9,IF(I99="Option",LCRenewal*H99*D99*(1+GrowthMarketRent)^9,0))))),0))),0)</f>
        <v/>
      </c>
      <c r="AI99" s="14">
        <f>IFERROR(IF(AND(I99="LeaseUp",10=0),(IF(I99="Vacate",TINew*D99,IF(I99="Market",Retention*TIRenewal*D99+(1-Retention)*TINew*D99,IF(I99="LeaseUp",TINew*D99,IF(I99="Option",TIRenewal*D99,0)))))+(IF(I99="Vacate",LCNew*H99*D99*(1+GrowthMarketRent)^10,IF(I99="Market",Retention*LCRenewal*H99*D99*(1+GrowthMarketRent)^10+(1-Retention)*LCNew*H99*D99*(1+GrowthMarketRent)^10,IF(I99="LeaseUp",LCNew*H99*D99*(1+GrowthMarketRent)^10,IF(I99="Option",LCRenewal*H99*D99*(1+GrowthMarketRent)^10,0))))),IF(F99="",0,IF(AND(F99&gt;=DATE(2026+10,5,1),F99&lt;=DATE(2027+10,4,30)),(IF(I99="Vacate",TINew*D99,IF(I99="Market",Retention*TIRenewal*D99+(1-Retention)*TINew*D99,IF(I99="LeaseUp",TINew*D99,IF(I99="Option",TIRenewal*D99,0)))))+(IF(I99="Vacate",LCNew*H99*D99*(1+GrowthMarketRent)^10,IF(I99="Market",Retention*LCRenewal*H99*D99*(1+GrowthMarketRent)^10+(1-Retention)*LCNew*H99*D99*(1+GrowthMarketRent)^10,IF(I99="LeaseUp",LCNew*H99*D99*(1+GrowthMarketRent)^10,IF(I99="Option",LCRenewal*H99*D99*(1+GrowthMarketRent)^10,0))))),0))),0)</f>
        <v/>
      </c>
    </row>
    <row r="100">
      <c r="A100" t="inlineStr">
        <is>
          <t>Lewisville</t>
        </is>
      </c>
      <c r="B100" t="inlineStr">
        <is>
          <t>110</t>
        </is>
      </c>
      <c r="C100" t="inlineStr">
        <is>
          <t>ShipSquad LLC</t>
        </is>
      </c>
      <c r="D100" s="32" t="n">
        <v>2600</v>
      </c>
      <c r="E100" s="33" t="n">
        <v>45170</v>
      </c>
      <c r="F100" s="33" t="n">
        <v>46419</v>
      </c>
      <c r="G100" s="34" t="n">
        <v>15.4965384615385</v>
      </c>
      <c r="H100" s="16">
        <f>VLOOKUP(A100,MLA!$A$5:$L$11,3,FALSE)</f>
        <v/>
      </c>
      <c r="I100" s="11" t="inlineStr">
        <is>
          <t>Market</t>
        </is>
      </c>
      <c r="J100" t="inlineStr">
        <is>
          <t>Shop</t>
        </is>
      </c>
      <c r="K100" t="inlineStr">
        <is>
          <t>Occupied</t>
        </is>
      </c>
      <c r="L100" t="inlineStr">
        <is>
          <t>Shop; Guarantor: Greg Weese / Levi Bayard / Shane Brown</t>
        </is>
      </c>
      <c r="M100" s="20">
        <f>IF(E100="",0,(AnalysisStart-E100)/365.25)</f>
        <v/>
      </c>
      <c r="N100" s="14">
        <f>IFERROR(IF(I100="LeaseUp",H100*D100*(1+GrowthMarketRent)^0*IF(0=0,(12-DowntimeNew)/12,1),IF(F100="",0,IF(F100&gt;=DATE(2027+0,4,30),G100*D100*(1+EscalatorInLease)^(0+M100),IF(F100&lt;DATE(2026+0,5,1),IF(I100="Vacate",H100*D100*(1+GrowthMarketRent)^0*IF(INT((DATE(2026+0,10,31)-F100)/365.25)=0,(12-DowntimeNew)/12,1),IF(I100="Option",G100*D100*1.025*(1+EscalatorInLease)^0,IF(I100="Market",Retention*G100*D100*(1+EscalatorInLease)^(0+M100)+(1-Retention)*H100*D100*(1+GrowthMarketRent)^0*IF(INT((DATE(2026+0,10,31)-F100)/365.25)=0,(12-DowntimeNew)/12,1),IF(I100="LeaseUp",H100*D100*(1+GrowthMarketRent)^0*IF(0=0,(12-DowntimeNew)/12,1),0)))),((F100-DATE(2026+0,5,1))/365.25)*G100*D100*(1+EscalatorInLease)^(0+M100)+((DATE(2027+0,4,30)-F100)/365.25)*IF(I100="Vacate",H100*D100*(1+GrowthMarketRent)^0*IF(INT((DATE(2026+0,10,31)-F100)/365.25)=0,(12-DowntimeNew)/12,1),IF(I100="Option",G100*D100*1.025*(1+EscalatorInLease)^0,IF(I100="Market",Retention*G100*D100*(1+EscalatorInLease)^(0+M100)+(1-Retention)*H100*D100*(1+GrowthMarketRent)^0*IF(INT((DATE(2026+0,10,31)-F100)/365.25)=0,(12-DowntimeNew)/12,1),IF(I100="LeaseUp",H100*D100*(1+GrowthMarketRent)^0*IF(0=0,(12-DowntimeNew)/12,1),0)))))))),0)</f>
        <v/>
      </c>
      <c r="O100" s="14">
        <f>IFERROR(IF(I100="LeaseUp",H100*D100*(1+GrowthMarketRent)^1*IF(1=0,(12-DowntimeNew)/12,1),IF(F100="",0,IF(F100&gt;=DATE(2027+1,4,30),G100*D100*(1+EscalatorInLease)^(1+M100),IF(F100&lt;DATE(2026+1,5,1),IF(I100="Vacate",H100*D100*(1+GrowthMarketRent)^1*IF(INT((DATE(2026+1,10,31)-F100)/365.25)=0,(12-DowntimeNew)/12,1),IF(I100="Option",G100*D100*1.025*(1+EscalatorInLease)^1,IF(I100="Market",Retention*G100*D100*(1+EscalatorInLease)^(1+M100)+(1-Retention)*H100*D100*(1+GrowthMarketRent)^1*IF(INT((DATE(2026+1,10,31)-F100)/365.25)=0,(12-DowntimeNew)/12,1),IF(I100="LeaseUp",H100*D100*(1+GrowthMarketRent)^1*IF(1=0,(12-DowntimeNew)/12,1),0)))),((F100-DATE(2026+1,5,1))/365.25)*G100*D100*(1+EscalatorInLease)^(1+M100)+((DATE(2027+1,4,30)-F100)/365.25)*IF(I100="Vacate",H100*D100*(1+GrowthMarketRent)^1*IF(INT((DATE(2026+1,10,31)-F100)/365.25)=0,(12-DowntimeNew)/12,1),IF(I100="Option",G100*D100*1.025*(1+EscalatorInLease)^1,IF(I100="Market",Retention*G100*D100*(1+EscalatorInLease)^(1+M100)+(1-Retention)*H100*D100*(1+GrowthMarketRent)^1*IF(INT((DATE(2026+1,10,31)-F100)/365.25)=0,(12-DowntimeNew)/12,1),IF(I100="LeaseUp",H100*D100*(1+GrowthMarketRent)^1*IF(1=0,(12-DowntimeNew)/12,1),0)))))))),0)</f>
        <v/>
      </c>
      <c r="P100" s="14">
        <f>IFERROR(IF(I100="LeaseUp",H100*D100*(1+GrowthMarketRent)^2*IF(2=0,(12-DowntimeNew)/12,1),IF(F100="",0,IF(F100&gt;=DATE(2027+2,4,30),G100*D100*(1+EscalatorInLease)^(2+M100),IF(F100&lt;DATE(2026+2,5,1),IF(I100="Vacate",H100*D100*(1+GrowthMarketRent)^2*IF(INT((DATE(2026+2,10,31)-F100)/365.25)=0,(12-DowntimeNew)/12,1),IF(I100="Option",G100*D100*1.025*(1+EscalatorInLease)^2,IF(I100="Market",Retention*G100*D100*(1+EscalatorInLease)^(2+M100)+(1-Retention)*H100*D100*(1+GrowthMarketRent)^2*IF(INT((DATE(2026+2,10,31)-F100)/365.25)=0,(12-DowntimeNew)/12,1),IF(I100="LeaseUp",H100*D100*(1+GrowthMarketRent)^2*IF(2=0,(12-DowntimeNew)/12,1),0)))),((F100-DATE(2026+2,5,1))/365.25)*G100*D100*(1+EscalatorInLease)^(2+M100)+((DATE(2027+2,4,30)-F100)/365.25)*IF(I100="Vacate",H100*D100*(1+GrowthMarketRent)^2*IF(INT((DATE(2026+2,10,31)-F100)/365.25)=0,(12-DowntimeNew)/12,1),IF(I100="Option",G100*D100*1.025*(1+EscalatorInLease)^2,IF(I100="Market",Retention*G100*D100*(1+EscalatorInLease)^(2+M100)+(1-Retention)*H100*D100*(1+GrowthMarketRent)^2*IF(INT((DATE(2026+2,10,31)-F100)/365.25)=0,(12-DowntimeNew)/12,1),IF(I100="LeaseUp",H100*D100*(1+GrowthMarketRent)^2*IF(2=0,(12-DowntimeNew)/12,1),0)))))))),0)</f>
        <v/>
      </c>
      <c r="Q100" s="14">
        <f>IFERROR(IF(I100="LeaseUp",H100*D100*(1+GrowthMarketRent)^3*IF(3=0,(12-DowntimeNew)/12,1),IF(F100="",0,IF(F100&gt;=DATE(2027+3,4,30),G100*D100*(1+EscalatorInLease)^(3+M100),IF(F100&lt;DATE(2026+3,5,1),IF(I100="Vacate",H100*D100*(1+GrowthMarketRent)^3*IF(INT((DATE(2026+3,10,31)-F100)/365.25)=0,(12-DowntimeNew)/12,1),IF(I100="Option",G100*D100*1.025*(1+EscalatorInLease)^3,IF(I100="Market",Retention*G100*D100*(1+EscalatorInLease)^(3+M100)+(1-Retention)*H100*D100*(1+GrowthMarketRent)^3*IF(INT((DATE(2026+3,10,31)-F100)/365.25)=0,(12-DowntimeNew)/12,1),IF(I100="LeaseUp",H100*D100*(1+GrowthMarketRent)^3*IF(3=0,(12-DowntimeNew)/12,1),0)))),((F100-DATE(2026+3,5,1))/365.25)*G100*D100*(1+EscalatorInLease)^(3+M100)+((DATE(2027+3,4,30)-F100)/365.25)*IF(I100="Vacate",H100*D100*(1+GrowthMarketRent)^3*IF(INT((DATE(2026+3,10,31)-F100)/365.25)=0,(12-DowntimeNew)/12,1),IF(I100="Option",G100*D100*1.025*(1+EscalatorInLease)^3,IF(I100="Market",Retention*G100*D100*(1+EscalatorInLease)^(3+M100)+(1-Retention)*H100*D100*(1+GrowthMarketRent)^3*IF(INT((DATE(2026+3,10,31)-F100)/365.25)=0,(12-DowntimeNew)/12,1),IF(I100="LeaseUp",H100*D100*(1+GrowthMarketRent)^3*IF(3=0,(12-DowntimeNew)/12,1),0)))))))),0)</f>
        <v/>
      </c>
      <c r="R100" s="14">
        <f>IFERROR(IF(I100="LeaseUp",H100*D100*(1+GrowthMarketRent)^4*IF(4=0,(12-DowntimeNew)/12,1),IF(F100="",0,IF(F100&gt;=DATE(2027+4,4,30),G100*D100*(1+EscalatorInLease)^(4+M100),IF(F100&lt;DATE(2026+4,5,1),IF(I100="Vacate",H100*D100*(1+GrowthMarketRent)^4*IF(INT((DATE(2026+4,10,31)-F100)/365.25)=0,(12-DowntimeNew)/12,1),IF(I100="Option",G100*D100*1.025*(1+EscalatorInLease)^4,IF(I100="Market",Retention*G100*D100*(1+EscalatorInLease)^(4+M100)+(1-Retention)*H100*D100*(1+GrowthMarketRent)^4*IF(INT((DATE(2026+4,10,31)-F100)/365.25)=0,(12-DowntimeNew)/12,1),IF(I100="LeaseUp",H100*D100*(1+GrowthMarketRent)^4*IF(4=0,(12-DowntimeNew)/12,1),0)))),((F100-DATE(2026+4,5,1))/365.25)*G100*D100*(1+EscalatorInLease)^(4+M100)+((DATE(2027+4,4,30)-F100)/365.25)*IF(I100="Vacate",H100*D100*(1+GrowthMarketRent)^4*IF(INT((DATE(2026+4,10,31)-F100)/365.25)=0,(12-DowntimeNew)/12,1),IF(I100="Option",G100*D100*1.025*(1+EscalatorInLease)^4,IF(I100="Market",Retention*G100*D100*(1+EscalatorInLease)^(4+M100)+(1-Retention)*H100*D100*(1+GrowthMarketRent)^4*IF(INT((DATE(2026+4,10,31)-F100)/365.25)=0,(12-DowntimeNew)/12,1),IF(I100="LeaseUp",H100*D100*(1+GrowthMarketRent)^4*IF(4=0,(12-DowntimeNew)/12,1),0)))))))),0)</f>
        <v/>
      </c>
      <c r="S100" s="14">
        <f>IFERROR(IF(I100="LeaseUp",H100*D100*(1+GrowthMarketRent)^5*IF(5=0,(12-DowntimeNew)/12,1),IF(F100="",0,IF(F100&gt;=DATE(2027+5,4,30),G100*D100*(1+EscalatorInLease)^(5+M100),IF(F100&lt;DATE(2026+5,5,1),IF(I100="Vacate",H100*D100*(1+GrowthMarketRent)^5*IF(INT((DATE(2026+5,10,31)-F100)/365.25)=0,(12-DowntimeNew)/12,1),IF(I100="Option",G100*D100*1.025*(1+EscalatorInLease)^5,IF(I100="Market",Retention*G100*D100*(1+EscalatorInLease)^(5+M100)+(1-Retention)*H100*D100*(1+GrowthMarketRent)^5*IF(INT((DATE(2026+5,10,31)-F100)/365.25)=0,(12-DowntimeNew)/12,1),IF(I100="LeaseUp",H100*D100*(1+GrowthMarketRent)^5*IF(5=0,(12-DowntimeNew)/12,1),0)))),((F100-DATE(2026+5,5,1))/365.25)*G100*D100*(1+EscalatorInLease)^(5+M100)+((DATE(2027+5,4,30)-F100)/365.25)*IF(I100="Vacate",H100*D100*(1+GrowthMarketRent)^5*IF(INT((DATE(2026+5,10,31)-F100)/365.25)=0,(12-DowntimeNew)/12,1),IF(I100="Option",G100*D100*1.025*(1+EscalatorInLease)^5,IF(I100="Market",Retention*G100*D100*(1+EscalatorInLease)^(5+M100)+(1-Retention)*H100*D100*(1+GrowthMarketRent)^5*IF(INT((DATE(2026+5,10,31)-F100)/365.25)=0,(12-DowntimeNew)/12,1),IF(I100="LeaseUp",H100*D100*(1+GrowthMarketRent)^5*IF(5=0,(12-DowntimeNew)/12,1),0)))))))),0)</f>
        <v/>
      </c>
      <c r="T100" s="14">
        <f>IFERROR(IF(I100="LeaseUp",H100*D100*(1+GrowthMarketRent)^6*IF(6=0,(12-DowntimeNew)/12,1),IF(F100="",0,IF(F100&gt;=DATE(2027+6,4,30),G100*D100*(1+EscalatorInLease)^(6+M100),IF(F100&lt;DATE(2026+6,5,1),IF(I100="Vacate",H100*D100*(1+GrowthMarketRent)^6*IF(INT((DATE(2026+6,10,31)-F100)/365.25)=0,(12-DowntimeNew)/12,1),IF(I100="Option",G100*D100*1.025*(1+EscalatorInLease)^6,IF(I100="Market",Retention*G100*D100*(1+EscalatorInLease)^(6+M100)+(1-Retention)*H100*D100*(1+GrowthMarketRent)^6*IF(INT((DATE(2026+6,10,31)-F100)/365.25)=0,(12-DowntimeNew)/12,1),IF(I100="LeaseUp",H100*D100*(1+GrowthMarketRent)^6*IF(6=0,(12-DowntimeNew)/12,1),0)))),((F100-DATE(2026+6,5,1))/365.25)*G100*D100*(1+EscalatorInLease)^(6+M100)+((DATE(2027+6,4,30)-F100)/365.25)*IF(I100="Vacate",H100*D100*(1+GrowthMarketRent)^6*IF(INT((DATE(2026+6,10,31)-F100)/365.25)=0,(12-DowntimeNew)/12,1),IF(I100="Option",G100*D100*1.025*(1+EscalatorInLease)^6,IF(I100="Market",Retention*G100*D100*(1+EscalatorInLease)^(6+M100)+(1-Retention)*H100*D100*(1+GrowthMarketRent)^6*IF(INT((DATE(2026+6,10,31)-F100)/365.25)=0,(12-DowntimeNew)/12,1),IF(I100="LeaseUp",H100*D100*(1+GrowthMarketRent)^6*IF(6=0,(12-DowntimeNew)/12,1),0)))))))),0)</f>
        <v/>
      </c>
      <c r="U100" s="14">
        <f>IFERROR(IF(I100="LeaseUp",H100*D100*(1+GrowthMarketRent)^7*IF(7=0,(12-DowntimeNew)/12,1),IF(F100="",0,IF(F100&gt;=DATE(2027+7,4,30),G100*D100*(1+EscalatorInLease)^(7+M100),IF(F100&lt;DATE(2026+7,5,1),IF(I100="Vacate",H100*D100*(1+GrowthMarketRent)^7*IF(INT((DATE(2026+7,10,31)-F100)/365.25)=0,(12-DowntimeNew)/12,1),IF(I100="Option",G100*D100*1.025*(1+EscalatorInLease)^7,IF(I100="Market",Retention*G100*D100*(1+EscalatorInLease)^(7+M100)+(1-Retention)*H100*D100*(1+GrowthMarketRent)^7*IF(INT((DATE(2026+7,10,31)-F100)/365.25)=0,(12-DowntimeNew)/12,1),IF(I100="LeaseUp",H100*D100*(1+GrowthMarketRent)^7*IF(7=0,(12-DowntimeNew)/12,1),0)))),((F100-DATE(2026+7,5,1))/365.25)*G100*D100*(1+EscalatorInLease)^(7+M100)+((DATE(2027+7,4,30)-F100)/365.25)*IF(I100="Vacate",H100*D100*(1+GrowthMarketRent)^7*IF(INT((DATE(2026+7,10,31)-F100)/365.25)=0,(12-DowntimeNew)/12,1),IF(I100="Option",G100*D100*1.025*(1+EscalatorInLease)^7,IF(I100="Market",Retention*G100*D100*(1+EscalatorInLease)^(7+M100)+(1-Retention)*H100*D100*(1+GrowthMarketRent)^7*IF(INT((DATE(2026+7,10,31)-F100)/365.25)=0,(12-DowntimeNew)/12,1),IF(I100="LeaseUp",H100*D100*(1+GrowthMarketRent)^7*IF(7=0,(12-DowntimeNew)/12,1),0)))))))),0)</f>
        <v/>
      </c>
      <c r="V100" s="14">
        <f>IFERROR(IF(I100="LeaseUp",H100*D100*(1+GrowthMarketRent)^8*IF(8=0,(12-DowntimeNew)/12,1),IF(F100="",0,IF(F100&gt;=DATE(2027+8,4,30),G100*D100*(1+EscalatorInLease)^(8+M100),IF(F100&lt;DATE(2026+8,5,1),IF(I100="Vacate",H100*D100*(1+GrowthMarketRent)^8*IF(INT((DATE(2026+8,10,31)-F100)/365.25)=0,(12-DowntimeNew)/12,1),IF(I100="Option",G100*D100*1.025*(1+EscalatorInLease)^8,IF(I100="Market",Retention*G100*D100*(1+EscalatorInLease)^(8+M100)+(1-Retention)*H100*D100*(1+GrowthMarketRent)^8*IF(INT((DATE(2026+8,10,31)-F100)/365.25)=0,(12-DowntimeNew)/12,1),IF(I100="LeaseUp",H100*D100*(1+GrowthMarketRent)^8*IF(8=0,(12-DowntimeNew)/12,1),0)))),((F100-DATE(2026+8,5,1))/365.25)*G100*D100*(1+EscalatorInLease)^(8+M100)+((DATE(2027+8,4,30)-F100)/365.25)*IF(I100="Vacate",H100*D100*(1+GrowthMarketRent)^8*IF(INT((DATE(2026+8,10,31)-F100)/365.25)=0,(12-DowntimeNew)/12,1),IF(I100="Option",G100*D100*1.025*(1+EscalatorInLease)^8,IF(I100="Market",Retention*G100*D100*(1+EscalatorInLease)^(8+M100)+(1-Retention)*H100*D100*(1+GrowthMarketRent)^8*IF(INT((DATE(2026+8,10,31)-F100)/365.25)=0,(12-DowntimeNew)/12,1),IF(I100="LeaseUp",H100*D100*(1+GrowthMarketRent)^8*IF(8=0,(12-DowntimeNew)/12,1),0)))))))),0)</f>
        <v/>
      </c>
      <c r="W100" s="14">
        <f>IFERROR(IF(I100="LeaseUp",H100*D100*(1+GrowthMarketRent)^9*IF(9=0,(12-DowntimeNew)/12,1),IF(F100="",0,IF(F100&gt;=DATE(2027+9,4,30),G100*D100*(1+EscalatorInLease)^(9+M100),IF(F100&lt;DATE(2026+9,5,1),IF(I100="Vacate",H100*D100*(1+GrowthMarketRent)^9*IF(INT((DATE(2026+9,10,31)-F100)/365.25)=0,(12-DowntimeNew)/12,1),IF(I100="Option",G100*D100*1.025*(1+EscalatorInLease)^9,IF(I100="Market",Retention*G100*D100*(1+EscalatorInLease)^(9+M100)+(1-Retention)*H100*D100*(1+GrowthMarketRent)^9*IF(INT((DATE(2026+9,10,31)-F100)/365.25)=0,(12-DowntimeNew)/12,1),IF(I100="LeaseUp",H100*D100*(1+GrowthMarketRent)^9*IF(9=0,(12-DowntimeNew)/12,1),0)))),((F100-DATE(2026+9,5,1))/365.25)*G100*D100*(1+EscalatorInLease)^(9+M100)+((DATE(2027+9,4,30)-F100)/365.25)*IF(I100="Vacate",H100*D100*(1+GrowthMarketRent)^9*IF(INT((DATE(2026+9,10,31)-F100)/365.25)=0,(12-DowntimeNew)/12,1),IF(I100="Option",G100*D100*1.025*(1+EscalatorInLease)^9,IF(I100="Market",Retention*G100*D100*(1+EscalatorInLease)^(9+M100)+(1-Retention)*H100*D100*(1+GrowthMarketRent)^9*IF(INT((DATE(2026+9,10,31)-F100)/365.25)=0,(12-DowntimeNew)/12,1),IF(I100="LeaseUp",H100*D100*(1+GrowthMarketRent)^9*IF(9=0,(12-DowntimeNew)/12,1),0)))))))),0)</f>
        <v/>
      </c>
      <c r="X100" s="14">
        <f>IFERROR(IF(I100="LeaseUp",H100*D100*(1+GrowthMarketRent)^10*IF(10=0,(12-DowntimeNew)/12,1),IF(F100="",0,IF(F100&gt;=DATE(2027+10,4,30),G100*D100*(1+EscalatorInLease)^(10+M100),IF(F100&lt;DATE(2026+10,5,1),IF(I100="Vacate",H100*D100*(1+GrowthMarketRent)^10*IF(INT((DATE(2026+10,10,31)-F100)/365.25)=0,(12-DowntimeNew)/12,1),IF(I100="Option",G100*D100*1.025*(1+EscalatorInLease)^10,IF(I100="Market",Retention*G100*D100*(1+EscalatorInLease)^(10+M100)+(1-Retention)*H100*D100*(1+GrowthMarketRent)^10*IF(INT((DATE(2026+10,10,31)-F100)/365.25)=0,(12-DowntimeNew)/12,1),IF(I100="LeaseUp",H100*D100*(1+GrowthMarketRent)^10*IF(10=0,(12-DowntimeNew)/12,1),0)))),((F100-DATE(2026+10,5,1))/365.25)*G100*D100*(1+EscalatorInLease)^(10+M100)+((DATE(2027+10,4,30)-F100)/365.25)*IF(I100="Vacate",H100*D100*(1+GrowthMarketRent)^10*IF(INT((DATE(2026+10,10,31)-F100)/365.25)=0,(12-DowntimeNew)/12,1),IF(I100="Option",G100*D100*1.025*(1+EscalatorInLease)^10,IF(I100="Market",Retention*G100*D100*(1+EscalatorInLease)^(10+M100)+(1-Retention)*H100*D100*(1+GrowthMarketRent)^10*IF(INT((DATE(2026+10,10,31)-F100)/365.25)=0,(12-DowntimeNew)/12,1),IF(I100="LeaseUp",H100*D100*(1+GrowthMarketRent)^10*IF(10=0,(12-DowntimeNew)/12,1),0)))))))),0)</f>
        <v/>
      </c>
      <c r="Y100" s="14">
        <f>IFERROR(IF(AND(I100="LeaseUp",0=0),(IF(I100="Vacate",TINew*D100,IF(I100="Market",Retention*TIRenewal*D100+(1-Retention)*TINew*D100,IF(I100="LeaseUp",TINew*D100,IF(I100="Option",TIRenewal*D100,0)))))+(IF(I100="Vacate",LCNew*H100*D100*(1+GrowthMarketRent)^0,IF(I100="Market",Retention*LCRenewal*H100*D100*(1+GrowthMarketRent)^0+(1-Retention)*LCNew*H100*D100*(1+GrowthMarketRent)^0,IF(I100="LeaseUp",LCNew*H100*D100*(1+GrowthMarketRent)^0,IF(I100="Option",LCRenewal*H100*D100*(1+GrowthMarketRent)^0,0))))),IF(F100="",0,IF(AND(F100&gt;=DATE(2026+0,5,1),F100&lt;=DATE(2027+0,4,30)),(IF(I100="Vacate",TINew*D100,IF(I100="Market",Retention*TIRenewal*D100+(1-Retention)*TINew*D100,IF(I100="LeaseUp",TINew*D100,IF(I100="Option",TIRenewal*D100,0)))))+(IF(I100="Vacate",LCNew*H100*D100*(1+GrowthMarketRent)^0,IF(I100="Market",Retention*LCRenewal*H100*D100*(1+GrowthMarketRent)^0+(1-Retention)*LCNew*H100*D100*(1+GrowthMarketRent)^0,IF(I100="LeaseUp",LCNew*H100*D100*(1+GrowthMarketRent)^0,IF(I100="Option",LCRenewal*H100*D100*(1+GrowthMarketRent)^0,0))))),0))),0)</f>
        <v/>
      </c>
      <c r="Z100" s="14">
        <f>IFERROR(IF(AND(I100="LeaseUp",1=0),(IF(I100="Vacate",TINew*D100,IF(I100="Market",Retention*TIRenewal*D100+(1-Retention)*TINew*D100,IF(I100="LeaseUp",TINew*D100,IF(I100="Option",TIRenewal*D100,0)))))+(IF(I100="Vacate",LCNew*H100*D100*(1+GrowthMarketRent)^1,IF(I100="Market",Retention*LCRenewal*H100*D100*(1+GrowthMarketRent)^1+(1-Retention)*LCNew*H100*D100*(1+GrowthMarketRent)^1,IF(I100="LeaseUp",LCNew*H100*D100*(1+GrowthMarketRent)^1,IF(I100="Option",LCRenewal*H100*D100*(1+GrowthMarketRent)^1,0))))),IF(F100="",0,IF(AND(F100&gt;=DATE(2026+1,5,1),F100&lt;=DATE(2027+1,4,30)),(IF(I100="Vacate",TINew*D100,IF(I100="Market",Retention*TIRenewal*D100+(1-Retention)*TINew*D100,IF(I100="LeaseUp",TINew*D100,IF(I100="Option",TIRenewal*D100,0)))))+(IF(I100="Vacate",LCNew*H100*D100*(1+GrowthMarketRent)^1,IF(I100="Market",Retention*LCRenewal*H100*D100*(1+GrowthMarketRent)^1+(1-Retention)*LCNew*H100*D100*(1+GrowthMarketRent)^1,IF(I100="LeaseUp",LCNew*H100*D100*(1+GrowthMarketRent)^1,IF(I100="Option",LCRenewal*H100*D100*(1+GrowthMarketRent)^1,0))))),0))),0)</f>
        <v/>
      </c>
      <c r="AA100" s="14">
        <f>IFERROR(IF(AND(I100="LeaseUp",2=0),(IF(I100="Vacate",TINew*D100,IF(I100="Market",Retention*TIRenewal*D100+(1-Retention)*TINew*D100,IF(I100="LeaseUp",TINew*D100,IF(I100="Option",TIRenewal*D100,0)))))+(IF(I100="Vacate",LCNew*H100*D100*(1+GrowthMarketRent)^2,IF(I100="Market",Retention*LCRenewal*H100*D100*(1+GrowthMarketRent)^2+(1-Retention)*LCNew*H100*D100*(1+GrowthMarketRent)^2,IF(I100="LeaseUp",LCNew*H100*D100*(1+GrowthMarketRent)^2,IF(I100="Option",LCRenewal*H100*D100*(1+GrowthMarketRent)^2,0))))),IF(F100="",0,IF(AND(F100&gt;=DATE(2026+2,5,1),F100&lt;=DATE(2027+2,4,30)),(IF(I100="Vacate",TINew*D100,IF(I100="Market",Retention*TIRenewal*D100+(1-Retention)*TINew*D100,IF(I100="LeaseUp",TINew*D100,IF(I100="Option",TIRenewal*D100,0)))))+(IF(I100="Vacate",LCNew*H100*D100*(1+GrowthMarketRent)^2,IF(I100="Market",Retention*LCRenewal*H100*D100*(1+GrowthMarketRent)^2+(1-Retention)*LCNew*H100*D100*(1+GrowthMarketRent)^2,IF(I100="LeaseUp",LCNew*H100*D100*(1+GrowthMarketRent)^2,IF(I100="Option",LCRenewal*H100*D100*(1+GrowthMarketRent)^2,0))))),0))),0)</f>
        <v/>
      </c>
      <c r="AB100" s="14">
        <f>IFERROR(IF(AND(I100="LeaseUp",3=0),(IF(I100="Vacate",TINew*D100,IF(I100="Market",Retention*TIRenewal*D100+(1-Retention)*TINew*D100,IF(I100="LeaseUp",TINew*D100,IF(I100="Option",TIRenewal*D100,0)))))+(IF(I100="Vacate",LCNew*H100*D100*(1+GrowthMarketRent)^3,IF(I100="Market",Retention*LCRenewal*H100*D100*(1+GrowthMarketRent)^3+(1-Retention)*LCNew*H100*D100*(1+GrowthMarketRent)^3,IF(I100="LeaseUp",LCNew*H100*D100*(1+GrowthMarketRent)^3,IF(I100="Option",LCRenewal*H100*D100*(1+GrowthMarketRent)^3,0))))),IF(F100="",0,IF(AND(F100&gt;=DATE(2026+3,5,1),F100&lt;=DATE(2027+3,4,30)),(IF(I100="Vacate",TINew*D100,IF(I100="Market",Retention*TIRenewal*D100+(1-Retention)*TINew*D100,IF(I100="LeaseUp",TINew*D100,IF(I100="Option",TIRenewal*D100,0)))))+(IF(I100="Vacate",LCNew*H100*D100*(1+GrowthMarketRent)^3,IF(I100="Market",Retention*LCRenewal*H100*D100*(1+GrowthMarketRent)^3+(1-Retention)*LCNew*H100*D100*(1+GrowthMarketRent)^3,IF(I100="LeaseUp",LCNew*H100*D100*(1+GrowthMarketRent)^3,IF(I100="Option",LCRenewal*H100*D100*(1+GrowthMarketRent)^3,0))))),0))),0)</f>
        <v/>
      </c>
      <c r="AC100" s="14">
        <f>IFERROR(IF(AND(I100="LeaseUp",4=0),(IF(I100="Vacate",TINew*D100,IF(I100="Market",Retention*TIRenewal*D100+(1-Retention)*TINew*D100,IF(I100="LeaseUp",TINew*D100,IF(I100="Option",TIRenewal*D100,0)))))+(IF(I100="Vacate",LCNew*H100*D100*(1+GrowthMarketRent)^4,IF(I100="Market",Retention*LCRenewal*H100*D100*(1+GrowthMarketRent)^4+(1-Retention)*LCNew*H100*D100*(1+GrowthMarketRent)^4,IF(I100="LeaseUp",LCNew*H100*D100*(1+GrowthMarketRent)^4,IF(I100="Option",LCRenewal*H100*D100*(1+GrowthMarketRent)^4,0))))),IF(F100="",0,IF(AND(F100&gt;=DATE(2026+4,5,1),F100&lt;=DATE(2027+4,4,30)),(IF(I100="Vacate",TINew*D100,IF(I100="Market",Retention*TIRenewal*D100+(1-Retention)*TINew*D100,IF(I100="LeaseUp",TINew*D100,IF(I100="Option",TIRenewal*D100,0)))))+(IF(I100="Vacate",LCNew*H100*D100*(1+GrowthMarketRent)^4,IF(I100="Market",Retention*LCRenewal*H100*D100*(1+GrowthMarketRent)^4+(1-Retention)*LCNew*H100*D100*(1+GrowthMarketRent)^4,IF(I100="LeaseUp",LCNew*H100*D100*(1+GrowthMarketRent)^4,IF(I100="Option",LCRenewal*H100*D100*(1+GrowthMarketRent)^4,0))))),0))),0)</f>
        <v/>
      </c>
      <c r="AD100" s="14">
        <f>IFERROR(IF(AND(I100="LeaseUp",5=0),(IF(I100="Vacate",TINew*D100,IF(I100="Market",Retention*TIRenewal*D100+(1-Retention)*TINew*D100,IF(I100="LeaseUp",TINew*D100,IF(I100="Option",TIRenewal*D100,0)))))+(IF(I100="Vacate",LCNew*H100*D100*(1+GrowthMarketRent)^5,IF(I100="Market",Retention*LCRenewal*H100*D100*(1+GrowthMarketRent)^5+(1-Retention)*LCNew*H100*D100*(1+GrowthMarketRent)^5,IF(I100="LeaseUp",LCNew*H100*D100*(1+GrowthMarketRent)^5,IF(I100="Option",LCRenewal*H100*D100*(1+GrowthMarketRent)^5,0))))),IF(F100="",0,IF(AND(F100&gt;=DATE(2026+5,5,1),F100&lt;=DATE(2027+5,4,30)),(IF(I100="Vacate",TINew*D100,IF(I100="Market",Retention*TIRenewal*D100+(1-Retention)*TINew*D100,IF(I100="LeaseUp",TINew*D100,IF(I100="Option",TIRenewal*D100,0)))))+(IF(I100="Vacate",LCNew*H100*D100*(1+GrowthMarketRent)^5,IF(I100="Market",Retention*LCRenewal*H100*D100*(1+GrowthMarketRent)^5+(1-Retention)*LCNew*H100*D100*(1+GrowthMarketRent)^5,IF(I100="LeaseUp",LCNew*H100*D100*(1+GrowthMarketRent)^5,IF(I100="Option",LCRenewal*H100*D100*(1+GrowthMarketRent)^5,0))))),0))),0)</f>
        <v/>
      </c>
      <c r="AE100" s="14">
        <f>IFERROR(IF(AND(I100="LeaseUp",6=0),(IF(I100="Vacate",TINew*D100,IF(I100="Market",Retention*TIRenewal*D100+(1-Retention)*TINew*D100,IF(I100="LeaseUp",TINew*D100,IF(I100="Option",TIRenewal*D100,0)))))+(IF(I100="Vacate",LCNew*H100*D100*(1+GrowthMarketRent)^6,IF(I100="Market",Retention*LCRenewal*H100*D100*(1+GrowthMarketRent)^6+(1-Retention)*LCNew*H100*D100*(1+GrowthMarketRent)^6,IF(I100="LeaseUp",LCNew*H100*D100*(1+GrowthMarketRent)^6,IF(I100="Option",LCRenewal*H100*D100*(1+GrowthMarketRent)^6,0))))),IF(F100="",0,IF(AND(F100&gt;=DATE(2026+6,5,1),F100&lt;=DATE(2027+6,4,30)),(IF(I100="Vacate",TINew*D100,IF(I100="Market",Retention*TIRenewal*D100+(1-Retention)*TINew*D100,IF(I100="LeaseUp",TINew*D100,IF(I100="Option",TIRenewal*D100,0)))))+(IF(I100="Vacate",LCNew*H100*D100*(1+GrowthMarketRent)^6,IF(I100="Market",Retention*LCRenewal*H100*D100*(1+GrowthMarketRent)^6+(1-Retention)*LCNew*H100*D100*(1+GrowthMarketRent)^6,IF(I100="LeaseUp",LCNew*H100*D100*(1+GrowthMarketRent)^6,IF(I100="Option",LCRenewal*H100*D100*(1+GrowthMarketRent)^6,0))))),0))),0)</f>
        <v/>
      </c>
      <c r="AF100" s="14">
        <f>IFERROR(IF(AND(I100="LeaseUp",7=0),(IF(I100="Vacate",TINew*D100,IF(I100="Market",Retention*TIRenewal*D100+(1-Retention)*TINew*D100,IF(I100="LeaseUp",TINew*D100,IF(I100="Option",TIRenewal*D100,0)))))+(IF(I100="Vacate",LCNew*H100*D100*(1+GrowthMarketRent)^7,IF(I100="Market",Retention*LCRenewal*H100*D100*(1+GrowthMarketRent)^7+(1-Retention)*LCNew*H100*D100*(1+GrowthMarketRent)^7,IF(I100="LeaseUp",LCNew*H100*D100*(1+GrowthMarketRent)^7,IF(I100="Option",LCRenewal*H100*D100*(1+GrowthMarketRent)^7,0))))),IF(F100="",0,IF(AND(F100&gt;=DATE(2026+7,5,1),F100&lt;=DATE(2027+7,4,30)),(IF(I100="Vacate",TINew*D100,IF(I100="Market",Retention*TIRenewal*D100+(1-Retention)*TINew*D100,IF(I100="LeaseUp",TINew*D100,IF(I100="Option",TIRenewal*D100,0)))))+(IF(I100="Vacate",LCNew*H100*D100*(1+GrowthMarketRent)^7,IF(I100="Market",Retention*LCRenewal*H100*D100*(1+GrowthMarketRent)^7+(1-Retention)*LCNew*H100*D100*(1+GrowthMarketRent)^7,IF(I100="LeaseUp",LCNew*H100*D100*(1+GrowthMarketRent)^7,IF(I100="Option",LCRenewal*H100*D100*(1+GrowthMarketRent)^7,0))))),0))),0)</f>
        <v/>
      </c>
      <c r="AG100" s="14">
        <f>IFERROR(IF(AND(I100="LeaseUp",8=0),(IF(I100="Vacate",TINew*D100,IF(I100="Market",Retention*TIRenewal*D100+(1-Retention)*TINew*D100,IF(I100="LeaseUp",TINew*D100,IF(I100="Option",TIRenewal*D100,0)))))+(IF(I100="Vacate",LCNew*H100*D100*(1+GrowthMarketRent)^8,IF(I100="Market",Retention*LCRenewal*H100*D100*(1+GrowthMarketRent)^8+(1-Retention)*LCNew*H100*D100*(1+GrowthMarketRent)^8,IF(I100="LeaseUp",LCNew*H100*D100*(1+GrowthMarketRent)^8,IF(I100="Option",LCRenewal*H100*D100*(1+GrowthMarketRent)^8,0))))),IF(F100="",0,IF(AND(F100&gt;=DATE(2026+8,5,1),F100&lt;=DATE(2027+8,4,30)),(IF(I100="Vacate",TINew*D100,IF(I100="Market",Retention*TIRenewal*D100+(1-Retention)*TINew*D100,IF(I100="LeaseUp",TINew*D100,IF(I100="Option",TIRenewal*D100,0)))))+(IF(I100="Vacate",LCNew*H100*D100*(1+GrowthMarketRent)^8,IF(I100="Market",Retention*LCRenewal*H100*D100*(1+GrowthMarketRent)^8+(1-Retention)*LCNew*H100*D100*(1+GrowthMarketRent)^8,IF(I100="LeaseUp",LCNew*H100*D100*(1+GrowthMarketRent)^8,IF(I100="Option",LCRenewal*H100*D100*(1+GrowthMarketRent)^8,0))))),0))),0)</f>
        <v/>
      </c>
      <c r="AH100" s="14">
        <f>IFERROR(IF(AND(I100="LeaseUp",9=0),(IF(I100="Vacate",TINew*D100,IF(I100="Market",Retention*TIRenewal*D100+(1-Retention)*TINew*D100,IF(I100="LeaseUp",TINew*D100,IF(I100="Option",TIRenewal*D100,0)))))+(IF(I100="Vacate",LCNew*H100*D100*(1+GrowthMarketRent)^9,IF(I100="Market",Retention*LCRenewal*H100*D100*(1+GrowthMarketRent)^9+(1-Retention)*LCNew*H100*D100*(1+GrowthMarketRent)^9,IF(I100="LeaseUp",LCNew*H100*D100*(1+GrowthMarketRent)^9,IF(I100="Option",LCRenewal*H100*D100*(1+GrowthMarketRent)^9,0))))),IF(F100="",0,IF(AND(F100&gt;=DATE(2026+9,5,1),F100&lt;=DATE(2027+9,4,30)),(IF(I100="Vacate",TINew*D100,IF(I100="Market",Retention*TIRenewal*D100+(1-Retention)*TINew*D100,IF(I100="LeaseUp",TINew*D100,IF(I100="Option",TIRenewal*D100,0)))))+(IF(I100="Vacate",LCNew*H100*D100*(1+GrowthMarketRent)^9,IF(I100="Market",Retention*LCRenewal*H100*D100*(1+GrowthMarketRent)^9+(1-Retention)*LCNew*H100*D100*(1+GrowthMarketRent)^9,IF(I100="LeaseUp",LCNew*H100*D100*(1+GrowthMarketRent)^9,IF(I100="Option",LCRenewal*H100*D100*(1+GrowthMarketRent)^9,0))))),0))),0)</f>
        <v/>
      </c>
      <c r="AI100" s="14">
        <f>IFERROR(IF(AND(I100="LeaseUp",10=0),(IF(I100="Vacate",TINew*D100,IF(I100="Market",Retention*TIRenewal*D100+(1-Retention)*TINew*D100,IF(I100="LeaseUp",TINew*D100,IF(I100="Option",TIRenewal*D100,0)))))+(IF(I100="Vacate",LCNew*H100*D100*(1+GrowthMarketRent)^10,IF(I100="Market",Retention*LCRenewal*H100*D100*(1+GrowthMarketRent)^10+(1-Retention)*LCNew*H100*D100*(1+GrowthMarketRent)^10,IF(I100="LeaseUp",LCNew*H100*D100*(1+GrowthMarketRent)^10,IF(I100="Option",LCRenewal*H100*D100*(1+GrowthMarketRent)^10,0))))),IF(F100="",0,IF(AND(F100&gt;=DATE(2026+10,5,1),F100&lt;=DATE(2027+10,4,30)),(IF(I100="Vacate",TINew*D100,IF(I100="Market",Retention*TIRenewal*D100+(1-Retention)*TINew*D100,IF(I100="LeaseUp",TINew*D100,IF(I100="Option",TIRenewal*D100,0)))))+(IF(I100="Vacate",LCNew*H100*D100*(1+GrowthMarketRent)^10,IF(I100="Market",Retention*LCRenewal*H100*D100*(1+GrowthMarketRent)^10+(1-Retention)*LCNew*H100*D100*(1+GrowthMarketRent)^10,IF(I100="LeaseUp",LCNew*H100*D100*(1+GrowthMarketRent)^10,IF(I100="Option",LCRenewal*H100*D100*(1+GrowthMarketRent)^10,0))))),0))),0)</f>
        <v/>
      </c>
    </row>
    <row r="101">
      <c r="A101" t="inlineStr">
        <is>
          <t>Lewisville</t>
        </is>
      </c>
      <c r="B101" t="inlineStr">
        <is>
          <t>201</t>
        </is>
      </c>
      <c r="C101" t="inlineStr">
        <is>
          <t>Next Level Telecommunications LLC</t>
        </is>
      </c>
      <c r="D101" s="32" t="n">
        <v>2600</v>
      </c>
      <c r="E101" s="33" t="n">
        <v>45200</v>
      </c>
      <c r="F101" s="33" t="n">
        <v>46447</v>
      </c>
      <c r="G101" s="34" t="n">
        <v>15.4965384615385</v>
      </c>
      <c r="H101" s="16">
        <f>VLOOKUP(A101,MLA!$A$5:$L$11,3,FALSE)</f>
        <v/>
      </c>
      <c r="I101" s="11" t="inlineStr">
        <is>
          <t>Option</t>
        </is>
      </c>
      <c r="J101" t="inlineStr">
        <is>
          <t>Shop</t>
        </is>
      </c>
      <c r="K101" t="inlineStr">
        <is>
          <t>Occupied</t>
        </is>
      </c>
      <c r="L101" t="inlineStr">
        <is>
          <t>Shop; Guarantor: Robert Cook; Two 3yr options</t>
        </is>
      </c>
      <c r="M101" s="20">
        <f>IF(E101="",0,(AnalysisStart-E101)/365.25)</f>
        <v/>
      </c>
      <c r="N101" s="14">
        <f>IFERROR(IF(I101="LeaseUp",H101*D101*(1+GrowthMarketRent)^0*IF(0=0,(12-DowntimeNew)/12,1),IF(F101="",0,IF(F101&gt;=DATE(2027+0,4,30),G101*D101*(1+EscalatorInLease)^(0+M101),IF(F101&lt;DATE(2026+0,5,1),IF(I101="Vacate",H101*D101*(1+GrowthMarketRent)^0*IF(INT((DATE(2026+0,10,31)-F101)/365.25)=0,(12-DowntimeNew)/12,1),IF(I101="Option",G101*D101*1.025*(1+EscalatorInLease)^0,IF(I101="Market",Retention*G101*D101*(1+EscalatorInLease)^(0+M101)+(1-Retention)*H101*D101*(1+GrowthMarketRent)^0*IF(INT((DATE(2026+0,10,31)-F101)/365.25)=0,(12-DowntimeNew)/12,1),IF(I101="LeaseUp",H101*D101*(1+GrowthMarketRent)^0*IF(0=0,(12-DowntimeNew)/12,1),0)))),((F101-DATE(2026+0,5,1))/365.25)*G101*D101*(1+EscalatorInLease)^(0+M101)+((DATE(2027+0,4,30)-F101)/365.25)*IF(I101="Vacate",H101*D101*(1+GrowthMarketRent)^0*IF(INT((DATE(2026+0,10,31)-F101)/365.25)=0,(12-DowntimeNew)/12,1),IF(I101="Option",G101*D101*1.025*(1+EscalatorInLease)^0,IF(I101="Market",Retention*G101*D101*(1+EscalatorInLease)^(0+M101)+(1-Retention)*H101*D101*(1+GrowthMarketRent)^0*IF(INT((DATE(2026+0,10,31)-F101)/365.25)=0,(12-DowntimeNew)/12,1),IF(I101="LeaseUp",H101*D101*(1+GrowthMarketRent)^0*IF(0=0,(12-DowntimeNew)/12,1),0)))))))),0)</f>
        <v/>
      </c>
      <c r="O101" s="14">
        <f>IFERROR(IF(I101="LeaseUp",H101*D101*(1+GrowthMarketRent)^1*IF(1=0,(12-DowntimeNew)/12,1),IF(F101="",0,IF(F101&gt;=DATE(2027+1,4,30),G101*D101*(1+EscalatorInLease)^(1+M101),IF(F101&lt;DATE(2026+1,5,1),IF(I101="Vacate",H101*D101*(1+GrowthMarketRent)^1*IF(INT((DATE(2026+1,10,31)-F101)/365.25)=0,(12-DowntimeNew)/12,1),IF(I101="Option",G101*D101*1.025*(1+EscalatorInLease)^1,IF(I101="Market",Retention*G101*D101*(1+EscalatorInLease)^(1+M101)+(1-Retention)*H101*D101*(1+GrowthMarketRent)^1*IF(INT((DATE(2026+1,10,31)-F101)/365.25)=0,(12-DowntimeNew)/12,1),IF(I101="LeaseUp",H101*D101*(1+GrowthMarketRent)^1*IF(1=0,(12-DowntimeNew)/12,1),0)))),((F101-DATE(2026+1,5,1))/365.25)*G101*D101*(1+EscalatorInLease)^(1+M101)+((DATE(2027+1,4,30)-F101)/365.25)*IF(I101="Vacate",H101*D101*(1+GrowthMarketRent)^1*IF(INT((DATE(2026+1,10,31)-F101)/365.25)=0,(12-DowntimeNew)/12,1),IF(I101="Option",G101*D101*1.025*(1+EscalatorInLease)^1,IF(I101="Market",Retention*G101*D101*(1+EscalatorInLease)^(1+M101)+(1-Retention)*H101*D101*(1+GrowthMarketRent)^1*IF(INT((DATE(2026+1,10,31)-F101)/365.25)=0,(12-DowntimeNew)/12,1),IF(I101="LeaseUp",H101*D101*(1+GrowthMarketRent)^1*IF(1=0,(12-DowntimeNew)/12,1),0)))))))),0)</f>
        <v/>
      </c>
      <c r="P101" s="14">
        <f>IFERROR(IF(I101="LeaseUp",H101*D101*(1+GrowthMarketRent)^2*IF(2=0,(12-DowntimeNew)/12,1),IF(F101="",0,IF(F101&gt;=DATE(2027+2,4,30),G101*D101*(1+EscalatorInLease)^(2+M101),IF(F101&lt;DATE(2026+2,5,1),IF(I101="Vacate",H101*D101*(1+GrowthMarketRent)^2*IF(INT((DATE(2026+2,10,31)-F101)/365.25)=0,(12-DowntimeNew)/12,1),IF(I101="Option",G101*D101*1.025*(1+EscalatorInLease)^2,IF(I101="Market",Retention*G101*D101*(1+EscalatorInLease)^(2+M101)+(1-Retention)*H101*D101*(1+GrowthMarketRent)^2*IF(INT((DATE(2026+2,10,31)-F101)/365.25)=0,(12-DowntimeNew)/12,1),IF(I101="LeaseUp",H101*D101*(1+GrowthMarketRent)^2*IF(2=0,(12-DowntimeNew)/12,1),0)))),((F101-DATE(2026+2,5,1))/365.25)*G101*D101*(1+EscalatorInLease)^(2+M101)+((DATE(2027+2,4,30)-F101)/365.25)*IF(I101="Vacate",H101*D101*(1+GrowthMarketRent)^2*IF(INT((DATE(2026+2,10,31)-F101)/365.25)=0,(12-DowntimeNew)/12,1),IF(I101="Option",G101*D101*1.025*(1+EscalatorInLease)^2,IF(I101="Market",Retention*G101*D101*(1+EscalatorInLease)^(2+M101)+(1-Retention)*H101*D101*(1+GrowthMarketRent)^2*IF(INT((DATE(2026+2,10,31)-F101)/365.25)=0,(12-DowntimeNew)/12,1),IF(I101="LeaseUp",H101*D101*(1+GrowthMarketRent)^2*IF(2=0,(12-DowntimeNew)/12,1),0)))))))),0)</f>
        <v/>
      </c>
      <c r="Q101" s="14">
        <f>IFERROR(IF(I101="LeaseUp",H101*D101*(1+GrowthMarketRent)^3*IF(3=0,(12-DowntimeNew)/12,1),IF(F101="",0,IF(F101&gt;=DATE(2027+3,4,30),G101*D101*(1+EscalatorInLease)^(3+M101),IF(F101&lt;DATE(2026+3,5,1),IF(I101="Vacate",H101*D101*(1+GrowthMarketRent)^3*IF(INT((DATE(2026+3,10,31)-F101)/365.25)=0,(12-DowntimeNew)/12,1),IF(I101="Option",G101*D101*1.025*(1+EscalatorInLease)^3,IF(I101="Market",Retention*G101*D101*(1+EscalatorInLease)^(3+M101)+(1-Retention)*H101*D101*(1+GrowthMarketRent)^3*IF(INT((DATE(2026+3,10,31)-F101)/365.25)=0,(12-DowntimeNew)/12,1),IF(I101="LeaseUp",H101*D101*(1+GrowthMarketRent)^3*IF(3=0,(12-DowntimeNew)/12,1),0)))),((F101-DATE(2026+3,5,1))/365.25)*G101*D101*(1+EscalatorInLease)^(3+M101)+((DATE(2027+3,4,30)-F101)/365.25)*IF(I101="Vacate",H101*D101*(1+GrowthMarketRent)^3*IF(INT((DATE(2026+3,10,31)-F101)/365.25)=0,(12-DowntimeNew)/12,1),IF(I101="Option",G101*D101*1.025*(1+EscalatorInLease)^3,IF(I101="Market",Retention*G101*D101*(1+EscalatorInLease)^(3+M101)+(1-Retention)*H101*D101*(1+GrowthMarketRent)^3*IF(INT((DATE(2026+3,10,31)-F101)/365.25)=0,(12-DowntimeNew)/12,1),IF(I101="LeaseUp",H101*D101*(1+GrowthMarketRent)^3*IF(3=0,(12-DowntimeNew)/12,1),0)))))))),0)</f>
        <v/>
      </c>
      <c r="R101" s="14">
        <f>IFERROR(IF(I101="LeaseUp",H101*D101*(1+GrowthMarketRent)^4*IF(4=0,(12-DowntimeNew)/12,1),IF(F101="",0,IF(F101&gt;=DATE(2027+4,4,30),G101*D101*(1+EscalatorInLease)^(4+M101),IF(F101&lt;DATE(2026+4,5,1),IF(I101="Vacate",H101*D101*(1+GrowthMarketRent)^4*IF(INT((DATE(2026+4,10,31)-F101)/365.25)=0,(12-DowntimeNew)/12,1),IF(I101="Option",G101*D101*1.025*(1+EscalatorInLease)^4,IF(I101="Market",Retention*G101*D101*(1+EscalatorInLease)^(4+M101)+(1-Retention)*H101*D101*(1+GrowthMarketRent)^4*IF(INT((DATE(2026+4,10,31)-F101)/365.25)=0,(12-DowntimeNew)/12,1),IF(I101="LeaseUp",H101*D101*(1+GrowthMarketRent)^4*IF(4=0,(12-DowntimeNew)/12,1),0)))),((F101-DATE(2026+4,5,1))/365.25)*G101*D101*(1+EscalatorInLease)^(4+M101)+((DATE(2027+4,4,30)-F101)/365.25)*IF(I101="Vacate",H101*D101*(1+GrowthMarketRent)^4*IF(INT((DATE(2026+4,10,31)-F101)/365.25)=0,(12-DowntimeNew)/12,1),IF(I101="Option",G101*D101*1.025*(1+EscalatorInLease)^4,IF(I101="Market",Retention*G101*D101*(1+EscalatorInLease)^(4+M101)+(1-Retention)*H101*D101*(1+GrowthMarketRent)^4*IF(INT((DATE(2026+4,10,31)-F101)/365.25)=0,(12-DowntimeNew)/12,1),IF(I101="LeaseUp",H101*D101*(1+GrowthMarketRent)^4*IF(4=0,(12-DowntimeNew)/12,1),0)))))))),0)</f>
        <v/>
      </c>
      <c r="S101" s="14">
        <f>IFERROR(IF(I101="LeaseUp",H101*D101*(1+GrowthMarketRent)^5*IF(5=0,(12-DowntimeNew)/12,1),IF(F101="",0,IF(F101&gt;=DATE(2027+5,4,30),G101*D101*(1+EscalatorInLease)^(5+M101),IF(F101&lt;DATE(2026+5,5,1),IF(I101="Vacate",H101*D101*(1+GrowthMarketRent)^5*IF(INT((DATE(2026+5,10,31)-F101)/365.25)=0,(12-DowntimeNew)/12,1),IF(I101="Option",G101*D101*1.025*(1+EscalatorInLease)^5,IF(I101="Market",Retention*G101*D101*(1+EscalatorInLease)^(5+M101)+(1-Retention)*H101*D101*(1+GrowthMarketRent)^5*IF(INT((DATE(2026+5,10,31)-F101)/365.25)=0,(12-DowntimeNew)/12,1),IF(I101="LeaseUp",H101*D101*(1+GrowthMarketRent)^5*IF(5=0,(12-DowntimeNew)/12,1),0)))),((F101-DATE(2026+5,5,1))/365.25)*G101*D101*(1+EscalatorInLease)^(5+M101)+((DATE(2027+5,4,30)-F101)/365.25)*IF(I101="Vacate",H101*D101*(1+GrowthMarketRent)^5*IF(INT((DATE(2026+5,10,31)-F101)/365.25)=0,(12-DowntimeNew)/12,1),IF(I101="Option",G101*D101*1.025*(1+EscalatorInLease)^5,IF(I101="Market",Retention*G101*D101*(1+EscalatorInLease)^(5+M101)+(1-Retention)*H101*D101*(1+GrowthMarketRent)^5*IF(INT((DATE(2026+5,10,31)-F101)/365.25)=0,(12-DowntimeNew)/12,1),IF(I101="LeaseUp",H101*D101*(1+GrowthMarketRent)^5*IF(5=0,(12-DowntimeNew)/12,1),0)))))))),0)</f>
        <v/>
      </c>
      <c r="T101" s="14">
        <f>IFERROR(IF(I101="LeaseUp",H101*D101*(1+GrowthMarketRent)^6*IF(6=0,(12-DowntimeNew)/12,1),IF(F101="",0,IF(F101&gt;=DATE(2027+6,4,30),G101*D101*(1+EscalatorInLease)^(6+M101),IF(F101&lt;DATE(2026+6,5,1),IF(I101="Vacate",H101*D101*(1+GrowthMarketRent)^6*IF(INT((DATE(2026+6,10,31)-F101)/365.25)=0,(12-DowntimeNew)/12,1),IF(I101="Option",G101*D101*1.025*(1+EscalatorInLease)^6,IF(I101="Market",Retention*G101*D101*(1+EscalatorInLease)^(6+M101)+(1-Retention)*H101*D101*(1+GrowthMarketRent)^6*IF(INT((DATE(2026+6,10,31)-F101)/365.25)=0,(12-DowntimeNew)/12,1),IF(I101="LeaseUp",H101*D101*(1+GrowthMarketRent)^6*IF(6=0,(12-DowntimeNew)/12,1),0)))),((F101-DATE(2026+6,5,1))/365.25)*G101*D101*(1+EscalatorInLease)^(6+M101)+((DATE(2027+6,4,30)-F101)/365.25)*IF(I101="Vacate",H101*D101*(1+GrowthMarketRent)^6*IF(INT((DATE(2026+6,10,31)-F101)/365.25)=0,(12-DowntimeNew)/12,1),IF(I101="Option",G101*D101*1.025*(1+EscalatorInLease)^6,IF(I101="Market",Retention*G101*D101*(1+EscalatorInLease)^(6+M101)+(1-Retention)*H101*D101*(1+GrowthMarketRent)^6*IF(INT((DATE(2026+6,10,31)-F101)/365.25)=0,(12-DowntimeNew)/12,1),IF(I101="LeaseUp",H101*D101*(1+GrowthMarketRent)^6*IF(6=0,(12-DowntimeNew)/12,1),0)))))))),0)</f>
        <v/>
      </c>
      <c r="U101" s="14">
        <f>IFERROR(IF(I101="LeaseUp",H101*D101*(1+GrowthMarketRent)^7*IF(7=0,(12-DowntimeNew)/12,1),IF(F101="",0,IF(F101&gt;=DATE(2027+7,4,30),G101*D101*(1+EscalatorInLease)^(7+M101),IF(F101&lt;DATE(2026+7,5,1),IF(I101="Vacate",H101*D101*(1+GrowthMarketRent)^7*IF(INT((DATE(2026+7,10,31)-F101)/365.25)=0,(12-DowntimeNew)/12,1),IF(I101="Option",G101*D101*1.025*(1+EscalatorInLease)^7,IF(I101="Market",Retention*G101*D101*(1+EscalatorInLease)^(7+M101)+(1-Retention)*H101*D101*(1+GrowthMarketRent)^7*IF(INT((DATE(2026+7,10,31)-F101)/365.25)=0,(12-DowntimeNew)/12,1),IF(I101="LeaseUp",H101*D101*(1+GrowthMarketRent)^7*IF(7=0,(12-DowntimeNew)/12,1),0)))),((F101-DATE(2026+7,5,1))/365.25)*G101*D101*(1+EscalatorInLease)^(7+M101)+((DATE(2027+7,4,30)-F101)/365.25)*IF(I101="Vacate",H101*D101*(1+GrowthMarketRent)^7*IF(INT((DATE(2026+7,10,31)-F101)/365.25)=0,(12-DowntimeNew)/12,1),IF(I101="Option",G101*D101*1.025*(1+EscalatorInLease)^7,IF(I101="Market",Retention*G101*D101*(1+EscalatorInLease)^(7+M101)+(1-Retention)*H101*D101*(1+GrowthMarketRent)^7*IF(INT((DATE(2026+7,10,31)-F101)/365.25)=0,(12-DowntimeNew)/12,1),IF(I101="LeaseUp",H101*D101*(1+GrowthMarketRent)^7*IF(7=0,(12-DowntimeNew)/12,1),0)))))))),0)</f>
        <v/>
      </c>
      <c r="V101" s="14">
        <f>IFERROR(IF(I101="LeaseUp",H101*D101*(1+GrowthMarketRent)^8*IF(8=0,(12-DowntimeNew)/12,1),IF(F101="",0,IF(F101&gt;=DATE(2027+8,4,30),G101*D101*(1+EscalatorInLease)^(8+M101),IF(F101&lt;DATE(2026+8,5,1),IF(I101="Vacate",H101*D101*(1+GrowthMarketRent)^8*IF(INT((DATE(2026+8,10,31)-F101)/365.25)=0,(12-DowntimeNew)/12,1),IF(I101="Option",G101*D101*1.025*(1+EscalatorInLease)^8,IF(I101="Market",Retention*G101*D101*(1+EscalatorInLease)^(8+M101)+(1-Retention)*H101*D101*(1+GrowthMarketRent)^8*IF(INT((DATE(2026+8,10,31)-F101)/365.25)=0,(12-DowntimeNew)/12,1),IF(I101="LeaseUp",H101*D101*(1+GrowthMarketRent)^8*IF(8=0,(12-DowntimeNew)/12,1),0)))),((F101-DATE(2026+8,5,1))/365.25)*G101*D101*(1+EscalatorInLease)^(8+M101)+((DATE(2027+8,4,30)-F101)/365.25)*IF(I101="Vacate",H101*D101*(1+GrowthMarketRent)^8*IF(INT((DATE(2026+8,10,31)-F101)/365.25)=0,(12-DowntimeNew)/12,1),IF(I101="Option",G101*D101*1.025*(1+EscalatorInLease)^8,IF(I101="Market",Retention*G101*D101*(1+EscalatorInLease)^(8+M101)+(1-Retention)*H101*D101*(1+GrowthMarketRent)^8*IF(INT((DATE(2026+8,10,31)-F101)/365.25)=0,(12-DowntimeNew)/12,1),IF(I101="LeaseUp",H101*D101*(1+GrowthMarketRent)^8*IF(8=0,(12-DowntimeNew)/12,1),0)))))))),0)</f>
        <v/>
      </c>
      <c r="W101" s="14">
        <f>IFERROR(IF(I101="LeaseUp",H101*D101*(1+GrowthMarketRent)^9*IF(9=0,(12-DowntimeNew)/12,1),IF(F101="",0,IF(F101&gt;=DATE(2027+9,4,30),G101*D101*(1+EscalatorInLease)^(9+M101),IF(F101&lt;DATE(2026+9,5,1),IF(I101="Vacate",H101*D101*(1+GrowthMarketRent)^9*IF(INT((DATE(2026+9,10,31)-F101)/365.25)=0,(12-DowntimeNew)/12,1),IF(I101="Option",G101*D101*1.025*(1+EscalatorInLease)^9,IF(I101="Market",Retention*G101*D101*(1+EscalatorInLease)^(9+M101)+(1-Retention)*H101*D101*(1+GrowthMarketRent)^9*IF(INT((DATE(2026+9,10,31)-F101)/365.25)=0,(12-DowntimeNew)/12,1),IF(I101="LeaseUp",H101*D101*(1+GrowthMarketRent)^9*IF(9=0,(12-DowntimeNew)/12,1),0)))),((F101-DATE(2026+9,5,1))/365.25)*G101*D101*(1+EscalatorInLease)^(9+M101)+((DATE(2027+9,4,30)-F101)/365.25)*IF(I101="Vacate",H101*D101*(1+GrowthMarketRent)^9*IF(INT((DATE(2026+9,10,31)-F101)/365.25)=0,(12-DowntimeNew)/12,1),IF(I101="Option",G101*D101*1.025*(1+EscalatorInLease)^9,IF(I101="Market",Retention*G101*D101*(1+EscalatorInLease)^(9+M101)+(1-Retention)*H101*D101*(1+GrowthMarketRent)^9*IF(INT((DATE(2026+9,10,31)-F101)/365.25)=0,(12-DowntimeNew)/12,1),IF(I101="LeaseUp",H101*D101*(1+GrowthMarketRent)^9*IF(9=0,(12-DowntimeNew)/12,1),0)))))))),0)</f>
        <v/>
      </c>
      <c r="X101" s="14">
        <f>IFERROR(IF(I101="LeaseUp",H101*D101*(1+GrowthMarketRent)^10*IF(10=0,(12-DowntimeNew)/12,1),IF(F101="",0,IF(F101&gt;=DATE(2027+10,4,30),G101*D101*(1+EscalatorInLease)^(10+M101),IF(F101&lt;DATE(2026+10,5,1),IF(I101="Vacate",H101*D101*(1+GrowthMarketRent)^10*IF(INT((DATE(2026+10,10,31)-F101)/365.25)=0,(12-DowntimeNew)/12,1),IF(I101="Option",G101*D101*1.025*(1+EscalatorInLease)^10,IF(I101="Market",Retention*G101*D101*(1+EscalatorInLease)^(10+M101)+(1-Retention)*H101*D101*(1+GrowthMarketRent)^10*IF(INT((DATE(2026+10,10,31)-F101)/365.25)=0,(12-DowntimeNew)/12,1),IF(I101="LeaseUp",H101*D101*(1+GrowthMarketRent)^10*IF(10=0,(12-DowntimeNew)/12,1),0)))),((F101-DATE(2026+10,5,1))/365.25)*G101*D101*(1+EscalatorInLease)^(10+M101)+((DATE(2027+10,4,30)-F101)/365.25)*IF(I101="Vacate",H101*D101*(1+GrowthMarketRent)^10*IF(INT((DATE(2026+10,10,31)-F101)/365.25)=0,(12-DowntimeNew)/12,1),IF(I101="Option",G101*D101*1.025*(1+EscalatorInLease)^10,IF(I101="Market",Retention*G101*D101*(1+EscalatorInLease)^(10+M101)+(1-Retention)*H101*D101*(1+GrowthMarketRent)^10*IF(INT((DATE(2026+10,10,31)-F101)/365.25)=0,(12-DowntimeNew)/12,1),IF(I101="LeaseUp",H101*D101*(1+GrowthMarketRent)^10*IF(10=0,(12-DowntimeNew)/12,1),0)))))))),0)</f>
        <v/>
      </c>
      <c r="Y101" s="14">
        <f>IFERROR(IF(AND(I101="LeaseUp",0=0),(IF(I101="Vacate",TINew*D101,IF(I101="Market",Retention*TIRenewal*D101+(1-Retention)*TINew*D101,IF(I101="LeaseUp",TINew*D101,IF(I101="Option",TIRenewal*D101,0)))))+(IF(I101="Vacate",LCNew*H101*D101*(1+GrowthMarketRent)^0,IF(I101="Market",Retention*LCRenewal*H101*D101*(1+GrowthMarketRent)^0+(1-Retention)*LCNew*H101*D101*(1+GrowthMarketRent)^0,IF(I101="LeaseUp",LCNew*H101*D101*(1+GrowthMarketRent)^0,IF(I101="Option",LCRenewal*H101*D101*(1+GrowthMarketRent)^0,0))))),IF(F101="",0,IF(AND(F101&gt;=DATE(2026+0,5,1),F101&lt;=DATE(2027+0,4,30)),(IF(I101="Vacate",TINew*D101,IF(I101="Market",Retention*TIRenewal*D101+(1-Retention)*TINew*D101,IF(I101="LeaseUp",TINew*D101,IF(I101="Option",TIRenewal*D101,0)))))+(IF(I101="Vacate",LCNew*H101*D101*(1+GrowthMarketRent)^0,IF(I101="Market",Retention*LCRenewal*H101*D101*(1+GrowthMarketRent)^0+(1-Retention)*LCNew*H101*D101*(1+GrowthMarketRent)^0,IF(I101="LeaseUp",LCNew*H101*D101*(1+GrowthMarketRent)^0,IF(I101="Option",LCRenewal*H101*D101*(1+GrowthMarketRent)^0,0))))),0))),0)</f>
        <v/>
      </c>
      <c r="Z101" s="14">
        <f>IFERROR(IF(AND(I101="LeaseUp",1=0),(IF(I101="Vacate",TINew*D101,IF(I101="Market",Retention*TIRenewal*D101+(1-Retention)*TINew*D101,IF(I101="LeaseUp",TINew*D101,IF(I101="Option",TIRenewal*D101,0)))))+(IF(I101="Vacate",LCNew*H101*D101*(1+GrowthMarketRent)^1,IF(I101="Market",Retention*LCRenewal*H101*D101*(1+GrowthMarketRent)^1+(1-Retention)*LCNew*H101*D101*(1+GrowthMarketRent)^1,IF(I101="LeaseUp",LCNew*H101*D101*(1+GrowthMarketRent)^1,IF(I101="Option",LCRenewal*H101*D101*(1+GrowthMarketRent)^1,0))))),IF(F101="",0,IF(AND(F101&gt;=DATE(2026+1,5,1),F101&lt;=DATE(2027+1,4,30)),(IF(I101="Vacate",TINew*D101,IF(I101="Market",Retention*TIRenewal*D101+(1-Retention)*TINew*D101,IF(I101="LeaseUp",TINew*D101,IF(I101="Option",TIRenewal*D101,0)))))+(IF(I101="Vacate",LCNew*H101*D101*(1+GrowthMarketRent)^1,IF(I101="Market",Retention*LCRenewal*H101*D101*(1+GrowthMarketRent)^1+(1-Retention)*LCNew*H101*D101*(1+GrowthMarketRent)^1,IF(I101="LeaseUp",LCNew*H101*D101*(1+GrowthMarketRent)^1,IF(I101="Option",LCRenewal*H101*D101*(1+GrowthMarketRent)^1,0))))),0))),0)</f>
        <v/>
      </c>
      <c r="AA101" s="14">
        <f>IFERROR(IF(AND(I101="LeaseUp",2=0),(IF(I101="Vacate",TINew*D101,IF(I101="Market",Retention*TIRenewal*D101+(1-Retention)*TINew*D101,IF(I101="LeaseUp",TINew*D101,IF(I101="Option",TIRenewal*D101,0)))))+(IF(I101="Vacate",LCNew*H101*D101*(1+GrowthMarketRent)^2,IF(I101="Market",Retention*LCRenewal*H101*D101*(1+GrowthMarketRent)^2+(1-Retention)*LCNew*H101*D101*(1+GrowthMarketRent)^2,IF(I101="LeaseUp",LCNew*H101*D101*(1+GrowthMarketRent)^2,IF(I101="Option",LCRenewal*H101*D101*(1+GrowthMarketRent)^2,0))))),IF(F101="",0,IF(AND(F101&gt;=DATE(2026+2,5,1),F101&lt;=DATE(2027+2,4,30)),(IF(I101="Vacate",TINew*D101,IF(I101="Market",Retention*TIRenewal*D101+(1-Retention)*TINew*D101,IF(I101="LeaseUp",TINew*D101,IF(I101="Option",TIRenewal*D101,0)))))+(IF(I101="Vacate",LCNew*H101*D101*(1+GrowthMarketRent)^2,IF(I101="Market",Retention*LCRenewal*H101*D101*(1+GrowthMarketRent)^2+(1-Retention)*LCNew*H101*D101*(1+GrowthMarketRent)^2,IF(I101="LeaseUp",LCNew*H101*D101*(1+GrowthMarketRent)^2,IF(I101="Option",LCRenewal*H101*D101*(1+GrowthMarketRent)^2,0))))),0))),0)</f>
        <v/>
      </c>
      <c r="AB101" s="14">
        <f>IFERROR(IF(AND(I101="LeaseUp",3=0),(IF(I101="Vacate",TINew*D101,IF(I101="Market",Retention*TIRenewal*D101+(1-Retention)*TINew*D101,IF(I101="LeaseUp",TINew*D101,IF(I101="Option",TIRenewal*D101,0)))))+(IF(I101="Vacate",LCNew*H101*D101*(1+GrowthMarketRent)^3,IF(I101="Market",Retention*LCRenewal*H101*D101*(1+GrowthMarketRent)^3+(1-Retention)*LCNew*H101*D101*(1+GrowthMarketRent)^3,IF(I101="LeaseUp",LCNew*H101*D101*(1+GrowthMarketRent)^3,IF(I101="Option",LCRenewal*H101*D101*(1+GrowthMarketRent)^3,0))))),IF(F101="",0,IF(AND(F101&gt;=DATE(2026+3,5,1),F101&lt;=DATE(2027+3,4,30)),(IF(I101="Vacate",TINew*D101,IF(I101="Market",Retention*TIRenewal*D101+(1-Retention)*TINew*D101,IF(I101="LeaseUp",TINew*D101,IF(I101="Option",TIRenewal*D101,0)))))+(IF(I101="Vacate",LCNew*H101*D101*(1+GrowthMarketRent)^3,IF(I101="Market",Retention*LCRenewal*H101*D101*(1+GrowthMarketRent)^3+(1-Retention)*LCNew*H101*D101*(1+GrowthMarketRent)^3,IF(I101="LeaseUp",LCNew*H101*D101*(1+GrowthMarketRent)^3,IF(I101="Option",LCRenewal*H101*D101*(1+GrowthMarketRent)^3,0))))),0))),0)</f>
        <v/>
      </c>
      <c r="AC101" s="14">
        <f>IFERROR(IF(AND(I101="LeaseUp",4=0),(IF(I101="Vacate",TINew*D101,IF(I101="Market",Retention*TIRenewal*D101+(1-Retention)*TINew*D101,IF(I101="LeaseUp",TINew*D101,IF(I101="Option",TIRenewal*D101,0)))))+(IF(I101="Vacate",LCNew*H101*D101*(1+GrowthMarketRent)^4,IF(I101="Market",Retention*LCRenewal*H101*D101*(1+GrowthMarketRent)^4+(1-Retention)*LCNew*H101*D101*(1+GrowthMarketRent)^4,IF(I101="LeaseUp",LCNew*H101*D101*(1+GrowthMarketRent)^4,IF(I101="Option",LCRenewal*H101*D101*(1+GrowthMarketRent)^4,0))))),IF(F101="",0,IF(AND(F101&gt;=DATE(2026+4,5,1),F101&lt;=DATE(2027+4,4,30)),(IF(I101="Vacate",TINew*D101,IF(I101="Market",Retention*TIRenewal*D101+(1-Retention)*TINew*D101,IF(I101="LeaseUp",TINew*D101,IF(I101="Option",TIRenewal*D101,0)))))+(IF(I101="Vacate",LCNew*H101*D101*(1+GrowthMarketRent)^4,IF(I101="Market",Retention*LCRenewal*H101*D101*(1+GrowthMarketRent)^4+(1-Retention)*LCNew*H101*D101*(1+GrowthMarketRent)^4,IF(I101="LeaseUp",LCNew*H101*D101*(1+GrowthMarketRent)^4,IF(I101="Option",LCRenewal*H101*D101*(1+GrowthMarketRent)^4,0))))),0))),0)</f>
        <v/>
      </c>
      <c r="AD101" s="14">
        <f>IFERROR(IF(AND(I101="LeaseUp",5=0),(IF(I101="Vacate",TINew*D101,IF(I101="Market",Retention*TIRenewal*D101+(1-Retention)*TINew*D101,IF(I101="LeaseUp",TINew*D101,IF(I101="Option",TIRenewal*D101,0)))))+(IF(I101="Vacate",LCNew*H101*D101*(1+GrowthMarketRent)^5,IF(I101="Market",Retention*LCRenewal*H101*D101*(1+GrowthMarketRent)^5+(1-Retention)*LCNew*H101*D101*(1+GrowthMarketRent)^5,IF(I101="LeaseUp",LCNew*H101*D101*(1+GrowthMarketRent)^5,IF(I101="Option",LCRenewal*H101*D101*(1+GrowthMarketRent)^5,0))))),IF(F101="",0,IF(AND(F101&gt;=DATE(2026+5,5,1),F101&lt;=DATE(2027+5,4,30)),(IF(I101="Vacate",TINew*D101,IF(I101="Market",Retention*TIRenewal*D101+(1-Retention)*TINew*D101,IF(I101="LeaseUp",TINew*D101,IF(I101="Option",TIRenewal*D101,0)))))+(IF(I101="Vacate",LCNew*H101*D101*(1+GrowthMarketRent)^5,IF(I101="Market",Retention*LCRenewal*H101*D101*(1+GrowthMarketRent)^5+(1-Retention)*LCNew*H101*D101*(1+GrowthMarketRent)^5,IF(I101="LeaseUp",LCNew*H101*D101*(1+GrowthMarketRent)^5,IF(I101="Option",LCRenewal*H101*D101*(1+GrowthMarketRent)^5,0))))),0))),0)</f>
        <v/>
      </c>
      <c r="AE101" s="14">
        <f>IFERROR(IF(AND(I101="LeaseUp",6=0),(IF(I101="Vacate",TINew*D101,IF(I101="Market",Retention*TIRenewal*D101+(1-Retention)*TINew*D101,IF(I101="LeaseUp",TINew*D101,IF(I101="Option",TIRenewal*D101,0)))))+(IF(I101="Vacate",LCNew*H101*D101*(1+GrowthMarketRent)^6,IF(I101="Market",Retention*LCRenewal*H101*D101*(1+GrowthMarketRent)^6+(1-Retention)*LCNew*H101*D101*(1+GrowthMarketRent)^6,IF(I101="LeaseUp",LCNew*H101*D101*(1+GrowthMarketRent)^6,IF(I101="Option",LCRenewal*H101*D101*(1+GrowthMarketRent)^6,0))))),IF(F101="",0,IF(AND(F101&gt;=DATE(2026+6,5,1),F101&lt;=DATE(2027+6,4,30)),(IF(I101="Vacate",TINew*D101,IF(I101="Market",Retention*TIRenewal*D101+(1-Retention)*TINew*D101,IF(I101="LeaseUp",TINew*D101,IF(I101="Option",TIRenewal*D101,0)))))+(IF(I101="Vacate",LCNew*H101*D101*(1+GrowthMarketRent)^6,IF(I101="Market",Retention*LCRenewal*H101*D101*(1+GrowthMarketRent)^6+(1-Retention)*LCNew*H101*D101*(1+GrowthMarketRent)^6,IF(I101="LeaseUp",LCNew*H101*D101*(1+GrowthMarketRent)^6,IF(I101="Option",LCRenewal*H101*D101*(1+GrowthMarketRent)^6,0))))),0))),0)</f>
        <v/>
      </c>
      <c r="AF101" s="14">
        <f>IFERROR(IF(AND(I101="LeaseUp",7=0),(IF(I101="Vacate",TINew*D101,IF(I101="Market",Retention*TIRenewal*D101+(1-Retention)*TINew*D101,IF(I101="LeaseUp",TINew*D101,IF(I101="Option",TIRenewal*D101,0)))))+(IF(I101="Vacate",LCNew*H101*D101*(1+GrowthMarketRent)^7,IF(I101="Market",Retention*LCRenewal*H101*D101*(1+GrowthMarketRent)^7+(1-Retention)*LCNew*H101*D101*(1+GrowthMarketRent)^7,IF(I101="LeaseUp",LCNew*H101*D101*(1+GrowthMarketRent)^7,IF(I101="Option",LCRenewal*H101*D101*(1+GrowthMarketRent)^7,0))))),IF(F101="",0,IF(AND(F101&gt;=DATE(2026+7,5,1),F101&lt;=DATE(2027+7,4,30)),(IF(I101="Vacate",TINew*D101,IF(I101="Market",Retention*TIRenewal*D101+(1-Retention)*TINew*D101,IF(I101="LeaseUp",TINew*D101,IF(I101="Option",TIRenewal*D101,0)))))+(IF(I101="Vacate",LCNew*H101*D101*(1+GrowthMarketRent)^7,IF(I101="Market",Retention*LCRenewal*H101*D101*(1+GrowthMarketRent)^7+(1-Retention)*LCNew*H101*D101*(1+GrowthMarketRent)^7,IF(I101="LeaseUp",LCNew*H101*D101*(1+GrowthMarketRent)^7,IF(I101="Option",LCRenewal*H101*D101*(1+GrowthMarketRent)^7,0))))),0))),0)</f>
        <v/>
      </c>
      <c r="AG101" s="14">
        <f>IFERROR(IF(AND(I101="LeaseUp",8=0),(IF(I101="Vacate",TINew*D101,IF(I101="Market",Retention*TIRenewal*D101+(1-Retention)*TINew*D101,IF(I101="LeaseUp",TINew*D101,IF(I101="Option",TIRenewal*D101,0)))))+(IF(I101="Vacate",LCNew*H101*D101*(1+GrowthMarketRent)^8,IF(I101="Market",Retention*LCRenewal*H101*D101*(1+GrowthMarketRent)^8+(1-Retention)*LCNew*H101*D101*(1+GrowthMarketRent)^8,IF(I101="LeaseUp",LCNew*H101*D101*(1+GrowthMarketRent)^8,IF(I101="Option",LCRenewal*H101*D101*(1+GrowthMarketRent)^8,0))))),IF(F101="",0,IF(AND(F101&gt;=DATE(2026+8,5,1),F101&lt;=DATE(2027+8,4,30)),(IF(I101="Vacate",TINew*D101,IF(I101="Market",Retention*TIRenewal*D101+(1-Retention)*TINew*D101,IF(I101="LeaseUp",TINew*D101,IF(I101="Option",TIRenewal*D101,0)))))+(IF(I101="Vacate",LCNew*H101*D101*(1+GrowthMarketRent)^8,IF(I101="Market",Retention*LCRenewal*H101*D101*(1+GrowthMarketRent)^8+(1-Retention)*LCNew*H101*D101*(1+GrowthMarketRent)^8,IF(I101="LeaseUp",LCNew*H101*D101*(1+GrowthMarketRent)^8,IF(I101="Option",LCRenewal*H101*D101*(1+GrowthMarketRent)^8,0))))),0))),0)</f>
        <v/>
      </c>
      <c r="AH101" s="14">
        <f>IFERROR(IF(AND(I101="LeaseUp",9=0),(IF(I101="Vacate",TINew*D101,IF(I101="Market",Retention*TIRenewal*D101+(1-Retention)*TINew*D101,IF(I101="LeaseUp",TINew*D101,IF(I101="Option",TIRenewal*D101,0)))))+(IF(I101="Vacate",LCNew*H101*D101*(1+GrowthMarketRent)^9,IF(I101="Market",Retention*LCRenewal*H101*D101*(1+GrowthMarketRent)^9+(1-Retention)*LCNew*H101*D101*(1+GrowthMarketRent)^9,IF(I101="LeaseUp",LCNew*H101*D101*(1+GrowthMarketRent)^9,IF(I101="Option",LCRenewal*H101*D101*(1+GrowthMarketRent)^9,0))))),IF(F101="",0,IF(AND(F101&gt;=DATE(2026+9,5,1),F101&lt;=DATE(2027+9,4,30)),(IF(I101="Vacate",TINew*D101,IF(I101="Market",Retention*TIRenewal*D101+(1-Retention)*TINew*D101,IF(I101="LeaseUp",TINew*D101,IF(I101="Option",TIRenewal*D101,0)))))+(IF(I101="Vacate",LCNew*H101*D101*(1+GrowthMarketRent)^9,IF(I101="Market",Retention*LCRenewal*H101*D101*(1+GrowthMarketRent)^9+(1-Retention)*LCNew*H101*D101*(1+GrowthMarketRent)^9,IF(I101="LeaseUp",LCNew*H101*D101*(1+GrowthMarketRent)^9,IF(I101="Option",LCRenewal*H101*D101*(1+GrowthMarketRent)^9,0))))),0))),0)</f>
        <v/>
      </c>
      <c r="AI101" s="14">
        <f>IFERROR(IF(AND(I101="LeaseUp",10=0),(IF(I101="Vacate",TINew*D101,IF(I101="Market",Retention*TIRenewal*D101+(1-Retention)*TINew*D101,IF(I101="LeaseUp",TINew*D101,IF(I101="Option",TIRenewal*D101,0)))))+(IF(I101="Vacate",LCNew*H101*D101*(1+GrowthMarketRent)^10,IF(I101="Market",Retention*LCRenewal*H101*D101*(1+GrowthMarketRent)^10+(1-Retention)*LCNew*H101*D101*(1+GrowthMarketRent)^10,IF(I101="LeaseUp",LCNew*H101*D101*(1+GrowthMarketRent)^10,IF(I101="Option",LCRenewal*H101*D101*(1+GrowthMarketRent)^10,0))))),IF(F101="",0,IF(AND(F101&gt;=DATE(2026+10,5,1),F101&lt;=DATE(2027+10,4,30)),(IF(I101="Vacate",TINew*D101,IF(I101="Market",Retention*TIRenewal*D101+(1-Retention)*TINew*D101,IF(I101="LeaseUp",TINew*D101,IF(I101="Option",TIRenewal*D101,0)))))+(IF(I101="Vacate",LCNew*H101*D101*(1+GrowthMarketRent)^10,IF(I101="Market",Retention*LCRenewal*H101*D101*(1+GrowthMarketRent)^10+(1-Retention)*LCNew*H101*D101*(1+GrowthMarketRent)^10,IF(I101="LeaseUp",LCNew*H101*D101*(1+GrowthMarketRent)^10,IF(I101="Option",LCRenewal*H101*D101*(1+GrowthMarketRent)^10,0))))),0))),0)</f>
        <v/>
      </c>
    </row>
    <row r="102">
      <c r="A102" t="inlineStr">
        <is>
          <t>Lewisville</t>
        </is>
      </c>
      <c r="B102" t="inlineStr">
        <is>
          <t>202</t>
        </is>
      </c>
      <c r="C102" t="inlineStr">
        <is>
          <t>WideOrbit LLC</t>
        </is>
      </c>
      <c r="D102" s="32" t="n">
        <v>2600</v>
      </c>
      <c r="E102" s="33" t="n">
        <v>45108</v>
      </c>
      <c r="F102" s="33" t="n">
        <v>46357</v>
      </c>
      <c r="G102" s="34" t="n">
        <v>14.9715384615385</v>
      </c>
      <c r="H102" s="16">
        <f>VLOOKUP(A102,MLA!$A$5:$L$11,3,FALSE)</f>
        <v/>
      </c>
      <c r="I102" s="11" t="inlineStr">
        <is>
          <t>Option</t>
        </is>
      </c>
      <c r="J102" t="inlineStr">
        <is>
          <t>Shop</t>
        </is>
      </c>
      <c r="K102" t="inlineStr">
        <is>
          <t>Occupied</t>
        </is>
      </c>
      <c r="L102" t="inlineStr">
        <is>
          <t>Shop; Two 3yr options</t>
        </is>
      </c>
      <c r="M102" s="20">
        <f>IF(E102="",0,(AnalysisStart-E102)/365.25)</f>
        <v/>
      </c>
      <c r="N102" s="14">
        <f>IFERROR(IF(I102="LeaseUp",H102*D102*(1+GrowthMarketRent)^0*IF(0=0,(12-DowntimeNew)/12,1),IF(F102="",0,IF(F102&gt;=DATE(2027+0,4,30),G102*D102*(1+EscalatorInLease)^(0+M102),IF(F102&lt;DATE(2026+0,5,1),IF(I102="Vacate",H102*D102*(1+GrowthMarketRent)^0*IF(INT((DATE(2026+0,10,31)-F102)/365.25)=0,(12-DowntimeNew)/12,1),IF(I102="Option",G102*D102*1.025*(1+EscalatorInLease)^0,IF(I102="Market",Retention*G102*D102*(1+EscalatorInLease)^(0+M102)+(1-Retention)*H102*D102*(1+GrowthMarketRent)^0*IF(INT((DATE(2026+0,10,31)-F102)/365.25)=0,(12-DowntimeNew)/12,1),IF(I102="LeaseUp",H102*D102*(1+GrowthMarketRent)^0*IF(0=0,(12-DowntimeNew)/12,1),0)))),((F102-DATE(2026+0,5,1))/365.25)*G102*D102*(1+EscalatorInLease)^(0+M102)+((DATE(2027+0,4,30)-F102)/365.25)*IF(I102="Vacate",H102*D102*(1+GrowthMarketRent)^0*IF(INT((DATE(2026+0,10,31)-F102)/365.25)=0,(12-DowntimeNew)/12,1),IF(I102="Option",G102*D102*1.025*(1+EscalatorInLease)^0,IF(I102="Market",Retention*G102*D102*(1+EscalatorInLease)^(0+M102)+(1-Retention)*H102*D102*(1+GrowthMarketRent)^0*IF(INT((DATE(2026+0,10,31)-F102)/365.25)=0,(12-DowntimeNew)/12,1),IF(I102="LeaseUp",H102*D102*(1+GrowthMarketRent)^0*IF(0=0,(12-DowntimeNew)/12,1),0)))))))),0)</f>
        <v/>
      </c>
      <c r="O102" s="14">
        <f>IFERROR(IF(I102="LeaseUp",H102*D102*(1+GrowthMarketRent)^1*IF(1=0,(12-DowntimeNew)/12,1),IF(F102="",0,IF(F102&gt;=DATE(2027+1,4,30),G102*D102*(1+EscalatorInLease)^(1+M102),IF(F102&lt;DATE(2026+1,5,1),IF(I102="Vacate",H102*D102*(1+GrowthMarketRent)^1*IF(INT((DATE(2026+1,10,31)-F102)/365.25)=0,(12-DowntimeNew)/12,1),IF(I102="Option",G102*D102*1.025*(1+EscalatorInLease)^1,IF(I102="Market",Retention*G102*D102*(1+EscalatorInLease)^(1+M102)+(1-Retention)*H102*D102*(1+GrowthMarketRent)^1*IF(INT((DATE(2026+1,10,31)-F102)/365.25)=0,(12-DowntimeNew)/12,1),IF(I102="LeaseUp",H102*D102*(1+GrowthMarketRent)^1*IF(1=0,(12-DowntimeNew)/12,1),0)))),((F102-DATE(2026+1,5,1))/365.25)*G102*D102*(1+EscalatorInLease)^(1+M102)+((DATE(2027+1,4,30)-F102)/365.25)*IF(I102="Vacate",H102*D102*(1+GrowthMarketRent)^1*IF(INT((DATE(2026+1,10,31)-F102)/365.25)=0,(12-DowntimeNew)/12,1),IF(I102="Option",G102*D102*1.025*(1+EscalatorInLease)^1,IF(I102="Market",Retention*G102*D102*(1+EscalatorInLease)^(1+M102)+(1-Retention)*H102*D102*(1+GrowthMarketRent)^1*IF(INT((DATE(2026+1,10,31)-F102)/365.25)=0,(12-DowntimeNew)/12,1),IF(I102="LeaseUp",H102*D102*(1+GrowthMarketRent)^1*IF(1=0,(12-DowntimeNew)/12,1),0)))))))),0)</f>
        <v/>
      </c>
      <c r="P102" s="14">
        <f>IFERROR(IF(I102="LeaseUp",H102*D102*(1+GrowthMarketRent)^2*IF(2=0,(12-DowntimeNew)/12,1),IF(F102="",0,IF(F102&gt;=DATE(2027+2,4,30),G102*D102*(1+EscalatorInLease)^(2+M102),IF(F102&lt;DATE(2026+2,5,1),IF(I102="Vacate",H102*D102*(1+GrowthMarketRent)^2*IF(INT((DATE(2026+2,10,31)-F102)/365.25)=0,(12-DowntimeNew)/12,1),IF(I102="Option",G102*D102*1.025*(1+EscalatorInLease)^2,IF(I102="Market",Retention*G102*D102*(1+EscalatorInLease)^(2+M102)+(1-Retention)*H102*D102*(1+GrowthMarketRent)^2*IF(INT((DATE(2026+2,10,31)-F102)/365.25)=0,(12-DowntimeNew)/12,1),IF(I102="LeaseUp",H102*D102*(1+GrowthMarketRent)^2*IF(2=0,(12-DowntimeNew)/12,1),0)))),((F102-DATE(2026+2,5,1))/365.25)*G102*D102*(1+EscalatorInLease)^(2+M102)+((DATE(2027+2,4,30)-F102)/365.25)*IF(I102="Vacate",H102*D102*(1+GrowthMarketRent)^2*IF(INT((DATE(2026+2,10,31)-F102)/365.25)=0,(12-DowntimeNew)/12,1),IF(I102="Option",G102*D102*1.025*(1+EscalatorInLease)^2,IF(I102="Market",Retention*G102*D102*(1+EscalatorInLease)^(2+M102)+(1-Retention)*H102*D102*(1+GrowthMarketRent)^2*IF(INT((DATE(2026+2,10,31)-F102)/365.25)=0,(12-DowntimeNew)/12,1),IF(I102="LeaseUp",H102*D102*(1+GrowthMarketRent)^2*IF(2=0,(12-DowntimeNew)/12,1),0)))))))),0)</f>
        <v/>
      </c>
      <c r="Q102" s="14">
        <f>IFERROR(IF(I102="LeaseUp",H102*D102*(1+GrowthMarketRent)^3*IF(3=0,(12-DowntimeNew)/12,1),IF(F102="",0,IF(F102&gt;=DATE(2027+3,4,30),G102*D102*(1+EscalatorInLease)^(3+M102),IF(F102&lt;DATE(2026+3,5,1),IF(I102="Vacate",H102*D102*(1+GrowthMarketRent)^3*IF(INT((DATE(2026+3,10,31)-F102)/365.25)=0,(12-DowntimeNew)/12,1),IF(I102="Option",G102*D102*1.025*(1+EscalatorInLease)^3,IF(I102="Market",Retention*G102*D102*(1+EscalatorInLease)^(3+M102)+(1-Retention)*H102*D102*(1+GrowthMarketRent)^3*IF(INT((DATE(2026+3,10,31)-F102)/365.25)=0,(12-DowntimeNew)/12,1),IF(I102="LeaseUp",H102*D102*(1+GrowthMarketRent)^3*IF(3=0,(12-DowntimeNew)/12,1),0)))),((F102-DATE(2026+3,5,1))/365.25)*G102*D102*(1+EscalatorInLease)^(3+M102)+((DATE(2027+3,4,30)-F102)/365.25)*IF(I102="Vacate",H102*D102*(1+GrowthMarketRent)^3*IF(INT((DATE(2026+3,10,31)-F102)/365.25)=0,(12-DowntimeNew)/12,1),IF(I102="Option",G102*D102*1.025*(1+EscalatorInLease)^3,IF(I102="Market",Retention*G102*D102*(1+EscalatorInLease)^(3+M102)+(1-Retention)*H102*D102*(1+GrowthMarketRent)^3*IF(INT((DATE(2026+3,10,31)-F102)/365.25)=0,(12-DowntimeNew)/12,1),IF(I102="LeaseUp",H102*D102*(1+GrowthMarketRent)^3*IF(3=0,(12-DowntimeNew)/12,1),0)))))))),0)</f>
        <v/>
      </c>
      <c r="R102" s="14">
        <f>IFERROR(IF(I102="LeaseUp",H102*D102*(1+GrowthMarketRent)^4*IF(4=0,(12-DowntimeNew)/12,1),IF(F102="",0,IF(F102&gt;=DATE(2027+4,4,30),G102*D102*(1+EscalatorInLease)^(4+M102),IF(F102&lt;DATE(2026+4,5,1),IF(I102="Vacate",H102*D102*(1+GrowthMarketRent)^4*IF(INT((DATE(2026+4,10,31)-F102)/365.25)=0,(12-DowntimeNew)/12,1),IF(I102="Option",G102*D102*1.025*(1+EscalatorInLease)^4,IF(I102="Market",Retention*G102*D102*(1+EscalatorInLease)^(4+M102)+(1-Retention)*H102*D102*(1+GrowthMarketRent)^4*IF(INT((DATE(2026+4,10,31)-F102)/365.25)=0,(12-DowntimeNew)/12,1),IF(I102="LeaseUp",H102*D102*(1+GrowthMarketRent)^4*IF(4=0,(12-DowntimeNew)/12,1),0)))),((F102-DATE(2026+4,5,1))/365.25)*G102*D102*(1+EscalatorInLease)^(4+M102)+((DATE(2027+4,4,30)-F102)/365.25)*IF(I102="Vacate",H102*D102*(1+GrowthMarketRent)^4*IF(INT((DATE(2026+4,10,31)-F102)/365.25)=0,(12-DowntimeNew)/12,1),IF(I102="Option",G102*D102*1.025*(1+EscalatorInLease)^4,IF(I102="Market",Retention*G102*D102*(1+EscalatorInLease)^(4+M102)+(1-Retention)*H102*D102*(1+GrowthMarketRent)^4*IF(INT((DATE(2026+4,10,31)-F102)/365.25)=0,(12-DowntimeNew)/12,1),IF(I102="LeaseUp",H102*D102*(1+GrowthMarketRent)^4*IF(4=0,(12-DowntimeNew)/12,1),0)))))))),0)</f>
        <v/>
      </c>
      <c r="S102" s="14">
        <f>IFERROR(IF(I102="LeaseUp",H102*D102*(1+GrowthMarketRent)^5*IF(5=0,(12-DowntimeNew)/12,1),IF(F102="",0,IF(F102&gt;=DATE(2027+5,4,30),G102*D102*(1+EscalatorInLease)^(5+M102),IF(F102&lt;DATE(2026+5,5,1),IF(I102="Vacate",H102*D102*(1+GrowthMarketRent)^5*IF(INT((DATE(2026+5,10,31)-F102)/365.25)=0,(12-DowntimeNew)/12,1),IF(I102="Option",G102*D102*1.025*(1+EscalatorInLease)^5,IF(I102="Market",Retention*G102*D102*(1+EscalatorInLease)^(5+M102)+(1-Retention)*H102*D102*(1+GrowthMarketRent)^5*IF(INT((DATE(2026+5,10,31)-F102)/365.25)=0,(12-DowntimeNew)/12,1),IF(I102="LeaseUp",H102*D102*(1+GrowthMarketRent)^5*IF(5=0,(12-DowntimeNew)/12,1),0)))),((F102-DATE(2026+5,5,1))/365.25)*G102*D102*(1+EscalatorInLease)^(5+M102)+((DATE(2027+5,4,30)-F102)/365.25)*IF(I102="Vacate",H102*D102*(1+GrowthMarketRent)^5*IF(INT((DATE(2026+5,10,31)-F102)/365.25)=0,(12-DowntimeNew)/12,1),IF(I102="Option",G102*D102*1.025*(1+EscalatorInLease)^5,IF(I102="Market",Retention*G102*D102*(1+EscalatorInLease)^(5+M102)+(1-Retention)*H102*D102*(1+GrowthMarketRent)^5*IF(INT((DATE(2026+5,10,31)-F102)/365.25)=0,(12-DowntimeNew)/12,1),IF(I102="LeaseUp",H102*D102*(1+GrowthMarketRent)^5*IF(5=0,(12-DowntimeNew)/12,1),0)))))))),0)</f>
        <v/>
      </c>
      <c r="T102" s="14">
        <f>IFERROR(IF(I102="LeaseUp",H102*D102*(1+GrowthMarketRent)^6*IF(6=0,(12-DowntimeNew)/12,1),IF(F102="",0,IF(F102&gt;=DATE(2027+6,4,30),G102*D102*(1+EscalatorInLease)^(6+M102),IF(F102&lt;DATE(2026+6,5,1),IF(I102="Vacate",H102*D102*(1+GrowthMarketRent)^6*IF(INT((DATE(2026+6,10,31)-F102)/365.25)=0,(12-DowntimeNew)/12,1),IF(I102="Option",G102*D102*1.025*(1+EscalatorInLease)^6,IF(I102="Market",Retention*G102*D102*(1+EscalatorInLease)^(6+M102)+(1-Retention)*H102*D102*(1+GrowthMarketRent)^6*IF(INT((DATE(2026+6,10,31)-F102)/365.25)=0,(12-DowntimeNew)/12,1),IF(I102="LeaseUp",H102*D102*(1+GrowthMarketRent)^6*IF(6=0,(12-DowntimeNew)/12,1),0)))),((F102-DATE(2026+6,5,1))/365.25)*G102*D102*(1+EscalatorInLease)^(6+M102)+((DATE(2027+6,4,30)-F102)/365.25)*IF(I102="Vacate",H102*D102*(1+GrowthMarketRent)^6*IF(INT((DATE(2026+6,10,31)-F102)/365.25)=0,(12-DowntimeNew)/12,1),IF(I102="Option",G102*D102*1.025*(1+EscalatorInLease)^6,IF(I102="Market",Retention*G102*D102*(1+EscalatorInLease)^(6+M102)+(1-Retention)*H102*D102*(1+GrowthMarketRent)^6*IF(INT((DATE(2026+6,10,31)-F102)/365.25)=0,(12-DowntimeNew)/12,1),IF(I102="LeaseUp",H102*D102*(1+GrowthMarketRent)^6*IF(6=0,(12-DowntimeNew)/12,1),0)))))))),0)</f>
        <v/>
      </c>
      <c r="U102" s="14">
        <f>IFERROR(IF(I102="LeaseUp",H102*D102*(1+GrowthMarketRent)^7*IF(7=0,(12-DowntimeNew)/12,1),IF(F102="",0,IF(F102&gt;=DATE(2027+7,4,30),G102*D102*(1+EscalatorInLease)^(7+M102),IF(F102&lt;DATE(2026+7,5,1),IF(I102="Vacate",H102*D102*(1+GrowthMarketRent)^7*IF(INT((DATE(2026+7,10,31)-F102)/365.25)=0,(12-DowntimeNew)/12,1),IF(I102="Option",G102*D102*1.025*(1+EscalatorInLease)^7,IF(I102="Market",Retention*G102*D102*(1+EscalatorInLease)^(7+M102)+(1-Retention)*H102*D102*(1+GrowthMarketRent)^7*IF(INT((DATE(2026+7,10,31)-F102)/365.25)=0,(12-DowntimeNew)/12,1),IF(I102="LeaseUp",H102*D102*(1+GrowthMarketRent)^7*IF(7=0,(12-DowntimeNew)/12,1),0)))),((F102-DATE(2026+7,5,1))/365.25)*G102*D102*(1+EscalatorInLease)^(7+M102)+((DATE(2027+7,4,30)-F102)/365.25)*IF(I102="Vacate",H102*D102*(1+GrowthMarketRent)^7*IF(INT((DATE(2026+7,10,31)-F102)/365.25)=0,(12-DowntimeNew)/12,1),IF(I102="Option",G102*D102*1.025*(1+EscalatorInLease)^7,IF(I102="Market",Retention*G102*D102*(1+EscalatorInLease)^(7+M102)+(1-Retention)*H102*D102*(1+GrowthMarketRent)^7*IF(INT((DATE(2026+7,10,31)-F102)/365.25)=0,(12-DowntimeNew)/12,1),IF(I102="LeaseUp",H102*D102*(1+GrowthMarketRent)^7*IF(7=0,(12-DowntimeNew)/12,1),0)))))))),0)</f>
        <v/>
      </c>
      <c r="V102" s="14">
        <f>IFERROR(IF(I102="LeaseUp",H102*D102*(1+GrowthMarketRent)^8*IF(8=0,(12-DowntimeNew)/12,1),IF(F102="",0,IF(F102&gt;=DATE(2027+8,4,30),G102*D102*(1+EscalatorInLease)^(8+M102),IF(F102&lt;DATE(2026+8,5,1),IF(I102="Vacate",H102*D102*(1+GrowthMarketRent)^8*IF(INT((DATE(2026+8,10,31)-F102)/365.25)=0,(12-DowntimeNew)/12,1),IF(I102="Option",G102*D102*1.025*(1+EscalatorInLease)^8,IF(I102="Market",Retention*G102*D102*(1+EscalatorInLease)^(8+M102)+(1-Retention)*H102*D102*(1+GrowthMarketRent)^8*IF(INT((DATE(2026+8,10,31)-F102)/365.25)=0,(12-DowntimeNew)/12,1),IF(I102="LeaseUp",H102*D102*(1+GrowthMarketRent)^8*IF(8=0,(12-DowntimeNew)/12,1),0)))),((F102-DATE(2026+8,5,1))/365.25)*G102*D102*(1+EscalatorInLease)^(8+M102)+((DATE(2027+8,4,30)-F102)/365.25)*IF(I102="Vacate",H102*D102*(1+GrowthMarketRent)^8*IF(INT((DATE(2026+8,10,31)-F102)/365.25)=0,(12-DowntimeNew)/12,1),IF(I102="Option",G102*D102*1.025*(1+EscalatorInLease)^8,IF(I102="Market",Retention*G102*D102*(1+EscalatorInLease)^(8+M102)+(1-Retention)*H102*D102*(1+GrowthMarketRent)^8*IF(INT((DATE(2026+8,10,31)-F102)/365.25)=0,(12-DowntimeNew)/12,1),IF(I102="LeaseUp",H102*D102*(1+GrowthMarketRent)^8*IF(8=0,(12-DowntimeNew)/12,1),0)))))))),0)</f>
        <v/>
      </c>
      <c r="W102" s="14">
        <f>IFERROR(IF(I102="LeaseUp",H102*D102*(1+GrowthMarketRent)^9*IF(9=0,(12-DowntimeNew)/12,1),IF(F102="",0,IF(F102&gt;=DATE(2027+9,4,30),G102*D102*(1+EscalatorInLease)^(9+M102),IF(F102&lt;DATE(2026+9,5,1),IF(I102="Vacate",H102*D102*(1+GrowthMarketRent)^9*IF(INT((DATE(2026+9,10,31)-F102)/365.25)=0,(12-DowntimeNew)/12,1),IF(I102="Option",G102*D102*1.025*(1+EscalatorInLease)^9,IF(I102="Market",Retention*G102*D102*(1+EscalatorInLease)^(9+M102)+(1-Retention)*H102*D102*(1+GrowthMarketRent)^9*IF(INT((DATE(2026+9,10,31)-F102)/365.25)=0,(12-DowntimeNew)/12,1),IF(I102="LeaseUp",H102*D102*(1+GrowthMarketRent)^9*IF(9=0,(12-DowntimeNew)/12,1),0)))),((F102-DATE(2026+9,5,1))/365.25)*G102*D102*(1+EscalatorInLease)^(9+M102)+((DATE(2027+9,4,30)-F102)/365.25)*IF(I102="Vacate",H102*D102*(1+GrowthMarketRent)^9*IF(INT((DATE(2026+9,10,31)-F102)/365.25)=0,(12-DowntimeNew)/12,1),IF(I102="Option",G102*D102*1.025*(1+EscalatorInLease)^9,IF(I102="Market",Retention*G102*D102*(1+EscalatorInLease)^(9+M102)+(1-Retention)*H102*D102*(1+GrowthMarketRent)^9*IF(INT((DATE(2026+9,10,31)-F102)/365.25)=0,(12-DowntimeNew)/12,1),IF(I102="LeaseUp",H102*D102*(1+GrowthMarketRent)^9*IF(9=0,(12-DowntimeNew)/12,1),0)))))))),0)</f>
        <v/>
      </c>
      <c r="X102" s="14">
        <f>IFERROR(IF(I102="LeaseUp",H102*D102*(1+GrowthMarketRent)^10*IF(10=0,(12-DowntimeNew)/12,1),IF(F102="",0,IF(F102&gt;=DATE(2027+10,4,30),G102*D102*(1+EscalatorInLease)^(10+M102),IF(F102&lt;DATE(2026+10,5,1),IF(I102="Vacate",H102*D102*(1+GrowthMarketRent)^10*IF(INT((DATE(2026+10,10,31)-F102)/365.25)=0,(12-DowntimeNew)/12,1),IF(I102="Option",G102*D102*1.025*(1+EscalatorInLease)^10,IF(I102="Market",Retention*G102*D102*(1+EscalatorInLease)^(10+M102)+(1-Retention)*H102*D102*(1+GrowthMarketRent)^10*IF(INT((DATE(2026+10,10,31)-F102)/365.25)=0,(12-DowntimeNew)/12,1),IF(I102="LeaseUp",H102*D102*(1+GrowthMarketRent)^10*IF(10=0,(12-DowntimeNew)/12,1),0)))),((F102-DATE(2026+10,5,1))/365.25)*G102*D102*(1+EscalatorInLease)^(10+M102)+((DATE(2027+10,4,30)-F102)/365.25)*IF(I102="Vacate",H102*D102*(1+GrowthMarketRent)^10*IF(INT((DATE(2026+10,10,31)-F102)/365.25)=0,(12-DowntimeNew)/12,1),IF(I102="Option",G102*D102*1.025*(1+EscalatorInLease)^10,IF(I102="Market",Retention*G102*D102*(1+EscalatorInLease)^(10+M102)+(1-Retention)*H102*D102*(1+GrowthMarketRent)^10*IF(INT((DATE(2026+10,10,31)-F102)/365.25)=0,(12-DowntimeNew)/12,1),IF(I102="LeaseUp",H102*D102*(1+GrowthMarketRent)^10*IF(10=0,(12-DowntimeNew)/12,1),0)))))))),0)</f>
        <v/>
      </c>
      <c r="Y102" s="14">
        <f>IFERROR(IF(AND(I102="LeaseUp",0=0),(IF(I102="Vacate",TINew*D102,IF(I102="Market",Retention*TIRenewal*D102+(1-Retention)*TINew*D102,IF(I102="LeaseUp",TINew*D102,IF(I102="Option",TIRenewal*D102,0)))))+(IF(I102="Vacate",LCNew*H102*D102*(1+GrowthMarketRent)^0,IF(I102="Market",Retention*LCRenewal*H102*D102*(1+GrowthMarketRent)^0+(1-Retention)*LCNew*H102*D102*(1+GrowthMarketRent)^0,IF(I102="LeaseUp",LCNew*H102*D102*(1+GrowthMarketRent)^0,IF(I102="Option",LCRenewal*H102*D102*(1+GrowthMarketRent)^0,0))))),IF(F102="",0,IF(AND(F102&gt;=DATE(2026+0,5,1),F102&lt;=DATE(2027+0,4,30)),(IF(I102="Vacate",TINew*D102,IF(I102="Market",Retention*TIRenewal*D102+(1-Retention)*TINew*D102,IF(I102="LeaseUp",TINew*D102,IF(I102="Option",TIRenewal*D102,0)))))+(IF(I102="Vacate",LCNew*H102*D102*(1+GrowthMarketRent)^0,IF(I102="Market",Retention*LCRenewal*H102*D102*(1+GrowthMarketRent)^0+(1-Retention)*LCNew*H102*D102*(1+GrowthMarketRent)^0,IF(I102="LeaseUp",LCNew*H102*D102*(1+GrowthMarketRent)^0,IF(I102="Option",LCRenewal*H102*D102*(1+GrowthMarketRent)^0,0))))),0))),0)</f>
        <v/>
      </c>
      <c r="Z102" s="14">
        <f>IFERROR(IF(AND(I102="LeaseUp",1=0),(IF(I102="Vacate",TINew*D102,IF(I102="Market",Retention*TIRenewal*D102+(1-Retention)*TINew*D102,IF(I102="LeaseUp",TINew*D102,IF(I102="Option",TIRenewal*D102,0)))))+(IF(I102="Vacate",LCNew*H102*D102*(1+GrowthMarketRent)^1,IF(I102="Market",Retention*LCRenewal*H102*D102*(1+GrowthMarketRent)^1+(1-Retention)*LCNew*H102*D102*(1+GrowthMarketRent)^1,IF(I102="LeaseUp",LCNew*H102*D102*(1+GrowthMarketRent)^1,IF(I102="Option",LCRenewal*H102*D102*(1+GrowthMarketRent)^1,0))))),IF(F102="",0,IF(AND(F102&gt;=DATE(2026+1,5,1),F102&lt;=DATE(2027+1,4,30)),(IF(I102="Vacate",TINew*D102,IF(I102="Market",Retention*TIRenewal*D102+(1-Retention)*TINew*D102,IF(I102="LeaseUp",TINew*D102,IF(I102="Option",TIRenewal*D102,0)))))+(IF(I102="Vacate",LCNew*H102*D102*(1+GrowthMarketRent)^1,IF(I102="Market",Retention*LCRenewal*H102*D102*(1+GrowthMarketRent)^1+(1-Retention)*LCNew*H102*D102*(1+GrowthMarketRent)^1,IF(I102="LeaseUp",LCNew*H102*D102*(1+GrowthMarketRent)^1,IF(I102="Option",LCRenewal*H102*D102*(1+GrowthMarketRent)^1,0))))),0))),0)</f>
        <v/>
      </c>
      <c r="AA102" s="14">
        <f>IFERROR(IF(AND(I102="LeaseUp",2=0),(IF(I102="Vacate",TINew*D102,IF(I102="Market",Retention*TIRenewal*D102+(1-Retention)*TINew*D102,IF(I102="LeaseUp",TINew*D102,IF(I102="Option",TIRenewal*D102,0)))))+(IF(I102="Vacate",LCNew*H102*D102*(1+GrowthMarketRent)^2,IF(I102="Market",Retention*LCRenewal*H102*D102*(1+GrowthMarketRent)^2+(1-Retention)*LCNew*H102*D102*(1+GrowthMarketRent)^2,IF(I102="LeaseUp",LCNew*H102*D102*(1+GrowthMarketRent)^2,IF(I102="Option",LCRenewal*H102*D102*(1+GrowthMarketRent)^2,0))))),IF(F102="",0,IF(AND(F102&gt;=DATE(2026+2,5,1),F102&lt;=DATE(2027+2,4,30)),(IF(I102="Vacate",TINew*D102,IF(I102="Market",Retention*TIRenewal*D102+(1-Retention)*TINew*D102,IF(I102="LeaseUp",TINew*D102,IF(I102="Option",TIRenewal*D102,0)))))+(IF(I102="Vacate",LCNew*H102*D102*(1+GrowthMarketRent)^2,IF(I102="Market",Retention*LCRenewal*H102*D102*(1+GrowthMarketRent)^2+(1-Retention)*LCNew*H102*D102*(1+GrowthMarketRent)^2,IF(I102="LeaseUp",LCNew*H102*D102*(1+GrowthMarketRent)^2,IF(I102="Option",LCRenewal*H102*D102*(1+GrowthMarketRent)^2,0))))),0))),0)</f>
        <v/>
      </c>
      <c r="AB102" s="14">
        <f>IFERROR(IF(AND(I102="LeaseUp",3=0),(IF(I102="Vacate",TINew*D102,IF(I102="Market",Retention*TIRenewal*D102+(1-Retention)*TINew*D102,IF(I102="LeaseUp",TINew*D102,IF(I102="Option",TIRenewal*D102,0)))))+(IF(I102="Vacate",LCNew*H102*D102*(1+GrowthMarketRent)^3,IF(I102="Market",Retention*LCRenewal*H102*D102*(1+GrowthMarketRent)^3+(1-Retention)*LCNew*H102*D102*(1+GrowthMarketRent)^3,IF(I102="LeaseUp",LCNew*H102*D102*(1+GrowthMarketRent)^3,IF(I102="Option",LCRenewal*H102*D102*(1+GrowthMarketRent)^3,0))))),IF(F102="",0,IF(AND(F102&gt;=DATE(2026+3,5,1),F102&lt;=DATE(2027+3,4,30)),(IF(I102="Vacate",TINew*D102,IF(I102="Market",Retention*TIRenewal*D102+(1-Retention)*TINew*D102,IF(I102="LeaseUp",TINew*D102,IF(I102="Option",TIRenewal*D102,0)))))+(IF(I102="Vacate",LCNew*H102*D102*(1+GrowthMarketRent)^3,IF(I102="Market",Retention*LCRenewal*H102*D102*(1+GrowthMarketRent)^3+(1-Retention)*LCNew*H102*D102*(1+GrowthMarketRent)^3,IF(I102="LeaseUp",LCNew*H102*D102*(1+GrowthMarketRent)^3,IF(I102="Option",LCRenewal*H102*D102*(1+GrowthMarketRent)^3,0))))),0))),0)</f>
        <v/>
      </c>
      <c r="AC102" s="14">
        <f>IFERROR(IF(AND(I102="LeaseUp",4=0),(IF(I102="Vacate",TINew*D102,IF(I102="Market",Retention*TIRenewal*D102+(1-Retention)*TINew*D102,IF(I102="LeaseUp",TINew*D102,IF(I102="Option",TIRenewal*D102,0)))))+(IF(I102="Vacate",LCNew*H102*D102*(1+GrowthMarketRent)^4,IF(I102="Market",Retention*LCRenewal*H102*D102*(1+GrowthMarketRent)^4+(1-Retention)*LCNew*H102*D102*(1+GrowthMarketRent)^4,IF(I102="LeaseUp",LCNew*H102*D102*(1+GrowthMarketRent)^4,IF(I102="Option",LCRenewal*H102*D102*(1+GrowthMarketRent)^4,0))))),IF(F102="",0,IF(AND(F102&gt;=DATE(2026+4,5,1),F102&lt;=DATE(2027+4,4,30)),(IF(I102="Vacate",TINew*D102,IF(I102="Market",Retention*TIRenewal*D102+(1-Retention)*TINew*D102,IF(I102="LeaseUp",TINew*D102,IF(I102="Option",TIRenewal*D102,0)))))+(IF(I102="Vacate",LCNew*H102*D102*(1+GrowthMarketRent)^4,IF(I102="Market",Retention*LCRenewal*H102*D102*(1+GrowthMarketRent)^4+(1-Retention)*LCNew*H102*D102*(1+GrowthMarketRent)^4,IF(I102="LeaseUp",LCNew*H102*D102*(1+GrowthMarketRent)^4,IF(I102="Option",LCRenewal*H102*D102*(1+GrowthMarketRent)^4,0))))),0))),0)</f>
        <v/>
      </c>
      <c r="AD102" s="14">
        <f>IFERROR(IF(AND(I102="LeaseUp",5=0),(IF(I102="Vacate",TINew*D102,IF(I102="Market",Retention*TIRenewal*D102+(1-Retention)*TINew*D102,IF(I102="LeaseUp",TINew*D102,IF(I102="Option",TIRenewal*D102,0)))))+(IF(I102="Vacate",LCNew*H102*D102*(1+GrowthMarketRent)^5,IF(I102="Market",Retention*LCRenewal*H102*D102*(1+GrowthMarketRent)^5+(1-Retention)*LCNew*H102*D102*(1+GrowthMarketRent)^5,IF(I102="LeaseUp",LCNew*H102*D102*(1+GrowthMarketRent)^5,IF(I102="Option",LCRenewal*H102*D102*(1+GrowthMarketRent)^5,0))))),IF(F102="",0,IF(AND(F102&gt;=DATE(2026+5,5,1),F102&lt;=DATE(2027+5,4,30)),(IF(I102="Vacate",TINew*D102,IF(I102="Market",Retention*TIRenewal*D102+(1-Retention)*TINew*D102,IF(I102="LeaseUp",TINew*D102,IF(I102="Option",TIRenewal*D102,0)))))+(IF(I102="Vacate",LCNew*H102*D102*(1+GrowthMarketRent)^5,IF(I102="Market",Retention*LCRenewal*H102*D102*(1+GrowthMarketRent)^5+(1-Retention)*LCNew*H102*D102*(1+GrowthMarketRent)^5,IF(I102="LeaseUp",LCNew*H102*D102*(1+GrowthMarketRent)^5,IF(I102="Option",LCRenewal*H102*D102*(1+GrowthMarketRent)^5,0))))),0))),0)</f>
        <v/>
      </c>
      <c r="AE102" s="14">
        <f>IFERROR(IF(AND(I102="LeaseUp",6=0),(IF(I102="Vacate",TINew*D102,IF(I102="Market",Retention*TIRenewal*D102+(1-Retention)*TINew*D102,IF(I102="LeaseUp",TINew*D102,IF(I102="Option",TIRenewal*D102,0)))))+(IF(I102="Vacate",LCNew*H102*D102*(1+GrowthMarketRent)^6,IF(I102="Market",Retention*LCRenewal*H102*D102*(1+GrowthMarketRent)^6+(1-Retention)*LCNew*H102*D102*(1+GrowthMarketRent)^6,IF(I102="LeaseUp",LCNew*H102*D102*(1+GrowthMarketRent)^6,IF(I102="Option",LCRenewal*H102*D102*(1+GrowthMarketRent)^6,0))))),IF(F102="",0,IF(AND(F102&gt;=DATE(2026+6,5,1),F102&lt;=DATE(2027+6,4,30)),(IF(I102="Vacate",TINew*D102,IF(I102="Market",Retention*TIRenewal*D102+(1-Retention)*TINew*D102,IF(I102="LeaseUp",TINew*D102,IF(I102="Option",TIRenewal*D102,0)))))+(IF(I102="Vacate",LCNew*H102*D102*(1+GrowthMarketRent)^6,IF(I102="Market",Retention*LCRenewal*H102*D102*(1+GrowthMarketRent)^6+(1-Retention)*LCNew*H102*D102*(1+GrowthMarketRent)^6,IF(I102="LeaseUp",LCNew*H102*D102*(1+GrowthMarketRent)^6,IF(I102="Option",LCRenewal*H102*D102*(1+GrowthMarketRent)^6,0))))),0))),0)</f>
        <v/>
      </c>
      <c r="AF102" s="14">
        <f>IFERROR(IF(AND(I102="LeaseUp",7=0),(IF(I102="Vacate",TINew*D102,IF(I102="Market",Retention*TIRenewal*D102+(1-Retention)*TINew*D102,IF(I102="LeaseUp",TINew*D102,IF(I102="Option",TIRenewal*D102,0)))))+(IF(I102="Vacate",LCNew*H102*D102*(1+GrowthMarketRent)^7,IF(I102="Market",Retention*LCRenewal*H102*D102*(1+GrowthMarketRent)^7+(1-Retention)*LCNew*H102*D102*(1+GrowthMarketRent)^7,IF(I102="LeaseUp",LCNew*H102*D102*(1+GrowthMarketRent)^7,IF(I102="Option",LCRenewal*H102*D102*(1+GrowthMarketRent)^7,0))))),IF(F102="",0,IF(AND(F102&gt;=DATE(2026+7,5,1),F102&lt;=DATE(2027+7,4,30)),(IF(I102="Vacate",TINew*D102,IF(I102="Market",Retention*TIRenewal*D102+(1-Retention)*TINew*D102,IF(I102="LeaseUp",TINew*D102,IF(I102="Option",TIRenewal*D102,0)))))+(IF(I102="Vacate",LCNew*H102*D102*(1+GrowthMarketRent)^7,IF(I102="Market",Retention*LCRenewal*H102*D102*(1+GrowthMarketRent)^7+(1-Retention)*LCNew*H102*D102*(1+GrowthMarketRent)^7,IF(I102="LeaseUp",LCNew*H102*D102*(1+GrowthMarketRent)^7,IF(I102="Option",LCRenewal*H102*D102*(1+GrowthMarketRent)^7,0))))),0))),0)</f>
        <v/>
      </c>
      <c r="AG102" s="14">
        <f>IFERROR(IF(AND(I102="LeaseUp",8=0),(IF(I102="Vacate",TINew*D102,IF(I102="Market",Retention*TIRenewal*D102+(1-Retention)*TINew*D102,IF(I102="LeaseUp",TINew*D102,IF(I102="Option",TIRenewal*D102,0)))))+(IF(I102="Vacate",LCNew*H102*D102*(1+GrowthMarketRent)^8,IF(I102="Market",Retention*LCRenewal*H102*D102*(1+GrowthMarketRent)^8+(1-Retention)*LCNew*H102*D102*(1+GrowthMarketRent)^8,IF(I102="LeaseUp",LCNew*H102*D102*(1+GrowthMarketRent)^8,IF(I102="Option",LCRenewal*H102*D102*(1+GrowthMarketRent)^8,0))))),IF(F102="",0,IF(AND(F102&gt;=DATE(2026+8,5,1),F102&lt;=DATE(2027+8,4,30)),(IF(I102="Vacate",TINew*D102,IF(I102="Market",Retention*TIRenewal*D102+(1-Retention)*TINew*D102,IF(I102="LeaseUp",TINew*D102,IF(I102="Option",TIRenewal*D102,0)))))+(IF(I102="Vacate",LCNew*H102*D102*(1+GrowthMarketRent)^8,IF(I102="Market",Retention*LCRenewal*H102*D102*(1+GrowthMarketRent)^8+(1-Retention)*LCNew*H102*D102*(1+GrowthMarketRent)^8,IF(I102="LeaseUp",LCNew*H102*D102*(1+GrowthMarketRent)^8,IF(I102="Option",LCRenewal*H102*D102*(1+GrowthMarketRent)^8,0))))),0))),0)</f>
        <v/>
      </c>
      <c r="AH102" s="14">
        <f>IFERROR(IF(AND(I102="LeaseUp",9=0),(IF(I102="Vacate",TINew*D102,IF(I102="Market",Retention*TIRenewal*D102+(1-Retention)*TINew*D102,IF(I102="LeaseUp",TINew*D102,IF(I102="Option",TIRenewal*D102,0)))))+(IF(I102="Vacate",LCNew*H102*D102*(1+GrowthMarketRent)^9,IF(I102="Market",Retention*LCRenewal*H102*D102*(1+GrowthMarketRent)^9+(1-Retention)*LCNew*H102*D102*(1+GrowthMarketRent)^9,IF(I102="LeaseUp",LCNew*H102*D102*(1+GrowthMarketRent)^9,IF(I102="Option",LCRenewal*H102*D102*(1+GrowthMarketRent)^9,0))))),IF(F102="",0,IF(AND(F102&gt;=DATE(2026+9,5,1),F102&lt;=DATE(2027+9,4,30)),(IF(I102="Vacate",TINew*D102,IF(I102="Market",Retention*TIRenewal*D102+(1-Retention)*TINew*D102,IF(I102="LeaseUp",TINew*D102,IF(I102="Option",TIRenewal*D102,0)))))+(IF(I102="Vacate",LCNew*H102*D102*(1+GrowthMarketRent)^9,IF(I102="Market",Retention*LCRenewal*H102*D102*(1+GrowthMarketRent)^9+(1-Retention)*LCNew*H102*D102*(1+GrowthMarketRent)^9,IF(I102="LeaseUp",LCNew*H102*D102*(1+GrowthMarketRent)^9,IF(I102="Option",LCRenewal*H102*D102*(1+GrowthMarketRent)^9,0))))),0))),0)</f>
        <v/>
      </c>
      <c r="AI102" s="14">
        <f>IFERROR(IF(AND(I102="LeaseUp",10=0),(IF(I102="Vacate",TINew*D102,IF(I102="Market",Retention*TIRenewal*D102+(1-Retention)*TINew*D102,IF(I102="LeaseUp",TINew*D102,IF(I102="Option",TIRenewal*D102,0)))))+(IF(I102="Vacate",LCNew*H102*D102*(1+GrowthMarketRent)^10,IF(I102="Market",Retention*LCRenewal*H102*D102*(1+GrowthMarketRent)^10+(1-Retention)*LCNew*H102*D102*(1+GrowthMarketRent)^10,IF(I102="LeaseUp",LCNew*H102*D102*(1+GrowthMarketRent)^10,IF(I102="Option",LCRenewal*H102*D102*(1+GrowthMarketRent)^10,0))))),IF(F102="",0,IF(AND(F102&gt;=DATE(2026+10,5,1),F102&lt;=DATE(2027+10,4,30)),(IF(I102="Vacate",TINew*D102,IF(I102="Market",Retention*TIRenewal*D102+(1-Retention)*TINew*D102,IF(I102="LeaseUp",TINew*D102,IF(I102="Option",TIRenewal*D102,0)))))+(IF(I102="Vacate",LCNew*H102*D102*(1+GrowthMarketRent)^10,IF(I102="Market",Retention*LCRenewal*H102*D102*(1+GrowthMarketRent)^10+(1-Retention)*LCNew*H102*D102*(1+GrowthMarketRent)^10,IF(I102="LeaseUp",LCNew*H102*D102*(1+GrowthMarketRent)^10,IF(I102="Option",LCRenewal*H102*D102*(1+GrowthMarketRent)^10,0))))),0))),0)</f>
        <v/>
      </c>
    </row>
    <row r="103">
      <c r="A103" t="inlineStr">
        <is>
          <t>Lewisville</t>
        </is>
      </c>
      <c r="B103" t="inlineStr">
        <is>
          <t>203</t>
        </is>
      </c>
      <c r="C103" t="inlineStr">
        <is>
          <t>WideOrbit LLC</t>
        </is>
      </c>
      <c r="D103" s="32" t="n">
        <v>2600</v>
      </c>
      <c r="E103" s="33" t="n">
        <v>45108</v>
      </c>
      <c r="F103" s="33" t="n">
        <v>46357</v>
      </c>
      <c r="G103" s="34" t="n">
        <v>14.9715384615385</v>
      </c>
      <c r="H103" s="16">
        <f>VLOOKUP(A103,MLA!$A$5:$L$11,3,FALSE)</f>
        <v/>
      </c>
      <c r="I103" s="11" t="inlineStr">
        <is>
          <t>Option</t>
        </is>
      </c>
      <c r="J103" t="inlineStr">
        <is>
          <t>Shop</t>
        </is>
      </c>
      <c r="K103" t="inlineStr">
        <is>
          <t>Occupied</t>
        </is>
      </c>
      <c r="L103" t="inlineStr">
        <is>
          <t>Shop; Two 3yr options</t>
        </is>
      </c>
      <c r="M103" s="20">
        <f>IF(E103="",0,(AnalysisStart-E103)/365.25)</f>
        <v/>
      </c>
      <c r="N103" s="14">
        <f>IFERROR(IF(I103="LeaseUp",H103*D103*(1+GrowthMarketRent)^0*IF(0=0,(12-DowntimeNew)/12,1),IF(F103="",0,IF(F103&gt;=DATE(2027+0,4,30),G103*D103*(1+EscalatorInLease)^(0+M103),IF(F103&lt;DATE(2026+0,5,1),IF(I103="Vacate",H103*D103*(1+GrowthMarketRent)^0*IF(INT((DATE(2026+0,10,31)-F103)/365.25)=0,(12-DowntimeNew)/12,1),IF(I103="Option",G103*D103*1.025*(1+EscalatorInLease)^0,IF(I103="Market",Retention*G103*D103*(1+EscalatorInLease)^(0+M103)+(1-Retention)*H103*D103*(1+GrowthMarketRent)^0*IF(INT((DATE(2026+0,10,31)-F103)/365.25)=0,(12-DowntimeNew)/12,1),IF(I103="LeaseUp",H103*D103*(1+GrowthMarketRent)^0*IF(0=0,(12-DowntimeNew)/12,1),0)))),((F103-DATE(2026+0,5,1))/365.25)*G103*D103*(1+EscalatorInLease)^(0+M103)+((DATE(2027+0,4,30)-F103)/365.25)*IF(I103="Vacate",H103*D103*(1+GrowthMarketRent)^0*IF(INT((DATE(2026+0,10,31)-F103)/365.25)=0,(12-DowntimeNew)/12,1),IF(I103="Option",G103*D103*1.025*(1+EscalatorInLease)^0,IF(I103="Market",Retention*G103*D103*(1+EscalatorInLease)^(0+M103)+(1-Retention)*H103*D103*(1+GrowthMarketRent)^0*IF(INT((DATE(2026+0,10,31)-F103)/365.25)=0,(12-DowntimeNew)/12,1),IF(I103="LeaseUp",H103*D103*(1+GrowthMarketRent)^0*IF(0=0,(12-DowntimeNew)/12,1),0)))))))),0)</f>
        <v/>
      </c>
      <c r="O103" s="14">
        <f>IFERROR(IF(I103="LeaseUp",H103*D103*(1+GrowthMarketRent)^1*IF(1=0,(12-DowntimeNew)/12,1),IF(F103="",0,IF(F103&gt;=DATE(2027+1,4,30),G103*D103*(1+EscalatorInLease)^(1+M103),IF(F103&lt;DATE(2026+1,5,1),IF(I103="Vacate",H103*D103*(1+GrowthMarketRent)^1*IF(INT((DATE(2026+1,10,31)-F103)/365.25)=0,(12-DowntimeNew)/12,1),IF(I103="Option",G103*D103*1.025*(1+EscalatorInLease)^1,IF(I103="Market",Retention*G103*D103*(1+EscalatorInLease)^(1+M103)+(1-Retention)*H103*D103*(1+GrowthMarketRent)^1*IF(INT((DATE(2026+1,10,31)-F103)/365.25)=0,(12-DowntimeNew)/12,1),IF(I103="LeaseUp",H103*D103*(1+GrowthMarketRent)^1*IF(1=0,(12-DowntimeNew)/12,1),0)))),((F103-DATE(2026+1,5,1))/365.25)*G103*D103*(1+EscalatorInLease)^(1+M103)+((DATE(2027+1,4,30)-F103)/365.25)*IF(I103="Vacate",H103*D103*(1+GrowthMarketRent)^1*IF(INT((DATE(2026+1,10,31)-F103)/365.25)=0,(12-DowntimeNew)/12,1),IF(I103="Option",G103*D103*1.025*(1+EscalatorInLease)^1,IF(I103="Market",Retention*G103*D103*(1+EscalatorInLease)^(1+M103)+(1-Retention)*H103*D103*(1+GrowthMarketRent)^1*IF(INT((DATE(2026+1,10,31)-F103)/365.25)=0,(12-DowntimeNew)/12,1),IF(I103="LeaseUp",H103*D103*(1+GrowthMarketRent)^1*IF(1=0,(12-DowntimeNew)/12,1),0)))))))),0)</f>
        <v/>
      </c>
      <c r="P103" s="14">
        <f>IFERROR(IF(I103="LeaseUp",H103*D103*(1+GrowthMarketRent)^2*IF(2=0,(12-DowntimeNew)/12,1),IF(F103="",0,IF(F103&gt;=DATE(2027+2,4,30),G103*D103*(1+EscalatorInLease)^(2+M103),IF(F103&lt;DATE(2026+2,5,1),IF(I103="Vacate",H103*D103*(1+GrowthMarketRent)^2*IF(INT((DATE(2026+2,10,31)-F103)/365.25)=0,(12-DowntimeNew)/12,1),IF(I103="Option",G103*D103*1.025*(1+EscalatorInLease)^2,IF(I103="Market",Retention*G103*D103*(1+EscalatorInLease)^(2+M103)+(1-Retention)*H103*D103*(1+GrowthMarketRent)^2*IF(INT((DATE(2026+2,10,31)-F103)/365.25)=0,(12-DowntimeNew)/12,1),IF(I103="LeaseUp",H103*D103*(1+GrowthMarketRent)^2*IF(2=0,(12-DowntimeNew)/12,1),0)))),((F103-DATE(2026+2,5,1))/365.25)*G103*D103*(1+EscalatorInLease)^(2+M103)+((DATE(2027+2,4,30)-F103)/365.25)*IF(I103="Vacate",H103*D103*(1+GrowthMarketRent)^2*IF(INT((DATE(2026+2,10,31)-F103)/365.25)=0,(12-DowntimeNew)/12,1),IF(I103="Option",G103*D103*1.025*(1+EscalatorInLease)^2,IF(I103="Market",Retention*G103*D103*(1+EscalatorInLease)^(2+M103)+(1-Retention)*H103*D103*(1+GrowthMarketRent)^2*IF(INT((DATE(2026+2,10,31)-F103)/365.25)=0,(12-DowntimeNew)/12,1),IF(I103="LeaseUp",H103*D103*(1+GrowthMarketRent)^2*IF(2=0,(12-DowntimeNew)/12,1),0)))))))),0)</f>
        <v/>
      </c>
      <c r="Q103" s="14">
        <f>IFERROR(IF(I103="LeaseUp",H103*D103*(1+GrowthMarketRent)^3*IF(3=0,(12-DowntimeNew)/12,1),IF(F103="",0,IF(F103&gt;=DATE(2027+3,4,30),G103*D103*(1+EscalatorInLease)^(3+M103),IF(F103&lt;DATE(2026+3,5,1),IF(I103="Vacate",H103*D103*(1+GrowthMarketRent)^3*IF(INT((DATE(2026+3,10,31)-F103)/365.25)=0,(12-DowntimeNew)/12,1),IF(I103="Option",G103*D103*1.025*(1+EscalatorInLease)^3,IF(I103="Market",Retention*G103*D103*(1+EscalatorInLease)^(3+M103)+(1-Retention)*H103*D103*(1+GrowthMarketRent)^3*IF(INT((DATE(2026+3,10,31)-F103)/365.25)=0,(12-DowntimeNew)/12,1),IF(I103="LeaseUp",H103*D103*(1+GrowthMarketRent)^3*IF(3=0,(12-DowntimeNew)/12,1),0)))),((F103-DATE(2026+3,5,1))/365.25)*G103*D103*(1+EscalatorInLease)^(3+M103)+((DATE(2027+3,4,30)-F103)/365.25)*IF(I103="Vacate",H103*D103*(1+GrowthMarketRent)^3*IF(INT((DATE(2026+3,10,31)-F103)/365.25)=0,(12-DowntimeNew)/12,1),IF(I103="Option",G103*D103*1.025*(1+EscalatorInLease)^3,IF(I103="Market",Retention*G103*D103*(1+EscalatorInLease)^(3+M103)+(1-Retention)*H103*D103*(1+GrowthMarketRent)^3*IF(INT((DATE(2026+3,10,31)-F103)/365.25)=0,(12-DowntimeNew)/12,1),IF(I103="LeaseUp",H103*D103*(1+GrowthMarketRent)^3*IF(3=0,(12-DowntimeNew)/12,1),0)))))))),0)</f>
        <v/>
      </c>
      <c r="R103" s="14">
        <f>IFERROR(IF(I103="LeaseUp",H103*D103*(1+GrowthMarketRent)^4*IF(4=0,(12-DowntimeNew)/12,1),IF(F103="",0,IF(F103&gt;=DATE(2027+4,4,30),G103*D103*(1+EscalatorInLease)^(4+M103),IF(F103&lt;DATE(2026+4,5,1),IF(I103="Vacate",H103*D103*(1+GrowthMarketRent)^4*IF(INT((DATE(2026+4,10,31)-F103)/365.25)=0,(12-DowntimeNew)/12,1),IF(I103="Option",G103*D103*1.025*(1+EscalatorInLease)^4,IF(I103="Market",Retention*G103*D103*(1+EscalatorInLease)^(4+M103)+(1-Retention)*H103*D103*(1+GrowthMarketRent)^4*IF(INT((DATE(2026+4,10,31)-F103)/365.25)=0,(12-DowntimeNew)/12,1),IF(I103="LeaseUp",H103*D103*(1+GrowthMarketRent)^4*IF(4=0,(12-DowntimeNew)/12,1),0)))),((F103-DATE(2026+4,5,1))/365.25)*G103*D103*(1+EscalatorInLease)^(4+M103)+((DATE(2027+4,4,30)-F103)/365.25)*IF(I103="Vacate",H103*D103*(1+GrowthMarketRent)^4*IF(INT((DATE(2026+4,10,31)-F103)/365.25)=0,(12-DowntimeNew)/12,1),IF(I103="Option",G103*D103*1.025*(1+EscalatorInLease)^4,IF(I103="Market",Retention*G103*D103*(1+EscalatorInLease)^(4+M103)+(1-Retention)*H103*D103*(1+GrowthMarketRent)^4*IF(INT((DATE(2026+4,10,31)-F103)/365.25)=0,(12-DowntimeNew)/12,1),IF(I103="LeaseUp",H103*D103*(1+GrowthMarketRent)^4*IF(4=0,(12-DowntimeNew)/12,1),0)))))))),0)</f>
        <v/>
      </c>
      <c r="S103" s="14">
        <f>IFERROR(IF(I103="LeaseUp",H103*D103*(1+GrowthMarketRent)^5*IF(5=0,(12-DowntimeNew)/12,1),IF(F103="",0,IF(F103&gt;=DATE(2027+5,4,30),G103*D103*(1+EscalatorInLease)^(5+M103),IF(F103&lt;DATE(2026+5,5,1),IF(I103="Vacate",H103*D103*(1+GrowthMarketRent)^5*IF(INT((DATE(2026+5,10,31)-F103)/365.25)=0,(12-DowntimeNew)/12,1),IF(I103="Option",G103*D103*1.025*(1+EscalatorInLease)^5,IF(I103="Market",Retention*G103*D103*(1+EscalatorInLease)^(5+M103)+(1-Retention)*H103*D103*(1+GrowthMarketRent)^5*IF(INT((DATE(2026+5,10,31)-F103)/365.25)=0,(12-DowntimeNew)/12,1),IF(I103="LeaseUp",H103*D103*(1+GrowthMarketRent)^5*IF(5=0,(12-DowntimeNew)/12,1),0)))),((F103-DATE(2026+5,5,1))/365.25)*G103*D103*(1+EscalatorInLease)^(5+M103)+((DATE(2027+5,4,30)-F103)/365.25)*IF(I103="Vacate",H103*D103*(1+GrowthMarketRent)^5*IF(INT((DATE(2026+5,10,31)-F103)/365.25)=0,(12-DowntimeNew)/12,1),IF(I103="Option",G103*D103*1.025*(1+EscalatorInLease)^5,IF(I103="Market",Retention*G103*D103*(1+EscalatorInLease)^(5+M103)+(1-Retention)*H103*D103*(1+GrowthMarketRent)^5*IF(INT((DATE(2026+5,10,31)-F103)/365.25)=0,(12-DowntimeNew)/12,1),IF(I103="LeaseUp",H103*D103*(1+GrowthMarketRent)^5*IF(5=0,(12-DowntimeNew)/12,1),0)))))))),0)</f>
        <v/>
      </c>
      <c r="T103" s="14">
        <f>IFERROR(IF(I103="LeaseUp",H103*D103*(1+GrowthMarketRent)^6*IF(6=0,(12-DowntimeNew)/12,1),IF(F103="",0,IF(F103&gt;=DATE(2027+6,4,30),G103*D103*(1+EscalatorInLease)^(6+M103),IF(F103&lt;DATE(2026+6,5,1),IF(I103="Vacate",H103*D103*(1+GrowthMarketRent)^6*IF(INT((DATE(2026+6,10,31)-F103)/365.25)=0,(12-DowntimeNew)/12,1),IF(I103="Option",G103*D103*1.025*(1+EscalatorInLease)^6,IF(I103="Market",Retention*G103*D103*(1+EscalatorInLease)^(6+M103)+(1-Retention)*H103*D103*(1+GrowthMarketRent)^6*IF(INT((DATE(2026+6,10,31)-F103)/365.25)=0,(12-DowntimeNew)/12,1),IF(I103="LeaseUp",H103*D103*(1+GrowthMarketRent)^6*IF(6=0,(12-DowntimeNew)/12,1),0)))),((F103-DATE(2026+6,5,1))/365.25)*G103*D103*(1+EscalatorInLease)^(6+M103)+((DATE(2027+6,4,30)-F103)/365.25)*IF(I103="Vacate",H103*D103*(1+GrowthMarketRent)^6*IF(INT((DATE(2026+6,10,31)-F103)/365.25)=0,(12-DowntimeNew)/12,1),IF(I103="Option",G103*D103*1.025*(1+EscalatorInLease)^6,IF(I103="Market",Retention*G103*D103*(1+EscalatorInLease)^(6+M103)+(1-Retention)*H103*D103*(1+GrowthMarketRent)^6*IF(INT((DATE(2026+6,10,31)-F103)/365.25)=0,(12-DowntimeNew)/12,1),IF(I103="LeaseUp",H103*D103*(1+GrowthMarketRent)^6*IF(6=0,(12-DowntimeNew)/12,1),0)))))))),0)</f>
        <v/>
      </c>
      <c r="U103" s="14">
        <f>IFERROR(IF(I103="LeaseUp",H103*D103*(1+GrowthMarketRent)^7*IF(7=0,(12-DowntimeNew)/12,1),IF(F103="",0,IF(F103&gt;=DATE(2027+7,4,30),G103*D103*(1+EscalatorInLease)^(7+M103),IF(F103&lt;DATE(2026+7,5,1),IF(I103="Vacate",H103*D103*(1+GrowthMarketRent)^7*IF(INT((DATE(2026+7,10,31)-F103)/365.25)=0,(12-DowntimeNew)/12,1),IF(I103="Option",G103*D103*1.025*(1+EscalatorInLease)^7,IF(I103="Market",Retention*G103*D103*(1+EscalatorInLease)^(7+M103)+(1-Retention)*H103*D103*(1+GrowthMarketRent)^7*IF(INT((DATE(2026+7,10,31)-F103)/365.25)=0,(12-DowntimeNew)/12,1),IF(I103="LeaseUp",H103*D103*(1+GrowthMarketRent)^7*IF(7=0,(12-DowntimeNew)/12,1),0)))),((F103-DATE(2026+7,5,1))/365.25)*G103*D103*(1+EscalatorInLease)^(7+M103)+((DATE(2027+7,4,30)-F103)/365.25)*IF(I103="Vacate",H103*D103*(1+GrowthMarketRent)^7*IF(INT((DATE(2026+7,10,31)-F103)/365.25)=0,(12-DowntimeNew)/12,1),IF(I103="Option",G103*D103*1.025*(1+EscalatorInLease)^7,IF(I103="Market",Retention*G103*D103*(1+EscalatorInLease)^(7+M103)+(1-Retention)*H103*D103*(1+GrowthMarketRent)^7*IF(INT((DATE(2026+7,10,31)-F103)/365.25)=0,(12-DowntimeNew)/12,1),IF(I103="LeaseUp",H103*D103*(1+GrowthMarketRent)^7*IF(7=0,(12-DowntimeNew)/12,1),0)))))))),0)</f>
        <v/>
      </c>
      <c r="V103" s="14">
        <f>IFERROR(IF(I103="LeaseUp",H103*D103*(1+GrowthMarketRent)^8*IF(8=0,(12-DowntimeNew)/12,1),IF(F103="",0,IF(F103&gt;=DATE(2027+8,4,30),G103*D103*(1+EscalatorInLease)^(8+M103),IF(F103&lt;DATE(2026+8,5,1),IF(I103="Vacate",H103*D103*(1+GrowthMarketRent)^8*IF(INT((DATE(2026+8,10,31)-F103)/365.25)=0,(12-DowntimeNew)/12,1),IF(I103="Option",G103*D103*1.025*(1+EscalatorInLease)^8,IF(I103="Market",Retention*G103*D103*(1+EscalatorInLease)^(8+M103)+(1-Retention)*H103*D103*(1+GrowthMarketRent)^8*IF(INT((DATE(2026+8,10,31)-F103)/365.25)=0,(12-DowntimeNew)/12,1),IF(I103="LeaseUp",H103*D103*(1+GrowthMarketRent)^8*IF(8=0,(12-DowntimeNew)/12,1),0)))),((F103-DATE(2026+8,5,1))/365.25)*G103*D103*(1+EscalatorInLease)^(8+M103)+((DATE(2027+8,4,30)-F103)/365.25)*IF(I103="Vacate",H103*D103*(1+GrowthMarketRent)^8*IF(INT((DATE(2026+8,10,31)-F103)/365.25)=0,(12-DowntimeNew)/12,1),IF(I103="Option",G103*D103*1.025*(1+EscalatorInLease)^8,IF(I103="Market",Retention*G103*D103*(1+EscalatorInLease)^(8+M103)+(1-Retention)*H103*D103*(1+GrowthMarketRent)^8*IF(INT((DATE(2026+8,10,31)-F103)/365.25)=0,(12-DowntimeNew)/12,1),IF(I103="LeaseUp",H103*D103*(1+GrowthMarketRent)^8*IF(8=0,(12-DowntimeNew)/12,1),0)))))))),0)</f>
        <v/>
      </c>
      <c r="W103" s="14">
        <f>IFERROR(IF(I103="LeaseUp",H103*D103*(1+GrowthMarketRent)^9*IF(9=0,(12-DowntimeNew)/12,1),IF(F103="",0,IF(F103&gt;=DATE(2027+9,4,30),G103*D103*(1+EscalatorInLease)^(9+M103),IF(F103&lt;DATE(2026+9,5,1),IF(I103="Vacate",H103*D103*(1+GrowthMarketRent)^9*IF(INT((DATE(2026+9,10,31)-F103)/365.25)=0,(12-DowntimeNew)/12,1),IF(I103="Option",G103*D103*1.025*(1+EscalatorInLease)^9,IF(I103="Market",Retention*G103*D103*(1+EscalatorInLease)^(9+M103)+(1-Retention)*H103*D103*(1+GrowthMarketRent)^9*IF(INT((DATE(2026+9,10,31)-F103)/365.25)=0,(12-DowntimeNew)/12,1),IF(I103="LeaseUp",H103*D103*(1+GrowthMarketRent)^9*IF(9=0,(12-DowntimeNew)/12,1),0)))),((F103-DATE(2026+9,5,1))/365.25)*G103*D103*(1+EscalatorInLease)^(9+M103)+((DATE(2027+9,4,30)-F103)/365.25)*IF(I103="Vacate",H103*D103*(1+GrowthMarketRent)^9*IF(INT((DATE(2026+9,10,31)-F103)/365.25)=0,(12-DowntimeNew)/12,1),IF(I103="Option",G103*D103*1.025*(1+EscalatorInLease)^9,IF(I103="Market",Retention*G103*D103*(1+EscalatorInLease)^(9+M103)+(1-Retention)*H103*D103*(1+GrowthMarketRent)^9*IF(INT((DATE(2026+9,10,31)-F103)/365.25)=0,(12-DowntimeNew)/12,1),IF(I103="LeaseUp",H103*D103*(1+GrowthMarketRent)^9*IF(9=0,(12-DowntimeNew)/12,1),0)))))))),0)</f>
        <v/>
      </c>
      <c r="X103" s="14">
        <f>IFERROR(IF(I103="LeaseUp",H103*D103*(1+GrowthMarketRent)^10*IF(10=0,(12-DowntimeNew)/12,1),IF(F103="",0,IF(F103&gt;=DATE(2027+10,4,30),G103*D103*(1+EscalatorInLease)^(10+M103),IF(F103&lt;DATE(2026+10,5,1),IF(I103="Vacate",H103*D103*(1+GrowthMarketRent)^10*IF(INT((DATE(2026+10,10,31)-F103)/365.25)=0,(12-DowntimeNew)/12,1),IF(I103="Option",G103*D103*1.025*(1+EscalatorInLease)^10,IF(I103="Market",Retention*G103*D103*(1+EscalatorInLease)^(10+M103)+(1-Retention)*H103*D103*(1+GrowthMarketRent)^10*IF(INT((DATE(2026+10,10,31)-F103)/365.25)=0,(12-DowntimeNew)/12,1),IF(I103="LeaseUp",H103*D103*(1+GrowthMarketRent)^10*IF(10=0,(12-DowntimeNew)/12,1),0)))),((F103-DATE(2026+10,5,1))/365.25)*G103*D103*(1+EscalatorInLease)^(10+M103)+((DATE(2027+10,4,30)-F103)/365.25)*IF(I103="Vacate",H103*D103*(1+GrowthMarketRent)^10*IF(INT((DATE(2026+10,10,31)-F103)/365.25)=0,(12-DowntimeNew)/12,1),IF(I103="Option",G103*D103*1.025*(1+EscalatorInLease)^10,IF(I103="Market",Retention*G103*D103*(1+EscalatorInLease)^(10+M103)+(1-Retention)*H103*D103*(1+GrowthMarketRent)^10*IF(INT((DATE(2026+10,10,31)-F103)/365.25)=0,(12-DowntimeNew)/12,1),IF(I103="LeaseUp",H103*D103*(1+GrowthMarketRent)^10*IF(10=0,(12-DowntimeNew)/12,1),0)))))))),0)</f>
        <v/>
      </c>
      <c r="Y103" s="14">
        <f>IFERROR(IF(AND(I103="LeaseUp",0=0),(IF(I103="Vacate",TINew*D103,IF(I103="Market",Retention*TIRenewal*D103+(1-Retention)*TINew*D103,IF(I103="LeaseUp",TINew*D103,IF(I103="Option",TIRenewal*D103,0)))))+(IF(I103="Vacate",LCNew*H103*D103*(1+GrowthMarketRent)^0,IF(I103="Market",Retention*LCRenewal*H103*D103*(1+GrowthMarketRent)^0+(1-Retention)*LCNew*H103*D103*(1+GrowthMarketRent)^0,IF(I103="LeaseUp",LCNew*H103*D103*(1+GrowthMarketRent)^0,IF(I103="Option",LCRenewal*H103*D103*(1+GrowthMarketRent)^0,0))))),IF(F103="",0,IF(AND(F103&gt;=DATE(2026+0,5,1),F103&lt;=DATE(2027+0,4,30)),(IF(I103="Vacate",TINew*D103,IF(I103="Market",Retention*TIRenewal*D103+(1-Retention)*TINew*D103,IF(I103="LeaseUp",TINew*D103,IF(I103="Option",TIRenewal*D103,0)))))+(IF(I103="Vacate",LCNew*H103*D103*(1+GrowthMarketRent)^0,IF(I103="Market",Retention*LCRenewal*H103*D103*(1+GrowthMarketRent)^0+(1-Retention)*LCNew*H103*D103*(1+GrowthMarketRent)^0,IF(I103="LeaseUp",LCNew*H103*D103*(1+GrowthMarketRent)^0,IF(I103="Option",LCRenewal*H103*D103*(1+GrowthMarketRent)^0,0))))),0))),0)</f>
        <v/>
      </c>
      <c r="Z103" s="14">
        <f>IFERROR(IF(AND(I103="LeaseUp",1=0),(IF(I103="Vacate",TINew*D103,IF(I103="Market",Retention*TIRenewal*D103+(1-Retention)*TINew*D103,IF(I103="LeaseUp",TINew*D103,IF(I103="Option",TIRenewal*D103,0)))))+(IF(I103="Vacate",LCNew*H103*D103*(1+GrowthMarketRent)^1,IF(I103="Market",Retention*LCRenewal*H103*D103*(1+GrowthMarketRent)^1+(1-Retention)*LCNew*H103*D103*(1+GrowthMarketRent)^1,IF(I103="LeaseUp",LCNew*H103*D103*(1+GrowthMarketRent)^1,IF(I103="Option",LCRenewal*H103*D103*(1+GrowthMarketRent)^1,0))))),IF(F103="",0,IF(AND(F103&gt;=DATE(2026+1,5,1),F103&lt;=DATE(2027+1,4,30)),(IF(I103="Vacate",TINew*D103,IF(I103="Market",Retention*TIRenewal*D103+(1-Retention)*TINew*D103,IF(I103="LeaseUp",TINew*D103,IF(I103="Option",TIRenewal*D103,0)))))+(IF(I103="Vacate",LCNew*H103*D103*(1+GrowthMarketRent)^1,IF(I103="Market",Retention*LCRenewal*H103*D103*(1+GrowthMarketRent)^1+(1-Retention)*LCNew*H103*D103*(1+GrowthMarketRent)^1,IF(I103="LeaseUp",LCNew*H103*D103*(1+GrowthMarketRent)^1,IF(I103="Option",LCRenewal*H103*D103*(1+GrowthMarketRent)^1,0))))),0))),0)</f>
        <v/>
      </c>
      <c r="AA103" s="14">
        <f>IFERROR(IF(AND(I103="LeaseUp",2=0),(IF(I103="Vacate",TINew*D103,IF(I103="Market",Retention*TIRenewal*D103+(1-Retention)*TINew*D103,IF(I103="LeaseUp",TINew*D103,IF(I103="Option",TIRenewal*D103,0)))))+(IF(I103="Vacate",LCNew*H103*D103*(1+GrowthMarketRent)^2,IF(I103="Market",Retention*LCRenewal*H103*D103*(1+GrowthMarketRent)^2+(1-Retention)*LCNew*H103*D103*(1+GrowthMarketRent)^2,IF(I103="LeaseUp",LCNew*H103*D103*(1+GrowthMarketRent)^2,IF(I103="Option",LCRenewal*H103*D103*(1+GrowthMarketRent)^2,0))))),IF(F103="",0,IF(AND(F103&gt;=DATE(2026+2,5,1),F103&lt;=DATE(2027+2,4,30)),(IF(I103="Vacate",TINew*D103,IF(I103="Market",Retention*TIRenewal*D103+(1-Retention)*TINew*D103,IF(I103="LeaseUp",TINew*D103,IF(I103="Option",TIRenewal*D103,0)))))+(IF(I103="Vacate",LCNew*H103*D103*(1+GrowthMarketRent)^2,IF(I103="Market",Retention*LCRenewal*H103*D103*(1+GrowthMarketRent)^2+(1-Retention)*LCNew*H103*D103*(1+GrowthMarketRent)^2,IF(I103="LeaseUp",LCNew*H103*D103*(1+GrowthMarketRent)^2,IF(I103="Option",LCRenewal*H103*D103*(1+GrowthMarketRent)^2,0))))),0))),0)</f>
        <v/>
      </c>
      <c r="AB103" s="14">
        <f>IFERROR(IF(AND(I103="LeaseUp",3=0),(IF(I103="Vacate",TINew*D103,IF(I103="Market",Retention*TIRenewal*D103+(1-Retention)*TINew*D103,IF(I103="LeaseUp",TINew*D103,IF(I103="Option",TIRenewal*D103,0)))))+(IF(I103="Vacate",LCNew*H103*D103*(1+GrowthMarketRent)^3,IF(I103="Market",Retention*LCRenewal*H103*D103*(1+GrowthMarketRent)^3+(1-Retention)*LCNew*H103*D103*(1+GrowthMarketRent)^3,IF(I103="LeaseUp",LCNew*H103*D103*(1+GrowthMarketRent)^3,IF(I103="Option",LCRenewal*H103*D103*(1+GrowthMarketRent)^3,0))))),IF(F103="",0,IF(AND(F103&gt;=DATE(2026+3,5,1),F103&lt;=DATE(2027+3,4,30)),(IF(I103="Vacate",TINew*D103,IF(I103="Market",Retention*TIRenewal*D103+(1-Retention)*TINew*D103,IF(I103="LeaseUp",TINew*D103,IF(I103="Option",TIRenewal*D103,0)))))+(IF(I103="Vacate",LCNew*H103*D103*(1+GrowthMarketRent)^3,IF(I103="Market",Retention*LCRenewal*H103*D103*(1+GrowthMarketRent)^3+(1-Retention)*LCNew*H103*D103*(1+GrowthMarketRent)^3,IF(I103="LeaseUp",LCNew*H103*D103*(1+GrowthMarketRent)^3,IF(I103="Option",LCRenewal*H103*D103*(1+GrowthMarketRent)^3,0))))),0))),0)</f>
        <v/>
      </c>
      <c r="AC103" s="14">
        <f>IFERROR(IF(AND(I103="LeaseUp",4=0),(IF(I103="Vacate",TINew*D103,IF(I103="Market",Retention*TIRenewal*D103+(1-Retention)*TINew*D103,IF(I103="LeaseUp",TINew*D103,IF(I103="Option",TIRenewal*D103,0)))))+(IF(I103="Vacate",LCNew*H103*D103*(1+GrowthMarketRent)^4,IF(I103="Market",Retention*LCRenewal*H103*D103*(1+GrowthMarketRent)^4+(1-Retention)*LCNew*H103*D103*(1+GrowthMarketRent)^4,IF(I103="LeaseUp",LCNew*H103*D103*(1+GrowthMarketRent)^4,IF(I103="Option",LCRenewal*H103*D103*(1+GrowthMarketRent)^4,0))))),IF(F103="",0,IF(AND(F103&gt;=DATE(2026+4,5,1),F103&lt;=DATE(2027+4,4,30)),(IF(I103="Vacate",TINew*D103,IF(I103="Market",Retention*TIRenewal*D103+(1-Retention)*TINew*D103,IF(I103="LeaseUp",TINew*D103,IF(I103="Option",TIRenewal*D103,0)))))+(IF(I103="Vacate",LCNew*H103*D103*(1+GrowthMarketRent)^4,IF(I103="Market",Retention*LCRenewal*H103*D103*(1+GrowthMarketRent)^4+(1-Retention)*LCNew*H103*D103*(1+GrowthMarketRent)^4,IF(I103="LeaseUp",LCNew*H103*D103*(1+GrowthMarketRent)^4,IF(I103="Option",LCRenewal*H103*D103*(1+GrowthMarketRent)^4,0))))),0))),0)</f>
        <v/>
      </c>
      <c r="AD103" s="14">
        <f>IFERROR(IF(AND(I103="LeaseUp",5=0),(IF(I103="Vacate",TINew*D103,IF(I103="Market",Retention*TIRenewal*D103+(1-Retention)*TINew*D103,IF(I103="LeaseUp",TINew*D103,IF(I103="Option",TIRenewal*D103,0)))))+(IF(I103="Vacate",LCNew*H103*D103*(1+GrowthMarketRent)^5,IF(I103="Market",Retention*LCRenewal*H103*D103*(1+GrowthMarketRent)^5+(1-Retention)*LCNew*H103*D103*(1+GrowthMarketRent)^5,IF(I103="LeaseUp",LCNew*H103*D103*(1+GrowthMarketRent)^5,IF(I103="Option",LCRenewal*H103*D103*(1+GrowthMarketRent)^5,0))))),IF(F103="",0,IF(AND(F103&gt;=DATE(2026+5,5,1),F103&lt;=DATE(2027+5,4,30)),(IF(I103="Vacate",TINew*D103,IF(I103="Market",Retention*TIRenewal*D103+(1-Retention)*TINew*D103,IF(I103="LeaseUp",TINew*D103,IF(I103="Option",TIRenewal*D103,0)))))+(IF(I103="Vacate",LCNew*H103*D103*(1+GrowthMarketRent)^5,IF(I103="Market",Retention*LCRenewal*H103*D103*(1+GrowthMarketRent)^5+(1-Retention)*LCNew*H103*D103*(1+GrowthMarketRent)^5,IF(I103="LeaseUp",LCNew*H103*D103*(1+GrowthMarketRent)^5,IF(I103="Option",LCRenewal*H103*D103*(1+GrowthMarketRent)^5,0))))),0))),0)</f>
        <v/>
      </c>
      <c r="AE103" s="14">
        <f>IFERROR(IF(AND(I103="LeaseUp",6=0),(IF(I103="Vacate",TINew*D103,IF(I103="Market",Retention*TIRenewal*D103+(1-Retention)*TINew*D103,IF(I103="LeaseUp",TINew*D103,IF(I103="Option",TIRenewal*D103,0)))))+(IF(I103="Vacate",LCNew*H103*D103*(1+GrowthMarketRent)^6,IF(I103="Market",Retention*LCRenewal*H103*D103*(1+GrowthMarketRent)^6+(1-Retention)*LCNew*H103*D103*(1+GrowthMarketRent)^6,IF(I103="LeaseUp",LCNew*H103*D103*(1+GrowthMarketRent)^6,IF(I103="Option",LCRenewal*H103*D103*(1+GrowthMarketRent)^6,0))))),IF(F103="",0,IF(AND(F103&gt;=DATE(2026+6,5,1),F103&lt;=DATE(2027+6,4,30)),(IF(I103="Vacate",TINew*D103,IF(I103="Market",Retention*TIRenewal*D103+(1-Retention)*TINew*D103,IF(I103="LeaseUp",TINew*D103,IF(I103="Option",TIRenewal*D103,0)))))+(IF(I103="Vacate",LCNew*H103*D103*(1+GrowthMarketRent)^6,IF(I103="Market",Retention*LCRenewal*H103*D103*(1+GrowthMarketRent)^6+(1-Retention)*LCNew*H103*D103*(1+GrowthMarketRent)^6,IF(I103="LeaseUp",LCNew*H103*D103*(1+GrowthMarketRent)^6,IF(I103="Option",LCRenewal*H103*D103*(1+GrowthMarketRent)^6,0))))),0))),0)</f>
        <v/>
      </c>
      <c r="AF103" s="14">
        <f>IFERROR(IF(AND(I103="LeaseUp",7=0),(IF(I103="Vacate",TINew*D103,IF(I103="Market",Retention*TIRenewal*D103+(1-Retention)*TINew*D103,IF(I103="LeaseUp",TINew*D103,IF(I103="Option",TIRenewal*D103,0)))))+(IF(I103="Vacate",LCNew*H103*D103*(1+GrowthMarketRent)^7,IF(I103="Market",Retention*LCRenewal*H103*D103*(1+GrowthMarketRent)^7+(1-Retention)*LCNew*H103*D103*(1+GrowthMarketRent)^7,IF(I103="LeaseUp",LCNew*H103*D103*(1+GrowthMarketRent)^7,IF(I103="Option",LCRenewal*H103*D103*(1+GrowthMarketRent)^7,0))))),IF(F103="",0,IF(AND(F103&gt;=DATE(2026+7,5,1),F103&lt;=DATE(2027+7,4,30)),(IF(I103="Vacate",TINew*D103,IF(I103="Market",Retention*TIRenewal*D103+(1-Retention)*TINew*D103,IF(I103="LeaseUp",TINew*D103,IF(I103="Option",TIRenewal*D103,0)))))+(IF(I103="Vacate",LCNew*H103*D103*(1+GrowthMarketRent)^7,IF(I103="Market",Retention*LCRenewal*H103*D103*(1+GrowthMarketRent)^7+(1-Retention)*LCNew*H103*D103*(1+GrowthMarketRent)^7,IF(I103="LeaseUp",LCNew*H103*D103*(1+GrowthMarketRent)^7,IF(I103="Option",LCRenewal*H103*D103*(1+GrowthMarketRent)^7,0))))),0))),0)</f>
        <v/>
      </c>
      <c r="AG103" s="14">
        <f>IFERROR(IF(AND(I103="LeaseUp",8=0),(IF(I103="Vacate",TINew*D103,IF(I103="Market",Retention*TIRenewal*D103+(1-Retention)*TINew*D103,IF(I103="LeaseUp",TINew*D103,IF(I103="Option",TIRenewal*D103,0)))))+(IF(I103="Vacate",LCNew*H103*D103*(1+GrowthMarketRent)^8,IF(I103="Market",Retention*LCRenewal*H103*D103*(1+GrowthMarketRent)^8+(1-Retention)*LCNew*H103*D103*(1+GrowthMarketRent)^8,IF(I103="LeaseUp",LCNew*H103*D103*(1+GrowthMarketRent)^8,IF(I103="Option",LCRenewal*H103*D103*(1+GrowthMarketRent)^8,0))))),IF(F103="",0,IF(AND(F103&gt;=DATE(2026+8,5,1),F103&lt;=DATE(2027+8,4,30)),(IF(I103="Vacate",TINew*D103,IF(I103="Market",Retention*TIRenewal*D103+(1-Retention)*TINew*D103,IF(I103="LeaseUp",TINew*D103,IF(I103="Option",TIRenewal*D103,0)))))+(IF(I103="Vacate",LCNew*H103*D103*(1+GrowthMarketRent)^8,IF(I103="Market",Retention*LCRenewal*H103*D103*(1+GrowthMarketRent)^8+(1-Retention)*LCNew*H103*D103*(1+GrowthMarketRent)^8,IF(I103="LeaseUp",LCNew*H103*D103*(1+GrowthMarketRent)^8,IF(I103="Option",LCRenewal*H103*D103*(1+GrowthMarketRent)^8,0))))),0))),0)</f>
        <v/>
      </c>
      <c r="AH103" s="14">
        <f>IFERROR(IF(AND(I103="LeaseUp",9=0),(IF(I103="Vacate",TINew*D103,IF(I103="Market",Retention*TIRenewal*D103+(1-Retention)*TINew*D103,IF(I103="LeaseUp",TINew*D103,IF(I103="Option",TIRenewal*D103,0)))))+(IF(I103="Vacate",LCNew*H103*D103*(1+GrowthMarketRent)^9,IF(I103="Market",Retention*LCRenewal*H103*D103*(1+GrowthMarketRent)^9+(1-Retention)*LCNew*H103*D103*(1+GrowthMarketRent)^9,IF(I103="LeaseUp",LCNew*H103*D103*(1+GrowthMarketRent)^9,IF(I103="Option",LCRenewal*H103*D103*(1+GrowthMarketRent)^9,0))))),IF(F103="",0,IF(AND(F103&gt;=DATE(2026+9,5,1),F103&lt;=DATE(2027+9,4,30)),(IF(I103="Vacate",TINew*D103,IF(I103="Market",Retention*TIRenewal*D103+(1-Retention)*TINew*D103,IF(I103="LeaseUp",TINew*D103,IF(I103="Option",TIRenewal*D103,0)))))+(IF(I103="Vacate",LCNew*H103*D103*(1+GrowthMarketRent)^9,IF(I103="Market",Retention*LCRenewal*H103*D103*(1+GrowthMarketRent)^9+(1-Retention)*LCNew*H103*D103*(1+GrowthMarketRent)^9,IF(I103="LeaseUp",LCNew*H103*D103*(1+GrowthMarketRent)^9,IF(I103="Option",LCRenewal*H103*D103*(1+GrowthMarketRent)^9,0))))),0))),0)</f>
        <v/>
      </c>
      <c r="AI103" s="14">
        <f>IFERROR(IF(AND(I103="LeaseUp",10=0),(IF(I103="Vacate",TINew*D103,IF(I103="Market",Retention*TIRenewal*D103+(1-Retention)*TINew*D103,IF(I103="LeaseUp",TINew*D103,IF(I103="Option",TIRenewal*D103,0)))))+(IF(I103="Vacate",LCNew*H103*D103*(1+GrowthMarketRent)^10,IF(I103="Market",Retention*LCRenewal*H103*D103*(1+GrowthMarketRent)^10+(1-Retention)*LCNew*H103*D103*(1+GrowthMarketRent)^10,IF(I103="LeaseUp",LCNew*H103*D103*(1+GrowthMarketRent)^10,IF(I103="Option",LCRenewal*H103*D103*(1+GrowthMarketRent)^10,0))))),IF(F103="",0,IF(AND(F103&gt;=DATE(2026+10,5,1),F103&lt;=DATE(2027+10,4,30)),(IF(I103="Vacate",TINew*D103,IF(I103="Market",Retention*TIRenewal*D103+(1-Retention)*TINew*D103,IF(I103="LeaseUp",TINew*D103,IF(I103="Option",TIRenewal*D103,0)))))+(IF(I103="Vacate",LCNew*H103*D103*(1+GrowthMarketRent)^10,IF(I103="Market",Retention*LCRenewal*H103*D103*(1+GrowthMarketRent)^10+(1-Retention)*LCNew*H103*D103*(1+GrowthMarketRent)^10,IF(I103="LeaseUp",LCNew*H103*D103*(1+GrowthMarketRent)^10,IF(I103="Option",LCRenewal*H103*D103*(1+GrowthMarketRent)^10,0))))),0))),0)</f>
        <v/>
      </c>
    </row>
    <row r="104">
      <c r="A104" t="inlineStr">
        <is>
          <t>Lewisville</t>
        </is>
      </c>
      <c r="B104" t="inlineStr">
        <is>
          <t>204</t>
        </is>
      </c>
      <c r="C104" t="inlineStr">
        <is>
          <t>Nova Lume LLC</t>
        </is>
      </c>
      <c r="D104" s="32" t="n">
        <v>2600</v>
      </c>
      <c r="E104" s="33" t="n">
        <v>45323</v>
      </c>
      <c r="F104" s="33" t="n">
        <v>46753</v>
      </c>
      <c r="G104" s="34" t="n">
        <v>15.4969230769231</v>
      </c>
      <c r="H104" s="16">
        <f>VLOOKUP(A104,MLA!$A$5:$L$11,3,FALSE)</f>
        <v/>
      </c>
      <c r="I104" s="11" t="inlineStr">
        <is>
          <t>Option</t>
        </is>
      </c>
      <c r="J104" t="inlineStr">
        <is>
          <t>Shop</t>
        </is>
      </c>
      <c r="K104" t="inlineStr">
        <is>
          <t>Occupied</t>
        </is>
      </c>
      <c r="L104" t="inlineStr">
        <is>
          <t>Shop; Guarantor: James D. Casey Jr.; Two 3yr options</t>
        </is>
      </c>
      <c r="M104" s="20">
        <f>IF(E104="",0,(AnalysisStart-E104)/365.25)</f>
        <v/>
      </c>
      <c r="N104" s="14">
        <f>IFERROR(IF(I104="LeaseUp",H104*D104*(1+GrowthMarketRent)^0*IF(0=0,(12-DowntimeNew)/12,1),IF(F104="",0,IF(F104&gt;=DATE(2027+0,4,30),G104*D104*(1+EscalatorInLease)^(0+M104),IF(F104&lt;DATE(2026+0,5,1),IF(I104="Vacate",H104*D104*(1+GrowthMarketRent)^0*IF(INT((DATE(2026+0,10,31)-F104)/365.25)=0,(12-DowntimeNew)/12,1),IF(I104="Option",G104*D104*1.025*(1+EscalatorInLease)^0,IF(I104="Market",Retention*G104*D104*(1+EscalatorInLease)^(0+M104)+(1-Retention)*H104*D104*(1+GrowthMarketRent)^0*IF(INT((DATE(2026+0,10,31)-F104)/365.25)=0,(12-DowntimeNew)/12,1),IF(I104="LeaseUp",H104*D104*(1+GrowthMarketRent)^0*IF(0=0,(12-DowntimeNew)/12,1),0)))),((F104-DATE(2026+0,5,1))/365.25)*G104*D104*(1+EscalatorInLease)^(0+M104)+((DATE(2027+0,4,30)-F104)/365.25)*IF(I104="Vacate",H104*D104*(1+GrowthMarketRent)^0*IF(INT((DATE(2026+0,10,31)-F104)/365.25)=0,(12-DowntimeNew)/12,1),IF(I104="Option",G104*D104*1.025*(1+EscalatorInLease)^0,IF(I104="Market",Retention*G104*D104*(1+EscalatorInLease)^(0+M104)+(1-Retention)*H104*D104*(1+GrowthMarketRent)^0*IF(INT((DATE(2026+0,10,31)-F104)/365.25)=0,(12-DowntimeNew)/12,1),IF(I104="LeaseUp",H104*D104*(1+GrowthMarketRent)^0*IF(0=0,(12-DowntimeNew)/12,1),0)))))))),0)</f>
        <v/>
      </c>
      <c r="O104" s="14">
        <f>IFERROR(IF(I104="LeaseUp",H104*D104*(1+GrowthMarketRent)^1*IF(1=0,(12-DowntimeNew)/12,1),IF(F104="",0,IF(F104&gt;=DATE(2027+1,4,30),G104*D104*(1+EscalatorInLease)^(1+M104),IF(F104&lt;DATE(2026+1,5,1),IF(I104="Vacate",H104*D104*(1+GrowthMarketRent)^1*IF(INT((DATE(2026+1,10,31)-F104)/365.25)=0,(12-DowntimeNew)/12,1),IF(I104="Option",G104*D104*1.025*(1+EscalatorInLease)^1,IF(I104="Market",Retention*G104*D104*(1+EscalatorInLease)^(1+M104)+(1-Retention)*H104*D104*(1+GrowthMarketRent)^1*IF(INT((DATE(2026+1,10,31)-F104)/365.25)=0,(12-DowntimeNew)/12,1),IF(I104="LeaseUp",H104*D104*(1+GrowthMarketRent)^1*IF(1=0,(12-DowntimeNew)/12,1),0)))),((F104-DATE(2026+1,5,1))/365.25)*G104*D104*(1+EscalatorInLease)^(1+M104)+((DATE(2027+1,4,30)-F104)/365.25)*IF(I104="Vacate",H104*D104*(1+GrowthMarketRent)^1*IF(INT((DATE(2026+1,10,31)-F104)/365.25)=0,(12-DowntimeNew)/12,1),IF(I104="Option",G104*D104*1.025*(1+EscalatorInLease)^1,IF(I104="Market",Retention*G104*D104*(1+EscalatorInLease)^(1+M104)+(1-Retention)*H104*D104*(1+GrowthMarketRent)^1*IF(INT((DATE(2026+1,10,31)-F104)/365.25)=0,(12-DowntimeNew)/12,1),IF(I104="LeaseUp",H104*D104*(1+GrowthMarketRent)^1*IF(1=0,(12-DowntimeNew)/12,1),0)))))))),0)</f>
        <v/>
      </c>
      <c r="P104" s="14">
        <f>IFERROR(IF(I104="LeaseUp",H104*D104*(1+GrowthMarketRent)^2*IF(2=0,(12-DowntimeNew)/12,1),IF(F104="",0,IF(F104&gt;=DATE(2027+2,4,30),G104*D104*(1+EscalatorInLease)^(2+M104),IF(F104&lt;DATE(2026+2,5,1),IF(I104="Vacate",H104*D104*(1+GrowthMarketRent)^2*IF(INT((DATE(2026+2,10,31)-F104)/365.25)=0,(12-DowntimeNew)/12,1),IF(I104="Option",G104*D104*1.025*(1+EscalatorInLease)^2,IF(I104="Market",Retention*G104*D104*(1+EscalatorInLease)^(2+M104)+(1-Retention)*H104*D104*(1+GrowthMarketRent)^2*IF(INT((DATE(2026+2,10,31)-F104)/365.25)=0,(12-DowntimeNew)/12,1),IF(I104="LeaseUp",H104*D104*(1+GrowthMarketRent)^2*IF(2=0,(12-DowntimeNew)/12,1),0)))),((F104-DATE(2026+2,5,1))/365.25)*G104*D104*(1+EscalatorInLease)^(2+M104)+((DATE(2027+2,4,30)-F104)/365.25)*IF(I104="Vacate",H104*D104*(1+GrowthMarketRent)^2*IF(INT((DATE(2026+2,10,31)-F104)/365.25)=0,(12-DowntimeNew)/12,1),IF(I104="Option",G104*D104*1.025*(1+EscalatorInLease)^2,IF(I104="Market",Retention*G104*D104*(1+EscalatorInLease)^(2+M104)+(1-Retention)*H104*D104*(1+GrowthMarketRent)^2*IF(INT((DATE(2026+2,10,31)-F104)/365.25)=0,(12-DowntimeNew)/12,1),IF(I104="LeaseUp",H104*D104*(1+GrowthMarketRent)^2*IF(2=0,(12-DowntimeNew)/12,1),0)))))))),0)</f>
        <v/>
      </c>
      <c r="Q104" s="14">
        <f>IFERROR(IF(I104="LeaseUp",H104*D104*(1+GrowthMarketRent)^3*IF(3=0,(12-DowntimeNew)/12,1),IF(F104="",0,IF(F104&gt;=DATE(2027+3,4,30),G104*D104*(1+EscalatorInLease)^(3+M104),IF(F104&lt;DATE(2026+3,5,1),IF(I104="Vacate",H104*D104*(1+GrowthMarketRent)^3*IF(INT((DATE(2026+3,10,31)-F104)/365.25)=0,(12-DowntimeNew)/12,1),IF(I104="Option",G104*D104*1.025*(1+EscalatorInLease)^3,IF(I104="Market",Retention*G104*D104*(1+EscalatorInLease)^(3+M104)+(1-Retention)*H104*D104*(1+GrowthMarketRent)^3*IF(INT((DATE(2026+3,10,31)-F104)/365.25)=0,(12-DowntimeNew)/12,1),IF(I104="LeaseUp",H104*D104*(1+GrowthMarketRent)^3*IF(3=0,(12-DowntimeNew)/12,1),0)))),((F104-DATE(2026+3,5,1))/365.25)*G104*D104*(1+EscalatorInLease)^(3+M104)+((DATE(2027+3,4,30)-F104)/365.25)*IF(I104="Vacate",H104*D104*(1+GrowthMarketRent)^3*IF(INT((DATE(2026+3,10,31)-F104)/365.25)=0,(12-DowntimeNew)/12,1),IF(I104="Option",G104*D104*1.025*(1+EscalatorInLease)^3,IF(I104="Market",Retention*G104*D104*(1+EscalatorInLease)^(3+M104)+(1-Retention)*H104*D104*(1+GrowthMarketRent)^3*IF(INT((DATE(2026+3,10,31)-F104)/365.25)=0,(12-DowntimeNew)/12,1),IF(I104="LeaseUp",H104*D104*(1+GrowthMarketRent)^3*IF(3=0,(12-DowntimeNew)/12,1),0)))))))),0)</f>
        <v/>
      </c>
      <c r="R104" s="14">
        <f>IFERROR(IF(I104="LeaseUp",H104*D104*(1+GrowthMarketRent)^4*IF(4=0,(12-DowntimeNew)/12,1),IF(F104="",0,IF(F104&gt;=DATE(2027+4,4,30),G104*D104*(1+EscalatorInLease)^(4+M104),IF(F104&lt;DATE(2026+4,5,1),IF(I104="Vacate",H104*D104*(1+GrowthMarketRent)^4*IF(INT((DATE(2026+4,10,31)-F104)/365.25)=0,(12-DowntimeNew)/12,1),IF(I104="Option",G104*D104*1.025*(1+EscalatorInLease)^4,IF(I104="Market",Retention*G104*D104*(1+EscalatorInLease)^(4+M104)+(1-Retention)*H104*D104*(1+GrowthMarketRent)^4*IF(INT((DATE(2026+4,10,31)-F104)/365.25)=0,(12-DowntimeNew)/12,1),IF(I104="LeaseUp",H104*D104*(1+GrowthMarketRent)^4*IF(4=0,(12-DowntimeNew)/12,1),0)))),((F104-DATE(2026+4,5,1))/365.25)*G104*D104*(1+EscalatorInLease)^(4+M104)+((DATE(2027+4,4,30)-F104)/365.25)*IF(I104="Vacate",H104*D104*(1+GrowthMarketRent)^4*IF(INT((DATE(2026+4,10,31)-F104)/365.25)=0,(12-DowntimeNew)/12,1),IF(I104="Option",G104*D104*1.025*(1+EscalatorInLease)^4,IF(I104="Market",Retention*G104*D104*(1+EscalatorInLease)^(4+M104)+(1-Retention)*H104*D104*(1+GrowthMarketRent)^4*IF(INT((DATE(2026+4,10,31)-F104)/365.25)=0,(12-DowntimeNew)/12,1),IF(I104="LeaseUp",H104*D104*(1+GrowthMarketRent)^4*IF(4=0,(12-DowntimeNew)/12,1),0)))))))),0)</f>
        <v/>
      </c>
      <c r="S104" s="14">
        <f>IFERROR(IF(I104="LeaseUp",H104*D104*(1+GrowthMarketRent)^5*IF(5=0,(12-DowntimeNew)/12,1),IF(F104="",0,IF(F104&gt;=DATE(2027+5,4,30),G104*D104*(1+EscalatorInLease)^(5+M104),IF(F104&lt;DATE(2026+5,5,1),IF(I104="Vacate",H104*D104*(1+GrowthMarketRent)^5*IF(INT((DATE(2026+5,10,31)-F104)/365.25)=0,(12-DowntimeNew)/12,1),IF(I104="Option",G104*D104*1.025*(1+EscalatorInLease)^5,IF(I104="Market",Retention*G104*D104*(1+EscalatorInLease)^(5+M104)+(1-Retention)*H104*D104*(1+GrowthMarketRent)^5*IF(INT((DATE(2026+5,10,31)-F104)/365.25)=0,(12-DowntimeNew)/12,1),IF(I104="LeaseUp",H104*D104*(1+GrowthMarketRent)^5*IF(5=0,(12-DowntimeNew)/12,1),0)))),((F104-DATE(2026+5,5,1))/365.25)*G104*D104*(1+EscalatorInLease)^(5+M104)+((DATE(2027+5,4,30)-F104)/365.25)*IF(I104="Vacate",H104*D104*(1+GrowthMarketRent)^5*IF(INT((DATE(2026+5,10,31)-F104)/365.25)=0,(12-DowntimeNew)/12,1),IF(I104="Option",G104*D104*1.025*(1+EscalatorInLease)^5,IF(I104="Market",Retention*G104*D104*(1+EscalatorInLease)^(5+M104)+(1-Retention)*H104*D104*(1+GrowthMarketRent)^5*IF(INT((DATE(2026+5,10,31)-F104)/365.25)=0,(12-DowntimeNew)/12,1),IF(I104="LeaseUp",H104*D104*(1+GrowthMarketRent)^5*IF(5=0,(12-DowntimeNew)/12,1),0)))))))),0)</f>
        <v/>
      </c>
      <c r="T104" s="14">
        <f>IFERROR(IF(I104="LeaseUp",H104*D104*(1+GrowthMarketRent)^6*IF(6=0,(12-DowntimeNew)/12,1),IF(F104="",0,IF(F104&gt;=DATE(2027+6,4,30),G104*D104*(1+EscalatorInLease)^(6+M104),IF(F104&lt;DATE(2026+6,5,1),IF(I104="Vacate",H104*D104*(1+GrowthMarketRent)^6*IF(INT((DATE(2026+6,10,31)-F104)/365.25)=0,(12-DowntimeNew)/12,1),IF(I104="Option",G104*D104*1.025*(1+EscalatorInLease)^6,IF(I104="Market",Retention*G104*D104*(1+EscalatorInLease)^(6+M104)+(1-Retention)*H104*D104*(1+GrowthMarketRent)^6*IF(INT((DATE(2026+6,10,31)-F104)/365.25)=0,(12-DowntimeNew)/12,1),IF(I104="LeaseUp",H104*D104*(1+GrowthMarketRent)^6*IF(6=0,(12-DowntimeNew)/12,1),0)))),((F104-DATE(2026+6,5,1))/365.25)*G104*D104*(1+EscalatorInLease)^(6+M104)+((DATE(2027+6,4,30)-F104)/365.25)*IF(I104="Vacate",H104*D104*(1+GrowthMarketRent)^6*IF(INT((DATE(2026+6,10,31)-F104)/365.25)=0,(12-DowntimeNew)/12,1),IF(I104="Option",G104*D104*1.025*(1+EscalatorInLease)^6,IF(I104="Market",Retention*G104*D104*(1+EscalatorInLease)^(6+M104)+(1-Retention)*H104*D104*(1+GrowthMarketRent)^6*IF(INT((DATE(2026+6,10,31)-F104)/365.25)=0,(12-DowntimeNew)/12,1),IF(I104="LeaseUp",H104*D104*(1+GrowthMarketRent)^6*IF(6=0,(12-DowntimeNew)/12,1),0)))))))),0)</f>
        <v/>
      </c>
      <c r="U104" s="14">
        <f>IFERROR(IF(I104="LeaseUp",H104*D104*(1+GrowthMarketRent)^7*IF(7=0,(12-DowntimeNew)/12,1),IF(F104="",0,IF(F104&gt;=DATE(2027+7,4,30),G104*D104*(1+EscalatorInLease)^(7+M104),IF(F104&lt;DATE(2026+7,5,1),IF(I104="Vacate",H104*D104*(1+GrowthMarketRent)^7*IF(INT((DATE(2026+7,10,31)-F104)/365.25)=0,(12-DowntimeNew)/12,1),IF(I104="Option",G104*D104*1.025*(1+EscalatorInLease)^7,IF(I104="Market",Retention*G104*D104*(1+EscalatorInLease)^(7+M104)+(1-Retention)*H104*D104*(1+GrowthMarketRent)^7*IF(INT((DATE(2026+7,10,31)-F104)/365.25)=0,(12-DowntimeNew)/12,1),IF(I104="LeaseUp",H104*D104*(1+GrowthMarketRent)^7*IF(7=0,(12-DowntimeNew)/12,1),0)))),((F104-DATE(2026+7,5,1))/365.25)*G104*D104*(1+EscalatorInLease)^(7+M104)+((DATE(2027+7,4,30)-F104)/365.25)*IF(I104="Vacate",H104*D104*(1+GrowthMarketRent)^7*IF(INT((DATE(2026+7,10,31)-F104)/365.25)=0,(12-DowntimeNew)/12,1),IF(I104="Option",G104*D104*1.025*(1+EscalatorInLease)^7,IF(I104="Market",Retention*G104*D104*(1+EscalatorInLease)^(7+M104)+(1-Retention)*H104*D104*(1+GrowthMarketRent)^7*IF(INT((DATE(2026+7,10,31)-F104)/365.25)=0,(12-DowntimeNew)/12,1),IF(I104="LeaseUp",H104*D104*(1+GrowthMarketRent)^7*IF(7=0,(12-DowntimeNew)/12,1),0)))))))),0)</f>
        <v/>
      </c>
      <c r="V104" s="14">
        <f>IFERROR(IF(I104="LeaseUp",H104*D104*(1+GrowthMarketRent)^8*IF(8=0,(12-DowntimeNew)/12,1),IF(F104="",0,IF(F104&gt;=DATE(2027+8,4,30),G104*D104*(1+EscalatorInLease)^(8+M104),IF(F104&lt;DATE(2026+8,5,1),IF(I104="Vacate",H104*D104*(1+GrowthMarketRent)^8*IF(INT((DATE(2026+8,10,31)-F104)/365.25)=0,(12-DowntimeNew)/12,1),IF(I104="Option",G104*D104*1.025*(1+EscalatorInLease)^8,IF(I104="Market",Retention*G104*D104*(1+EscalatorInLease)^(8+M104)+(1-Retention)*H104*D104*(1+GrowthMarketRent)^8*IF(INT((DATE(2026+8,10,31)-F104)/365.25)=0,(12-DowntimeNew)/12,1),IF(I104="LeaseUp",H104*D104*(1+GrowthMarketRent)^8*IF(8=0,(12-DowntimeNew)/12,1),0)))),((F104-DATE(2026+8,5,1))/365.25)*G104*D104*(1+EscalatorInLease)^(8+M104)+((DATE(2027+8,4,30)-F104)/365.25)*IF(I104="Vacate",H104*D104*(1+GrowthMarketRent)^8*IF(INT((DATE(2026+8,10,31)-F104)/365.25)=0,(12-DowntimeNew)/12,1),IF(I104="Option",G104*D104*1.025*(1+EscalatorInLease)^8,IF(I104="Market",Retention*G104*D104*(1+EscalatorInLease)^(8+M104)+(1-Retention)*H104*D104*(1+GrowthMarketRent)^8*IF(INT((DATE(2026+8,10,31)-F104)/365.25)=0,(12-DowntimeNew)/12,1),IF(I104="LeaseUp",H104*D104*(1+GrowthMarketRent)^8*IF(8=0,(12-DowntimeNew)/12,1),0)))))))),0)</f>
        <v/>
      </c>
      <c r="W104" s="14">
        <f>IFERROR(IF(I104="LeaseUp",H104*D104*(1+GrowthMarketRent)^9*IF(9=0,(12-DowntimeNew)/12,1),IF(F104="",0,IF(F104&gt;=DATE(2027+9,4,30),G104*D104*(1+EscalatorInLease)^(9+M104),IF(F104&lt;DATE(2026+9,5,1),IF(I104="Vacate",H104*D104*(1+GrowthMarketRent)^9*IF(INT((DATE(2026+9,10,31)-F104)/365.25)=0,(12-DowntimeNew)/12,1),IF(I104="Option",G104*D104*1.025*(1+EscalatorInLease)^9,IF(I104="Market",Retention*G104*D104*(1+EscalatorInLease)^(9+M104)+(1-Retention)*H104*D104*(1+GrowthMarketRent)^9*IF(INT((DATE(2026+9,10,31)-F104)/365.25)=0,(12-DowntimeNew)/12,1),IF(I104="LeaseUp",H104*D104*(1+GrowthMarketRent)^9*IF(9=0,(12-DowntimeNew)/12,1),0)))),((F104-DATE(2026+9,5,1))/365.25)*G104*D104*(1+EscalatorInLease)^(9+M104)+((DATE(2027+9,4,30)-F104)/365.25)*IF(I104="Vacate",H104*D104*(1+GrowthMarketRent)^9*IF(INT((DATE(2026+9,10,31)-F104)/365.25)=0,(12-DowntimeNew)/12,1),IF(I104="Option",G104*D104*1.025*(1+EscalatorInLease)^9,IF(I104="Market",Retention*G104*D104*(1+EscalatorInLease)^(9+M104)+(1-Retention)*H104*D104*(1+GrowthMarketRent)^9*IF(INT((DATE(2026+9,10,31)-F104)/365.25)=0,(12-DowntimeNew)/12,1),IF(I104="LeaseUp",H104*D104*(1+GrowthMarketRent)^9*IF(9=0,(12-DowntimeNew)/12,1),0)))))))),0)</f>
        <v/>
      </c>
      <c r="X104" s="14">
        <f>IFERROR(IF(I104="LeaseUp",H104*D104*(1+GrowthMarketRent)^10*IF(10=0,(12-DowntimeNew)/12,1),IF(F104="",0,IF(F104&gt;=DATE(2027+10,4,30),G104*D104*(1+EscalatorInLease)^(10+M104),IF(F104&lt;DATE(2026+10,5,1),IF(I104="Vacate",H104*D104*(1+GrowthMarketRent)^10*IF(INT((DATE(2026+10,10,31)-F104)/365.25)=0,(12-DowntimeNew)/12,1),IF(I104="Option",G104*D104*1.025*(1+EscalatorInLease)^10,IF(I104="Market",Retention*G104*D104*(1+EscalatorInLease)^(10+M104)+(1-Retention)*H104*D104*(1+GrowthMarketRent)^10*IF(INT((DATE(2026+10,10,31)-F104)/365.25)=0,(12-DowntimeNew)/12,1),IF(I104="LeaseUp",H104*D104*(1+GrowthMarketRent)^10*IF(10=0,(12-DowntimeNew)/12,1),0)))),((F104-DATE(2026+10,5,1))/365.25)*G104*D104*(1+EscalatorInLease)^(10+M104)+((DATE(2027+10,4,30)-F104)/365.25)*IF(I104="Vacate",H104*D104*(1+GrowthMarketRent)^10*IF(INT((DATE(2026+10,10,31)-F104)/365.25)=0,(12-DowntimeNew)/12,1),IF(I104="Option",G104*D104*1.025*(1+EscalatorInLease)^10,IF(I104="Market",Retention*G104*D104*(1+EscalatorInLease)^(10+M104)+(1-Retention)*H104*D104*(1+GrowthMarketRent)^10*IF(INT((DATE(2026+10,10,31)-F104)/365.25)=0,(12-DowntimeNew)/12,1),IF(I104="LeaseUp",H104*D104*(1+GrowthMarketRent)^10*IF(10=0,(12-DowntimeNew)/12,1),0)))))))),0)</f>
        <v/>
      </c>
      <c r="Y104" s="14">
        <f>IFERROR(IF(AND(I104="LeaseUp",0=0),(IF(I104="Vacate",TINew*D104,IF(I104="Market",Retention*TIRenewal*D104+(1-Retention)*TINew*D104,IF(I104="LeaseUp",TINew*D104,IF(I104="Option",TIRenewal*D104,0)))))+(IF(I104="Vacate",LCNew*H104*D104*(1+GrowthMarketRent)^0,IF(I104="Market",Retention*LCRenewal*H104*D104*(1+GrowthMarketRent)^0+(1-Retention)*LCNew*H104*D104*(1+GrowthMarketRent)^0,IF(I104="LeaseUp",LCNew*H104*D104*(1+GrowthMarketRent)^0,IF(I104="Option",LCRenewal*H104*D104*(1+GrowthMarketRent)^0,0))))),IF(F104="",0,IF(AND(F104&gt;=DATE(2026+0,5,1),F104&lt;=DATE(2027+0,4,30)),(IF(I104="Vacate",TINew*D104,IF(I104="Market",Retention*TIRenewal*D104+(1-Retention)*TINew*D104,IF(I104="LeaseUp",TINew*D104,IF(I104="Option",TIRenewal*D104,0)))))+(IF(I104="Vacate",LCNew*H104*D104*(1+GrowthMarketRent)^0,IF(I104="Market",Retention*LCRenewal*H104*D104*(1+GrowthMarketRent)^0+(1-Retention)*LCNew*H104*D104*(1+GrowthMarketRent)^0,IF(I104="LeaseUp",LCNew*H104*D104*(1+GrowthMarketRent)^0,IF(I104="Option",LCRenewal*H104*D104*(1+GrowthMarketRent)^0,0))))),0))),0)</f>
        <v/>
      </c>
      <c r="Z104" s="14">
        <f>IFERROR(IF(AND(I104="LeaseUp",1=0),(IF(I104="Vacate",TINew*D104,IF(I104="Market",Retention*TIRenewal*D104+(1-Retention)*TINew*D104,IF(I104="LeaseUp",TINew*D104,IF(I104="Option",TIRenewal*D104,0)))))+(IF(I104="Vacate",LCNew*H104*D104*(1+GrowthMarketRent)^1,IF(I104="Market",Retention*LCRenewal*H104*D104*(1+GrowthMarketRent)^1+(1-Retention)*LCNew*H104*D104*(1+GrowthMarketRent)^1,IF(I104="LeaseUp",LCNew*H104*D104*(1+GrowthMarketRent)^1,IF(I104="Option",LCRenewal*H104*D104*(1+GrowthMarketRent)^1,0))))),IF(F104="",0,IF(AND(F104&gt;=DATE(2026+1,5,1),F104&lt;=DATE(2027+1,4,30)),(IF(I104="Vacate",TINew*D104,IF(I104="Market",Retention*TIRenewal*D104+(1-Retention)*TINew*D104,IF(I104="LeaseUp",TINew*D104,IF(I104="Option",TIRenewal*D104,0)))))+(IF(I104="Vacate",LCNew*H104*D104*(1+GrowthMarketRent)^1,IF(I104="Market",Retention*LCRenewal*H104*D104*(1+GrowthMarketRent)^1+(1-Retention)*LCNew*H104*D104*(1+GrowthMarketRent)^1,IF(I104="LeaseUp",LCNew*H104*D104*(1+GrowthMarketRent)^1,IF(I104="Option",LCRenewal*H104*D104*(1+GrowthMarketRent)^1,0))))),0))),0)</f>
        <v/>
      </c>
      <c r="AA104" s="14">
        <f>IFERROR(IF(AND(I104="LeaseUp",2=0),(IF(I104="Vacate",TINew*D104,IF(I104="Market",Retention*TIRenewal*D104+(1-Retention)*TINew*D104,IF(I104="LeaseUp",TINew*D104,IF(I104="Option",TIRenewal*D104,0)))))+(IF(I104="Vacate",LCNew*H104*D104*(1+GrowthMarketRent)^2,IF(I104="Market",Retention*LCRenewal*H104*D104*(1+GrowthMarketRent)^2+(1-Retention)*LCNew*H104*D104*(1+GrowthMarketRent)^2,IF(I104="LeaseUp",LCNew*H104*D104*(1+GrowthMarketRent)^2,IF(I104="Option",LCRenewal*H104*D104*(1+GrowthMarketRent)^2,0))))),IF(F104="",0,IF(AND(F104&gt;=DATE(2026+2,5,1),F104&lt;=DATE(2027+2,4,30)),(IF(I104="Vacate",TINew*D104,IF(I104="Market",Retention*TIRenewal*D104+(1-Retention)*TINew*D104,IF(I104="LeaseUp",TINew*D104,IF(I104="Option",TIRenewal*D104,0)))))+(IF(I104="Vacate",LCNew*H104*D104*(1+GrowthMarketRent)^2,IF(I104="Market",Retention*LCRenewal*H104*D104*(1+GrowthMarketRent)^2+(1-Retention)*LCNew*H104*D104*(1+GrowthMarketRent)^2,IF(I104="LeaseUp",LCNew*H104*D104*(1+GrowthMarketRent)^2,IF(I104="Option",LCRenewal*H104*D104*(1+GrowthMarketRent)^2,0))))),0))),0)</f>
        <v/>
      </c>
      <c r="AB104" s="14">
        <f>IFERROR(IF(AND(I104="LeaseUp",3=0),(IF(I104="Vacate",TINew*D104,IF(I104="Market",Retention*TIRenewal*D104+(1-Retention)*TINew*D104,IF(I104="LeaseUp",TINew*D104,IF(I104="Option",TIRenewal*D104,0)))))+(IF(I104="Vacate",LCNew*H104*D104*(1+GrowthMarketRent)^3,IF(I104="Market",Retention*LCRenewal*H104*D104*(1+GrowthMarketRent)^3+(1-Retention)*LCNew*H104*D104*(1+GrowthMarketRent)^3,IF(I104="LeaseUp",LCNew*H104*D104*(1+GrowthMarketRent)^3,IF(I104="Option",LCRenewal*H104*D104*(1+GrowthMarketRent)^3,0))))),IF(F104="",0,IF(AND(F104&gt;=DATE(2026+3,5,1),F104&lt;=DATE(2027+3,4,30)),(IF(I104="Vacate",TINew*D104,IF(I104="Market",Retention*TIRenewal*D104+(1-Retention)*TINew*D104,IF(I104="LeaseUp",TINew*D104,IF(I104="Option",TIRenewal*D104,0)))))+(IF(I104="Vacate",LCNew*H104*D104*(1+GrowthMarketRent)^3,IF(I104="Market",Retention*LCRenewal*H104*D104*(1+GrowthMarketRent)^3+(1-Retention)*LCNew*H104*D104*(1+GrowthMarketRent)^3,IF(I104="LeaseUp",LCNew*H104*D104*(1+GrowthMarketRent)^3,IF(I104="Option",LCRenewal*H104*D104*(1+GrowthMarketRent)^3,0))))),0))),0)</f>
        <v/>
      </c>
      <c r="AC104" s="14">
        <f>IFERROR(IF(AND(I104="LeaseUp",4=0),(IF(I104="Vacate",TINew*D104,IF(I104="Market",Retention*TIRenewal*D104+(1-Retention)*TINew*D104,IF(I104="LeaseUp",TINew*D104,IF(I104="Option",TIRenewal*D104,0)))))+(IF(I104="Vacate",LCNew*H104*D104*(1+GrowthMarketRent)^4,IF(I104="Market",Retention*LCRenewal*H104*D104*(1+GrowthMarketRent)^4+(1-Retention)*LCNew*H104*D104*(1+GrowthMarketRent)^4,IF(I104="LeaseUp",LCNew*H104*D104*(1+GrowthMarketRent)^4,IF(I104="Option",LCRenewal*H104*D104*(1+GrowthMarketRent)^4,0))))),IF(F104="",0,IF(AND(F104&gt;=DATE(2026+4,5,1),F104&lt;=DATE(2027+4,4,30)),(IF(I104="Vacate",TINew*D104,IF(I104="Market",Retention*TIRenewal*D104+(1-Retention)*TINew*D104,IF(I104="LeaseUp",TINew*D104,IF(I104="Option",TIRenewal*D104,0)))))+(IF(I104="Vacate",LCNew*H104*D104*(1+GrowthMarketRent)^4,IF(I104="Market",Retention*LCRenewal*H104*D104*(1+GrowthMarketRent)^4+(1-Retention)*LCNew*H104*D104*(1+GrowthMarketRent)^4,IF(I104="LeaseUp",LCNew*H104*D104*(1+GrowthMarketRent)^4,IF(I104="Option",LCRenewal*H104*D104*(1+GrowthMarketRent)^4,0))))),0))),0)</f>
        <v/>
      </c>
      <c r="AD104" s="14">
        <f>IFERROR(IF(AND(I104="LeaseUp",5=0),(IF(I104="Vacate",TINew*D104,IF(I104="Market",Retention*TIRenewal*D104+(1-Retention)*TINew*D104,IF(I104="LeaseUp",TINew*D104,IF(I104="Option",TIRenewal*D104,0)))))+(IF(I104="Vacate",LCNew*H104*D104*(1+GrowthMarketRent)^5,IF(I104="Market",Retention*LCRenewal*H104*D104*(1+GrowthMarketRent)^5+(1-Retention)*LCNew*H104*D104*(1+GrowthMarketRent)^5,IF(I104="LeaseUp",LCNew*H104*D104*(1+GrowthMarketRent)^5,IF(I104="Option",LCRenewal*H104*D104*(1+GrowthMarketRent)^5,0))))),IF(F104="",0,IF(AND(F104&gt;=DATE(2026+5,5,1),F104&lt;=DATE(2027+5,4,30)),(IF(I104="Vacate",TINew*D104,IF(I104="Market",Retention*TIRenewal*D104+(1-Retention)*TINew*D104,IF(I104="LeaseUp",TINew*D104,IF(I104="Option",TIRenewal*D104,0)))))+(IF(I104="Vacate",LCNew*H104*D104*(1+GrowthMarketRent)^5,IF(I104="Market",Retention*LCRenewal*H104*D104*(1+GrowthMarketRent)^5+(1-Retention)*LCNew*H104*D104*(1+GrowthMarketRent)^5,IF(I104="LeaseUp",LCNew*H104*D104*(1+GrowthMarketRent)^5,IF(I104="Option",LCRenewal*H104*D104*(1+GrowthMarketRent)^5,0))))),0))),0)</f>
        <v/>
      </c>
      <c r="AE104" s="14">
        <f>IFERROR(IF(AND(I104="LeaseUp",6=0),(IF(I104="Vacate",TINew*D104,IF(I104="Market",Retention*TIRenewal*D104+(1-Retention)*TINew*D104,IF(I104="LeaseUp",TINew*D104,IF(I104="Option",TIRenewal*D104,0)))))+(IF(I104="Vacate",LCNew*H104*D104*(1+GrowthMarketRent)^6,IF(I104="Market",Retention*LCRenewal*H104*D104*(1+GrowthMarketRent)^6+(1-Retention)*LCNew*H104*D104*(1+GrowthMarketRent)^6,IF(I104="LeaseUp",LCNew*H104*D104*(1+GrowthMarketRent)^6,IF(I104="Option",LCRenewal*H104*D104*(1+GrowthMarketRent)^6,0))))),IF(F104="",0,IF(AND(F104&gt;=DATE(2026+6,5,1),F104&lt;=DATE(2027+6,4,30)),(IF(I104="Vacate",TINew*D104,IF(I104="Market",Retention*TIRenewal*D104+(1-Retention)*TINew*D104,IF(I104="LeaseUp",TINew*D104,IF(I104="Option",TIRenewal*D104,0)))))+(IF(I104="Vacate",LCNew*H104*D104*(1+GrowthMarketRent)^6,IF(I104="Market",Retention*LCRenewal*H104*D104*(1+GrowthMarketRent)^6+(1-Retention)*LCNew*H104*D104*(1+GrowthMarketRent)^6,IF(I104="LeaseUp",LCNew*H104*D104*(1+GrowthMarketRent)^6,IF(I104="Option",LCRenewal*H104*D104*(1+GrowthMarketRent)^6,0))))),0))),0)</f>
        <v/>
      </c>
      <c r="AF104" s="14">
        <f>IFERROR(IF(AND(I104="LeaseUp",7=0),(IF(I104="Vacate",TINew*D104,IF(I104="Market",Retention*TIRenewal*D104+(1-Retention)*TINew*D104,IF(I104="LeaseUp",TINew*D104,IF(I104="Option",TIRenewal*D104,0)))))+(IF(I104="Vacate",LCNew*H104*D104*(1+GrowthMarketRent)^7,IF(I104="Market",Retention*LCRenewal*H104*D104*(1+GrowthMarketRent)^7+(1-Retention)*LCNew*H104*D104*(1+GrowthMarketRent)^7,IF(I104="LeaseUp",LCNew*H104*D104*(1+GrowthMarketRent)^7,IF(I104="Option",LCRenewal*H104*D104*(1+GrowthMarketRent)^7,0))))),IF(F104="",0,IF(AND(F104&gt;=DATE(2026+7,5,1),F104&lt;=DATE(2027+7,4,30)),(IF(I104="Vacate",TINew*D104,IF(I104="Market",Retention*TIRenewal*D104+(1-Retention)*TINew*D104,IF(I104="LeaseUp",TINew*D104,IF(I104="Option",TIRenewal*D104,0)))))+(IF(I104="Vacate",LCNew*H104*D104*(1+GrowthMarketRent)^7,IF(I104="Market",Retention*LCRenewal*H104*D104*(1+GrowthMarketRent)^7+(1-Retention)*LCNew*H104*D104*(1+GrowthMarketRent)^7,IF(I104="LeaseUp",LCNew*H104*D104*(1+GrowthMarketRent)^7,IF(I104="Option",LCRenewal*H104*D104*(1+GrowthMarketRent)^7,0))))),0))),0)</f>
        <v/>
      </c>
      <c r="AG104" s="14">
        <f>IFERROR(IF(AND(I104="LeaseUp",8=0),(IF(I104="Vacate",TINew*D104,IF(I104="Market",Retention*TIRenewal*D104+(1-Retention)*TINew*D104,IF(I104="LeaseUp",TINew*D104,IF(I104="Option",TIRenewal*D104,0)))))+(IF(I104="Vacate",LCNew*H104*D104*(1+GrowthMarketRent)^8,IF(I104="Market",Retention*LCRenewal*H104*D104*(1+GrowthMarketRent)^8+(1-Retention)*LCNew*H104*D104*(1+GrowthMarketRent)^8,IF(I104="LeaseUp",LCNew*H104*D104*(1+GrowthMarketRent)^8,IF(I104="Option",LCRenewal*H104*D104*(1+GrowthMarketRent)^8,0))))),IF(F104="",0,IF(AND(F104&gt;=DATE(2026+8,5,1),F104&lt;=DATE(2027+8,4,30)),(IF(I104="Vacate",TINew*D104,IF(I104="Market",Retention*TIRenewal*D104+(1-Retention)*TINew*D104,IF(I104="LeaseUp",TINew*D104,IF(I104="Option",TIRenewal*D104,0)))))+(IF(I104="Vacate",LCNew*H104*D104*(1+GrowthMarketRent)^8,IF(I104="Market",Retention*LCRenewal*H104*D104*(1+GrowthMarketRent)^8+(1-Retention)*LCNew*H104*D104*(1+GrowthMarketRent)^8,IF(I104="LeaseUp",LCNew*H104*D104*(1+GrowthMarketRent)^8,IF(I104="Option",LCRenewal*H104*D104*(1+GrowthMarketRent)^8,0))))),0))),0)</f>
        <v/>
      </c>
      <c r="AH104" s="14">
        <f>IFERROR(IF(AND(I104="LeaseUp",9=0),(IF(I104="Vacate",TINew*D104,IF(I104="Market",Retention*TIRenewal*D104+(1-Retention)*TINew*D104,IF(I104="LeaseUp",TINew*D104,IF(I104="Option",TIRenewal*D104,0)))))+(IF(I104="Vacate",LCNew*H104*D104*(1+GrowthMarketRent)^9,IF(I104="Market",Retention*LCRenewal*H104*D104*(1+GrowthMarketRent)^9+(1-Retention)*LCNew*H104*D104*(1+GrowthMarketRent)^9,IF(I104="LeaseUp",LCNew*H104*D104*(1+GrowthMarketRent)^9,IF(I104="Option",LCRenewal*H104*D104*(1+GrowthMarketRent)^9,0))))),IF(F104="",0,IF(AND(F104&gt;=DATE(2026+9,5,1),F104&lt;=DATE(2027+9,4,30)),(IF(I104="Vacate",TINew*D104,IF(I104="Market",Retention*TIRenewal*D104+(1-Retention)*TINew*D104,IF(I104="LeaseUp",TINew*D104,IF(I104="Option",TIRenewal*D104,0)))))+(IF(I104="Vacate",LCNew*H104*D104*(1+GrowthMarketRent)^9,IF(I104="Market",Retention*LCRenewal*H104*D104*(1+GrowthMarketRent)^9+(1-Retention)*LCNew*H104*D104*(1+GrowthMarketRent)^9,IF(I104="LeaseUp",LCNew*H104*D104*(1+GrowthMarketRent)^9,IF(I104="Option",LCRenewal*H104*D104*(1+GrowthMarketRent)^9,0))))),0))),0)</f>
        <v/>
      </c>
      <c r="AI104" s="14">
        <f>IFERROR(IF(AND(I104="LeaseUp",10=0),(IF(I104="Vacate",TINew*D104,IF(I104="Market",Retention*TIRenewal*D104+(1-Retention)*TINew*D104,IF(I104="LeaseUp",TINew*D104,IF(I104="Option",TIRenewal*D104,0)))))+(IF(I104="Vacate",LCNew*H104*D104*(1+GrowthMarketRent)^10,IF(I104="Market",Retention*LCRenewal*H104*D104*(1+GrowthMarketRent)^10+(1-Retention)*LCNew*H104*D104*(1+GrowthMarketRent)^10,IF(I104="LeaseUp",LCNew*H104*D104*(1+GrowthMarketRent)^10,IF(I104="Option",LCRenewal*H104*D104*(1+GrowthMarketRent)^10,0))))),IF(F104="",0,IF(AND(F104&gt;=DATE(2026+10,5,1),F104&lt;=DATE(2027+10,4,30)),(IF(I104="Vacate",TINew*D104,IF(I104="Market",Retention*TIRenewal*D104+(1-Retention)*TINew*D104,IF(I104="LeaseUp",TINew*D104,IF(I104="Option",TIRenewal*D104,0)))))+(IF(I104="Vacate",LCNew*H104*D104*(1+GrowthMarketRent)^10,IF(I104="Market",Retention*LCRenewal*H104*D104*(1+GrowthMarketRent)^10+(1-Retention)*LCNew*H104*D104*(1+GrowthMarketRent)^10,IF(I104="LeaseUp",LCNew*H104*D104*(1+GrowthMarketRent)^10,IF(I104="Option",LCRenewal*H104*D104*(1+GrowthMarketRent)^10,0))))),0))),0)</f>
        <v/>
      </c>
    </row>
    <row r="105">
      <c r="A105" t="inlineStr">
        <is>
          <t>Lewisville</t>
        </is>
      </c>
      <c r="B105" t="inlineStr">
        <is>
          <t>205</t>
        </is>
      </c>
      <c r="C105" t="inlineStr">
        <is>
          <t>Nova Lume LLC</t>
        </is>
      </c>
      <c r="D105" s="32" t="n">
        <v>2600</v>
      </c>
      <c r="E105" s="33" t="n">
        <v>45323</v>
      </c>
      <c r="F105" s="33" t="n">
        <v>46753</v>
      </c>
      <c r="G105" s="34" t="n">
        <v>15.4969230769231</v>
      </c>
      <c r="H105" s="16">
        <f>VLOOKUP(A105,MLA!$A$5:$L$11,3,FALSE)</f>
        <v/>
      </c>
      <c r="I105" s="11" t="inlineStr">
        <is>
          <t>Option</t>
        </is>
      </c>
      <c r="J105" t="inlineStr">
        <is>
          <t>Shop</t>
        </is>
      </c>
      <c r="K105" t="inlineStr">
        <is>
          <t>Occupied</t>
        </is>
      </c>
      <c r="L105" t="inlineStr">
        <is>
          <t>Shop; Guarantor: James D. Casey Jr.; Two 3yr options</t>
        </is>
      </c>
      <c r="M105" s="20">
        <f>IF(E105="",0,(AnalysisStart-E105)/365.25)</f>
        <v/>
      </c>
      <c r="N105" s="14">
        <f>IFERROR(IF(I105="LeaseUp",H105*D105*(1+GrowthMarketRent)^0*IF(0=0,(12-DowntimeNew)/12,1),IF(F105="",0,IF(F105&gt;=DATE(2027+0,4,30),G105*D105*(1+EscalatorInLease)^(0+M105),IF(F105&lt;DATE(2026+0,5,1),IF(I105="Vacate",H105*D105*(1+GrowthMarketRent)^0*IF(INT((DATE(2026+0,10,31)-F105)/365.25)=0,(12-DowntimeNew)/12,1),IF(I105="Option",G105*D105*1.025*(1+EscalatorInLease)^0,IF(I105="Market",Retention*G105*D105*(1+EscalatorInLease)^(0+M105)+(1-Retention)*H105*D105*(1+GrowthMarketRent)^0*IF(INT((DATE(2026+0,10,31)-F105)/365.25)=0,(12-DowntimeNew)/12,1),IF(I105="LeaseUp",H105*D105*(1+GrowthMarketRent)^0*IF(0=0,(12-DowntimeNew)/12,1),0)))),((F105-DATE(2026+0,5,1))/365.25)*G105*D105*(1+EscalatorInLease)^(0+M105)+((DATE(2027+0,4,30)-F105)/365.25)*IF(I105="Vacate",H105*D105*(1+GrowthMarketRent)^0*IF(INT((DATE(2026+0,10,31)-F105)/365.25)=0,(12-DowntimeNew)/12,1),IF(I105="Option",G105*D105*1.025*(1+EscalatorInLease)^0,IF(I105="Market",Retention*G105*D105*(1+EscalatorInLease)^(0+M105)+(1-Retention)*H105*D105*(1+GrowthMarketRent)^0*IF(INT((DATE(2026+0,10,31)-F105)/365.25)=0,(12-DowntimeNew)/12,1),IF(I105="LeaseUp",H105*D105*(1+GrowthMarketRent)^0*IF(0=0,(12-DowntimeNew)/12,1),0)))))))),0)</f>
        <v/>
      </c>
      <c r="O105" s="14">
        <f>IFERROR(IF(I105="LeaseUp",H105*D105*(1+GrowthMarketRent)^1*IF(1=0,(12-DowntimeNew)/12,1),IF(F105="",0,IF(F105&gt;=DATE(2027+1,4,30),G105*D105*(1+EscalatorInLease)^(1+M105),IF(F105&lt;DATE(2026+1,5,1),IF(I105="Vacate",H105*D105*(1+GrowthMarketRent)^1*IF(INT((DATE(2026+1,10,31)-F105)/365.25)=0,(12-DowntimeNew)/12,1),IF(I105="Option",G105*D105*1.025*(1+EscalatorInLease)^1,IF(I105="Market",Retention*G105*D105*(1+EscalatorInLease)^(1+M105)+(1-Retention)*H105*D105*(1+GrowthMarketRent)^1*IF(INT((DATE(2026+1,10,31)-F105)/365.25)=0,(12-DowntimeNew)/12,1),IF(I105="LeaseUp",H105*D105*(1+GrowthMarketRent)^1*IF(1=0,(12-DowntimeNew)/12,1),0)))),((F105-DATE(2026+1,5,1))/365.25)*G105*D105*(1+EscalatorInLease)^(1+M105)+((DATE(2027+1,4,30)-F105)/365.25)*IF(I105="Vacate",H105*D105*(1+GrowthMarketRent)^1*IF(INT((DATE(2026+1,10,31)-F105)/365.25)=0,(12-DowntimeNew)/12,1),IF(I105="Option",G105*D105*1.025*(1+EscalatorInLease)^1,IF(I105="Market",Retention*G105*D105*(1+EscalatorInLease)^(1+M105)+(1-Retention)*H105*D105*(1+GrowthMarketRent)^1*IF(INT((DATE(2026+1,10,31)-F105)/365.25)=0,(12-DowntimeNew)/12,1),IF(I105="LeaseUp",H105*D105*(1+GrowthMarketRent)^1*IF(1=0,(12-DowntimeNew)/12,1),0)))))))),0)</f>
        <v/>
      </c>
      <c r="P105" s="14">
        <f>IFERROR(IF(I105="LeaseUp",H105*D105*(1+GrowthMarketRent)^2*IF(2=0,(12-DowntimeNew)/12,1),IF(F105="",0,IF(F105&gt;=DATE(2027+2,4,30),G105*D105*(1+EscalatorInLease)^(2+M105),IF(F105&lt;DATE(2026+2,5,1),IF(I105="Vacate",H105*D105*(1+GrowthMarketRent)^2*IF(INT((DATE(2026+2,10,31)-F105)/365.25)=0,(12-DowntimeNew)/12,1),IF(I105="Option",G105*D105*1.025*(1+EscalatorInLease)^2,IF(I105="Market",Retention*G105*D105*(1+EscalatorInLease)^(2+M105)+(1-Retention)*H105*D105*(1+GrowthMarketRent)^2*IF(INT((DATE(2026+2,10,31)-F105)/365.25)=0,(12-DowntimeNew)/12,1),IF(I105="LeaseUp",H105*D105*(1+GrowthMarketRent)^2*IF(2=0,(12-DowntimeNew)/12,1),0)))),((F105-DATE(2026+2,5,1))/365.25)*G105*D105*(1+EscalatorInLease)^(2+M105)+((DATE(2027+2,4,30)-F105)/365.25)*IF(I105="Vacate",H105*D105*(1+GrowthMarketRent)^2*IF(INT((DATE(2026+2,10,31)-F105)/365.25)=0,(12-DowntimeNew)/12,1),IF(I105="Option",G105*D105*1.025*(1+EscalatorInLease)^2,IF(I105="Market",Retention*G105*D105*(1+EscalatorInLease)^(2+M105)+(1-Retention)*H105*D105*(1+GrowthMarketRent)^2*IF(INT((DATE(2026+2,10,31)-F105)/365.25)=0,(12-DowntimeNew)/12,1),IF(I105="LeaseUp",H105*D105*(1+GrowthMarketRent)^2*IF(2=0,(12-DowntimeNew)/12,1),0)))))))),0)</f>
        <v/>
      </c>
      <c r="Q105" s="14">
        <f>IFERROR(IF(I105="LeaseUp",H105*D105*(1+GrowthMarketRent)^3*IF(3=0,(12-DowntimeNew)/12,1),IF(F105="",0,IF(F105&gt;=DATE(2027+3,4,30),G105*D105*(1+EscalatorInLease)^(3+M105),IF(F105&lt;DATE(2026+3,5,1),IF(I105="Vacate",H105*D105*(1+GrowthMarketRent)^3*IF(INT((DATE(2026+3,10,31)-F105)/365.25)=0,(12-DowntimeNew)/12,1),IF(I105="Option",G105*D105*1.025*(1+EscalatorInLease)^3,IF(I105="Market",Retention*G105*D105*(1+EscalatorInLease)^(3+M105)+(1-Retention)*H105*D105*(1+GrowthMarketRent)^3*IF(INT((DATE(2026+3,10,31)-F105)/365.25)=0,(12-DowntimeNew)/12,1),IF(I105="LeaseUp",H105*D105*(1+GrowthMarketRent)^3*IF(3=0,(12-DowntimeNew)/12,1),0)))),((F105-DATE(2026+3,5,1))/365.25)*G105*D105*(1+EscalatorInLease)^(3+M105)+((DATE(2027+3,4,30)-F105)/365.25)*IF(I105="Vacate",H105*D105*(1+GrowthMarketRent)^3*IF(INT((DATE(2026+3,10,31)-F105)/365.25)=0,(12-DowntimeNew)/12,1),IF(I105="Option",G105*D105*1.025*(1+EscalatorInLease)^3,IF(I105="Market",Retention*G105*D105*(1+EscalatorInLease)^(3+M105)+(1-Retention)*H105*D105*(1+GrowthMarketRent)^3*IF(INT((DATE(2026+3,10,31)-F105)/365.25)=0,(12-DowntimeNew)/12,1),IF(I105="LeaseUp",H105*D105*(1+GrowthMarketRent)^3*IF(3=0,(12-DowntimeNew)/12,1),0)))))))),0)</f>
        <v/>
      </c>
      <c r="R105" s="14">
        <f>IFERROR(IF(I105="LeaseUp",H105*D105*(1+GrowthMarketRent)^4*IF(4=0,(12-DowntimeNew)/12,1),IF(F105="",0,IF(F105&gt;=DATE(2027+4,4,30),G105*D105*(1+EscalatorInLease)^(4+M105),IF(F105&lt;DATE(2026+4,5,1),IF(I105="Vacate",H105*D105*(1+GrowthMarketRent)^4*IF(INT((DATE(2026+4,10,31)-F105)/365.25)=0,(12-DowntimeNew)/12,1),IF(I105="Option",G105*D105*1.025*(1+EscalatorInLease)^4,IF(I105="Market",Retention*G105*D105*(1+EscalatorInLease)^(4+M105)+(1-Retention)*H105*D105*(1+GrowthMarketRent)^4*IF(INT((DATE(2026+4,10,31)-F105)/365.25)=0,(12-DowntimeNew)/12,1),IF(I105="LeaseUp",H105*D105*(1+GrowthMarketRent)^4*IF(4=0,(12-DowntimeNew)/12,1),0)))),((F105-DATE(2026+4,5,1))/365.25)*G105*D105*(1+EscalatorInLease)^(4+M105)+((DATE(2027+4,4,30)-F105)/365.25)*IF(I105="Vacate",H105*D105*(1+GrowthMarketRent)^4*IF(INT((DATE(2026+4,10,31)-F105)/365.25)=0,(12-DowntimeNew)/12,1),IF(I105="Option",G105*D105*1.025*(1+EscalatorInLease)^4,IF(I105="Market",Retention*G105*D105*(1+EscalatorInLease)^(4+M105)+(1-Retention)*H105*D105*(1+GrowthMarketRent)^4*IF(INT((DATE(2026+4,10,31)-F105)/365.25)=0,(12-DowntimeNew)/12,1),IF(I105="LeaseUp",H105*D105*(1+GrowthMarketRent)^4*IF(4=0,(12-DowntimeNew)/12,1),0)))))))),0)</f>
        <v/>
      </c>
      <c r="S105" s="14">
        <f>IFERROR(IF(I105="LeaseUp",H105*D105*(1+GrowthMarketRent)^5*IF(5=0,(12-DowntimeNew)/12,1),IF(F105="",0,IF(F105&gt;=DATE(2027+5,4,30),G105*D105*(1+EscalatorInLease)^(5+M105),IF(F105&lt;DATE(2026+5,5,1),IF(I105="Vacate",H105*D105*(1+GrowthMarketRent)^5*IF(INT((DATE(2026+5,10,31)-F105)/365.25)=0,(12-DowntimeNew)/12,1),IF(I105="Option",G105*D105*1.025*(1+EscalatorInLease)^5,IF(I105="Market",Retention*G105*D105*(1+EscalatorInLease)^(5+M105)+(1-Retention)*H105*D105*(1+GrowthMarketRent)^5*IF(INT((DATE(2026+5,10,31)-F105)/365.25)=0,(12-DowntimeNew)/12,1),IF(I105="LeaseUp",H105*D105*(1+GrowthMarketRent)^5*IF(5=0,(12-DowntimeNew)/12,1),0)))),((F105-DATE(2026+5,5,1))/365.25)*G105*D105*(1+EscalatorInLease)^(5+M105)+((DATE(2027+5,4,30)-F105)/365.25)*IF(I105="Vacate",H105*D105*(1+GrowthMarketRent)^5*IF(INT((DATE(2026+5,10,31)-F105)/365.25)=0,(12-DowntimeNew)/12,1),IF(I105="Option",G105*D105*1.025*(1+EscalatorInLease)^5,IF(I105="Market",Retention*G105*D105*(1+EscalatorInLease)^(5+M105)+(1-Retention)*H105*D105*(1+GrowthMarketRent)^5*IF(INT((DATE(2026+5,10,31)-F105)/365.25)=0,(12-DowntimeNew)/12,1),IF(I105="LeaseUp",H105*D105*(1+GrowthMarketRent)^5*IF(5=0,(12-DowntimeNew)/12,1),0)))))))),0)</f>
        <v/>
      </c>
      <c r="T105" s="14">
        <f>IFERROR(IF(I105="LeaseUp",H105*D105*(1+GrowthMarketRent)^6*IF(6=0,(12-DowntimeNew)/12,1),IF(F105="",0,IF(F105&gt;=DATE(2027+6,4,30),G105*D105*(1+EscalatorInLease)^(6+M105),IF(F105&lt;DATE(2026+6,5,1),IF(I105="Vacate",H105*D105*(1+GrowthMarketRent)^6*IF(INT((DATE(2026+6,10,31)-F105)/365.25)=0,(12-DowntimeNew)/12,1),IF(I105="Option",G105*D105*1.025*(1+EscalatorInLease)^6,IF(I105="Market",Retention*G105*D105*(1+EscalatorInLease)^(6+M105)+(1-Retention)*H105*D105*(1+GrowthMarketRent)^6*IF(INT((DATE(2026+6,10,31)-F105)/365.25)=0,(12-DowntimeNew)/12,1),IF(I105="LeaseUp",H105*D105*(1+GrowthMarketRent)^6*IF(6=0,(12-DowntimeNew)/12,1),0)))),((F105-DATE(2026+6,5,1))/365.25)*G105*D105*(1+EscalatorInLease)^(6+M105)+((DATE(2027+6,4,30)-F105)/365.25)*IF(I105="Vacate",H105*D105*(1+GrowthMarketRent)^6*IF(INT((DATE(2026+6,10,31)-F105)/365.25)=0,(12-DowntimeNew)/12,1),IF(I105="Option",G105*D105*1.025*(1+EscalatorInLease)^6,IF(I105="Market",Retention*G105*D105*(1+EscalatorInLease)^(6+M105)+(1-Retention)*H105*D105*(1+GrowthMarketRent)^6*IF(INT((DATE(2026+6,10,31)-F105)/365.25)=0,(12-DowntimeNew)/12,1),IF(I105="LeaseUp",H105*D105*(1+GrowthMarketRent)^6*IF(6=0,(12-DowntimeNew)/12,1),0)))))))),0)</f>
        <v/>
      </c>
      <c r="U105" s="14">
        <f>IFERROR(IF(I105="LeaseUp",H105*D105*(1+GrowthMarketRent)^7*IF(7=0,(12-DowntimeNew)/12,1),IF(F105="",0,IF(F105&gt;=DATE(2027+7,4,30),G105*D105*(1+EscalatorInLease)^(7+M105),IF(F105&lt;DATE(2026+7,5,1),IF(I105="Vacate",H105*D105*(1+GrowthMarketRent)^7*IF(INT((DATE(2026+7,10,31)-F105)/365.25)=0,(12-DowntimeNew)/12,1),IF(I105="Option",G105*D105*1.025*(1+EscalatorInLease)^7,IF(I105="Market",Retention*G105*D105*(1+EscalatorInLease)^(7+M105)+(1-Retention)*H105*D105*(1+GrowthMarketRent)^7*IF(INT((DATE(2026+7,10,31)-F105)/365.25)=0,(12-DowntimeNew)/12,1),IF(I105="LeaseUp",H105*D105*(1+GrowthMarketRent)^7*IF(7=0,(12-DowntimeNew)/12,1),0)))),((F105-DATE(2026+7,5,1))/365.25)*G105*D105*(1+EscalatorInLease)^(7+M105)+((DATE(2027+7,4,30)-F105)/365.25)*IF(I105="Vacate",H105*D105*(1+GrowthMarketRent)^7*IF(INT((DATE(2026+7,10,31)-F105)/365.25)=0,(12-DowntimeNew)/12,1),IF(I105="Option",G105*D105*1.025*(1+EscalatorInLease)^7,IF(I105="Market",Retention*G105*D105*(1+EscalatorInLease)^(7+M105)+(1-Retention)*H105*D105*(1+GrowthMarketRent)^7*IF(INT((DATE(2026+7,10,31)-F105)/365.25)=0,(12-DowntimeNew)/12,1),IF(I105="LeaseUp",H105*D105*(1+GrowthMarketRent)^7*IF(7=0,(12-DowntimeNew)/12,1),0)))))))),0)</f>
        <v/>
      </c>
      <c r="V105" s="14">
        <f>IFERROR(IF(I105="LeaseUp",H105*D105*(1+GrowthMarketRent)^8*IF(8=0,(12-DowntimeNew)/12,1),IF(F105="",0,IF(F105&gt;=DATE(2027+8,4,30),G105*D105*(1+EscalatorInLease)^(8+M105),IF(F105&lt;DATE(2026+8,5,1),IF(I105="Vacate",H105*D105*(1+GrowthMarketRent)^8*IF(INT((DATE(2026+8,10,31)-F105)/365.25)=0,(12-DowntimeNew)/12,1),IF(I105="Option",G105*D105*1.025*(1+EscalatorInLease)^8,IF(I105="Market",Retention*G105*D105*(1+EscalatorInLease)^(8+M105)+(1-Retention)*H105*D105*(1+GrowthMarketRent)^8*IF(INT((DATE(2026+8,10,31)-F105)/365.25)=0,(12-DowntimeNew)/12,1),IF(I105="LeaseUp",H105*D105*(1+GrowthMarketRent)^8*IF(8=0,(12-DowntimeNew)/12,1),0)))),((F105-DATE(2026+8,5,1))/365.25)*G105*D105*(1+EscalatorInLease)^(8+M105)+((DATE(2027+8,4,30)-F105)/365.25)*IF(I105="Vacate",H105*D105*(1+GrowthMarketRent)^8*IF(INT((DATE(2026+8,10,31)-F105)/365.25)=0,(12-DowntimeNew)/12,1),IF(I105="Option",G105*D105*1.025*(1+EscalatorInLease)^8,IF(I105="Market",Retention*G105*D105*(1+EscalatorInLease)^(8+M105)+(1-Retention)*H105*D105*(1+GrowthMarketRent)^8*IF(INT((DATE(2026+8,10,31)-F105)/365.25)=0,(12-DowntimeNew)/12,1),IF(I105="LeaseUp",H105*D105*(1+GrowthMarketRent)^8*IF(8=0,(12-DowntimeNew)/12,1),0)))))))),0)</f>
        <v/>
      </c>
      <c r="W105" s="14">
        <f>IFERROR(IF(I105="LeaseUp",H105*D105*(1+GrowthMarketRent)^9*IF(9=0,(12-DowntimeNew)/12,1),IF(F105="",0,IF(F105&gt;=DATE(2027+9,4,30),G105*D105*(1+EscalatorInLease)^(9+M105),IF(F105&lt;DATE(2026+9,5,1),IF(I105="Vacate",H105*D105*(1+GrowthMarketRent)^9*IF(INT((DATE(2026+9,10,31)-F105)/365.25)=0,(12-DowntimeNew)/12,1),IF(I105="Option",G105*D105*1.025*(1+EscalatorInLease)^9,IF(I105="Market",Retention*G105*D105*(1+EscalatorInLease)^(9+M105)+(1-Retention)*H105*D105*(1+GrowthMarketRent)^9*IF(INT((DATE(2026+9,10,31)-F105)/365.25)=0,(12-DowntimeNew)/12,1),IF(I105="LeaseUp",H105*D105*(1+GrowthMarketRent)^9*IF(9=0,(12-DowntimeNew)/12,1),0)))),((F105-DATE(2026+9,5,1))/365.25)*G105*D105*(1+EscalatorInLease)^(9+M105)+((DATE(2027+9,4,30)-F105)/365.25)*IF(I105="Vacate",H105*D105*(1+GrowthMarketRent)^9*IF(INT((DATE(2026+9,10,31)-F105)/365.25)=0,(12-DowntimeNew)/12,1),IF(I105="Option",G105*D105*1.025*(1+EscalatorInLease)^9,IF(I105="Market",Retention*G105*D105*(1+EscalatorInLease)^(9+M105)+(1-Retention)*H105*D105*(1+GrowthMarketRent)^9*IF(INT((DATE(2026+9,10,31)-F105)/365.25)=0,(12-DowntimeNew)/12,1),IF(I105="LeaseUp",H105*D105*(1+GrowthMarketRent)^9*IF(9=0,(12-DowntimeNew)/12,1),0)))))))),0)</f>
        <v/>
      </c>
      <c r="X105" s="14">
        <f>IFERROR(IF(I105="LeaseUp",H105*D105*(1+GrowthMarketRent)^10*IF(10=0,(12-DowntimeNew)/12,1),IF(F105="",0,IF(F105&gt;=DATE(2027+10,4,30),G105*D105*(1+EscalatorInLease)^(10+M105),IF(F105&lt;DATE(2026+10,5,1),IF(I105="Vacate",H105*D105*(1+GrowthMarketRent)^10*IF(INT((DATE(2026+10,10,31)-F105)/365.25)=0,(12-DowntimeNew)/12,1),IF(I105="Option",G105*D105*1.025*(1+EscalatorInLease)^10,IF(I105="Market",Retention*G105*D105*(1+EscalatorInLease)^(10+M105)+(1-Retention)*H105*D105*(1+GrowthMarketRent)^10*IF(INT((DATE(2026+10,10,31)-F105)/365.25)=0,(12-DowntimeNew)/12,1),IF(I105="LeaseUp",H105*D105*(1+GrowthMarketRent)^10*IF(10=0,(12-DowntimeNew)/12,1),0)))),((F105-DATE(2026+10,5,1))/365.25)*G105*D105*(1+EscalatorInLease)^(10+M105)+((DATE(2027+10,4,30)-F105)/365.25)*IF(I105="Vacate",H105*D105*(1+GrowthMarketRent)^10*IF(INT((DATE(2026+10,10,31)-F105)/365.25)=0,(12-DowntimeNew)/12,1),IF(I105="Option",G105*D105*1.025*(1+EscalatorInLease)^10,IF(I105="Market",Retention*G105*D105*(1+EscalatorInLease)^(10+M105)+(1-Retention)*H105*D105*(1+GrowthMarketRent)^10*IF(INT((DATE(2026+10,10,31)-F105)/365.25)=0,(12-DowntimeNew)/12,1),IF(I105="LeaseUp",H105*D105*(1+GrowthMarketRent)^10*IF(10=0,(12-DowntimeNew)/12,1),0)))))))),0)</f>
        <v/>
      </c>
      <c r="Y105" s="14">
        <f>IFERROR(IF(AND(I105="LeaseUp",0=0),(IF(I105="Vacate",TINew*D105,IF(I105="Market",Retention*TIRenewal*D105+(1-Retention)*TINew*D105,IF(I105="LeaseUp",TINew*D105,IF(I105="Option",TIRenewal*D105,0)))))+(IF(I105="Vacate",LCNew*H105*D105*(1+GrowthMarketRent)^0,IF(I105="Market",Retention*LCRenewal*H105*D105*(1+GrowthMarketRent)^0+(1-Retention)*LCNew*H105*D105*(1+GrowthMarketRent)^0,IF(I105="LeaseUp",LCNew*H105*D105*(1+GrowthMarketRent)^0,IF(I105="Option",LCRenewal*H105*D105*(1+GrowthMarketRent)^0,0))))),IF(F105="",0,IF(AND(F105&gt;=DATE(2026+0,5,1),F105&lt;=DATE(2027+0,4,30)),(IF(I105="Vacate",TINew*D105,IF(I105="Market",Retention*TIRenewal*D105+(1-Retention)*TINew*D105,IF(I105="LeaseUp",TINew*D105,IF(I105="Option",TIRenewal*D105,0)))))+(IF(I105="Vacate",LCNew*H105*D105*(1+GrowthMarketRent)^0,IF(I105="Market",Retention*LCRenewal*H105*D105*(1+GrowthMarketRent)^0+(1-Retention)*LCNew*H105*D105*(1+GrowthMarketRent)^0,IF(I105="LeaseUp",LCNew*H105*D105*(1+GrowthMarketRent)^0,IF(I105="Option",LCRenewal*H105*D105*(1+GrowthMarketRent)^0,0))))),0))),0)</f>
        <v/>
      </c>
      <c r="Z105" s="14">
        <f>IFERROR(IF(AND(I105="LeaseUp",1=0),(IF(I105="Vacate",TINew*D105,IF(I105="Market",Retention*TIRenewal*D105+(1-Retention)*TINew*D105,IF(I105="LeaseUp",TINew*D105,IF(I105="Option",TIRenewal*D105,0)))))+(IF(I105="Vacate",LCNew*H105*D105*(1+GrowthMarketRent)^1,IF(I105="Market",Retention*LCRenewal*H105*D105*(1+GrowthMarketRent)^1+(1-Retention)*LCNew*H105*D105*(1+GrowthMarketRent)^1,IF(I105="LeaseUp",LCNew*H105*D105*(1+GrowthMarketRent)^1,IF(I105="Option",LCRenewal*H105*D105*(1+GrowthMarketRent)^1,0))))),IF(F105="",0,IF(AND(F105&gt;=DATE(2026+1,5,1),F105&lt;=DATE(2027+1,4,30)),(IF(I105="Vacate",TINew*D105,IF(I105="Market",Retention*TIRenewal*D105+(1-Retention)*TINew*D105,IF(I105="LeaseUp",TINew*D105,IF(I105="Option",TIRenewal*D105,0)))))+(IF(I105="Vacate",LCNew*H105*D105*(1+GrowthMarketRent)^1,IF(I105="Market",Retention*LCRenewal*H105*D105*(1+GrowthMarketRent)^1+(1-Retention)*LCNew*H105*D105*(1+GrowthMarketRent)^1,IF(I105="LeaseUp",LCNew*H105*D105*(1+GrowthMarketRent)^1,IF(I105="Option",LCRenewal*H105*D105*(1+GrowthMarketRent)^1,0))))),0))),0)</f>
        <v/>
      </c>
      <c r="AA105" s="14">
        <f>IFERROR(IF(AND(I105="LeaseUp",2=0),(IF(I105="Vacate",TINew*D105,IF(I105="Market",Retention*TIRenewal*D105+(1-Retention)*TINew*D105,IF(I105="LeaseUp",TINew*D105,IF(I105="Option",TIRenewal*D105,0)))))+(IF(I105="Vacate",LCNew*H105*D105*(1+GrowthMarketRent)^2,IF(I105="Market",Retention*LCRenewal*H105*D105*(1+GrowthMarketRent)^2+(1-Retention)*LCNew*H105*D105*(1+GrowthMarketRent)^2,IF(I105="LeaseUp",LCNew*H105*D105*(1+GrowthMarketRent)^2,IF(I105="Option",LCRenewal*H105*D105*(1+GrowthMarketRent)^2,0))))),IF(F105="",0,IF(AND(F105&gt;=DATE(2026+2,5,1),F105&lt;=DATE(2027+2,4,30)),(IF(I105="Vacate",TINew*D105,IF(I105="Market",Retention*TIRenewal*D105+(1-Retention)*TINew*D105,IF(I105="LeaseUp",TINew*D105,IF(I105="Option",TIRenewal*D105,0)))))+(IF(I105="Vacate",LCNew*H105*D105*(1+GrowthMarketRent)^2,IF(I105="Market",Retention*LCRenewal*H105*D105*(1+GrowthMarketRent)^2+(1-Retention)*LCNew*H105*D105*(1+GrowthMarketRent)^2,IF(I105="LeaseUp",LCNew*H105*D105*(1+GrowthMarketRent)^2,IF(I105="Option",LCRenewal*H105*D105*(1+GrowthMarketRent)^2,0))))),0))),0)</f>
        <v/>
      </c>
      <c r="AB105" s="14">
        <f>IFERROR(IF(AND(I105="LeaseUp",3=0),(IF(I105="Vacate",TINew*D105,IF(I105="Market",Retention*TIRenewal*D105+(1-Retention)*TINew*D105,IF(I105="LeaseUp",TINew*D105,IF(I105="Option",TIRenewal*D105,0)))))+(IF(I105="Vacate",LCNew*H105*D105*(1+GrowthMarketRent)^3,IF(I105="Market",Retention*LCRenewal*H105*D105*(1+GrowthMarketRent)^3+(1-Retention)*LCNew*H105*D105*(1+GrowthMarketRent)^3,IF(I105="LeaseUp",LCNew*H105*D105*(1+GrowthMarketRent)^3,IF(I105="Option",LCRenewal*H105*D105*(1+GrowthMarketRent)^3,0))))),IF(F105="",0,IF(AND(F105&gt;=DATE(2026+3,5,1),F105&lt;=DATE(2027+3,4,30)),(IF(I105="Vacate",TINew*D105,IF(I105="Market",Retention*TIRenewal*D105+(1-Retention)*TINew*D105,IF(I105="LeaseUp",TINew*D105,IF(I105="Option",TIRenewal*D105,0)))))+(IF(I105="Vacate",LCNew*H105*D105*(1+GrowthMarketRent)^3,IF(I105="Market",Retention*LCRenewal*H105*D105*(1+GrowthMarketRent)^3+(1-Retention)*LCNew*H105*D105*(1+GrowthMarketRent)^3,IF(I105="LeaseUp",LCNew*H105*D105*(1+GrowthMarketRent)^3,IF(I105="Option",LCRenewal*H105*D105*(1+GrowthMarketRent)^3,0))))),0))),0)</f>
        <v/>
      </c>
      <c r="AC105" s="14">
        <f>IFERROR(IF(AND(I105="LeaseUp",4=0),(IF(I105="Vacate",TINew*D105,IF(I105="Market",Retention*TIRenewal*D105+(1-Retention)*TINew*D105,IF(I105="LeaseUp",TINew*D105,IF(I105="Option",TIRenewal*D105,0)))))+(IF(I105="Vacate",LCNew*H105*D105*(1+GrowthMarketRent)^4,IF(I105="Market",Retention*LCRenewal*H105*D105*(1+GrowthMarketRent)^4+(1-Retention)*LCNew*H105*D105*(1+GrowthMarketRent)^4,IF(I105="LeaseUp",LCNew*H105*D105*(1+GrowthMarketRent)^4,IF(I105="Option",LCRenewal*H105*D105*(1+GrowthMarketRent)^4,0))))),IF(F105="",0,IF(AND(F105&gt;=DATE(2026+4,5,1),F105&lt;=DATE(2027+4,4,30)),(IF(I105="Vacate",TINew*D105,IF(I105="Market",Retention*TIRenewal*D105+(1-Retention)*TINew*D105,IF(I105="LeaseUp",TINew*D105,IF(I105="Option",TIRenewal*D105,0)))))+(IF(I105="Vacate",LCNew*H105*D105*(1+GrowthMarketRent)^4,IF(I105="Market",Retention*LCRenewal*H105*D105*(1+GrowthMarketRent)^4+(1-Retention)*LCNew*H105*D105*(1+GrowthMarketRent)^4,IF(I105="LeaseUp",LCNew*H105*D105*(1+GrowthMarketRent)^4,IF(I105="Option",LCRenewal*H105*D105*(1+GrowthMarketRent)^4,0))))),0))),0)</f>
        <v/>
      </c>
      <c r="AD105" s="14">
        <f>IFERROR(IF(AND(I105="LeaseUp",5=0),(IF(I105="Vacate",TINew*D105,IF(I105="Market",Retention*TIRenewal*D105+(1-Retention)*TINew*D105,IF(I105="LeaseUp",TINew*D105,IF(I105="Option",TIRenewal*D105,0)))))+(IF(I105="Vacate",LCNew*H105*D105*(1+GrowthMarketRent)^5,IF(I105="Market",Retention*LCRenewal*H105*D105*(1+GrowthMarketRent)^5+(1-Retention)*LCNew*H105*D105*(1+GrowthMarketRent)^5,IF(I105="LeaseUp",LCNew*H105*D105*(1+GrowthMarketRent)^5,IF(I105="Option",LCRenewal*H105*D105*(1+GrowthMarketRent)^5,0))))),IF(F105="",0,IF(AND(F105&gt;=DATE(2026+5,5,1),F105&lt;=DATE(2027+5,4,30)),(IF(I105="Vacate",TINew*D105,IF(I105="Market",Retention*TIRenewal*D105+(1-Retention)*TINew*D105,IF(I105="LeaseUp",TINew*D105,IF(I105="Option",TIRenewal*D105,0)))))+(IF(I105="Vacate",LCNew*H105*D105*(1+GrowthMarketRent)^5,IF(I105="Market",Retention*LCRenewal*H105*D105*(1+GrowthMarketRent)^5+(1-Retention)*LCNew*H105*D105*(1+GrowthMarketRent)^5,IF(I105="LeaseUp",LCNew*H105*D105*(1+GrowthMarketRent)^5,IF(I105="Option",LCRenewal*H105*D105*(1+GrowthMarketRent)^5,0))))),0))),0)</f>
        <v/>
      </c>
      <c r="AE105" s="14">
        <f>IFERROR(IF(AND(I105="LeaseUp",6=0),(IF(I105="Vacate",TINew*D105,IF(I105="Market",Retention*TIRenewal*D105+(1-Retention)*TINew*D105,IF(I105="LeaseUp",TINew*D105,IF(I105="Option",TIRenewal*D105,0)))))+(IF(I105="Vacate",LCNew*H105*D105*(1+GrowthMarketRent)^6,IF(I105="Market",Retention*LCRenewal*H105*D105*(1+GrowthMarketRent)^6+(1-Retention)*LCNew*H105*D105*(1+GrowthMarketRent)^6,IF(I105="LeaseUp",LCNew*H105*D105*(1+GrowthMarketRent)^6,IF(I105="Option",LCRenewal*H105*D105*(1+GrowthMarketRent)^6,0))))),IF(F105="",0,IF(AND(F105&gt;=DATE(2026+6,5,1),F105&lt;=DATE(2027+6,4,30)),(IF(I105="Vacate",TINew*D105,IF(I105="Market",Retention*TIRenewal*D105+(1-Retention)*TINew*D105,IF(I105="LeaseUp",TINew*D105,IF(I105="Option",TIRenewal*D105,0)))))+(IF(I105="Vacate",LCNew*H105*D105*(1+GrowthMarketRent)^6,IF(I105="Market",Retention*LCRenewal*H105*D105*(1+GrowthMarketRent)^6+(1-Retention)*LCNew*H105*D105*(1+GrowthMarketRent)^6,IF(I105="LeaseUp",LCNew*H105*D105*(1+GrowthMarketRent)^6,IF(I105="Option",LCRenewal*H105*D105*(1+GrowthMarketRent)^6,0))))),0))),0)</f>
        <v/>
      </c>
      <c r="AF105" s="14">
        <f>IFERROR(IF(AND(I105="LeaseUp",7=0),(IF(I105="Vacate",TINew*D105,IF(I105="Market",Retention*TIRenewal*D105+(1-Retention)*TINew*D105,IF(I105="LeaseUp",TINew*D105,IF(I105="Option",TIRenewal*D105,0)))))+(IF(I105="Vacate",LCNew*H105*D105*(1+GrowthMarketRent)^7,IF(I105="Market",Retention*LCRenewal*H105*D105*(1+GrowthMarketRent)^7+(1-Retention)*LCNew*H105*D105*(1+GrowthMarketRent)^7,IF(I105="LeaseUp",LCNew*H105*D105*(1+GrowthMarketRent)^7,IF(I105="Option",LCRenewal*H105*D105*(1+GrowthMarketRent)^7,0))))),IF(F105="",0,IF(AND(F105&gt;=DATE(2026+7,5,1),F105&lt;=DATE(2027+7,4,30)),(IF(I105="Vacate",TINew*D105,IF(I105="Market",Retention*TIRenewal*D105+(1-Retention)*TINew*D105,IF(I105="LeaseUp",TINew*D105,IF(I105="Option",TIRenewal*D105,0)))))+(IF(I105="Vacate",LCNew*H105*D105*(1+GrowthMarketRent)^7,IF(I105="Market",Retention*LCRenewal*H105*D105*(1+GrowthMarketRent)^7+(1-Retention)*LCNew*H105*D105*(1+GrowthMarketRent)^7,IF(I105="LeaseUp",LCNew*H105*D105*(1+GrowthMarketRent)^7,IF(I105="Option",LCRenewal*H105*D105*(1+GrowthMarketRent)^7,0))))),0))),0)</f>
        <v/>
      </c>
      <c r="AG105" s="14">
        <f>IFERROR(IF(AND(I105="LeaseUp",8=0),(IF(I105="Vacate",TINew*D105,IF(I105="Market",Retention*TIRenewal*D105+(1-Retention)*TINew*D105,IF(I105="LeaseUp",TINew*D105,IF(I105="Option",TIRenewal*D105,0)))))+(IF(I105="Vacate",LCNew*H105*D105*(1+GrowthMarketRent)^8,IF(I105="Market",Retention*LCRenewal*H105*D105*(1+GrowthMarketRent)^8+(1-Retention)*LCNew*H105*D105*(1+GrowthMarketRent)^8,IF(I105="LeaseUp",LCNew*H105*D105*(1+GrowthMarketRent)^8,IF(I105="Option",LCRenewal*H105*D105*(1+GrowthMarketRent)^8,0))))),IF(F105="",0,IF(AND(F105&gt;=DATE(2026+8,5,1),F105&lt;=DATE(2027+8,4,30)),(IF(I105="Vacate",TINew*D105,IF(I105="Market",Retention*TIRenewal*D105+(1-Retention)*TINew*D105,IF(I105="LeaseUp",TINew*D105,IF(I105="Option",TIRenewal*D105,0)))))+(IF(I105="Vacate",LCNew*H105*D105*(1+GrowthMarketRent)^8,IF(I105="Market",Retention*LCRenewal*H105*D105*(1+GrowthMarketRent)^8+(1-Retention)*LCNew*H105*D105*(1+GrowthMarketRent)^8,IF(I105="LeaseUp",LCNew*H105*D105*(1+GrowthMarketRent)^8,IF(I105="Option",LCRenewal*H105*D105*(1+GrowthMarketRent)^8,0))))),0))),0)</f>
        <v/>
      </c>
      <c r="AH105" s="14">
        <f>IFERROR(IF(AND(I105="LeaseUp",9=0),(IF(I105="Vacate",TINew*D105,IF(I105="Market",Retention*TIRenewal*D105+(1-Retention)*TINew*D105,IF(I105="LeaseUp",TINew*D105,IF(I105="Option",TIRenewal*D105,0)))))+(IF(I105="Vacate",LCNew*H105*D105*(1+GrowthMarketRent)^9,IF(I105="Market",Retention*LCRenewal*H105*D105*(1+GrowthMarketRent)^9+(1-Retention)*LCNew*H105*D105*(1+GrowthMarketRent)^9,IF(I105="LeaseUp",LCNew*H105*D105*(1+GrowthMarketRent)^9,IF(I105="Option",LCRenewal*H105*D105*(1+GrowthMarketRent)^9,0))))),IF(F105="",0,IF(AND(F105&gt;=DATE(2026+9,5,1),F105&lt;=DATE(2027+9,4,30)),(IF(I105="Vacate",TINew*D105,IF(I105="Market",Retention*TIRenewal*D105+(1-Retention)*TINew*D105,IF(I105="LeaseUp",TINew*D105,IF(I105="Option",TIRenewal*D105,0)))))+(IF(I105="Vacate",LCNew*H105*D105*(1+GrowthMarketRent)^9,IF(I105="Market",Retention*LCRenewal*H105*D105*(1+GrowthMarketRent)^9+(1-Retention)*LCNew*H105*D105*(1+GrowthMarketRent)^9,IF(I105="LeaseUp",LCNew*H105*D105*(1+GrowthMarketRent)^9,IF(I105="Option",LCRenewal*H105*D105*(1+GrowthMarketRent)^9,0))))),0))),0)</f>
        <v/>
      </c>
      <c r="AI105" s="14">
        <f>IFERROR(IF(AND(I105="LeaseUp",10=0),(IF(I105="Vacate",TINew*D105,IF(I105="Market",Retention*TIRenewal*D105+(1-Retention)*TINew*D105,IF(I105="LeaseUp",TINew*D105,IF(I105="Option",TIRenewal*D105,0)))))+(IF(I105="Vacate",LCNew*H105*D105*(1+GrowthMarketRent)^10,IF(I105="Market",Retention*LCRenewal*H105*D105*(1+GrowthMarketRent)^10+(1-Retention)*LCNew*H105*D105*(1+GrowthMarketRent)^10,IF(I105="LeaseUp",LCNew*H105*D105*(1+GrowthMarketRent)^10,IF(I105="Option",LCRenewal*H105*D105*(1+GrowthMarketRent)^10,0))))),IF(F105="",0,IF(AND(F105&gt;=DATE(2026+10,5,1),F105&lt;=DATE(2027+10,4,30)),(IF(I105="Vacate",TINew*D105,IF(I105="Market",Retention*TIRenewal*D105+(1-Retention)*TINew*D105,IF(I105="LeaseUp",TINew*D105,IF(I105="Option",TIRenewal*D105,0)))))+(IF(I105="Vacate",LCNew*H105*D105*(1+GrowthMarketRent)^10,IF(I105="Market",Retention*LCRenewal*H105*D105*(1+GrowthMarketRent)^10+(1-Retention)*LCNew*H105*D105*(1+GrowthMarketRent)^10,IF(I105="LeaseUp",LCNew*H105*D105*(1+GrowthMarketRent)^10,IF(I105="Option",LCRenewal*H105*D105*(1+GrowthMarketRent)^10,0))))),0))),0)</f>
        <v/>
      </c>
    </row>
    <row r="106">
      <c r="A106" t="inlineStr">
        <is>
          <t>Lewisville</t>
        </is>
      </c>
      <c r="B106" t="inlineStr">
        <is>
          <t>206</t>
        </is>
      </c>
      <c r="C106" t="inlineStr">
        <is>
          <t>Easy Flex Texas Inc.</t>
        </is>
      </c>
      <c r="D106" s="32" t="n">
        <v>2600</v>
      </c>
      <c r="E106" s="33" t="n">
        <v>45717</v>
      </c>
      <c r="F106" s="33" t="n">
        <v>46966</v>
      </c>
      <c r="G106" s="34" t="n">
        <v>17.425</v>
      </c>
      <c r="H106" s="16">
        <f>VLOOKUP(A106,MLA!$A$5:$L$11,3,FALSE)</f>
        <v/>
      </c>
      <c r="I106" s="11" t="inlineStr">
        <is>
          <t>Market</t>
        </is>
      </c>
      <c r="J106" t="inlineStr">
        <is>
          <t>Shop</t>
        </is>
      </c>
      <c r="K106" t="inlineStr">
        <is>
          <t>Occupied</t>
        </is>
      </c>
      <c r="L106" t="inlineStr">
        <is>
          <t>Shop; Guarantor: Yoon Oh</t>
        </is>
      </c>
      <c r="M106" s="20">
        <f>IF(E106="",0,(AnalysisStart-E106)/365.25)</f>
        <v/>
      </c>
      <c r="N106" s="14">
        <f>IFERROR(IF(I106="LeaseUp",H106*D106*(1+GrowthMarketRent)^0*IF(0=0,(12-DowntimeNew)/12,1),IF(F106="",0,IF(F106&gt;=DATE(2027+0,4,30),G106*D106*(1+EscalatorInLease)^(0+M106),IF(F106&lt;DATE(2026+0,5,1),IF(I106="Vacate",H106*D106*(1+GrowthMarketRent)^0*IF(INT((DATE(2026+0,10,31)-F106)/365.25)=0,(12-DowntimeNew)/12,1),IF(I106="Option",G106*D106*1.025*(1+EscalatorInLease)^0,IF(I106="Market",Retention*G106*D106*(1+EscalatorInLease)^(0+M106)+(1-Retention)*H106*D106*(1+GrowthMarketRent)^0*IF(INT((DATE(2026+0,10,31)-F106)/365.25)=0,(12-DowntimeNew)/12,1),IF(I106="LeaseUp",H106*D106*(1+GrowthMarketRent)^0*IF(0=0,(12-DowntimeNew)/12,1),0)))),((F106-DATE(2026+0,5,1))/365.25)*G106*D106*(1+EscalatorInLease)^(0+M106)+((DATE(2027+0,4,30)-F106)/365.25)*IF(I106="Vacate",H106*D106*(1+GrowthMarketRent)^0*IF(INT((DATE(2026+0,10,31)-F106)/365.25)=0,(12-DowntimeNew)/12,1),IF(I106="Option",G106*D106*1.025*(1+EscalatorInLease)^0,IF(I106="Market",Retention*G106*D106*(1+EscalatorInLease)^(0+M106)+(1-Retention)*H106*D106*(1+GrowthMarketRent)^0*IF(INT((DATE(2026+0,10,31)-F106)/365.25)=0,(12-DowntimeNew)/12,1),IF(I106="LeaseUp",H106*D106*(1+GrowthMarketRent)^0*IF(0=0,(12-DowntimeNew)/12,1),0)))))))),0)</f>
        <v/>
      </c>
      <c r="O106" s="14">
        <f>IFERROR(IF(I106="LeaseUp",H106*D106*(1+GrowthMarketRent)^1*IF(1=0,(12-DowntimeNew)/12,1),IF(F106="",0,IF(F106&gt;=DATE(2027+1,4,30),G106*D106*(1+EscalatorInLease)^(1+M106),IF(F106&lt;DATE(2026+1,5,1),IF(I106="Vacate",H106*D106*(1+GrowthMarketRent)^1*IF(INT((DATE(2026+1,10,31)-F106)/365.25)=0,(12-DowntimeNew)/12,1),IF(I106="Option",G106*D106*1.025*(1+EscalatorInLease)^1,IF(I106="Market",Retention*G106*D106*(1+EscalatorInLease)^(1+M106)+(1-Retention)*H106*D106*(1+GrowthMarketRent)^1*IF(INT((DATE(2026+1,10,31)-F106)/365.25)=0,(12-DowntimeNew)/12,1),IF(I106="LeaseUp",H106*D106*(1+GrowthMarketRent)^1*IF(1=0,(12-DowntimeNew)/12,1),0)))),((F106-DATE(2026+1,5,1))/365.25)*G106*D106*(1+EscalatorInLease)^(1+M106)+((DATE(2027+1,4,30)-F106)/365.25)*IF(I106="Vacate",H106*D106*(1+GrowthMarketRent)^1*IF(INT((DATE(2026+1,10,31)-F106)/365.25)=0,(12-DowntimeNew)/12,1),IF(I106="Option",G106*D106*1.025*(1+EscalatorInLease)^1,IF(I106="Market",Retention*G106*D106*(1+EscalatorInLease)^(1+M106)+(1-Retention)*H106*D106*(1+GrowthMarketRent)^1*IF(INT((DATE(2026+1,10,31)-F106)/365.25)=0,(12-DowntimeNew)/12,1),IF(I106="LeaseUp",H106*D106*(1+GrowthMarketRent)^1*IF(1=0,(12-DowntimeNew)/12,1),0)))))))),0)</f>
        <v/>
      </c>
      <c r="P106" s="14">
        <f>IFERROR(IF(I106="LeaseUp",H106*D106*(1+GrowthMarketRent)^2*IF(2=0,(12-DowntimeNew)/12,1),IF(F106="",0,IF(F106&gt;=DATE(2027+2,4,30),G106*D106*(1+EscalatorInLease)^(2+M106),IF(F106&lt;DATE(2026+2,5,1),IF(I106="Vacate",H106*D106*(1+GrowthMarketRent)^2*IF(INT((DATE(2026+2,10,31)-F106)/365.25)=0,(12-DowntimeNew)/12,1),IF(I106="Option",G106*D106*1.025*(1+EscalatorInLease)^2,IF(I106="Market",Retention*G106*D106*(1+EscalatorInLease)^(2+M106)+(1-Retention)*H106*D106*(1+GrowthMarketRent)^2*IF(INT((DATE(2026+2,10,31)-F106)/365.25)=0,(12-DowntimeNew)/12,1),IF(I106="LeaseUp",H106*D106*(1+GrowthMarketRent)^2*IF(2=0,(12-DowntimeNew)/12,1),0)))),((F106-DATE(2026+2,5,1))/365.25)*G106*D106*(1+EscalatorInLease)^(2+M106)+((DATE(2027+2,4,30)-F106)/365.25)*IF(I106="Vacate",H106*D106*(1+GrowthMarketRent)^2*IF(INT((DATE(2026+2,10,31)-F106)/365.25)=0,(12-DowntimeNew)/12,1),IF(I106="Option",G106*D106*1.025*(1+EscalatorInLease)^2,IF(I106="Market",Retention*G106*D106*(1+EscalatorInLease)^(2+M106)+(1-Retention)*H106*D106*(1+GrowthMarketRent)^2*IF(INT((DATE(2026+2,10,31)-F106)/365.25)=0,(12-DowntimeNew)/12,1),IF(I106="LeaseUp",H106*D106*(1+GrowthMarketRent)^2*IF(2=0,(12-DowntimeNew)/12,1),0)))))))),0)</f>
        <v/>
      </c>
      <c r="Q106" s="14">
        <f>IFERROR(IF(I106="LeaseUp",H106*D106*(1+GrowthMarketRent)^3*IF(3=0,(12-DowntimeNew)/12,1),IF(F106="",0,IF(F106&gt;=DATE(2027+3,4,30),G106*D106*(1+EscalatorInLease)^(3+M106),IF(F106&lt;DATE(2026+3,5,1),IF(I106="Vacate",H106*D106*(1+GrowthMarketRent)^3*IF(INT((DATE(2026+3,10,31)-F106)/365.25)=0,(12-DowntimeNew)/12,1),IF(I106="Option",G106*D106*1.025*(1+EscalatorInLease)^3,IF(I106="Market",Retention*G106*D106*(1+EscalatorInLease)^(3+M106)+(1-Retention)*H106*D106*(1+GrowthMarketRent)^3*IF(INT((DATE(2026+3,10,31)-F106)/365.25)=0,(12-DowntimeNew)/12,1),IF(I106="LeaseUp",H106*D106*(1+GrowthMarketRent)^3*IF(3=0,(12-DowntimeNew)/12,1),0)))),((F106-DATE(2026+3,5,1))/365.25)*G106*D106*(1+EscalatorInLease)^(3+M106)+((DATE(2027+3,4,30)-F106)/365.25)*IF(I106="Vacate",H106*D106*(1+GrowthMarketRent)^3*IF(INT((DATE(2026+3,10,31)-F106)/365.25)=0,(12-DowntimeNew)/12,1),IF(I106="Option",G106*D106*1.025*(1+EscalatorInLease)^3,IF(I106="Market",Retention*G106*D106*(1+EscalatorInLease)^(3+M106)+(1-Retention)*H106*D106*(1+GrowthMarketRent)^3*IF(INT((DATE(2026+3,10,31)-F106)/365.25)=0,(12-DowntimeNew)/12,1),IF(I106="LeaseUp",H106*D106*(1+GrowthMarketRent)^3*IF(3=0,(12-DowntimeNew)/12,1),0)))))))),0)</f>
        <v/>
      </c>
      <c r="R106" s="14">
        <f>IFERROR(IF(I106="LeaseUp",H106*D106*(1+GrowthMarketRent)^4*IF(4=0,(12-DowntimeNew)/12,1),IF(F106="",0,IF(F106&gt;=DATE(2027+4,4,30),G106*D106*(1+EscalatorInLease)^(4+M106),IF(F106&lt;DATE(2026+4,5,1),IF(I106="Vacate",H106*D106*(1+GrowthMarketRent)^4*IF(INT((DATE(2026+4,10,31)-F106)/365.25)=0,(12-DowntimeNew)/12,1),IF(I106="Option",G106*D106*1.025*(1+EscalatorInLease)^4,IF(I106="Market",Retention*G106*D106*(1+EscalatorInLease)^(4+M106)+(1-Retention)*H106*D106*(1+GrowthMarketRent)^4*IF(INT((DATE(2026+4,10,31)-F106)/365.25)=0,(12-DowntimeNew)/12,1),IF(I106="LeaseUp",H106*D106*(1+GrowthMarketRent)^4*IF(4=0,(12-DowntimeNew)/12,1),0)))),((F106-DATE(2026+4,5,1))/365.25)*G106*D106*(1+EscalatorInLease)^(4+M106)+((DATE(2027+4,4,30)-F106)/365.25)*IF(I106="Vacate",H106*D106*(1+GrowthMarketRent)^4*IF(INT((DATE(2026+4,10,31)-F106)/365.25)=0,(12-DowntimeNew)/12,1),IF(I106="Option",G106*D106*1.025*(1+EscalatorInLease)^4,IF(I106="Market",Retention*G106*D106*(1+EscalatorInLease)^(4+M106)+(1-Retention)*H106*D106*(1+GrowthMarketRent)^4*IF(INT((DATE(2026+4,10,31)-F106)/365.25)=0,(12-DowntimeNew)/12,1),IF(I106="LeaseUp",H106*D106*(1+GrowthMarketRent)^4*IF(4=0,(12-DowntimeNew)/12,1),0)))))))),0)</f>
        <v/>
      </c>
      <c r="S106" s="14">
        <f>IFERROR(IF(I106="LeaseUp",H106*D106*(1+GrowthMarketRent)^5*IF(5=0,(12-DowntimeNew)/12,1),IF(F106="",0,IF(F106&gt;=DATE(2027+5,4,30),G106*D106*(1+EscalatorInLease)^(5+M106),IF(F106&lt;DATE(2026+5,5,1),IF(I106="Vacate",H106*D106*(1+GrowthMarketRent)^5*IF(INT((DATE(2026+5,10,31)-F106)/365.25)=0,(12-DowntimeNew)/12,1),IF(I106="Option",G106*D106*1.025*(1+EscalatorInLease)^5,IF(I106="Market",Retention*G106*D106*(1+EscalatorInLease)^(5+M106)+(1-Retention)*H106*D106*(1+GrowthMarketRent)^5*IF(INT((DATE(2026+5,10,31)-F106)/365.25)=0,(12-DowntimeNew)/12,1),IF(I106="LeaseUp",H106*D106*(1+GrowthMarketRent)^5*IF(5=0,(12-DowntimeNew)/12,1),0)))),((F106-DATE(2026+5,5,1))/365.25)*G106*D106*(1+EscalatorInLease)^(5+M106)+((DATE(2027+5,4,30)-F106)/365.25)*IF(I106="Vacate",H106*D106*(1+GrowthMarketRent)^5*IF(INT((DATE(2026+5,10,31)-F106)/365.25)=0,(12-DowntimeNew)/12,1),IF(I106="Option",G106*D106*1.025*(1+EscalatorInLease)^5,IF(I106="Market",Retention*G106*D106*(1+EscalatorInLease)^(5+M106)+(1-Retention)*H106*D106*(1+GrowthMarketRent)^5*IF(INT((DATE(2026+5,10,31)-F106)/365.25)=0,(12-DowntimeNew)/12,1),IF(I106="LeaseUp",H106*D106*(1+GrowthMarketRent)^5*IF(5=0,(12-DowntimeNew)/12,1),0)))))))),0)</f>
        <v/>
      </c>
      <c r="T106" s="14">
        <f>IFERROR(IF(I106="LeaseUp",H106*D106*(1+GrowthMarketRent)^6*IF(6=0,(12-DowntimeNew)/12,1),IF(F106="",0,IF(F106&gt;=DATE(2027+6,4,30),G106*D106*(1+EscalatorInLease)^(6+M106),IF(F106&lt;DATE(2026+6,5,1),IF(I106="Vacate",H106*D106*(1+GrowthMarketRent)^6*IF(INT((DATE(2026+6,10,31)-F106)/365.25)=0,(12-DowntimeNew)/12,1),IF(I106="Option",G106*D106*1.025*(1+EscalatorInLease)^6,IF(I106="Market",Retention*G106*D106*(1+EscalatorInLease)^(6+M106)+(1-Retention)*H106*D106*(1+GrowthMarketRent)^6*IF(INT((DATE(2026+6,10,31)-F106)/365.25)=0,(12-DowntimeNew)/12,1),IF(I106="LeaseUp",H106*D106*(1+GrowthMarketRent)^6*IF(6=0,(12-DowntimeNew)/12,1),0)))),((F106-DATE(2026+6,5,1))/365.25)*G106*D106*(1+EscalatorInLease)^(6+M106)+((DATE(2027+6,4,30)-F106)/365.25)*IF(I106="Vacate",H106*D106*(1+GrowthMarketRent)^6*IF(INT((DATE(2026+6,10,31)-F106)/365.25)=0,(12-DowntimeNew)/12,1),IF(I106="Option",G106*D106*1.025*(1+EscalatorInLease)^6,IF(I106="Market",Retention*G106*D106*(1+EscalatorInLease)^(6+M106)+(1-Retention)*H106*D106*(1+GrowthMarketRent)^6*IF(INT((DATE(2026+6,10,31)-F106)/365.25)=0,(12-DowntimeNew)/12,1),IF(I106="LeaseUp",H106*D106*(1+GrowthMarketRent)^6*IF(6=0,(12-DowntimeNew)/12,1),0)))))))),0)</f>
        <v/>
      </c>
      <c r="U106" s="14">
        <f>IFERROR(IF(I106="LeaseUp",H106*D106*(1+GrowthMarketRent)^7*IF(7=0,(12-DowntimeNew)/12,1),IF(F106="",0,IF(F106&gt;=DATE(2027+7,4,30),G106*D106*(1+EscalatorInLease)^(7+M106),IF(F106&lt;DATE(2026+7,5,1),IF(I106="Vacate",H106*D106*(1+GrowthMarketRent)^7*IF(INT((DATE(2026+7,10,31)-F106)/365.25)=0,(12-DowntimeNew)/12,1),IF(I106="Option",G106*D106*1.025*(1+EscalatorInLease)^7,IF(I106="Market",Retention*G106*D106*(1+EscalatorInLease)^(7+M106)+(1-Retention)*H106*D106*(1+GrowthMarketRent)^7*IF(INT((DATE(2026+7,10,31)-F106)/365.25)=0,(12-DowntimeNew)/12,1),IF(I106="LeaseUp",H106*D106*(1+GrowthMarketRent)^7*IF(7=0,(12-DowntimeNew)/12,1),0)))),((F106-DATE(2026+7,5,1))/365.25)*G106*D106*(1+EscalatorInLease)^(7+M106)+((DATE(2027+7,4,30)-F106)/365.25)*IF(I106="Vacate",H106*D106*(1+GrowthMarketRent)^7*IF(INT((DATE(2026+7,10,31)-F106)/365.25)=0,(12-DowntimeNew)/12,1),IF(I106="Option",G106*D106*1.025*(1+EscalatorInLease)^7,IF(I106="Market",Retention*G106*D106*(1+EscalatorInLease)^(7+M106)+(1-Retention)*H106*D106*(1+GrowthMarketRent)^7*IF(INT((DATE(2026+7,10,31)-F106)/365.25)=0,(12-DowntimeNew)/12,1),IF(I106="LeaseUp",H106*D106*(1+GrowthMarketRent)^7*IF(7=0,(12-DowntimeNew)/12,1),0)))))))),0)</f>
        <v/>
      </c>
      <c r="V106" s="14">
        <f>IFERROR(IF(I106="LeaseUp",H106*D106*(1+GrowthMarketRent)^8*IF(8=0,(12-DowntimeNew)/12,1),IF(F106="",0,IF(F106&gt;=DATE(2027+8,4,30),G106*D106*(1+EscalatorInLease)^(8+M106),IF(F106&lt;DATE(2026+8,5,1),IF(I106="Vacate",H106*D106*(1+GrowthMarketRent)^8*IF(INT((DATE(2026+8,10,31)-F106)/365.25)=0,(12-DowntimeNew)/12,1),IF(I106="Option",G106*D106*1.025*(1+EscalatorInLease)^8,IF(I106="Market",Retention*G106*D106*(1+EscalatorInLease)^(8+M106)+(1-Retention)*H106*D106*(1+GrowthMarketRent)^8*IF(INT((DATE(2026+8,10,31)-F106)/365.25)=0,(12-DowntimeNew)/12,1),IF(I106="LeaseUp",H106*D106*(1+GrowthMarketRent)^8*IF(8=0,(12-DowntimeNew)/12,1),0)))),((F106-DATE(2026+8,5,1))/365.25)*G106*D106*(1+EscalatorInLease)^(8+M106)+((DATE(2027+8,4,30)-F106)/365.25)*IF(I106="Vacate",H106*D106*(1+GrowthMarketRent)^8*IF(INT((DATE(2026+8,10,31)-F106)/365.25)=0,(12-DowntimeNew)/12,1),IF(I106="Option",G106*D106*1.025*(1+EscalatorInLease)^8,IF(I106="Market",Retention*G106*D106*(1+EscalatorInLease)^(8+M106)+(1-Retention)*H106*D106*(1+GrowthMarketRent)^8*IF(INT((DATE(2026+8,10,31)-F106)/365.25)=0,(12-DowntimeNew)/12,1),IF(I106="LeaseUp",H106*D106*(1+GrowthMarketRent)^8*IF(8=0,(12-DowntimeNew)/12,1),0)))))))),0)</f>
        <v/>
      </c>
      <c r="W106" s="14">
        <f>IFERROR(IF(I106="LeaseUp",H106*D106*(1+GrowthMarketRent)^9*IF(9=0,(12-DowntimeNew)/12,1),IF(F106="",0,IF(F106&gt;=DATE(2027+9,4,30),G106*D106*(1+EscalatorInLease)^(9+M106),IF(F106&lt;DATE(2026+9,5,1),IF(I106="Vacate",H106*D106*(1+GrowthMarketRent)^9*IF(INT((DATE(2026+9,10,31)-F106)/365.25)=0,(12-DowntimeNew)/12,1),IF(I106="Option",G106*D106*1.025*(1+EscalatorInLease)^9,IF(I106="Market",Retention*G106*D106*(1+EscalatorInLease)^(9+M106)+(1-Retention)*H106*D106*(1+GrowthMarketRent)^9*IF(INT((DATE(2026+9,10,31)-F106)/365.25)=0,(12-DowntimeNew)/12,1),IF(I106="LeaseUp",H106*D106*(1+GrowthMarketRent)^9*IF(9=0,(12-DowntimeNew)/12,1),0)))),((F106-DATE(2026+9,5,1))/365.25)*G106*D106*(1+EscalatorInLease)^(9+M106)+((DATE(2027+9,4,30)-F106)/365.25)*IF(I106="Vacate",H106*D106*(1+GrowthMarketRent)^9*IF(INT((DATE(2026+9,10,31)-F106)/365.25)=0,(12-DowntimeNew)/12,1),IF(I106="Option",G106*D106*1.025*(1+EscalatorInLease)^9,IF(I106="Market",Retention*G106*D106*(1+EscalatorInLease)^(9+M106)+(1-Retention)*H106*D106*(1+GrowthMarketRent)^9*IF(INT((DATE(2026+9,10,31)-F106)/365.25)=0,(12-DowntimeNew)/12,1),IF(I106="LeaseUp",H106*D106*(1+GrowthMarketRent)^9*IF(9=0,(12-DowntimeNew)/12,1),0)))))))),0)</f>
        <v/>
      </c>
      <c r="X106" s="14">
        <f>IFERROR(IF(I106="LeaseUp",H106*D106*(1+GrowthMarketRent)^10*IF(10=0,(12-DowntimeNew)/12,1),IF(F106="",0,IF(F106&gt;=DATE(2027+10,4,30),G106*D106*(1+EscalatorInLease)^(10+M106),IF(F106&lt;DATE(2026+10,5,1),IF(I106="Vacate",H106*D106*(1+GrowthMarketRent)^10*IF(INT((DATE(2026+10,10,31)-F106)/365.25)=0,(12-DowntimeNew)/12,1),IF(I106="Option",G106*D106*1.025*(1+EscalatorInLease)^10,IF(I106="Market",Retention*G106*D106*(1+EscalatorInLease)^(10+M106)+(1-Retention)*H106*D106*(1+GrowthMarketRent)^10*IF(INT((DATE(2026+10,10,31)-F106)/365.25)=0,(12-DowntimeNew)/12,1),IF(I106="LeaseUp",H106*D106*(1+GrowthMarketRent)^10*IF(10=0,(12-DowntimeNew)/12,1),0)))),((F106-DATE(2026+10,5,1))/365.25)*G106*D106*(1+EscalatorInLease)^(10+M106)+((DATE(2027+10,4,30)-F106)/365.25)*IF(I106="Vacate",H106*D106*(1+GrowthMarketRent)^10*IF(INT((DATE(2026+10,10,31)-F106)/365.25)=0,(12-DowntimeNew)/12,1),IF(I106="Option",G106*D106*1.025*(1+EscalatorInLease)^10,IF(I106="Market",Retention*G106*D106*(1+EscalatorInLease)^(10+M106)+(1-Retention)*H106*D106*(1+GrowthMarketRent)^10*IF(INT((DATE(2026+10,10,31)-F106)/365.25)=0,(12-DowntimeNew)/12,1),IF(I106="LeaseUp",H106*D106*(1+GrowthMarketRent)^10*IF(10=0,(12-DowntimeNew)/12,1),0)))))))),0)</f>
        <v/>
      </c>
      <c r="Y106" s="14">
        <f>IFERROR(IF(AND(I106="LeaseUp",0=0),(IF(I106="Vacate",TINew*D106,IF(I106="Market",Retention*TIRenewal*D106+(1-Retention)*TINew*D106,IF(I106="LeaseUp",TINew*D106,IF(I106="Option",TIRenewal*D106,0)))))+(IF(I106="Vacate",LCNew*H106*D106*(1+GrowthMarketRent)^0,IF(I106="Market",Retention*LCRenewal*H106*D106*(1+GrowthMarketRent)^0+(1-Retention)*LCNew*H106*D106*(1+GrowthMarketRent)^0,IF(I106="LeaseUp",LCNew*H106*D106*(1+GrowthMarketRent)^0,IF(I106="Option",LCRenewal*H106*D106*(1+GrowthMarketRent)^0,0))))),IF(F106="",0,IF(AND(F106&gt;=DATE(2026+0,5,1),F106&lt;=DATE(2027+0,4,30)),(IF(I106="Vacate",TINew*D106,IF(I106="Market",Retention*TIRenewal*D106+(1-Retention)*TINew*D106,IF(I106="LeaseUp",TINew*D106,IF(I106="Option",TIRenewal*D106,0)))))+(IF(I106="Vacate",LCNew*H106*D106*(1+GrowthMarketRent)^0,IF(I106="Market",Retention*LCRenewal*H106*D106*(1+GrowthMarketRent)^0+(1-Retention)*LCNew*H106*D106*(1+GrowthMarketRent)^0,IF(I106="LeaseUp",LCNew*H106*D106*(1+GrowthMarketRent)^0,IF(I106="Option",LCRenewal*H106*D106*(1+GrowthMarketRent)^0,0))))),0))),0)</f>
        <v/>
      </c>
      <c r="Z106" s="14">
        <f>IFERROR(IF(AND(I106="LeaseUp",1=0),(IF(I106="Vacate",TINew*D106,IF(I106="Market",Retention*TIRenewal*D106+(1-Retention)*TINew*D106,IF(I106="LeaseUp",TINew*D106,IF(I106="Option",TIRenewal*D106,0)))))+(IF(I106="Vacate",LCNew*H106*D106*(1+GrowthMarketRent)^1,IF(I106="Market",Retention*LCRenewal*H106*D106*(1+GrowthMarketRent)^1+(1-Retention)*LCNew*H106*D106*(1+GrowthMarketRent)^1,IF(I106="LeaseUp",LCNew*H106*D106*(1+GrowthMarketRent)^1,IF(I106="Option",LCRenewal*H106*D106*(1+GrowthMarketRent)^1,0))))),IF(F106="",0,IF(AND(F106&gt;=DATE(2026+1,5,1),F106&lt;=DATE(2027+1,4,30)),(IF(I106="Vacate",TINew*D106,IF(I106="Market",Retention*TIRenewal*D106+(1-Retention)*TINew*D106,IF(I106="LeaseUp",TINew*D106,IF(I106="Option",TIRenewal*D106,0)))))+(IF(I106="Vacate",LCNew*H106*D106*(1+GrowthMarketRent)^1,IF(I106="Market",Retention*LCRenewal*H106*D106*(1+GrowthMarketRent)^1+(1-Retention)*LCNew*H106*D106*(1+GrowthMarketRent)^1,IF(I106="LeaseUp",LCNew*H106*D106*(1+GrowthMarketRent)^1,IF(I106="Option",LCRenewal*H106*D106*(1+GrowthMarketRent)^1,0))))),0))),0)</f>
        <v/>
      </c>
      <c r="AA106" s="14">
        <f>IFERROR(IF(AND(I106="LeaseUp",2=0),(IF(I106="Vacate",TINew*D106,IF(I106="Market",Retention*TIRenewal*D106+(1-Retention)*TINew*D106,IF(I106="LeaseUp",TINew*D106,IF(I106="Option",TIRenewal*D106,0)))))+(IF(I106="Vacate",LCNew*H106*D106*(1+GrowthMarketRent)^2,IF(I106="Market",Retention*LCRenewal*H106*D106*(1+GrowthMarketRent)^2+(1-Retention)*LCNew*H106*D106*(1+GrowthMarketRent)^2,IF(I106="LeaseUp",LCNew*H106*D106*(1+GrowthMarketRent)^2,IF(I106="Option",LCRenewal*H106*D106*(1+GrowthMarketRent)^2,0))))),IF(F106="",0,IF(AND(F106&gt;=DATE(2026+2,5,1),F106&lt;=DATE(2027+2,4,30)),(IF(I106="Vacate",TINew*D106,IF(I106="Market",Retention*TIRenewal*D106+(1-Retention)*TINew*D106,IF(I106="LeaseUp",TINew*D106,IF(I106="Option",TIRenewal*D106,0)))))+(IF(I106="Vacate",LCNew*H106*D106*(1+GrowthMarketRent)^2,IF(I106="Market",Retention*LCRenewal*H106*D106*(1+GrowthMarketRent)^2+(1-Retention)*LCNew*H106*D106*(1+GrowthMarketRent)^2,IF(I106="LeaseUp",LCNew*H106*D106*(1+GrowthMarketRent)^2,IF(I106="Option",LCRenewal*H106*D106*(1+GrowthMarketRent)^2,0))))),0))),0)</f>
        <v/>
      </c>
      <c r="AB106" s="14">
        <f>IFERROR(IF(AND(I106="LeaseUp",3=0),(IF(I106="Vacate",TINew*D106,IF(I106="Market",Retention*TIRenewal*D106+(1-Retention)*TINew*D106,IF(I106="LeaseUp",TINew*D106,IF(I106="Option",TIRenewal*D106,0)))))+(IF(I106="Vacate",LCNew*H106*D106*(1+GrowthMarketRent)^3,IF(I106="Market",Retention*LCRenewal*H106*D106*(1+GrowthMarketRent)^3+(1-Retention)*LCNew*H106*D106*(1+GrowthMarketRent)^3,IF(I106="LeaseUp",LCNew*H106*D106*(1+GrowthMarketRent)^3,IF(I106="Option",LCRenewal*H106*D106*(1+GrowthMarketRent)^3,0))))),IF(F106="",0,IF(AND(F106&gt;=DATE(2026+3,5,1),F106&lt;=DATE(2027+3,4,30)),(IF(I106="Vacate",TINew*D106,IF(I106="Market",Retention*TIRenewal*D106+(1-Retention)*TINew*D106,IF(I106="LeaseUp",TINew*D106,IF(I106="Option",TIRenewal*D106,0)))))+(IF(I106="Vacate",LCNew*H106*D106*(1+GrowthMarketRent)^3,IF(I106="Market",Retention*LCRenewal*H106*D106*(1+GrowthMarketRent)^3+(1-Retention)*LCNew*H106*D106*(1+GrowthMarketRent)^3,IF(I106="LeaseUp",LCNew*H106*D106*(1+GrowthMarketRent)^3,IF(I106="Option",LCRenewal*H106*D106*(1+GrowthMarketRent)^3,0))))),0))),0)</f>
        <v/>
      </c>
      <c r="AC106" s="14">
        <f>IFERROR(IF(AND(I106="LeaseUp",4=0),(IF(I106="Vacate",TINew*D106,IF(I106="Market",Retention*TIRenewal*D106+(1-Retention)*TINew*D106,IF(I106="LeaseUp",TINew*D106,IF(I106="Option",TIRenewal*D106,0)))))+(IF(I106="Vacate",LCNew*H106*D106*(1+GrowthMarketRent)^4,IF(I106="Market",Retention*LCRenewal*H106*D106*(1+GrowthMarketRent)^4+(1-Retention)*LCNew*H106*D106*(1+GrowthMarketRent)^4,IF(I106="LeaseUp",LCNew*H106*D106*(1+GrowthMarketRent)^4,IF(I106="Option",LCRenewal*H106*D106*(1+GrowthMarketRent)^4,0))))),IF(F106="",0,IF(AND(F106&gt;=DATE(2026+4,5,1),F106&lt;=DATE(2027+4,4,30)),(IF(I106="Vacate",TINew*D106,IF(I106="Market",Retention*TIRenewal*D106+(1-Retention)*TINew*D106,IF(I106="LeaseUp",TINew*D106,IF(I106="Option",TIRenewal*D106,0)))))+(IF(I106="Vacate",LCNew*H106*D106*(1+GrowthMarketRent)^4,IF(I106="Market",Retention*LCRenewal*H106*D106*(1+GrowthMarketRent)^4+(1-Retention)*LCNew*H106*D106*(1+GrowthMarketRent)^4,IF(I106="LeaseUp",LCNew*H106*D106*(1+GrowthMarketRent)^4,IF(I106="Option",LCRenewal*H106*D106*(1+GrowthMarketRent)^4,0))))),0))),0)</f>
        <v/>
      </c>
      <c r="AD106" s="14">
        <f>IFERROR(IF(AND(I106="LeaseUp",5=0),(IF(I106="Vacate",TINew*D106,IF(I106="Market",Retention*TIRenewal*D106+(1-Retention)*TINew*D106,IF(I106="LeaseUp",TINew*D106,IF(I106="Option",TIRenewal*D106,0)))))+(IF(I106="Vacate",LCNew*H106*D106*(1+GrowthMarketRent)^5,IF(I106="Market",Retention*LCRenewal*H106*D106*(1+GrowthMarketRent)^5+(1-Retention)*LCNew*H106*D106*(1+GrowthMarketRent)^5,IF(I106="LeaseUp",LCNew*H106*D106*(1+GrowthMarketRent)^5,IF(I106="Option",LCRenewal*H106*D106*(1+GrowthMarketRent)^5,0))))),IF(F106="",0,IF(AND(F106&gt;=DATE(2026+5,5,1),F106&lt;=DATE(2027+5,4,30)),(IF(I106="Vacate",TINew*D106,IF(I106="Market",Retention*TIRenewal*D106+(1-Retention)*TINew*D106,IF(I106="LeaseUp",TINew*D106,IF(I106="Option",TIRenewal*D106,0)))))+(IF(I106="Vacate",LCNew*H106*D106*(1+GrowthMarketRent)^5,IF(I106="Market",Retention*LCRenewal*H106*D106*(1+GrowthMarketRent)^5+(1-Retention)*LCNew*H106*D106*(1+GrowthMarketRent)^5,IF(I106="LeaseUp",LCNew*H106*D106*(1+GrowthMarketRent)^5,IF(I106="Option",LCRenewal*H106*D106*(1+GrowthMarketRent)^5,0))))),0))),0)</f>
        <v/>
      </c>
      <c r="AE106" s="14">
        <f>IFERROR(IF(AND(I106="LeaseUp",6=0),(IF(I106="Vacate",TINew*D106,IF(I106="Market",Retention*TIRenewal*D106+(1-Retention)*TINew*D106,IF(I106="LeaseUp",TINew*D106,IF(I106="Option",TIRenewal*D106,0)))))+(IF(I106="Vacate",LCNew*H106*D106*(1+GrowthMarketRent)^6,IF(I106="Market",Retention*LCRenewal*H106*D106*(1+GrowthMarketRent)^6+(1-Retention)*LCNew*H106*D106*(1+GrowthMarketRent)^6,IF(I106="LeaseUp",LCNew*H106*D106*(1+GrowthMarketRent)^6,IF(I106="Option",LCRenewal*H106*D106*(1+GrowthMarketRent)^6,0))))),IF(F106="",0,IF(AND(F106&gt;=DATE(2026+6,5,1),F106&lt;=DATE(2027+6,4,30)),(IF(I106="Vacate",TINew*D106,IF(I106="Market",Retention*TIRenewal*D106+(1-Retention)*TINew*D106,IF(I106="LeaseUp",TINew*D106,IF(I106="Option",TIRenewal*D106,0)))))+(IF(I106="Vacate",LCNew*H106*D106*(1+GrowthMarketRent)^6,IF(I106="Market",Retention*LCRenewal*H106*D106*(1+GrowthMarketRent)^6+(1-Retention)*LCNew*H106*D106*(1+GrowthMarketRent)^6,IF(I106="LeaseUp",LCNew*H106*D106*(1+GrowthMarketRent)^6,IF(I106="Option",LCRenewal*H106*D106*(1+GrowthMarketRent)^6,0))))),0))),0)</f>
        <v/>
      </c>
      <c r="AF106" s="14">
        <f>IFERROR(IF(AND(I106="LeaseUp",7=0),(IF(I106="Vacate",TINew*D106,IF(I106="Market",Retention*TIRenewal*D106+(1-Retention)*TINew*D106,IF(I106="LeaseUp",TINew*D106,IF(I106="Option",TIRenewal*D106,0)))))+(IF(I106="Vacate",LCNew*H106*D106*(1+GrowthMarketRent)^7,IF(I106="Market",Retention*LCRenewal*H106*D106*(1+GrowthMarketRent)^7+(1-Retention)*LCNew*H106*D106*(1+GrowthMarketRent)^7,IF(I106="LeaseUp",LCNew*H106*D106*(1+GrowthMarketRent)^7,IF(I106="Option",LCRenewal*H106*D106*(1+GrowthMarketRent)^7,0))))),IF(F106="",0,IF(AND(F106&gt;=DATE(2026+7,5,1),F106&lt;=DATE(2027+7,4,30)),(IF(I106="Vacate",TINew*D106,IF(I106="Market",Retention*TIRenewal*D106+(1-Retention)*TINew*D106,IF(I106="LeaseUp",TINew*D106,IF(I106="Option",TIRenewal*D106,0)))))+(IF(I106="Vacate",LCNew*H106*D106*(1+GrowthMarketRent)^7,IF(I106="Market",Retention*LCRenewal*H106*D106*(1+GrowthMarketRent)^7+(1-Retention)*LCNew*H106*D106*(1+GrowthMarketRent)^7,IF(I106="LeaseUp",LCNew*H106*D106*(1+GrowthMarketRent)^7,IF(I106="Option",LCRenewal*H106*D106*(1+GrowthMarketRent)^7,0))))),0))),0)</f>
        <v/>
      </c>
      <c r="AG106" s="14">
        <f>IFERROR(IF(AND(I106="LeaseUp",8=0),(IF(I106="Vacate",TINew*D106,IF(I106="Market",Retention*TIRenewal*D106+(1-Retention)*TINew*D106,IF(I106="LeaseUp",TINew*D106,IF(I106="Option",TIRenewal*D106,0)))))+(IF(I106="Vacate",LCNew*H106*D106*(1+GrowthMarketRent)^8,IF(I106="Market",Retention*LCRenewal*H106*D106*(1+GrowthMarketRent)^8+(1-Retention)*LCNew*H106*D106*(1+GrowthMarketRent)^8,IF(I106="LeaseUp",LCNew*H106*D106*(1+GrowthMarketRent)^8,IF(I106="Option",LCRenewal*H106*D106*(1+GrowthMarketRent)^8,0))))),IF(F106="",0,IF(AND(F106&gt;=DATE(2026+8,5,1),F106&lt;=DATE(2027+8,4,30)),(IF(I106="Vacate",TINew*D106,IF(I106="Market",Retention*TIRenewal*D106+(1-Retention)*TINew*D106,IF(I106="LeaseUp",TINew*D106,IF(I106="Option",TIRenewal*D106,0)))))+(IF(I106="Vacate",LCNew*H106*D106*(1+GrowthMarketRent)^8,IF(I106="Market",Retention*LCRenewal*H106*D106*(1+GrowthMarketRent)^8+(1-Retention)*LCNew*H106*D106*(1+GrowthMarketRent)^8,IF(I106="LeaseUp",LCNew*H106*D106*(1+GrowthMarketRent)^8,IF(I106="Option",LCRenewal*H106*D106*(1+GrowthMarketRent)^8,0))))),0))),0)</f>
        <v/>
      </c>
      <c r="AH106" s="14">
        <f>IFERROR(IF(AND(I106="LeaseUp",9=0),(IF(I106="Vacate",TINew*D106,IF(I106="Market",Retention*TIRenewal*D106+(1-Retention)*TINew*D106,IF(I106="LeaseUp",TINew*D106,IF(I106="Option",TIRenewal*D106,0)))))+(IF(I106="Vacate",LCNew*H106*D106*(1+GrowthMarketRent)^9,IF(I106="Market",Retention*LCRenewal*H106*D106*(1+GrowthMarketRent)^9+(1-Retention)*LCNew*H106*D106*(1+GrowthMarketRent)^9,IF(I106="LeaseUp",LCNew*H106*D106*(1+GrowthMarketRent)^9,IF(I106="Option",LCRenewal*H106*D106*(1+GrowthMarketRent)^9,0))))),IF(F106="",0,IF(AND(F106&gt;=DATE(2026+9,5,1),F106&lt;=DATE(2027+9,4,30)),(IF(I106="Vacate",TINew*D106,IF(I106="Market",Retention*TIRenewal*D106+(1-Retention)*TINew*D106,IF(I106="LeaseUp",TINew*D106,IF(I106="Option",TIRenewal*D106,0)))))+(IF(I106="Vacate",LCNew*H106*D106*(1+GrowthMarketRent)^9,IF(I106="Market",Retention*LCRenewal*H106*D106*(1+GrowthMarketRent)^9+(1-Retention)*LCNew*H106*D106*(1+GrowthMarketRent)^9,IF(I106="LeaseUp",LCNew*H106*D106*(1+GrowthMarketRent)^9,IF(I106="Option",LCRenewal*H106*D106*(1+GrowthMarketRent)^9,0))))),0))),0)</f>
        <v/>
      </c>
      <c r="AI106" s="14">
        <f>IFERROR(IF(AND(I106="LeaseUp",10=0),(IF(I106="Vacate",TINew*D106,IF(I106="Market",Retention*TIRenewal*D106+(1-Retention)*TINew*D106,IF(I106="LeaseUp",TINew*D106,IF(I106="Option",TIRenewal*D106,0)))))+(IF(I106="Vacate",LCNew*H106*D106*(1+GrowthMarketRent)^10,IF(I106="Market",Retention*LCRenewal*H106*D106*(1+GrowthMarketRent)^10+(1-Retention)*LCNew*H106*D106*(1+GrowthMarketRent)^10,IF(I106="LeaseUp",LCNew*H106*D106*(1+GrowthMarketRent)^10,IF(I106="Option",LCRenewal*H106*D106*(1+GrowthMarketRent)^10,0))))),IF(F106="",0,IF(AND(F106&gt;=DATE(2026+10,5,1),F106&lt;=DATE(2027+10,4,30)),(IF(I106="Vacate",TINew*D106,IF(I106="Market",Retention*TIRenewal*D106+(1-Retention)*TINew*D106,IF(I106="LeaseUp",TINew*D106,IF(I106="Option",TIRenewal*D106,0)))))+(IF(I106="Vacate",LCNew*H106*D106*(1+GrowthMarketRent)^10,IF(I106="Market",Retention*LCRenewal*H106*D106*(1+GrowthMarketRent)^10+(1-Retention)*LCNew*H106*D106*(1+GrowthMarketRent)^10,IF(I106="LeaseUp",LCNew*H106*D106*(1+GrowthMarketRent)^10,IF(I106="Option",LCRenewal*H106*D106*(1+GrowthMarketRent)^10,0))))),0))),0)</f>
        <v/>
      </c>
    </row>
    <row r="107">
      <c r="A107" t="inlineStr">
        <is>
          <t>Lewisville</t>
        </is>
      </c>
      <c r="B107" t="inlineStr">
        <is>
          <t>207</t>
        </is>
      </c>
      <c r="C107" t="inlineStr">
        <is>
          <t>Amazing Life Foundation</t>
        </is>
      </c>
      <c r="D107" s="32" t="n">
        <v>2600</v>
      </c>
      <c r="E107" s="33" t="n">
        <v>45870</v>
      </c>
      <c r="F107" s="33" t="n">
        <v>46235</v>
      </c>
      <c r="G107" s="34" t="n">
        <v>18</v>
      </c>
      <c r="H107" s="16">
        <f>VLOOKUP(A107,MLA!$A$5:$L$11,3,FALSE)</f>
        <v/>
      </c>
      <c r="I107" s="11" t="inlineStr">
        <is>
          <t>Option</t>
        </is>
      </c>
      <c r="J107" t="inlineStr">
        <is>
          <t>Shop</t>
        </is>
      </c>
      <c r="K107" t="inlineStr">
        <is>
          <t>Occupied</t>
        </is>
      </c>
      <c r="L107" t="inlineStr">
        <is>
          <t>Shop; short-term lease; Two 3yr options @ FMV</t>
        </is>
      </c>
      <c r="M107" s="20">
        <f>IF(E107="",0,(AnalysisStart-E107)/365.25)</f>
        <v/>
      </c>
      <c r="N107" s="14">
        <f>IFERROR(IF(I107="LeaseUp",H107*D107*(1+GrowthMarketRent)^0*IF(0=0,(12-DowntimeNew)/12,1),IF(F107="",0,IF(F107&gt;=DATE(2027+0,4,30),G107*D107*(1+EscalatorInLease)^(0+M107),IF(F107&lt;DATE(2026+0,5,1),IF(I107="Vacate",H107*D107*(1+GrowthMarketRent)^0*IF(INT((DATE(2026+0,10,31)-F107)/365.25)=0,(12-DowntimeNew)/12,1),IF(I107="Option",G107*D107*1.025*(1+EscalatorInLease)^0,IF(I107="Market",Retention*G107*D107*(1+EscalatorInLease)^(0+M107)+(1-Retention)*H107*D107*(1+GrowthMarketRent)^0*IF(INT((DATE(2026+0,10,31)-F107)/365.25)=0,(12-DowntimeNew)/12,1),IF(I107="LeaseUp",H107*D107*(1+GrowthMarketRent)^0*IF(0=0,(12-DowntimeNew)/12,1),0)))),((F107-DATE(2026+0,5,1))/365.25)*G107*D107*(1+EscalatorInLease)^(0+M107)+((DATE(2027+0,4,30)-F107)/365.25)*IF(I107="Vacate",H107*D107*(1+GrowthMarketRent)^0*IF(INT((DATE(2026+0,10,31)-F107)/365.25)=0,(12-DowntimeNew)/12,1),IF(I107="Option",G107*D107*1.025*(1+EscalatorInLease)^0,IF(I107="Market",Retention*G107*D107*(1+EscalatorInLease)^(0+M107)+(1-Retention)*H107*D107*(1+GrowthMarketRent)^0*IF(INT((DATE(2026+0,10,31)-F107)/365.25)=0,(12-DowntimeNew)/12,1),IF(I107="LeaseUp",H107*D107*(1+GrowthMarketRent)^0*IF(0=0,(12-DowntimeNew)/12,1),0)))))))),0)</f>
        <v/>
      </c>
      <c r="O107" s="14">
        <f>IFERROR(IF(I107="LeaseUp",H107*D107*(1+GrowthMarketRent)^1*IF(1=0,(12-DowntimeNew)/12,1),IF(F107="",0,IF(F107&gt;=DATE(2027+1,4,30),G107*D107*(1+EscalatorInLease)^(1+M107),IF(F107&lt;DATE(2026+1,5,1),IF(I107="Vacate",H107*D107*(1+GrowthMarketRent)^1*IF(INT((DATE(2026+1,10,31)-F107)/365.25)=0,(12-DowntimeNew)/12,1),IF(I107="Option",G107*D107*1.025*(1+EscalatorInLease)^1,IF(I107="Market",Retention*G107*D107*(1+EscalatorInLease)^(1+M107)+(1-Retention)*H107*D107*(1+GrowthMarketRent)^1*IF(INT((DATE(2026+1,10,31)-F107)/365.25)=0,(12-DowntimeNew)/12,1),IF(I107="LeaseUp",H107*D107*(1+GrowthMarketRent)^1*IF(1=0,(12-DowntimeNew)/12,1),0)))),((F107-DATE(2026+1,5,1))/365.25)*G107*D107*(1+EscalatorInLease)^(1+M107)+((DATE(2027+1,4,30)-F107)/365.25)*IF(I107="Vacate",H107*D107*(1+GrowthMarketRent)^1*IF(INT((DATE(2026+1,10,31)-F107)/365.25)=0,(12-DowntimeNew)/12,1),IF(I107="Option",G107*D107*1.025*(1+EscalatorInLease)^1,IF(I107="Market",Retention*G107*D107*(1+EscalatorInLease)^(1+M107)+(1-Retention)*H107*D107*(1+GrowthMarketRent)^1*IF(INT((DATE(2026+1,10,31)-F107)/365.25)=0,(12-DowntimeNew)/12,1),IF(I107="LeaseUp",H107*D107*(1+GrowthMarketRent)^1*IF(1=0,(12-DowntimeNew)/12,1),0)))))))),0)</f>
        <v/>
      </c>
      <c r="P107" s="14">
        <f>IFERROR(IF(I107="LeaseUp",H107*D107*(1+GrowthMarketRent)^2*IF(2=0,(12-DowntimeNew)/12,1),IF(F107="",0,IF(F107&gt;=DATE(2027+2,4,30),G107*D107*(1+EscalatorInLease)^(2+M107),IF(F107&lt;DATE(2026+2,5,1),IF(I107="Vacate",H107*D107*(1+GrowthMarketRent)^2*IF(INT((DATE(2026+2,10,31)-F107)/365.25)=0,(12-DowntimeNew)/12,1),IF(I107="Option",G107*D107*1.025*(1+EscalatorInLease)^2,IF(I107="Market",Retention*G107*D107*(1+EscalatorInLease)^(2+M107)+(1-Retention)*H107*D107*(1+GrowthMarketRent)^2*IF(INT((DATE(2026+2,10,31)-F107)/365.25)=0,(12-DowntimeNew)/12,1),IF(I107="LeaseUp",H107*D107*(1+GrowthMarketRent)^2*IF(2=0,(12-DowntimeNew)/12,1),0)))),((F107-DATE(2026+2,5,1))/365.25)*G107*D107*(1+EscalatorInLease)^(2+M107)+((DATE(2027+2,4,30)-F107)/365.25)*IF(I107="Vacate",H107*D107*(1+GrowthMarketRent)^2*IF(INT((DATE(2026+2,10,31)-F107)/365.25)=0,(12-DowntimeNew)/12,1),IF(I107="Option",G107*D107*1.025*(1+EscalatorInLease)^2,IF(I107="Market",Retention*G107*D107*(1+EscalatorInLease)^(2+M107)+(1-Retention)*H107*D107*(1+GrowthMarketRent)^2*IF(INT((DATE(2026+2,10,31)-F107)/365.25)=0,(12-DowntimeNew)/12,1),IF(I107="LeaseUp",H107*D107*(1+GrowthMarketRent)^2*IF(2=0,(12-DowntimeNew)/12,1),0)))))))),0)</f>
        <v/>
      </c>
      <c r="Q107" s="14">
        <f>IFERROR(IF(I107="LeaseUp",H107*D107*(1+GrowthMarketRent)^3*IF(3=0,(12-DowntimeNew)/12,1),IF(F107="",0,IF(F107&gt;=DATE(2027+3,4,30),G107*D107*(1+EscalatorInLease)^(3+M107),IF(F107&lt;DATE(2026+3,5,1),IF(I107="Vacate",H107*D107*(1+GrowthMarketRent)^3*IF(INT((DATE(2026+3,10,31)-F107)/365.25)=0,(12-DowntimeNew)/12,1),IF(I107="Option",G107*D107*1.025*(1+EscalatorInLease)^3,IF(I107="Market",Retention*G107*D107*(1+EscalatorInLease)^(3+M107)+(1-Retention)*H107*D107*(1+GrowthMarketRent)^3*IF(INT((DATE(2026+3,10,31)-F107)/365.25)=0,(12-DowntimeNew)/12,1),IF(I107="LeaseUp",H107*D107*(1+GrowthMarketRent)^3*IF(3=0,(12-DowntimeNew)/12,1),0)))),((F107-DATE(2026+3,5,1))/365.25)*G107*D107*(1+EscalatorInLease)^(3+M107)+((DATE(2027+3,4,30)-F107)/365.25)*IF(I107="Vacate",H107*D107*(1+GrowthMarketRent)^3*IF(INT((DATE(2026+3,10,31)-F107)/365.25)=0,(12-DowntimeNew)/12,1),IF(I107="Option",G107*D107*1.025*(1+EscalatorInLease)^3,IF(I107="Market",Retention*G107*D107*(1+EscalatorInLease)^(3+M107)+(1-Retention)*H107*D107*(1+GrowthMarketRent)^3*IF(INT((DATE(2026+3,10,31)-F107)/365.25)=0,(12-DowntimeNew)/12,1),IF(I107="LeaseUp",H107*D107*(1+GrowthMarketRent)^3*IF(3=0,(12-DowntimeNew)/12,1),0)))))))),0)</f>
        <v/>
      </c>
      <c r="R107" s="14">
        <f>IFERROR(IF(I107="LeaseUp",H107*D107*(1+GrowthMarketRent)^4*IF(4=0,(12-DowntimeNew)/12,1),IF(F107="",0,IF(F107&gt;=DATE(2027+4,4,30),G107*D107*(1+EscalatorInLease)^(4+M107),IF(F107&lt;DATE(2026+4,5,1),IF(I107="Vacate",H107*D107*(1+GrowthMarketRent)^4*IF(INT((DATE(2026+4,10,31)-F107)/365.25)=0,(12-DowntimeNew)/12,1),IF(I107="Option",G107*D107*1.025*(1+EscalatorInLease)^4,IF(I107="Market",Retention*G107*D107*(1+EscalatorInLease)^(4+M107)+(1-Retention)*H107*D107*(1+GrowthMarketRent)^4*IF(INT((DATE(2026+4,10,31)-F107)/365.25)=0,(12-DowntimeNew)/12,1),IF(I107="LeaseUp",H107*D107*(1+GrowthMarketRent)^4*IF(4=0,(12-DowntimeNew)/12,1),0)))),((F107-DATE(2026+4,5,1))/365.25)*G107*D107*(1+EscalatorInLease)^(4+M107)+((DATE(2027+4,4,30)-F107)/365.25)*IF(I107="Vacate",H107*D107*(1+GrowthMarketRent)^4*IF(INT((DATE(2026+4,10,31)-F107)/365.25)=0,(12-DowntimeNew)/12,1),IF(I107="Option",G107*D107*1.025*(1+EscalatorInLease)^4,IF(I107="Market",Retention*G107*D107*(1+EscalatorInLease)^(4+M107)+(1-Retention)*H107*D107*(1+GrowthMarketRent)^4*IF(INT((DATE(2026+4,10,31)-F107)/365.25)=0,(12-DowntimeNew)/12,1),IF(I107="LeaseUp",H107*D107*(1+GrowthMarketRent)^4*IF(4=0,(12-DowntimeNew)/12,1),0)))))))),0)</f>
        <v/>
      </c>
      <c r="S107" s="14">
        <f>IFERROR(IF(I107="LeaseUp",H107*D107*(1+GrowthMarketRent)^5*IF(5=0,(12-DowntimeNew)/12,1),IF(F107="",0,IF(F107&gt;=DATE(2027+5,4,30),G107*D107*(1+EscalatorInLease)^(5+M107),IF(F107&lt;DATE(2026+5,5,1),IF(I107="Vacate",H107*D107*(1+GrowthMarketRent)^5*IF(INT((DATE(2026+5,10,31)-F107)/365.25)=0,(12-DowntimeNew)/12,1),IF(I107="Option",G107*D107*1.025*(1+EscalatorInLease)^5,IF(I107="Market",Retention*G107*D107*(1+EscalatorInLease)^(5+M107)+(1-Retention)*H107*D107*(1+GrowthMarketRent)^5*IF(INT((DATE(2026+5,10,31)-F107)/365.25)=0,(12-DowntimeNew)/12,1),IF(I107="LeaseUp",H107*D107*(1+GrowthMarketRent)^5*IF(5=0,(12-DowntimeNew)/12,1),0)))),((F107-DATE(2026+5,5,1))/365.25)*G107*D107*(1+EscalatorInLease)^(5+M107)+((DATE(2027+5,4,30)-F107)/365.25)*IF(I107="Vacate",H107*D107*(1+GrowthMarketRent)^5*IF(INT((DATE(2026+5,10,31)-F107)/365.25)=0,(12-DowntimeNew)/12,1),IF(I107="Option",G107*D107*1.025*(1+EscalatorInLease)^5,IF(I107="Market",Retention*G107*D107*(1+EscalatorInLease)^(5+M107)+(1-Retention)*H107*D107*(1+GrowthMarketRent)^5*IF(INT((DATE(2026+5,10,31)-F107)/365.25)=0,(12-DowntimeNew)/12,1),IF(I107="LeaseUp",H107*D107*(1+GrowthMarketRent)^5*IF(5=0,(12-DowntimeNew)/12,1),0)))))))),0)</f>
        <v/>
      </c>
      <c r="T107" s="14">
        <f>IFERROR(IF(I107="LeaseUp",H107*D107*(1+GrowthMarketRent)^6*IF(6=0,(12-DowntimeNew)/12,1),IF(F107="",0,IF(F107&gt;=DATE(2027+6,4,30),G107*D107*(1+EscalatorInLease)^(6+M107),IF(F107&lt;DATE(2026+6,5,1),IF(I107="Vacate",H107*D107*(1+GrowthMarketRent)^6*IF(INT((DATE(2026+6,10,31)-F107)/365.25)=0,(12-DowntimeNew)/12,1),IF(I107="Option",G107*D107*1.025*(1+EscalatorInLease)^6,IF(I107="Market",Retention*G107*D107*(1+EscalatorInLease)^(6+M107)+(1-Retention)*H107*D107*(1+GrowthMarketRent)^6*IF(INT((DATE(2026+6,10,31)-F107)/365.25)=0,(12-DowntimeNew)/12,1),IF(I107="LeaseUp",H107*D107*(1+GrowthMarketRent)^6*IF(6=0,(12-DowntimeNew)/12,1),0)))),((F107-DATE(2026+6,5,1))/365.25)*G107*D107*(1+EscalatorInLease)^(6+M107)+((DATE(2027+6,4,30)-F107)/365.25)*IF(I107="Vacate",H107*D107*(1+GrowthMarketRent)^6*IF(INT((DATE(2026+6,10,31)-F107)/365.25)=0,(12-DowntimeNew)/12,1),IF(I107="Option",G107*D107*1.025*(1+EscalatorInLease)^6,IF(I107="Market",Retention*G107*D107*(1+EscalatorInLease)^(6+M107)+(1-Retention)*H107*D107*(1+GrowthMarketRent)^6*IF(INT((DATE(2026+6,10,31)-F107)/365.25)=0,(12-DowntimeNew)/12,1),IF(I107="LeaseUp",H107*D107*(1+GrowthMarketRent)^6*IF(6=0,(12-DowntimeNew)/12,1),0)))))))),0)</f>
        <v/>
      </c>
      <c r="U107" s="14">
        <f>IFERROR(IF(I107="LeaseUp",H107*D107*(1+GrowthMarketRent)^7*IF(7=0,(12-DowntimeNew)/12,1),IF(F107="",0,IF(F107&gt;=DATE(2027+7,4,30),G107*D107*(1+EscalatorInLease)^(7+M107),IF(F107&lt;DATE(2026+7,5,1),IF(I107="Vacate",H107*D107*(1+GrowthMarketRent)^7*IF(INT((DATE(2026+7,10,31)-F107)/365.25)=0,(12-DowntimeNew)/12,1),IF(I107="Option",G107*D107*1.025*(1+EscalatorInLease)^7,IF(I107="Market",Retention*G107*D107*(1+EscalatorInLease)^(7+M107)+(1-Retention)*H107*D107*(1+GrowthMarketRent)^7*IF(INT((DATE(2026+7,10,31)-F107)/365.25)=0,(12-DowntimeNew)/12,1),IF(I107="LeaseUp",H107*D107*(1+GrowthMarketRent)^7*IF(7=0,(12-DowntimeNew)/12,1),0)))),((F107-DATE(2026+7,5,1))/365.25)*G107*D107*(1+EscalatorInLease)^(7+M107)+((DATE(2027+7,4,30)-F107)/365.25)*IF(I107="Vacate",H107*D107*(1+GrowthMarketRent)^7*IF(INT((DATE(2026+7,10,31)-F107)/365.25)=0,(12-DowntimeNew)/12,1),IF(I107="Option",G107*D107*1.025*(1+EscalatorInLease)^7,IF(I107="Market",Retention*G107*D107*(1+EscalatorInLease)^(7+M107)+(1-Retention)*H107*D107*(1+GrowthMarketRent)^7*IF(INT((DATE(2026+7,10,31)-F107)/365.25)=0,(12-DowntimeNew)/12,1),IF(I107="LeaseUp",H107*D107*(1+GrowthMarketRent)^7*IF(7=0,(12-DowntimeNew)/12,1),0)))))))),0)</f>
        <v/>
      </c>
      <c r="V107" s="14">
        <f>IFERROR(IF(I107="LeaseUp",H107*D107*(1+GrowthMarketRent)^8*IF(8=0,(12-DowntimeNew)/12,1),IF(F107="",0,IF(F107&gt;=DATE(2027+8,4,30),G107*D107*(1+EscalatorInLease)^(8+M107),IF(F107&lt;DATE(2026+8,5,1),IF(I107="Vacate",H107*D107*(1+GrowthMarketRent)^8*IF(INT((DATE(2026+8,10,31)-F107)/365.25)=0,(12-DowntimeNew)/12,1),IF(I107="Option",G107*D107*1.025*(1+EscalatorInLease)^8,IF(I107="Market",Retention*G107*D107*(1+EscalatorInLease)^(8+M107)+(1-Retention)*H107*D107*(1+GrowthMarketRent)^8*IF(INT((DATE(2026+8,10,31)-F107)/365.25)=0,(12-DowntimeNew)/12,1),IF(I107="LeaseUp",H107*D107*(1+GrowthMarketRent)^8*IF(8=0,(12-DowntimeNew)/12,1),0)))),((F107-DATE(2026+8,5,1))/365.25)*G107*D107*(1+EscalatorInLease)^(8+M107)+((DATE(2027+8,4,30)-F107)/365.25)*IF(I107="Vacate",H107*D107*(1+GrowthMarketRent)^8*IF(INT((DATE(2026+8,10,31)-F107)/365.25)=0,(12-DowntimeNew)/12,1),IF(I107="Option",G107*D107*1.025*(1+EscalatorInLease)^8,IF(I107="Market",Retention*G107*D107*(1+EscalatorInLease)^(8+M107)+(1-Retention)*H107*D107*(1+GrowthMarketRent)^8*IF(INT((DATE(2026+8,10,31)-F107)/365.25)=0,(12-DowntimeNew)/12,1),IF(I107="LeaseUp",H107*D107*(1+GrowthMarketRent)^8*IF(8=0,(12-DowntimeNew)/12,1),0)))))))),0)</f>
        <v/>
      </c>
      <c r="W107" s="14">
        <f>IFERROR(IF(I107="LeaseUp",H107*D107*(1+GrowthMarketRent)^9*IF(9=0,(12-DowntimeNew)/12,1),IF(F107="",0,IF(F107&gt;=DATE(2027+9,4,30),G107*D107*(1+EscalatorInLease)^(9+M107),IF(F107&lt;DATE(2026+9,5,1),IF(I107="Vacate",H107*D107*(1+GrowthMarketRent)^9*IF(INT((DATE(2026+9,10,31)-F107)/365.25)=0,(12-DowntimeNew)/12,1),IF(I107="Option",G107*D107*1.025*(1+EscalatorInLease)^9,IF(I107="Market",Retention*G107*D107*(1+EscalatorInLease)^(9+M107)+(1-Retention)*H107*D107*(1+GrowthMarketRent)^9*IF(INT((DATE(2026+9,10,31)-F107)/365.25)=0,(12-DowntimeNew)/12,1),IF(I107="LeaseUp",H107*D107*(1+GrowthMarketRent)^9*IF(9=0,(12-DowntimeNew)/12,1),0)))),((F107-DATE(2026+9,5,1))/365.25)*G107*D107*(1+EscalatorInLease)^(9+M107)+((DATE(2027+9,4,30)-F107)/365.25)*IF(I107="Vacate",H107*D107*(1+GrowthMarketRent)^9*IF(INT((DATE(2026+9,10,31)-F107)/365.25)=0,(12-DowntimeNew)/12,1),IF(I107="Option",G107*D107*1.025*(1+EscalatorInLease)^9,IF(I107="Market",Retention*G107*D107*(1+EscalatorInLease)^(9+M107)+(1-Retention)*H107*D107*(1+GrowthMarketRent)^9*IF(INT((DATE(2026+9,10,31)-F107)/365.25)=0,(12-DowntimeNew)/12,1),IF(I107="LeaseUp",H107*D107*(1+GrowthMarketRent)^9*IF(9=0,(12-DowntimeNew)/12,1),0)))))))),0)</f>
        <v/>
      </c>
      <c r="X107" s="14">
        <f>IFERROR(IF(I107="LeaseUp",H107*D107*(1+GrowthMarketRent)^10*IF(10=0,(12-DowntimeNew)/12,1),IF(F107="",0,IF(F107&gt;=DATE(2027+10,4,30),G107*D107*(1+EscalatorInLease)^(10+M107),IF(F107&lt;DATE(2026+10,5,1),IF(I107="Vacate",H107*D107*(1+GrowthMarketRent)^10*IF(INT((DATE(2026+10,10,31)-F107)/365.25)=0,(12-DowntimeNew)/12,1),IF(I107="Option",G107*D107*1.025*(1+EscalatorInLease)^10,IF(I107="Market",Retention*G107*D107*(1+EscalatorInLease)^(10+M107)+(1-Retention)*H107*D107*(1+GrowthMarketRent)^10*IF(INT((DATE(2026+10,10,31)-F107)/365.25)=0,(12-DowntimeNew)/12,1),IF(I107="LeaseUp",H107*D107*(1+GrowthMarketRent)^10*IF(10=0,(12-DowntimeNew)/12,1),0)))),((F107-DATE(2026+10,5,1))/365.25)*G107*D107*(1+EscalatorInLease)^(10+M107)+((DATE(2027+10,4,30)-F107)/365.25)*IF(I107="Vacate",H107*D107*(1+GrowthMarketRent)^10*IF(INT((DATE(2026+10,10,31)-F107)/365.25)=0,(12-DowntimeNew)/12,1),IF(I107="Option",G107*D107*1.025*(1+EscalatorInLease)^10,IF(I107="Market",Retention*G107*D107*(1+EscalatorInLease)^(10+M107)+(1-Retention)*H107*D107*(1+GrowthMarketRent)^10*IF(INT((DATE(2026+10,10,31)-F107)/365.25)=0,(12-DowntimeNew)/12,1),IF(I107="LeaseUp",H107*D107*(1+GrowthMarketRent)^10*IF(10=0,(12-DowntimeNew)/12,1),0)))))))),0)</f>
        <v/>
      </c>
      <c r="Y107" s="14">
        <f>IFERROR(IF(AND(I107="LeaseUp",0=0),(IF(I107="Vacate",TINew*D107,IF(I107="Market",Retention*TIRenewal*D107+(1-Retention)*TINew*D107,IF(I107="LeaseUp",TINew*D107,IF(I107="Option",TIRenewal*D107,0)))))+(IF(I107="Vacate",LCNew*H107*D107*(1+GrowthMarketRent)^0,IF(I107="Market",Retention*LCRenewal*H107*D107*(1+GrowthMarketRent)^0+(1-Retention)*LCNew*H107*D107*(1+GrowthMarketRent)^0,IF(I107="LeaseUp",LCNew*H107*D107*(1+GrowthMarketRent)^0,IF(I107="Option",LCRenewal*H107*D107*(1+GrowthMarketRent)^0,0))))),IF(F107="",0,IF(AND(F107&gt;=DATE(2026+0,5,1),F107&lt;=DATE(2027+0,4,30)),(IF(I107="Vacate",TINew*D107,IF(I107="Market",Retention*TIRenewal*D107+(1-Retention)*TINew*D107,IF(I107="LeaseUp",TINew*D107,IF(I107="Option",TIRenewal*D107,0)))))+(IF(I107="Vacate",LCNew*H107*D107*(1+GrowthMarketRent)^0,IF(I107="Market",Retention*LCRenewal*H107*D107*(1+GrowthMarketRent)^0+(1-Retention)*LCNew*H107*D107*(1+GrowthMarketRent)^0,IF(I107="LeaseUp",LCNew*H107*D107*(1+GrowthMarketRent)^0,IF(I107="Option",LCRenewal*H107*D107*(1+GrowthMarketRent)^0,0))))),0))),0)</f>
        <v/>
      </c>
      <c r="Z107" s="14">
        <f>IFERROR(IF(AND(I107="LeaseUp",1=0),(IF(I107="Vacate",TINew*D107,IF(I107="Market",Retention*TIRenewal*D107+(1-Retention)*TINew*D107,IF(I107="LeaseUp",TINew*D107,IF(I107="Option",TIRenewal*D107,0)))))+(IF(I107="Vacate",LCNew*H107*D107*(1+GrowthMarketRent)^1,IF(I107="Market",Retention*LCRenewal*H107*D107*(1+GrowthMarketRent)^1+(1-Retention)*LCNew*H107*D107*(1+GrowthMarketRent)^1,IF(I107="LeaseUp",LCNew*H107*D107*(1+GrowthMarketRent)^1,IF(I107="Option",LCRenewal*H107*D107*(1+GrowthMarketRent)^1,0))))),IF(F107="",0,IF(AND(F107&gt;=DATE(2026+1,5,1),F107&lt;=DATE(2027+1,4,30)),(IF(I107="Vacate",TINew*D107,IF(I107="Market",Retention*TIRenewal*D107+(1-Retention)*TINew*D107,IF(I107="LeaseUp",TINew*D107,IF(I107="Option",TIRenewal*D107,0)))))+(IF(I107="Vacate",LCNew*H107*D107*(1+GrowthMarketRent)^1,IF(I107="Market",Retention*LCRenewal*H107*D107*(1+GrowthMarketRent)^1+(1-Retention)*LCNew*H107*D107*(1+GrowthMarketRent)^1,IF(I107="LeaseUp",LCNew*H107*D107*(1+GrowthMarketRent)^1,IF(I107="Option",LCRenewal*H107*D107*(1+GrowthMarketRent)^1,0))))),0))),0)</f>
        <v/>
      </c>
      <c r="AA107" s="14">
        <f>IFERROR(IF(AND(I107="LeaseUp",2=0),(IF(I107="Vacate",TINew*D107,IF(I107="Market",Retention*TIRenewal*D107+(1-Retention)*TINew*D107,IF(I107="LeaseUp",TINew*D107,IF(I107="Option",TIRenewal*D107,0)))))+(IF(I107="Vacate",LCNew*H107*D107*(1+GrowthMarketRent)^2,IF(I107="Market",Retention*LCRenewal*H107*D107*(1+GrowthMarketRent)^2+(1-Retention)*LCNew*H107*D107*(1+GrowthMarketRent)^2,IF(I107="LeaseUp",LCNew*H107*D107*(1+GrowthMarketRent)^2,IF(I107="Option",LCRenewal*H107*D107*(1+GrowthMarketRent)^2,0))))),IF(F107="",0,IF(AND(F107&gt;=DATE(2026+2,5,1),F107&lt;=DATE(2027+2,4,30)),(IF(I107="Vacate",TINew*D107,IF(I107="Market",Retention*TIRenewal*D107+(1-Retention)*TINew*D107,IF(I107="LeaseUp",TINew*D107,IF(I107="Option",TIRenewal*D107,0)))))+(IF(I107="Vacate",LCNew*H107*D107*(1+GrowthMarketRent)^2,IF(I107="Market",Retention*LCRenewal*H107*D107*(1+GrowthMarketRent)^2+(1-Retention)*LCNew*H107*D107*(1+GrowthMarketRent)^2,IF(I107="LeaseUp",LCNew*H107*D107*(1+GrowthMarketRent)^2,IF(I107="Option",LCRenewal*H107*D107*(1+GrowthMarketRent)^2,0))))),0))),0)</f>
        <v/>
      </c>
      <c r="AB107" s="14">
        <f>IFERROR(IF(AND(I107="LeaseUp",3=0),(IF(I107="Vacate",TINew*D107,IF(I107="Market",Retention*TIRenewal*D107+(1-Retention)*TINew*D107,IF(I107="LeaseUp",TINew*D107,IF(I107="Option",TIRenewal*D107,0)))))+(IF(I107="Vacate",LCNew*H107*D107*(1+GrowthMarketRent)^3,IF(I107="Market",Retention*LCRenewal*H107*D107*(1+GrowthMarketRent)^3+(1-Retention)*LCNew*H107*D107*(1+GrowthMarketRent)^3,IF(I107="LeaseUp",LCNew*H107*D107*(1+GrowthMarketRent)^3,IF(I107="Option",LCRenewal*H107*D107*(1+GrowthMarketRent)^3,0))))),IF(F107="",0,IF(AND(F107&gt;=DATE(2026+3,5,1),F107&lt;=DATE(2027+3,4,30)),(IF(I107="Vacate",TINew*D107,IF(I107="Market",Retention*TIRenewal*D107+(1-Retention)*TINew*D107,IF(I107="LeaseUp",TINew*D107,IF(I107="Option",TIRenewal*D107,0)))))+(IF(I107="Vacate",LCNew*H107*D107*(1+GrowthMarketRent)^3,IF(I107="Market",Retention*LCRenewal*H107*D107*(1+GrowthMarketRent)^3+(1-Retention)*LCNew*H107*D107*(1+GrowthMarketRent)^3,IF(I107="LeaseUp",LCNew*H107*D107*(1+GrowthMarketRent)^3,IF(I107="Option",LCRenewal*H107*D107*(1+GrowthMarketRent)^3,0))))),0))),0)</f>
        <v/>
      </c>
      <c r="AC107" s="14">
        <f>IFERROR(IF(AND(I107="LeaseUp",4=0),(IF(I107="Vacate",TINew*D107,IF(I107="Market",Retention*TIRenewal*D107+(1-Retention)*TINew*D107,IF(I107="LeaseUp",TINew*D107,IF(I107="Option",TIRenewal*D107,0)))))+(IF(I107="Vacate",LCNew*H107*D107*(1+GrowthMarketRent)^4,IF(I107="Market",Retention*LCRenewal*H107*D107*(1+GrowthMarketRent)^4+(1-Retention)*LCNew*H107*D107*(1+GrowthMarketRent)^4,IF(I107="LeaseUp",LCNew*H107*D107*(1+GrowthMarketRent)^4,IF(I107="Option",LCRenewal*H107*D107*(1+GrowthMarketRent)^4,0))))),IF(F107="",0,IF(AND(F107&gt;=DATE(2026+4,5,1),F107&lt;=DATE(2027+4,4,30)),(IF(I107="Vacate",TINew*D107,IF(I107="Market",Retention*TIRenewal*D107+(1-Retention)*TINew*D107,IF(I107="LeaseUp",TINew*D107,IF(I107="Option",TIRenewal*D107,0)))))+(IF(I107="Vacate",LCNew*H107*D107*(1+GrowthMarketRent)^4,IF(I107="Market",Retention*LCRenewal*H107*D107*(1+GrowthMarketRent)^4+(1-Retention)*LCNew*H107*D107*(1+GrowthMarketRent)^4,IF(I107="LeaseUp",LCNew*H107*D107*(1+GrowthMarketRent)^4,IF(I107="Option",LCRenewal*H107*D107*(1+GrowthMarketRent)^4,0))))),0))),0)</f>
        <v/>
      </c>
      <c r="AD107" s="14">
        <f>IFERROR(IF(AND(I107="LeaseUp",5=0),(IF(I107="Vacate",TINew*D107,IF(I107="Market",Retention*TIRenewal*D107+(1-Retention)*TINew*D107,IF(I107="LeaseUp",TINew*D107,IF(I107="Option",TIRenewal*D107,0)))))+(IF(I107="Vacate",LCNew*H107*D107*(1+GrowthMarketRent)^5,IF(I107="Market",Retention*LCRenewal*H107*D107*(1+GrowthMarketRent)^5+(1-Retention)*LCNew*H107*D107*(1+GrowthMarketRent)^5,IF(I107="LeaseUp",LCNew*H107*D107*(1+GrowthMarketRent)^5,IF(I107="Option",LCRenewal*H107*D107*(1+GrowthMarketRent)^5,0))))),IF(F107="",0,IF(AND(F107&gt;=DATE(2026+5,5,1),F107&lt;=DATE(2027+5,4,30)),(IF(I107="Vacate",TINew*D107,IF(I107="Market",Retention*TIRenewal*D107+(1-Retention)*TINew*D107,IF(I107="LeaseUp",TINew*D107,IF(I107="Option",TIRenewal*D107,0)))))+(IF(I107="Vacate",LCNew*H107*D107*(1+GrowthMarketRent)^5,IF(I107="Market",Retention*LCRenewal*H107*D107*(1+GrowthMarketRent)^5+(1-Retention)*LCNew*H107*D107*(1+GrowthMarketRent)^5,IF(I107="LeaseUp",LCNew*H107*D107*(1+GrowthMarketRent)^5,IF(I107="Option",LCRenewal*H107*D107*(1+GrowthMarketRent)^5,0))))),0))),0)</f>
        <v/>
      </c>
      <c r="AE107" s="14">
        <f>IFERROR(IF(AND(I107="LeaseUp",6=0),(IF(I107="Vacate",TINew*D107,IF(I107="Market",Retention*TIRenewal*D107+(1-Retention)*TINew*D107,IF(I107="LeaseUp",TINew*D107,IF(I107="Option",TIRenewal*D107,0)))))+(IF(I107="Vacate",LCNew*H107*D107*(1+GrowthMarketRent)^6,IF(I107="Market",Retention*LCRenewal*H107*D107*(1+GrowthMarketRent)^6+(1-Retention)*LCNew*H107*D107*(1+GrowthMarketRent)^6,IF(I107="LeaseUp",LCNew*H107*D107*(1+GrowthMarketRent)^6,IF(I107="Option",LCRenewal*H107*D107*(1+GrowthMarketRent)^6,0))))),IF(F107="",0,IF(AND(F107&gt;=DATE(2026+6,5,1),F107&lt;=DATE(2027+6,4,30)),(IF(I107="Vacate",TINew*D107,IF(I107="Market",Retention*TIRenewal*D107+(1-Retention)*TINew*D107,IF(I107="LeaseUp",TINew*D107,IF(I107="Option",TIRenewal*D107,0)))))+(IF(I107="Vacate",LCNew*H107*D107*(1+GrowthMarketRent)^6,IF(I107="Market",Retention*LCRenewal*H107*D107*(1+GrowthMarketRent)^6+(1-Retention)*LCNew*H107*D107*(1+GrowthMarketRent)^6,IF(I107="LeaseUp",LCNew*H107*D107*(1+GrowthMarketRent)^6,IF(I107="Option",LCRenewal*H107*D107*(1+GrowthMarketRent)^6,0))))),0))),0)</f>
        <v/>
      </c>
      <c r="AF107" s="14">
        <f>IFERROR(IF(AND(I107="LeaseUp",7=0),(IF(I107="Vacate",TINew*D107,IF(I107="Market",Retention*TIRenewal*D107+(1-Retention)*TINew*D107,IF(I107="LeaseUp",TINew*D107,IF(I107="Option",TIRenewal*D107,0)))))+(IF(I107="Vacate",LCNew*H107*D107*(1+GrowthMarketRent)^7,IF(I107="Market",Retention*LCRenewal*H107*D107*(1+GrowthMarketRent)^7+(1-Retention)*LCNew*H107*D107*(1+GrowthMarketRent)^7,IF(I107="LeaseUp",LCNew*H107*D107*(1+GrowthMarketRent)^7,IF(I107="Option",LCRenewal*H107*D107*(1+GrowthMarketRent)^7,0))))),IF(F107="",0,IF(AND(F107&gt;=DATE(2026+7,5,1),F107&lt;=DATE(2027+7,4,30)),(IF(I107="Vacate",TINew*D107,IF(I107="Market",Retention*TIRenewal*D107+(1-Retention)*TINew*D107,IF(I107="LeaseUp",TINew*D107,IF(I107="Option",TIRenewal*D107,0)))))+(IF(I107="Vacate",LCNew*H107*D107*(1+GrowthMarketRent)^7,IF(I107="Market",Retention*LCRenewal*H107*D107*(1+GrowthMarketRent)^7+(1-Retention)*LCNew*H107*D107*(1+GrowthMarketRent)^7,IF(I107="LeaseUp",LCNew*H107*D107*(1+GrowthMarketRent)^7,IF(I107="Option",LCRenewal*H107*D107*(1+GrowthMarketRent)^7,0))))),0))),0)</f>
        <v/>
      </c>
      <c r="AG107" s="14">
        <f>IFERROR(IF(AND(I107="LeaseUp",8=0),(IF(I107="Vacate",TINew*D107,IF(I107="Market",Retention*TIRenewal*D107+(1-Retention)*TINew*D107,IF(I107="LeaseUp",TINew*D107,IF(I107="Option",TIRenewal*D107,0)))))+(IF(I107="Vacate",LCNew*H107*D107*(1+GrowthMarketRent)^8,IF(I107="Market",Retention*LCRenewal*H107*D107*(1+GrowthMarketRent)^8+(1-Retention)*LCNew*H107*D107*(1+GrowthMarketRent)^8,IF(I107="LeaseUp",LCNew*H107*D107*(1+GrowthMarketRent)^8,IF(I107="Option",LCRenewal*H107*D107*(1+GrowthMarketRent)^8,0))))),IF(F107="",0,IF(AND(F107&gt;=DATE(2026+8,5,1),F107&lt;=DATE(2027+8,4,30)),(IF(I107="Vacate",TINew*D107,IF(I107="Market",Retention*TIRenewal*D107+(1-Retention)*TINew*D107,IF(I107="LeaseUp",TINew*D107,IF(I107="Option",TIRenewal*D107,0)))))+(IF(I107="Vacate",LCNew*H107*D107*(1+GrowthMarketRent)^8,IF(I107="Market",Retention*LCRenewal*H107*D107*(1+GrowthMarketRent)^8+(1-Retention)*LCNew*H107*D107*(1+GrowthMarketRent)^8,IF(I107="LeaseUp",LCNew*H107*D107*(1+GrowthMarketRent)^8,IF(I107="Option",LCRenewal*H107*D107*(1+GrowthMarketRent)^8,0))))),0))),0)</f>
        <v/>
      </c>
      <c r="AH107" s="14">
        <f>IFERROR(IF(AND(I107="LeaseUp",9=0),(IF(I107="Vacate",TINew*D107,IF(I107="Market",Retention*TIRenewal*D107+(1-Retention)*TINew*D107,IF(I107="LeaseUp",TINew*D107,IF(I107="Option",TIRenewal*D107,0)))))+(IF(I107="Vacate",LCNew*H107*D107*(1+GrowthMarketRent)^9,IF(I107="Market",Retention*LCRenewal*H107*D107*(1+GrowthMarketRent)^9+(1-Retention)*LCNew*H107*D107*(1+GrowthMarketRent)^9,IF(I107="LeaseUp",LCNew*H107*D107*(1+GrowthMarketRent)^9,IF(I107="Option",LCRenewal*H107*D107*(1+GrowthMarketRent)^9,0))))),IF(F107="",0,IF(AND(F107&gt;=DATE(2026+9,5,1),F107&lt;=DATE(2027+9,4,30)),(IF(I107="Vacate",TINew*D107,IF(I107="Market",Retention*TIRenewal*D107+(1-Retention)*TINew*D107,IF(I107="LeaseUp",TINew*D107,IF(I107="Option",TIRenewal*D107,0)))))+(IF(I107="Vacate",LCNew*H107*D107*(1+GrowthMarketRent)^9,IF(I107="Market",Retention*LCRenewal*H107*D107*(1+GrowthMarketRent)^9+(1-Retention)*LCNew*H107*D107*(1+GrowthMarketRent)^9,IF(I107="LeaseUp",LCNew*H107*D107*(1+GrowthMarketRent)^9,IF(I107="Option",LCRenewal*H107*D107*(1+GrowthMarketRent)^9,0))))),0))),0)</f>
        <v/>
      </c>
      <c r="AI107" s="14">
        <f>IFERROR(IF(AND(I107="LeaseUp",10=0),(IF(I107="Vacate",TINew*D107,IF(I107="Market",Retention*TIRenewal*D107+(1-Retention)*TINew*D107,IF(I107="LeaseUp",TINew*D107,IF(I107="Option",TIRenewal*D107,0)))))+(IF(I107="Vacate",LCNew*H107*D107*(1+GrowthMarketRent)^10,IF(I107="Market",Retention*LCRenewal*H107*D107*(1+GrowthMarketRent)^10+(1-Retention)*LCNew*H107*D107*(1+GrowthMarketRent)^10,IF(I107="LeaseUp",LCNew*H107*D107*(1+GrowthMarketRent)^10,IF(I107="Option",LCRenewal*H107*D107*(1+GrowthMarketRent)^10,0))))),IF(F107="",0,IF(AND(F107&gt;=DATE(2026+10,5,1),F107&lt;=DATE(2027+10,4,30)),(IF(I107="Vacate",TINew*D107,IF(I107="Market",Retention*TIRenewal*D107+(1-Retention)*TINew*D107,IF(I107="LeaseUp",TINew*D107,IF(I107="Option",TIRenewal*D107,0)))))+(IF(I107="Vacate",LCNew*H107*D107*(1+GrowthMarketRent)^10,IF(I107="Market",Retention*LCRenewal*H107*D107*(1+GrowthMarketRent)^10+(1-Retention)*LCNew*H107*D107*(1+GrowthMarketRent)^10,IF(I107="LeaseUp",LCNew*H107*D107*(1+GrowthMarketRent)^10,IF(I107="Option",LCRenewal*H107*D107*(1+GrowthMarketRent)^10,0))))),0))),0)</f>
        <v/>
      </c>
    </row>
    <row r="108">
      <c r="A108" t="inlineStr">
        <is>
          <t>Lewisville</t>
        </is>
      </c>
      <c r="B108" t="inlineStr">
        <is>
          <t>208</t>
        </is>
      </c>
      <c r="C108" t="inlineStr">
        <is>
          <t>Range Roofing LLC</t>
        </is>
      </c>
      <c r="D108" s="32" t="n">
        <v>2600</v>
      </c>
      <c r="E108" s="33" t="n">
        <v>45078</v>
      </c>
      <c r="F108" s="33" t="n">
        <v>46508</v>
      </c>
      <c r="G108" s="34" t="n">
        <v>14.1834615384615</v>
      </c>
      <c r="H108" s="16">
        <f>VLOOKUP(A108,MLA!$A$5:$L$11,3,FALSE)</f>
        <v/>
      </c>
      <c r="I108" s="11" t="inlineStr">
        <is>
          <t>Vacate</t>
        </is>
      </c>
      <c r="J108" t="inlineStr">
        <is>
          <t>Shop</t>
        </is>
      </c>
      <c r="K108" t="inlineStr">
        <is>
          <t>Occupied</t>
        </is>
      </c>
      <c r="L108" t="inlineStr">
        <is>
          <t>Shop; assumed vacate 05/27; Guarantor: Shawn Newell</t>
        </is>
      </c>
      <c r="M108" s="20">
        <f>IF(E108="",0,(AnalysisStart-E108)/365.25)</f>
        <v/>
      </c>
      <c r="N108" s="14">
        <f>IFERROR(IF(I108="LeaseUp",H108*D108*(1+GrowthMarketRent)^0*IF(0=0,(12-DowntimeNew)/12,1),IF(F108="",0,IF(F108&gt;=DATE(2027+0,4,30),G108*D108*(1+EscalatorInLease)^(0+M108),IF(F108&lt;DATE(2026+0,5,1),IF(I108="Vacate",H108*D108*(1+GrowthMarketRent)^0*IF(INT((DATE(2026+0,10,31)-F108)/365.25)=0,(12-DowntimeNew)/12,1),IF(I108="Option",G108*D108*1.025*(1+EscalatorInLease)^0,IF(I108="Market",Retention*G108*D108*(1+EscalatorInLease)^(0+M108)+(1-Retention)*H108*D108*(1+GrowthMarketRent)^0*IF(INT((DATE(2026+0,10,31)-F108)/365.25)=0,(12-DowntimeNew)/12,1),IF(I108="LeaseUp",H108*D108*(1+GrowthMarketRent)^0*IF(0=0,(12-DowntimeNew)/12,1),0)))),((F108-DATE(2026+0,5,1))/365.25)*G108*D108*(1+EscalatorInLease)^(0+M108)+((DATE(2027+0,4,30)-F108)/365.25)*IF(I108="Vacate",H108*D108*(1+GrowthMarketRent)^0*IF(INT((DATE(2026+0,10,31)-F108)/365.25)=0,(12-DowntimeNew)/12,1),IF(I108="Option",G108*D108*1.025*(1+EscalatorInLease)^0,IF(I108="Market",Retention*G108*D108*(1+EscalatorInLease)^(0+M108)+(1-Retention)*H108*D108*(1+GrowthMarketRent)^0*IF(INT((DATE(2026+0,10,31)-F108)/365.25)=0,(12-DowntimeNew)/12,1),IF(I108="LeaseUp",H108*D108*(1+GrowthMarketRent)^0*IF(0=0,(12-DowntimeNew)/12,1),0)))))))),0)</f>
        <v/>
      </c>
      <c r="O108" s="14">
        <f>IFERROR(IF(I108="LeaseUp",H108*D108*(1+GrowthMarketRent)^1*IF(1=0,(12-DowntimeNew)/12,1),IF(F108="",0,IF(F108&gt;=DATE(2027+1,4,30),G108*D108*(1+EscalatorInLease)^(1+M108),IF(F108&lt;DATE(2026+1,5,1),IF(I108="Vacate",H108*D108*(1+GrowthMarketRent)^1*IF(INT((DATE(2026+1,10,31)-F108)/365.25)=0,(12-DowntimeNew)/12,1),IF(I108="Option",G108*D108*1.025*(1+EscalatorInLease)^1,IF(I108="Market",Retention*G108*D108*(1+EscalatorInLease)^(1+M108)+(1-Retention)*H108*D108*(1+GrowthMarketRent)^1*IF(INT((DATE(2026+1,10,31)-F108)/365.25)=0,(12-DowntimeNew)/12,1),IF(I108="LeaseUp",H108*D108*(1+GrowthMarketRent)^1*IF(1=0,(12-DowntimeNew)/12,1),0)))),((F108-DATE(2026+1,5,1))/365.25)*G108*D108*(1+EscalatorInLease)^(1+M108)+((DATE(2027+1,4,30)-F108)/365.25)*IF(I108="Vacate",H108*D108*(1+GrowthMarketRent)^1*IF(INT((DATE(2026+1,10,31)-F108)/365.25)=0,(12-DowntimeNew)/12,1),IF(I108="Option",G108*D108*1.025*(1+EscalatorInLease)^1,IF(I108="Market",Retention*G108*D108*(1+EscalatorInLease)^(1+M108)+(1-Retention)*H108*D108*(1+GrowthMarketRent)^1*IF(INT((DATE(2026+1,10,31)-F108)/365.25)=0,(12-DowntimeNew)/12,1),IF(I108="LeaseUp",H108*D108*(1+GrowthMarketRent)^1*IF(1=0,(12-DowntimeNew)/12,1),0)))))))),0)</f>
        <v/>
      </c>
      <c r="P108" s="14">
        <f>IFERROR(IF(I108="LeaseUp",H108*D108*(1+GrowthMarketRent)^2*IF(2=0,(12-DowntimeNew)/12,1),IF(F108="",0,IF(F108&gt;=DATE(2027+2,4,30),G108*D108*(1+EscalatorInLease)^(2+M108),IF(F108&lt;DATE(2026+2,5,1),IF(I108="Vacate",H108*D108*(1+GrowthMarketRent)^2*IF(INT((DATE(2026+2,10,31)-F108)/365.25)=0,(12-DowntimeNew)/12,1),IF(I108="Option",G108*D108*1.025*(1+EscalatorInLease)^2,IF(I108="Market",Retention*G108*D108*(1+EscalatorInLease)^(2+M108)+(1-Retention)*H108*D108*(1+GrowthMarketRent)^2*IF(INT((DATE(2026+2,10,31)-F108)/365.25)=0,(12-DowntimeNew)/12,1),IF(I108="LeaseUp",H108*D108*(1+GrowthMarketRent)^2*IF(2=0,(12-DowntimeNew)/12,1),0)))),((F108-DATE(2026+2,5,1))/365.25)*G108*D108*(1+EscalatorInLease)^(2+M108)+((DATE(2027+2,4,30)-F108)/365.25)*IF(I108="Vacate",H108*D108*(1+GrowthMarketRent)^2*IF(INT((DATE(2026+2,10,31)-F108)/365.25)=0,(12-DowntimeNew)/12,1),IF(I108="Option",G108*D108*1.025*(1+EscalatorInLease)^2,IF(I108="Market",Retention*G108*D108*(1+EscalatorInLease)^(2+M108)+(1-Retention)*H108*D108*(1+GrowthMarketRent)^2*IF(INT((DATE(2026+2,10,31)-F108)/365.25)=0,(12-DowntimeNew)/12,1),IF(I108="LeaseUp",H108*D108*(1+GrowthMarketRent)^2*IF(2=0,(12-DowntimeNew)/12,1),0)))))))),0)</f>
        <v/>
      </c>
      <c r="Q108" s="14">
        <f>IFERROR(IF(I108="LeaseUp",H108*D108*(1+GrowthMarketRent)^3*IF(3=0,(12-DowntimeNew)/12,1),IF(F108="",0,IF(F108&gt;=DATE(2027+3,4,30),G108*D108*(1+EscalatorInLease)^(3+M108),IF(F108&lt;DATE(2026+3,5,1),IF(I108="Vacate",H108*D108*(1+GrowthMarketRent)^3*IF(INT((DATE(2026+3,10,31)-F108)/365.25)=0,(12-DowntimeNew)/12,1),IF(I108="Option",G108*D108*1.025*(1+EscalatorInLease)^3,IF(I108="Market",Retention*G108*D108*(1+EscalatorInLease)^(3+M108)+(1-Retention)*H108*D108*(1+GrowthMarketRent)^3*IF(INT((DATE(2026+3,10,31)-F108)/365.25)=0,(12-DowntimeNew)/12,1),IF(I108="LeaseUp",H108*D108*(1+GrowthMarketRent)^3*IF(3=0,(12-DowntimeNew)/12,1),0)))),((F108-DATE(2026+3,5,1))/365.25)*G108*D108*(1+EscalatorInLease)^(3+M108)+((DATE(2027+3,4,30)-F108)/365.25)*IF(I108="Vacate",H108*D108*(1+GrowthMarketRent)^3*IF(INT((DATE(2026+3,10,31)-F108)/365.25)=0,(12-DowntimeNew)/12,1),IF(I108="Option",G108*D108*1.025*(1+EscalatorInLease)^3,IF(I108="Market",Retention*G108*D108*(1+EscalatorInLease)^(3+M108)+(1-Retention)*H108*D108*(1+GrowthMarketRent)^3*IF(INT((DATE(2026+3,10,31)-F108)/365.25)=0,(12-DowntimeNew)/12,1),IF(I108="LeaseUp",H108*D108*(1+GrowthMarketRent)^3*IF(3=0,(12-DowntimeNew)/12,1),0)))))))),0)</f>
        <v/>
      </c>
      <c r="R108" s="14">
        <f>IFERROR(IF(I108="LeaseUp",H108*D108*(1+GrowthMarketRent)^4*IF(4=0,(12-DowntimeNew)/12,1),IF(F108="",0,IF(F108&gt;=DATE(2027+4,4,30),G108*D108*(1+EscalatorInLease)^(4+M108),IF(F108&lt;DATE(2026+4,5,1),IF(I108="Vacate",H108*D108*(1+GrowthMarketRent)^4*IF(INT((DATE(2026+4,10,31)-F108)/365.25)=0,(12-DowntimeNew)/12,1),IF(I108="Option",G108*D108*1.025*(1+EscalatorInLease)^4,IF(I108="Market",Retention*G108*D108*(1+EscalatorInLease)^(4+M108)+(1-Retention)*H108*D108*(1+GrowthMarketRent)^4*IF(INT((DATE(2026+4,10,31)-F108)/365.25)=0,(12-DowntimeNew)/12,1),IF(I108="LeaseUp",H108*D108*(1+GrowthMarketRent)^4*IF(4=0,(12-DowntimeNew)/12,1),0)))),((F108-DATE(2026+4,5,1))/365.25)*G108*D108*(1+EscalatorInLease)^(4+M108)+((DATE(2027+4,4,30)-F108)/365.25)*IF(I108="Vacate",H108*D108*(1+GrowthMarketRent)^4*IF(INT((DATE(2026+4,10,31)-F108)/365.25)=0,(12-DowntimeNew)/12,1),IF(I108="Option",G108*D108*1.025*(1+EscalatorInLease)^4,IF(I108="Market",Retention*G108*D108*(1+EscalatorInLease)^(4+M108)+(1-Retention)*H108*D108*(1+GrowthMarketRent)^4*IF(INT((DATE(2026+4,10,31)-F108)/365.25)=0,(12-DowntimeNew)/12,1),IF(I108="LeaseUp",H108*D108*(1+GrowthMarketRent)^4*IF(4=0,(12-DowntimeNew)/12,1),0)))))))),0)</f>
        <v/>
      </c>
      <c r="S108" s="14">
        <f>IFERROR(IF(I108="LeaseUp",H108*D108*(1+GrowthMarketRent)^5*IF(5=0,(12-DowntimeNew)/12,1),IF(F108="",0,IF(F108&gt;=DATE(2027+5,4,30),G108*D108*(1+EscalatorInLease)^(5+M108),IF(F108&lt;DATE(2026+5,5,1),IF(I108="Vacate",H108*D108*(1+GrowthMarketRent)^5*IF(INT((DATE(2026+5,10,31)-F108)/365.25)=0,(12-DowntimeNew)/12,1),IF(I108="Option",G108*D108*1.025*(1+EscalatorInLease)^5,IF(I108="Market",Retention*G108*D108*(1+EscalatorInLease)^(5+M108)+(1-Retention)*H108*D108*(1+GrowthMarketRent)^5*IF(INT((DATE(2026+5,10,31)-F108)/365.25)=0,(12-DowntimeNew)/12,1),IF(I108="LeaseUp",H108*D108*(1+GrowthMarketRent)^5*IF(5=0,(12-DowntimeNew)/12,1),0)))),((F108-DATE(2026+5,5,1))/365.25)*G108*D108*(1+EscalatorInLease)^(5+M108)+((DATE(2027+5,4,30)-F108)/365.25)*IF(I108="Vacate",H108*D108*(1+GrowthMarketRent)^5*IF(INT((DATE(2026+5,10,31)-F108)/365.25)=0,(12-DowntimeNew)/12,1),IF(I108="Option",G108*D108*1.025*(1+EscalatorInLease)^5,IF(I108="Market",Retention*G108*D108*(1+EscalatorInLease)^(5+M108)+(1-Retention)*H108*D108*(1+GrowthMarketRent)^5*IF(INT((DATE(2026+5,10,31)-F108)/365.25)=0,(12-DowntimeNew)/12,1),IF(I108="LeaseUp",H108*D108*(1+GrowthMarketRent)^5*IF(5=0,(12-DowntimeNew)/12,1),0)))))))),0)</f>
        <v/>
      </c>
      <c r="T108" s="14">
        <f>IFERROR(IF(I108="LeaseUp",H108*D108*(1+GrowthMarketRent)^6*IF(6=0,(12-DowntimeNew)/12,1),IF(F108="",0,IF(F108&gt;=DATE(2027+6,4,30),G108*D108*(1+EscalatorInLease)^(6+M108),IF(F108&lt;DATE(2026+6,5,1),IF(I108="Vacate",H108*D108*(1+GrowthMarketRent)^6*IF(INT((DATE(2026+6,10,31)-F108)/365.25)=0,(12-DowntimeNew)/12,1),IF(I108="Option",G108*D108*1.025*(1+EscalatorInLease)^6,IF(I108="Market",Retention*G108*D108*(1+EscalatorInLease)^(6+M108)+(1-Retention)*H108*D108*(1+GrowthMarketRent)^6*IF(INT((DATE(2026+6,10,31)-F108)/365.25)=0,(12-DowntimeNew)/12,1),IF(I108="LeaseUp",H108*D108*(1+GrowthMarketRent)^6*IF(6=0,(12-DowntimeNew)/12,1),0)))),((F108-DATE(2026+6,5,1))/365.25)*G108*D108*(1+EscalatorInLease)^(6+M108)+((DATE(2027+6,4,30)-F108)/365.25)*IF(I108="Vacate",H108*D108*(1+GrowthMarketRent)^6*IF(INT((DATE(2026+6,10,31)-F108)/365.25)=0,(12-DowntimeNew)/12,1),IF(I108="Option",G108*D108*1.025*(1+EscalatorInLease)^6,IF(I108="Market",Retention*G108*D108*(1+EscalatorInLease)^(6+M108)+(1-Retention)*H108*D108*(1+GrowthMarketRent)^6*IF(INT((DATE(2026+6,10,31)-F108)/365.25)=0,(12-DowntimeNew)/12,1),IF(I108="LeaseUp",H108*D108*(1+GrowthMarketRent)^6*IF(6=0,(12-DowntimeNew)/12,1),0)))))))),0)</f>
        <v/>
      </c>
      <c r="U108" s="14">
        <f>IFERROR(IF(I108="LeaseUp",H108*D108*(1+GrowthMarketRent)^7*IF(7=0,(12-DowntimeNew)/12,1),IF(F108="",0,IF(F108&gt;=DATE(2027+7,4,30),G108*D108*(1+EscalatorInLease)^(7+M108),IF(F108&lt;DATE(2026+7,5,1),IF(I108="Vacate",H108*D108*(1+GrowthMarketRent)^7*IF(INT((DATE(2026+7,10,31)-F108)/365.25)=0,(12-DowntimeNew)/12,1),IF(I108="Option",G108*D108*1.025*(1+EscalatorInLease)^7,IF(I108="Market",Retention*G108*D108*(1+EscalatorInLease)^(7+M108)+(1-Retention)*H108*D108*(1+GrowthMarketRent)^7*IF(INT((DATE(2026+7,10,31)-F108)/365.25)=0,(12-DowntimeNew)/12,1),IF(I108="LeaseUp",H108*D108*(1+GrowthMarketRent)^7*IF(7=0,(12-DowntimeNew)/12,1),0)))),((F108-DATE(2026+7,5,1))/365.25)*G108*D108*(1+EscalatorInLease)^(7+M108)+((DATE(2027+7,4,30)-F108)/365.25)*IF(I108="Vacate",H108*D108*(1+GrowthMarketRent)^7*IF(INT((DATE(2026+7,10,31)-F108)/365.25)=0,(12-DowntimeNew)/12,1),IF(I108="Option",G108*D108*1.025*(1+EscalatorInLease)^7,IF(I108="Market",Retention*G108*D108*(1+EscalatorInLease)^(7+M108)+(1-Retention)*H108*D108*(1+GrowthMarketRent)^7*IF(INT((DATE(2026+7,10,31)-F108)/365.25)=0,(12-DowntimeNew)/12,1),IF(I108="LeaseUp",H108*D108*(1+GrowthMarketRent)^7*IF(7=0,(12-DowntimeNew)/12,1),0)))))))),0)</f>
        <v/>
      </c>
      <c r="V108" s="14">
        <f>IFERROR(IF(I108="LeaseUp",H108*D108*(1+GrowthMarketRent)^8*IF(8=0,(12-DowntimeNew)/12,1),IF(F108="",0,IF(F108&gt;=DATE(2027+8,4,30),G108*D108*(1+EscalatorInLease)^(8+M108),IF(F108&lt;DATE(2026+8,5,1),IF(I108="Vacate",H108*D108*(1+GrowthMarketRent)^8*IF(INT((DATE(2026+8,10,31)-F108)/365.25)=0,(12-DowntimeNew)/12,1),IF(I108="Option",G108*D108*1.025*(1+EscalatorInLease)^8,IF(I108="Market",Retention*G108*D108*(1+EscalatorInLease)^(8+M108)+(1-Retention)*H108*D108*(1+GrowthMarketRent)^8*IF(INT((DATE(2026+8,10,31)-F108)/365.25)=0,(12-DowntimeNew)/12,1),IF(I108="LeaseUp",H108*D108*(1+GrowthMarketRent)^8*IF(8=0,(12-DowntimeNew)/12,1),0)))),((F108-DATE(2026+8,5,1))/365.25)*G108*D108*(1+EscalatorInLease)^(8+M108)+((DATE(2027+8,4,30)-F108)/365.25)*IF(I108="Vacate",H108*D108*(1+GrowthMarketRent)^8*IF(INT((DATE(2026+8,10,31)-F108)/365.25)=0,(12-DowntimeNew)/12,1),IF(I108="Option",G108*D108*1.025*(1+EscalatorInLease)^8,IF(I108="Market",Retention*G108*D108*(1+EscalatorInLease)^(8+M108)+(1-Retention)*H108*D108*(1+GrowthMarketRent)^8*IF(INT((DATE(2026+8,10,31)-F108)/365.25)=0,(12-DowntimeNew)/12,1),IF(I108="LeaseUp",H108*D108*(1+GrowthMarketRent)^8*IF(8=0,(12-DowntimeNew)/12,1),0)))))))),0)</f>
        <v/>
      </c>
      <c r="W108" s="14">
        <f>IFERROR(IF(I108="LeaseUp",H108*D108*(1+GrowthMarketRent)^9*IF(9=0,(12-DowntimeNew)/12,1),IF(F108="",0,IF(F108&gt;=DATE(2027+9,4,30),G108*D108*(1+EscalatorInLease)^(9+M108),IF(F108&lt;DATE(2026+9,5,1),IF(I108="Vacate",H108*D108*(1+GrowthMarketRent)^9*IF(INT((DATE(2026+9,10,31)-F108)/365.25)=0,(12-DowntimeNew)/12,1),IF(I108="Option",G108*D108*1.025*(1+EscalatorInLease)^9,IF(I108="Market",Retention*G108*D108*(1+EscalatorInLease)^(9+M108)+(1-Retention)*H108*D108*(1+GrowthMarketRent)^9*IF(INT((DATE(2026+9,10,31)-F108)/365.25)=0,(12-DowntimeNew)/12,1),IF(I108="LeaseUp",H108*D108*(1+GrowthMarketRent)^9*IF(9=0,(12-DowntimeNew)/12,1),0)))),((F108-DATE(2026+9,5,1))/365.25)*G108*D108*(1+EscalatorInLease)^(9+M108)+((DATE(2027+9,4,30)-F108)/365.25)*IF(I108="Vacate",H108*D108*(1+GrowthMarketRent)^9*IF(INT((DATE(2026+9,10,31)-F108)/365.25)=0,(12-DowntimeNew)/12,1),IF(I108="Option",G108*D108*1.025*(1+EscalatorInLease)^9,IF(I108="Market",Retention*G108*D108*(1+EscalatorInLease)^(9+M108)+(1-Retention)*H108*D108*(1+GrowthMarketRent)^9*IF(INT((DATE(2026+9,10,31)-F108)/365.25)=0,(12-DowntimeNew)/12,1),IF(I108="LeaseUp",H108*D108*(1+GrowthMarketRent)^9*IF(9=0,(12-DowntimeNew)/12,1),0)))))))),0)</f>
        <v/>
      </c>
      <c r="X108" s="14">
        <f>IFERROR(IF(I108="LeaseUp",H108*D108*(1+GrowthMarketRent)^10*IF(10=0,(12-DowntimeNew)/12,1),IF(F108="",0,IF(F108&gt;=DATE(2027+10,4,30),G108*D108*(1+EscalatorInLease)^(10+M108),IF(F108&lt;DATE(2026+10,5,1),IF(I108="Vacate",H108*D108*(1+GrowthMarketRent)^10*IF(INT((DATE(2026+10,10,31)-F108)/365.25)=0,(12-DowntimeNew)/12,1),IF(I108="Option",G108*D108*1.025*(1+EscalatorInLease)^10,IF(I108="Market",Retention*G108*D108*(1+EscalatorInLease)^(10+M108)+(1-Retention)*H108*D108*(1+GrowthMarketRent)^10*IF(INT((DATE(2026+10,10,31)-F108)/365.25)=0,(12-DowntimeNew)/12,1),IF(I108="LeaseUp",H108*D108*(1+GrowthMarketRent)^10*IF(10=0,(12-DowntimeNew)/12,1),0)))),((F108-DATE(2026+10,5,1))/365.25)*G108*D108*(1+EscalatorInLease)^(10+M108)+((DATE(2027+10,4,30)-F108)/365.25)*IF(I108="Vacate",H108*D108*(1+GrowthMarketRent)^10*IF(INT((DATE(2026+10,10,31)-F108)/365.25)=0,(12-DowntimeNew)/12,1),IF(I108="Option",G108*D108*1.025*(1+EscalatorInLease)^10,IF(I108="Market",Retention*G108*D108*(1+EscalatorInLease)^(10+M108)+(1-Retention)*H108*D108*(1+GrowthMarketRent)^10*IF(INT((DATE(2026+10,10,31)-F108)/365.25)=0,(12-DowntimeNew)/12,1),IF(I108="LeaseUp",H108*D108*(1+GrowthMarketRent)^10*IF(10=0,(12-DowntimeNew)/12,1),0)))))))),0)</f>
        <v/>
      </c>
      <c r="Y108" s="14">
        <f>IFERROR(IF(AND(I108="LeaseUp",0=0),(IF(I108="Vacate",TINew*D108,IF(I108="Market",Retention*TIRenewal*D108+(1-Retention)*TINew*D108,IF(I108="LeaseUp",TINew*D108,IF(I108="Option",TIRenewal*D108,0)))))+(IF(I108="Vacate",LCNew*H108*D108*(1+GrowthMarketRent)^0,IF(I108="Market",Retention*LCRenewal*H108*D108*(1+GrowthMarketRent)^0+(1-Retention)*LCNew*H108*D108*(1+GrowthMarketRent)^0,IF(I108="LeaseUp",LCNew*H108*D108*(1+GrowthMarketRent)^0,IF(I108="Option",LCRenewal*H108*D108*(1+GrowthMarketRent)^0,0))))),IF(F108="",0,IF(AND(F108&gt;=DATE(2026+0,5,1),F108&lt;=DATE(2027+0,4,30)),(IF(I108="Vacate",TINew*D108,IF(I108="Market",Retention*TIRenewal*D108+(1-Retention)*TINew*D108,IF(I108="LeaseUp",TINew*D108,IF(I108="Option",TIRenewal*D108,0)))))+(IF(I108="Vacate",LCNew*H108*D108*(1+GrowthMarketRent)^0,IF(I108="Market",Retention*LCRenewal*H108*D108*(1+GrowthMarketRent)^0+(1-Retention)*LCNew*H108*D108*(1+GrowthMarketRent)^0,IF(I108="LeaseUp",LCNew*H108*D108*(1+GrowthMarketRent)^0,IF(I108="Option",LCRenewal*H108*D108*(1+GrowthMarketRent)^0,0))))),0))),0)</f>
        <v/>
      </c>
      <c r="Z108" s="14">
        <f>IFERROR(IF(AND(I108="LeaseUp",1=0),(IF(I108="Vacate",TINew*D108,IF(I108="Market",Retention*TIRenewal*D108+(1-Retention)*TINew*D108,IF(I108="LeaseUp",TINew*D108,IF(I108="Option",TIRenewal*D108,0)))))+(IF(I108="Vacate",LCNew*H108*D108*(1+GrowthMarketRent)^1,IF(I108="Market",Retention*LCRenewal*H108*D108*(1+GrowthMarketRent)^1+(1-Retention)*LCNew*H108*D108*(1+GrowthMarketRent)^1,IF(I108="LeaseUp",LCNew*H108*D108*(1+GrowthMarketRent)^1,IF(I108="Option",LCRenewal*H108*D108*(1+GrowthMarketRent)^1,0))))),IF(F108="",0,IF(AND(F108&gt;=DATE(2026+1,5,1),F108&lt;=DATE(2027+1,4,30)),(IF(I108="Vacate",TINew*D108,IF(I108="Market",Retention*TIRenewal*D108+(1-Retention)*TINew*D108,IF(I108="LeaseUp",TINew*D108,IF(I108="Option",TIRenewal*D108,0)))))+(IF(I108="Vacate",LCNew*H108*D108*(1+GrowthMarketRent)^1,IF(I108="Market",Retention*LCRenewal*H108*D108*(1+GrowthMarketRent)^1+(1-Retention)*LCNew*H108*D108*(1+GrowthMarketRent)^1,IF(I108="LeaseUp",LCNew*H108*D108*(1+GrowthMarketRent)^1,IF(I108="Option",LCRenewal*H108*D108*(1+GrowthMarketRent)^1,0))))),0))),0)</f>
        <v/>
      </c>
      <c r="AA108" s="14">
        <f>IFERROR(IF(AND(I108="LeaseUp",2=0),(IF(I108="Vacate",TINew*D108,IF(I108="Market",Retention*TIRenewal*D108+(1-Retention)*TINew*D108,IF(I108="LeaseUp",TINew*D108,IF(I108="Option",TIRenewal*D108,0)))))+(IF(I108="Vacate",LCNew*H108*D108*(1+GrowthMarketRent)^2,IF(I108="Market",Retention*LCRenewal*H108*D108*(1+GrowthMarketRent)^2+(1-Retention)*LCNew*H108*D108*(1+GrowthMarketRent)^2,IF(I108="LeaseUp",LCNew*H108*D108*(1+GrowthMarketRent)^2,IF(I108="Option",LCRenewal*H108*D108*(1+GrowthMarketRent)^2,0))))),IF(F108="",0,IF(AND(F108&gt;=DATE(2026+2,5,1),F108&lt;=DATE(2027+2,4,30)),(IF(I108="Vacate",TINew*D108,IF(I108="Market",Retention*TIRenewal*D108+(1-Retention)*TINew*D108,IF(I108="LeaseUp",TINew*D108,IF(I108="Option",TIRenewal*D108,0)))))+(IF(I108="Vacate",LCNew*H108*D108*(1+GrowthMarketRent)^2,IF(I108="Market",Retention*LCRenewal*H108*D108*(1+GrowthMarketRent)^2+(1-Retention)*LCNew*H108*D108*(1+GrowthMarketRent)^2,IF(I108="LeaseUp",LCNew*H108*D108*(1+GrowthMarketRent)^2,IF(I108="Option",LCRenewal*H108*D108*(1+GrowthMarketRent)^2,0))))),0))),0)</f>
        <v/>
      </c>
      <c r="AB108" s="14">
        <f>IFERROR(IF(AND(I108="LeaseUp",3=0),(IF(I108="Vacate",TINew*D108,IF(I108="Market",Retention*TIRenewal*D108+(1-Retention)*TINew*D108,IF(I108="LeaseUp",TINew*D108,IF(I108="Option",TIRenewal*D108,0)))))+(IF(I108="Vacate",LCNew*H108*D108*(1+GrowthMarketRent)^3,IF(I108="Market",Retention*LCRenewal*H108*D108*(1+GrowthMarketRent)^3+(1-Retention)*LCNew*H108*D108*(1+GrowthMarketRent)^3,IF(I108="LeaseUp",LCNew*H108*D108*(1+GrowthMarketRent)^3,IF(I108="Option",LCRenewal*H108*D108*(1+GrowthMarketRent)^3,0))))),IF(F108="",0,IF(AND(F108&gt;=DATE(2026+3,5,1),F108&lt;=DATE(2027+3,4,30)),(IF(I108="Vacate",TINew*D108,IF(I108="Market",Retention*TIRenewal*D108+(1-Retention)*TINew*D108,IF(I108="LeaseUp",TINew*D108,IF(I108="Option",TIRenewal*D108,0)))))+(IF(I108="Vacate",LCNew*H108*D108*(1+GrowthMarketRent)^3,IF(I108="Market",Retention*LCRenewal*H108*D108*(1+GrowthMarketRent)^3+(1-Retention)*LCNew*H108*D108*(1+GrowthMarketRent)^3,IF(I108="LeaseUp",LCNew*H108*D108*(1+GrowthMarketRent)^3,IF(I108="Option",LCRenewal*H108*D108*(1+GrowthMarketRent)^3,0))))),0))),0)</f>
        <v/>
      </c>
      <c r="AC108" s="14">
        <f>IFERROR(IF(AND(I108="LeaseUp",4=0),(IF(I108="Vacate",TINew*D108,IF(I108="Market",Retention*TIRenewal*D108+(1-Retention)*TINew*D108,IF(I108="LeaseUp",TINew*D108,IF(I108="Option",TIRenewal*D108,0)))))+(IF(I108="Vacate",LCNew*H108*D108*(1+GrowthMarketRent)^4,IF(I108="Market",Retention*LCRenewal*H108*D108*(1+GrowthMarketRent)^4+(1-Retention)*LCNew*H108*D108*(1+GrowthMarketRent)^4,IF(I108="LeaseUp",LCNew*H108*D108*(1+GrowthMarketRent)^4,IF(I108="Option",LCRenewal*H108*D108*(1+GrowthMarketRent)^4,0))))),IF(F108="",0,IF(AND(F108&gt;=DATE(2026+4,5,1),F108&lt;=DATE(2027+4,4,30)),(IF(I108="Vacate",TINew*D108,IF(I108="Market",Retention*TIRenewal*D108+(1-Retention)*TINew*D108,IF(I108="LeaseUp",TINew*D108,IF(I108="Option",TIRenewal*D108,0)))))+(IF(I108="Vacate",LCNew*H108*D108*(1+GrowthMarketRent)^4,IF(I108="Market",Retention*LCRenewal*H108*D108*(1+GrowthMarketRent)^4+(1-Retention)*LCNew*H108*D108*(1+GrowthMarketRent)^4,IF(I108="LeaseUp",LCNew*H108*D108*(1+GrowthMarketRent)^4,IF(I108="Option",LCRenewal*H108*D108*(1+GrowthMarketRent)^4,0))))),0))),0)</f>
        <v/>
      </c>
      <c r="AD108" s="14">
        <f>IFERROR(IF(AND(I108="LeaseUp",5=0),(IF(I108="Vacate",TINew*D108,IF(I108="Market",Retention*TIRenewal*D108+(1-Retention)*TINew*D108,IF(I108="LeaseUp",TINew*D108,IF(I108="Option",TIRenewal*D108,0)))))+(IF(I108="Vacate",LCNew*H108*D108*(1+GrowthMarketRent)^5,IF(I108="Market",Retention*LCRenewal*H108*D108*(1+GrowthMarketRent)^5+(1-Retention)*LCNew*H108*D108*(1+GrowthMarketRent)^5,IF(I108="LeaseUp",LCNew*H108*D108*(1+GrowthMarketRent)^5,IF(I108="Option",LCRenewal*H108*D108*(1+GrowthMarketRent)^5,0))))),IF(F108="",0,IF(AND(F108&gt;=DATE(2026+5,5,1),F108&lt;=DATE(2027+5,4,30)),(IF(I108="Vacate",TINew*D108,IF(I108="Market",Retention*TIRenewal*D108+(1-Retention)*TINew*D108,IF(I108="LeaseUp",TINew*D108,IF(I108="Option",TIRenewal*D108,0)))))+(IF(I108="Vacate",LCNew*H108*D108*(1+GrowthMarketRent)^5,IF(I108="Market",Retention*LCRenewal*H108*D108*(1+GrowthMarketRent)^5+(1-Retention)*LCNew*H108*D108*(1+GrowthMarketRent)^5,IF(I108="LeaseUp",LCNew*H108*D108*(1+GrowthMarketRent)^5,IF(I108="Option",LCRenewal*H108*D108*(1+GrowthMarketRent)^5,0))))),0))),0)</f>
        <v/>
      </c>
      <c r="AE108" s="14">
        <f>IFERROR(IF(AND(I108="LeaseUp",6=0),(IF(I108="Vacate",TINew*D108,IF(I108="Market",Retention*TIRenewal*D108+(1-Retention)*TINew*D108,IF(I108="LeaseUp",TINew*D108,IF(I108="Option",TIRenewal*D108,0)))))+(IF(I108="Vacate",LCNew*H108*D108*(1+GrowthMarketRent)^6,IF(I108="Market",Retention*LCRenewal*H108*D108*(1+GrowthMarketRent)^6+(1-Retention)*LCNew*H108*D108*(1+GrowthMarketRent)^6,IF(I108="LeaseUp",LCNew*H108*D108*(1+GrowthMarketRent)^6,IF(I108="Option",LCRenewal*H108*D108*(1+GrowthMarketRent)^6,0))))),IF(F108="",0,IF(AND(F108&gt;=DATE(2026+6,5,1),F108&lt;=DATE(2027+6,4,30)),(IF(I108="Vacate",TINew*D108,IF(I108="Market",Retention*TIRenewal*D108+(1-Retention)*TINew*D108,IF(I108="LeaseUp",TINew*D108,IF(I108="Option",TIRenewal*D108,0)))))+(IF(I108="Vacate",LCNew*H108*D108*(1+GrowthMarketRent)^6,IF(I108="Market",Retention*LCRenewal*H108*D108*(1+GrowthMarketRent)^6+(1-Retention)*LCNew*H108*D108*(1+GrowthMarketRent)^6,IF(I108="LeaseUp",LCNew*H108*D108*(1+GrowthMarketRent)^6,IF(I108="Option",LCRenewal*H108*D108*(1+GrowthMarketRent)^6,0))))),0))),0)</f>
        <v/>
      </c>
      <c r="AF108" s="14">
        <f>IFERROR(IF(AND(I108="LeaseUp",7=0),(IF(I108="Vacate",TINew*D108,IF(I108="Market",Retention*TIRenewal*D108+(1-Retention)*TINew*D108,IF(I108="LeaseUp",TINew*D108,IF(I108="Option",TIRenewal*D108,0)))))+(IF(I108="Vacate",LCNew*H108*D108*(1+GrowthMarketRent)^7,IF(I108="Market",Retention*LCRenewal*H108*D108*(1+GrowthMarketRent)^7+(1-Retention)*LCNew*H108*D108*(1+GrowthMarketRent)^7,IF(I108="LeaseUp",LCNew*H108*D108*(1+GrowthMarketRent)^7,IF(I108="Option",LCRenewal*H108*D108*(1+GrowthMarketRent)^7,0))))),IF(F108="",0,IF(AND(F108&gt;=DATE(2026+7,5,1),F108&lt;=DATE(2027+7,4,30)),(IF(I108="Vacate",TINew*D108,IF(I108="Market",Retention*TIRenewal*D108+(1-Retention)*TINew*D108,IF(I108="LeaseUp",TINew*D108,IF(I108="Option",TIRenewal*D108,0)))))+(IF(I108="Vacate",LCNew*H108*D108*(1+GrowthMarketRent)^7,IF(I108="Market",Retention*LCRenewal*H108*D108*(1+GrowthMarketRent)^7+(1-Retention)*LCNew*H108*D108*(1+GrowthMarketRent)^7,IF(I108="LeaseUp",LCNew*H108*D108*(1+GrowthMarketRent)^7,IF(I108="Option",LCRenewal*H108*D108*(1+GrowthMarketRent)^7,0))))),0))),0)</f>
        <v/>
      </c>
      <c r="AG108" s="14">
        <f>IFERROR(IF(AND(I108="LeaseUp",8=0),(IF(I108="Vacate",TINew*D108,IF(I108="Market",Retention*TIRenewal*D108+(1-Retention)*TINew*D108,IF(I108="LeaseUp",TINew*D108,IF(I108="Option",TIRenewal*D108,0)))))+(IF(I108="Vacate",LCNew*H108*D108*(1+GrowthMarketRent)^8,IF(I108="Market",Retention*LCRenewal*H108*D108*(1+GrowthMarketRent)^8+(1-Retention)*LCNew*H108*D108*(1+GrowthMarketRent)^8,IF(I108="LeaseUp",LCNew*H108*D108*(1+GrowthMarketRent)^8,IF(I108="Option",LCRenewal*H108*D108*(1+GrowthMarketRent)^8,0))))),IF(F108="",0,IF(AND(F108&gt;=DATE(2026+8,5,1),F108&lt;=DATE(2027+8,4,30)),(IF(I108="Vacate",TINew*D108,IF(I108="Market",Retention*TIRenewal*D108+(1-Retention)*TINew*D108,IF(I108="LeaseUp",TINew*D108,IF(I108="Option",TIRenewal*D108,0)))))+(IF(I108="Vacate",LCNew*H108*D108*(1+GrowthMarketRent)^8,IF(I108="Market",Retention*LCRenewal*H108*D108*(1+GrowthMarketRent)^8+(1-Retention)*LCNew*H108*D108*(1+GrowthMarketRent)^8,IF(I108="LeaseUp",LCNew*H108*D108*(1+GrowthMarketRent)^8,IF(I108="Option",LCRenewal*H108*D108*(1+GrowthMarketRent)^8,0))))),0))),0)</f>
        <v/>
      </c>
      <c r="AH108" s="14">
        <f>IFERROR(IF(AND(I108="LeaseUp",9=0),(IF(I108="Vacate",TINew*D108,IF(I108="Market",Retention*TIRenewal*D108+(1-Retention)*TINew*D108,IF(I108="LeaseUp",TINew*D108,IF(I108="Option",TIRenewal*D108,0)))))+(IF(I108="Vacate",LCNew*H108*D108*(1+GrowthMarketRent)^9,IF(I108="Market",Retention*LCRenewal*H108*D108*(1+GrowthMarketRent)^9+(1-Retention)*LCNew*H108*D108*(1+GrowthMarketRent)^9,IF(I108="LeaseUp",LCNew*H108*D108*(1+GrowthMarketRent)^9,IF(I108="Option",LCRenewal*H108*D108*(1+GrowthMarketRent)^9,0))))),IF(F108="",0,IF(AND(F108&gt;=DATE(2026+9,5,1),F108&lt;=DATE(2027+9,4,30)),(IF(I108="Vacate",TINew*D108,IF(I108="Market",Retention*TIRenewal*D108+(1-Retention)*TINew*D108,IF(I108="LeaseUp",TINew*D108,IF(I108="Option",TIRenewal*D108,0)))))+(IF(I108="Vacate",LCNew*H108*D108*(1+GrowthMarketRent)^9,IF(I108="Market",Retention*LCRenewal*H108*D108*(1+GrowthMarketRent)^9+(1-Retention)*LCNew*H108*D108*(1+GrowthMarketRent)^9,IF(I108="LeaseUp",LCNew*H108*D108*(1+GrowthMarketRent)^9,IF(I108="Option",LCRenewal*H108*D108*(1+GrowthMarketRent)^9,0))))),0))),0)</f>
        <v/>
      </c>
      <c r="AI108" s="14">
        <f>IFERROR(IF(AND(I108="LeaseUp",10=0),(IF(I108="Vacate",TINew*D108,IF(I108="Market",Retention*TIRenewal*D108+(1-Retention)*TINew*D108,IF(I108="LeaseUp",TINew*D108,IF(I108="Option",TIRenewal*D108,0)))))+(IF(I108="Vacate",LCNew*H108*D108*(1+GrowthMarketRent)^10,IF(I108="Market",Retention*LCRenewal*H108*D108*(1+GrowthMarketRent)^10+(1-Retention)*LCNew*H108*D108*(1+GrowthMarketRent)^10,IF(I108="LeaseUp",LCNew*H108*D108*(1+GrowthMarketRent)^10,IF(I108="Option",LCRenewal*H108*D108*(1+GrowthMarketRent)^10,0))))),IF(F108="",0,IF(AND(F108&gt;=DATE(2026+10,5,1),F108&lt;=DATE(2027+10,4,30)),(IF(I108="Vacate",TINew*D108,IF(I108="Market",Retention*TIRenewal*D108+(1-Retention)*TINew*D108,IF(I108="LeaseUp",TINew*D108,IF(I108="Option",TIRenewal*D108,0)))))+(IF(I108="Vacate",LCNew*H108*D108*(1+GrowthMarketRent)^10,IF(I108="Market",Retention*LCRenewal*H108*D108*(1+GrowthMarketRent)^10+(1-Retention)*LCNew*H108*D108*(1+GrowthMarketRent)^10,IF(I108="LeaseUp",LCNew*H108*D108*(1+GrowthMarketRent)^10,IF(I108="Option",LCRenewal*H108*D108*(1+GrowthMarketRent)^10,0))))),0))),0)</f>
        <v/>
      </c>
    </row>
    <row r="109">
      <c r="A109" t="inlineStr">
        <is>
          <t>Lewisville</t>
        </is>
      </c>
      <c r="B109" t="inlineStr">
        <is>
          <t>209</t>
        </is>
      </c>
      <c r="C109" t="inlineStr">
        <is>
          <t>Range Roofing LLC</t>
        </is>
      </c>
      <c r="D109" s="32" t="n">
        <v>2600</v>
      </c>
      <c r="E109" s="33" t="n">
        <v>45078</v>
      </c>
      <c r="F109" s="33" t="n">
        <v>46508</v>
      </c>
      <c r="G109" s="34" t="n">
        <v>14.1834615384615</v>
      </c>
      <c r="H109" s="16">
        <f>VLOOKUP(A109,MLA!$A$5:$L$11,3,FALSE)</f>
        <v/>
      </c>
      <c r="I109" s="11" t="inlineStr">
        <is>
          <t>Vacate</t>
        </is>
      </c>
      <c r="J109" t="inlineStr">
        <is>
          <t>Shop</t>
        </is>
      </c>
      <c r="K109" t="inlineStr">
        <is>
          <t>Occupied</t>
        </is>
      </c>
      <c r="L109" t="inlineStr">
        <is>
          <t>Shop; assumed vacate 05/27; Guarantor: Shawn Newell</t>
        </is>
      </c>
      <c r="M109" s="20">
        <f>IF(E109="",0,(AnalysisStart-E109)/365.25)</f>
        <v/>
      </c>
      <c r="N109" s="14">
        <f>IFERROR(IF(I109="LeaseUp",H109*D109*(1+GrowthMarketRent)^0*IF(0=0,(12-DowntimeNew)/12,1),IF(F109="",0,IF(F109&gt;=DATE(2027+0,4,30),G109*D109*(1+EscalatorInLease)^(0+M109),IF(F109&lt;DATE(2026+0,5,1),IF(I109="Vacate",H109*D109*(1+GrowthMarketRent)^0*IF(INT((DATE(2026+0,10,31)-F109)/365.25)=0,(12-DowntimeNew)/12,1),IF(I109="Option",G109*D109*1.025*(1+EscalatorInLease)^0,IF(I109="Market",Retention*G109*D109*(1+EscalatorInLease)^(0+M109)+(1-Retention)*H109*D109*(1+GrowthMarketRent)^0*IF(INT((DATE(2026+0,10,31)-F109)/365.25)=0,(12-DowntimeNew)/12,1),IF(I109="LeaseUp",H109*D109*(1+GrowthMarketRent)^0*IF(0=0,(12-DowntimeNew)/12,1),0)))),((F109-DATE(2026+0,5,1))/365.25)*G109*D109*(1+EscalatorInLease)^(0+M109)+((DATE(2027+0,4,30)-F109)/365.25)*IF(I109="Vacate",H109*D109*(1+GrowthMarketRent)^0*IF(INT((DATE(2026+0,10,31)-F109)/365.25)=0,(12-DowntimeNew)/12,1),IF(I109="Option",G109*D109*1.025*(1+EscalatorInLease)^0,IF(I109="Market",Retention*G109*D109*(1+EscalatorInLease)^(0+M109)+(1-Retention)*H109*D109*(1+GrowthMarketRent)^0*IF(INT((DATE(2026+0,10,31)-F109)/365.25)=0,(12-DowntimeNew)/12,1),IF(I109="LeaseUp",H109*D109*(1+GrowthMarketRent)^0*IF(0=0,(12-DowntimeNew)/12,1),0)))))))),0)</f>
        <v/>
      </c>
      <c r="O109" s="14">
        <f>IFERROR(IF(I109="LeaseUp",H109*D109*(1+GrowthMarketRent)^1*IF(1=0,(12-DowntimeNew)/12,1),IF(F109="",0,IF(F109&gt;=DATE(2027+1,4,30),G109*D109*(1+EscalatorInLease)^(1+M109),IF(F109&lt;DATE(2026+1,5,1),IF(I109="Vacate",H109*D109*(1+GrowthMarketRent)^1*IF(INT((DATE(2026+1,10,31)-F109)/365.25)=0,(12-DowntimeNew)/12,1),IF(I109="Option",G109*D109*1.025*(1+EscalatorInLease)^1,IF(I109="Market",Retention*G109*D109*(1+EscalatorInLease)^(1+M109)+(1-Retention)*H109*D109*(1+GrowthMarketRent)^1*IF(INT((DATE(2026+1,10,31)-F109)/365.25)=0,(12-DowntimeNew)/12,1),IF(I109="LeaseUp",H109*D109*(1+GrowthMarketRent)^1*IF(1=0,(12-DowntimeNew)/12,1),0)))),((F109-DATE(2026+1,5,1))/365.25)*G109*D109*(1+EscalatorInLease)^(1+M109)+((DATE(2027+1,4,30)-F109)/365.25)*IF(I109="Vacate",H109*D109*(1+GrowthMarketRent)^1*IF(INT((DATE(2026+1,10,31)-F109)/365.25)=0,(12-DowntimeNew)/12,1),IF(I109="Option",G109*D109*1.025*(1+EscalatorInLease)^1,IF(I109="Market",Retention*G109*D109*(1+EscalatorInLease)^(1+M109)+(1-Retention)*H109*D109*(1+GrowthMarketRent)^1*IF(INT((DATE(2026+1,10,31)-F109)/365.25)=0,(12-DowntimeNew)/12,1),IF(I109="LeaseUp",H109*D109*(1+GrowthMarketRent)^1*IF(1=0,(12-DowntimeNew)/12,1),0)))))))),0)</f>
        <v/>
      </c>
      <c r="P109" s="14">
        <f>IFERROR(IF(I109="LeaseUp",H109*D109*(1+GrowthMarketRent)^2*IF(2=0,(12-DowntimeNew)/12,1),IF(F109="",0,IF(F109&gt;=DATE(2027+2,4,30),G109*D109*(1+EscalatorInLease)^(2+M109),IF(F109&lt;DATE(2026+2,5,1),IF(I109="Vacate",H109*D109*(1+GrowthMarketRent)^2*IF(INT((DATE(2026+2,10,31)-F109)/365.25)=0,(12-DowntimeNew)/12,1),IF(I109="Option",G109*D109*1.025*(1+EscalatorInLease)^2,IF(I109="Market",Retention*G109*D109*(1+EscalatorInLease)^(2+M109)+(1-Retention)*H109*D109*(1+GrowthMarketRent)^2*IF(INT((DATE(2026+2,10,31)-F109)/365.25)=0,(12-DowntimeNew)/12,1),IF(I109="LeaseUp",H109*D109*(1+GrowthMarketRent)^2*IF(2=0,(12-DowntimeNew)/12,1),0)))),((F109-DATE(2026+2,5,1))/365.25)*G109*D109*(1+EscalatorInLease)^(2+M109)+((DATE(2027+2,4,30)-F109)/365.25)*IF(I109="Vacate",H109*D109*(1+GrowthMarketRent)^2*IF(INT((DATE(2026+2,10,31)-F109)/365.25)=0,(12-DowntimeNew)/12,1),IF(I109="Option",G109*D109*1.025*(1+EscalatorInLease)^2,IF(I109="Market",Retention*G109*D109*(1+EscalatorInLease)^(2+M109)+(1-Retention)*H109*D109*(1+GrowthMarketRent)^2*IF(INT((DATE(2026+2,10,31)-F109)/365.25)=0,(12-DowntimeNew)/12,1),IF(I109="LeaseUp",H109*D109*(1+GrowthMarketRent)^2*IF(2=0,(12-DowntimeNew)/12,1),0)))))))),0)</f>
        <v/>
      </c>
      <c r="Q109" s="14">
        <f>IFERROR(IF(I109="LeaseUp",H109*D109*(1+GrowthMarketRent)^3*IF(3=0,(12-DowntimeNew)/12,1),IF(F109="",0,IF(F109&gt;=DATE(2027+3,4,30),G109*D109*(1+EscalatorInLease)^(3+M109),IF(F109&lt;DATE(2026+3,5,1),IF(I109="Vacate",H109*D109*(1+GrowthMarketRent)^3*IF(INT((DATE(2026+3,10,31)-F109)/365.25)=0,(12-DowntimeNew)/12,1),IF(I109="Option",G109*D109*1.025*(1+EscalatorInLease)^3,IF(I109="Market",Retention*G109*D109*(1+EscalatorInLease)^(3+M109)+(1-Retention)*H109*D109*(1+GrowthMarketRent)^3*IF(INT((DATE(2026+3,10,31)-F109)/365.25)=0,(12-DowntimeNew)/12,1),IF(I109="LeaseUp",H109*D109*(1+GrowthMarketRent)^3*IF(3=0,(12-DowntimeNew)/12,1),0)))),((F109-DATE(2026+3,5,1))/365.25)*G109*D109*(1+EscalatorInLease)^(3+M109)+((DATE(2027+3,4,30)-F109)/365.25)*IF(I109="Vacate",H109*D109*(1+GrowthMarketRent)^3*IF(INT((DATE(2026+3,10,31)-F109)/365.25)=0,(12-DowntimeNew)/12,1),IF(I109="Option",G109*D109*1.025*(1+EscalatorInLease)^3,IF(I109="Market",Retention*G109*D109*(1+EscalatorInLease)^(3+M109)+(1-Retention)*H109*D109*(1+GrowthMarketRent)^3*IF(INT((DATE(2026+3,10,31)-F109)/365.25)=0,(12-DowntimeNew)/12,1),IF(I109="LeaseUp",H109*D109*(1+GrowthMarketRent)^3*IF(3=0,(12-DowntimeNew)/12,1),0)))))))),0)</f>
        <v/>
      </c>
      <c r="R109" s="14">
        <f>IFERROR(IF(I109="LeaseUp",H109*D109*(1+GrowthMarketRent)^4*IF(4=0,(12-DowntimeNew)/12,1),IF(F109="",0,IF(F109&gt;=DATE(2027+4,4,30),G109*D109*(1+EscalatorInLease)^(4+M109),IF(F109&lt;DATE(2026+4,5,1),IF(I109="Vacate",H109*D109*(1+GrowthMarketRent)^4*IF(INT((DATE(2026+4,10,31)-F109)/365.25)=0,(12-DowntimeNew)/12,1),IF(I109="Option",G109*D109*1.025*(1+EscalatorInLease)^4,IF(I109="Market",Retention*G109*D109*(1+EscalatorInLease)^(4+M109)+(1-Retention)*H109*D109*(1+GrowthMarketRent)^4*IF(INT((DATE(2026+4,10,31)-F109)/365.25)=0,(12-DowntimeNew)/12,1),IF(I109="LeaseUp",H109*D109*(1+GrowthMarketRent)^4*IF(4=0,(12-DowntimeNew)/12,1),0)))),((F109-DATE(2026+4,5,1))/365.25)*G109*D109*(1+EscalatorInLease)^(4+M109)+((DATE(2027+4,4,30)-F109)/365.25)*IF(I109="Vacate",H109*D109*(1+GrowthMarketRent)^4*IF(INT((DATE(2026+4,10,31)-F109)/365.25)=0,(12-DowntimeNew)/12,1),IF(I109="Option",G109*D109*1.025*(1+EscalatorInLease)^4,IF(I109="Market",Retention*G109*D109*(1+EscalatorInLease)^(4+M109)+(1-Retention)*H109*D109*(1+GrowthMarketRent)^4*IF(INT((DATE(2026+4,10,31)-F109)/365.25)=0,(12-DowntimeNew)/12,1),IF(I109="LeaseUp",H109*D109*(1+GrowthMarketRent)^4*IF(4=0,(12-DowntimeNew)/12,1),0)))))))),0)</f>
        <v/>
      </c>
      <c r="S109" s="14">
        <f>IFERROR(IF(I109="LeaseUp",H109*D109*(1+GrowthMarketRent)^5*IF(5=0,(12-DowntimeNew)/12,1),IF(F109="",0,IF(F109&gt;=DATE(2027+5,4,30),G109*D109*(1+EscalatorInLease)^(5+M109),IF(F109&lt;DATE(2026+5,5,1),IF(I109="Vacate",H109*D109*(1+GrowthMarketRent)^5*IF(INT((DATE(2026+5,10,31)-F109)/365.25)=0,(12-DowntimeNew)/12,1),IF(I109="Option",G109*D109*1.025*(1+EscalatorInLease)^5,IF(I109="Market",Retention*G109*D109*(1+EscalatorInLease)^(5+M109)+(1-Retention)*H109*D109*(1+GrowthMarketRent)^5*IF(INT((DATE(2026+5,10,31)-F109)/365.25)=0,(12-DowntimeNew)/12,1),IF(I109="LeaseUp",H109*D109*(1+GrowthMarketRent)^5*IF(5=0,(12-DowntimeNew)/12,1),0)))),((F109-DATE(2026+5,5,1))/365.25)*G109*D109*(1+EscalatorInLease)^(5+M109)+((DATE(2027+5,4,30)-F109)/365.25)*IF(I109="Vacate",H109*D109*(1+GrowthMarketRent)^5*IF(INT((DATE(2026+5,10,31)-F109)/365.25)=0,(12-DowntimeNew)/12,1),IF(I109="Option",G109*D109*1.025*(1+EscalatorInLease)^5,IF(I109="Market",Retention*G109*D109*(1+EscalatorInLease)^(5+M109)+(1-Retention)*H109*D109*(1+GrowthMarketRent)^5*IF(INT((DATE(2026+5,10,31)-F109)/365.25)=0,(12-DowntimeNew)/12,1),IF(I109="LeaseUp",H109*D109*(1+GrowthMarketRent)^5*IF(5=0,(12-DowntimeNew)/12,1),0)))))))),0)</f>
        <v/>
      </c>
      <c r="T109" s="14">
        <f>IFERROR(IF(I109="LeaseUp",H109*D109*(1+GrowthMarketRent)^6*IF(6=0,(12-DowntimeNew)/12,1),IF(F109="",0,IF(F109&gt;=DATE(2027+6,4,30),G109*D109*(1+EscalatorInLease)^(6+M109),IF(F109&lt;DATE(2026+6,5,1),IF(I109="Vacate",H109*D109*(1+GrowthMarketRent)^6*IF(INT((DATE(2026+6,10,31)-F109)/365.25)=0,(12-DowntimeNew)/12,1),IF(I109="Option",G109*D109*1.025*(1+EscalatorInLease)^6,IF(I109="Market",Retention*G109*D109*(1+EscalatorInLease)^(6+M109)+(1-Retention)*H109*D109*(1+GrowthMarketRent)^6*IF(INT((DATE(2026+6,10,31)-F109)/365.25)=0,(12-DowntimeNew)/12,1),IF(I109="LeaseUp",H109*D109*(1+GrowthMarketRent)^6*IF(6=0,(12-DowntimeNew)/12,1),0)))),((F109-DATE(2026+6,5,1))/365.25)*G109*D109*(1+EscalatorInLease)^(6+M109)+((DATE(2027+6,4,30)-F109)/365.25)*IF(I109="Vacate",H109*D109*(1+GrowthMarketRent)^6*IF(INT((DATE(2026+6,10,31)-F109)/365.25)=0,(12-DowntimeNew)/12,1),IF(I109="Option",G109*D109*1.025*(1+EscalatorInLease)^6,IF(I109="Market",Retention*G109*D109*(1+EscalatorInLease)^(6+M109)+(1-Retention)*H109*D109*(1+GrowthMarketRent)^6*IF(INT((DATE(2026+6,10,31)-F109)/365.25)=0,(12-DowntimeNew)/12,1),IF(I109="LeaseUp",H109*D109*(1+GrowthMarketRent)^6*IF(6=0,(12-DowntimeNew)/12,1),0)))))))),0)</f>
        <v/>
      </c>
      <c r="U109" s="14">
        <f>IFERROR(IF(I109="LeaseUp",H109*D109*(1+GrowthMarketRent)^7*IF(7=0,(12-DowntimeNew)/12,1),IF(F109="",0,IF(F109&gt;=DATE(2027+7,4,30),G109*D109*(1+EscalatorInLease)^(7+M109),IF(F109&lt;DATE(2026+7,5,1),IF(I109="Vacate",H109*D109*(1+GrowthMarketRent)^7*IF(INT((DATE(2026+7,10,31)-F109)/365.25)=0,(12-DowntimeNew)/12,1),IF(I109="Option",G109*D109*1.025*(1+EscalatorInLease)^7,IF(I109="Market",Retention*G109*D109*(1+EscalatorInLease)^(7+M109)+(1-Retention)*H109*D109*(1+GrowthMarketRent)^7*IF(INT((DATE(2026+7,10,31)-F109)/365.25)=0,(12-DowntimeNew)/12,1),IF(I109="LeaseUp",H109*D109*(1+GrowthMarketRent)^7*IF(7=0,(12-DowntimeNew)/12,1),0)))),((F109-DATE(2026+7,5,1))/365.25)*G109*D109*(1+EscalatorInLease)^(7+M109)+((DATE(2027+7,4,30)-F109)/365.25)*IF(I109="Vacate",H109*D109*(1+GrowthMarketRent)^7*IF(INT((DATE(2026+7,10,31)-F109)/365.25)=0,(12-DowntimeNew)/12,1),IF(I109="Option",G109*D109*1.025*(1+EscalatorInLease)^7,IF(I109="Market",Retention*G109*D109*(1+EscalatorInLease)^(7+M109)+(1-Retention)*H109*D109*(1+GrowthMarketRent)^7*IF(INT((DATE(2026+7,10,31)-F109)/365.25)=0,(12-DowntimeNew)/12,1),IF(I109="LeaseUp",H109*D109*(1+GrowthMarketRent)^7*IF(7=0,(12-DowntimeNew)/12,1),0)))))))),0)</f>
        <v/>
      </c>
      <c r="V109" s="14">
        <f>IFERROR(IF(I109="LeaseUp",H109*D109*(1+GrowthMarketRent)^8*IF(8=0,(12-DowntimeNew)/12,1),IF(F109="",0,IF(F109&gt;=DATE(2027+8,4,30),G109*D109*(1+EscalatorInLease)^(8+M109),IF(F109&lt;DATE(2026+8,5,1),IF(I109="Vacate",H109*D109*(1+GrowthMarketRent)^8*IF(INT((DATE(2026+8,10,31)-F109)/365.25)=0,(12-DowntimeNew)/12,1),IF(I109="Option",G109*D109*1.025*(1+EscalatorInLease)^8,IF(I109="Market",Retention*G109*D109*(1+EscalatorInLease)^(8+M109)+(1-Retention)*H109*D109*(1+GrowthMarketRent)^8*IF(INT((DATE(2026+8,10,31)-F109)/365.25)=0,(12-DowntimeNew)/12,1),IF(I109="LeaseUp",H109*D109*(1+GrowthMarketRent)^8*IF(8=0,(12-DowntimeNew)/12,1),0)))),((F109-DATE(2026+8,5,1))/365.25)*G109*D109*(1+EscalatorInLease)^(8+M109)+((DATE(2027+8,4,30)-F109)/365.25)*IF(I109="Vacate",H109*D109*(1+GrowthMarketRent)^8*IF(INT((DATE(2026+8,10,31)-F109)/365.25)=0,(12-DowntimeNew)/12,1),IF(I109="Option",G109*D109*1.025*(1+EscalatorInLease)^8,IF(I109="Market",Retention*G109*D109*(1+EscalatorInLease)^(8+M109)+(1-Retention)*H109*D109*(1+GrowthMarketRent)^8*IF(INT((DATE(2026+8,10,31)-F109)/365.25)=0,(12-DowntimeNew)/12,1),IF(I109="LeaseUp",H109*D109*(1+GrowthMarketRent)^8*IF(8=0,(12-DowntimeNew)/12,1),0)))))))),0)</f>
        <v/>
      </c>
      <c r="W109" s="14">
        <f>IFERROR(IF(I109="LeaseUp",H109*D109*(1+GrowthMarketRent)^9*IF(9=0,(12-DowntimeNew)/12,1),IF(F109="",0,IF(F109&gt;=DATE(2027+9,4,30),G109*D109*(1+EscalatorInLease)^(9+M109),IF(F109&lt;DATE(2026+9,5,1),IF(I109="Vacate",H109*D109*(1+GrowthMarketRent)^9*IF(INT((DATE(2026+9,10,31)-F109)/365.25)=0,(12-DowntimeNew)/12,1),IF(I109="Option",G109*D109*1.025*(1+EscalatorInLease)^9,IF(I109="Market",Retention*G109*D109*(1+EscalatorInLease)^(9+M109)+(1-Retention)*H109*D109*(1+GrowthMarketRent)^9*IF(INT((DATE(2026+9,10,31)-F109)/365.25)=0,(12-DowntimeNew)/12,1),IF(I109="LeaseUp",H109*D109*(1+GrowthMarketRent)^9*IF(9=0,(12-DowntimeNew)/12,1),0)))),((F109-DATE(2026+9,5,1))/365.25)*G109*D109*(1+EscalatorInLease)^(9+M109)+((DATE(2027+9,4,30)-F109)/365.25)*IF(I109="Vacate",H109*D109*(1+GrowthMarketRent)^9*IF(INT((DATE(2026+9,10,31)-F109)/365.25)=0,(12-DowntimeNew)/12,1),IF(I109="Option",G109*D109*1.025*(1+EscalatorInLease)^9,IF(I109="Market",Retention*G109*D109*(1+EscalatorInLease)^(9+M109)+(1-Retention)*H109*D109*(1+GrowthMarketRent)^9*IF(INT((DATE(2026+9,10,31)-F109)/365.25)=0,(12-DowntimeNew)/12,1),IF(I109="LeaseUp",H109*D109*(1+GrowthMarketRent)^9*IF(9=0,(12-DowntimeNew)/12,1),0)))))))),0)</f>
        <v/>
      </c>
      <c r="X109" s="14">
        <f>IFERROR(IF(I109="LeaseUp",H109*D109*(1+GrowthMarketRent)^10*IF(10=0,(12-DowntimeNew)/12,1),IF(F109="",0,IF(F109&gt;=DATE(2027+10,4,30),G109*D109*(1+EscalatorInLease)^(10+M109),IF(F109&lt;DATE(2026+10,5,1),IF(I109="Vacate",H109*D109*(1+GrowthMarketRent)^10*IF(INT((DATE(2026+10,10,31)-F109)/365.25)=0,(12-DowntimeNew)/12,1),IF(I109="Option",G109*D109*1.025*(1+EscalatorInLease)^10,IF(I109="Market",Retention*G109*D109*(1+EscalatorInLease)^(10+M109)+(1-Retention)*H109*D109*(1+GrowthMarketRent)^10*IF(INT((DATE(2026+10,10,31)-F109)/365.25)=0,(12-DowntimeNew)/12,1),IF(I109="LeaseUp",H109*D109*(1+GrowthMarketRent)^10*IF(10=0,(12-DowntimeNew)/12,1),0)))),((F109-DATE(2026+10,5,1))/365.25)*G109*D109*(1+EscalatorInLease)^(10+M109)+((DATE(2027+10,4,30)-F109)/365.25)*IF(I109="Vacate",H109*D109*(1+GrowthMarketRent)^10*IF(INT((DATE(2026+10,10,31)-F109)/365.25)=0,(12-DowntimeNew)/12,1),IF(I109="Option",G109*D109*1.025*(1+EscalatorInLease)^10,IF(I109="Market",Retention*G109*D109*(1+EscalatorInLease)^(10+M109)+(1-Retention)*H109*D109*(1+GrowthMarketRent)^10*IF(INT((DATE(2026+10,10,31)-F109)/365.25)=0,(12-DowntimeNew)/12,1),IF(I109="LeaseUp",H109*D109*(1+GrowthMarketRent)^10*IF(10=0,(12-DowntimeNew)/12,1),0)))))))),0)</f>
        <v/>
      </c>
      <c r="Y109" s="14">
        <f>IFERROR(IF(AND(I109="LeaseUp",0=0),(IF(I109="Vacate",TINew*D109,IF(I109="Market",Retention*TIRenewal*D109+(1-Retention)*TINew*D109,IF(I109="LeaseUp",TINew*D109,IF(I109="Option",TIRenewal*D109,0)))))+(IF(I109="Vacate",LCNew*H109*D109*(1+GrowthMarketRent)^0,IF(I109="Market",Retention*LCRenewal*H109*D109*(1+GrowthMarketRent)^0+(1-Retention)*LCNew*H109*D109*(1+GrowthMarketRent)^0,IF(I109="LeaseUp",LCNew*H109*D109*(1+GrowthMarketRent)^0,IF(I109="Option",LCRenewal*H109*D109*(1+GrowthMarketRent)^0,0))))),IF(F109="",0,IF(AND(F109&gt;=DATE(2026+0,5,1),F109&lt;=DATE(2027+0,4,30)),(IF(I109="Vacate",TINew*D109,IF(I109="Market",Retention*TIRenewal*D109+(1-Retention)*TINew*D109,IF(I109="LeaseUp",TINew*D109,IF(I109="Option",TIRenewal*D109,0)))))+(IF(I109="Vacate",LCNew*H109*D109*(1+GrowthMarketRent)^0,IF(I109="Market",Retention*LCRenewal*H109*D109*(1+GrowthMarketRent)^0+(1-Retention)*LCNew*H109*D109*(1+GrowthMarketRent)^0,IF(I109="LeaseUp",LCNew*H109*D109*(1+GrowthMarketRent)^0,IF(I109="Option",LCRenewal*H109*D109*(1+GrowthMarketRent)^0,0))))),0))),0)</f>
        <v/>
      </c>
      <c r="Z109" s="14">
        <f>IFERROR(IF(AND(I109="LeaseUp",1=0),(IF(I109="Vacate",TINew*D109,IF(I109="Market",Retention*TIRenewal*D109+(1-Retention)*TINew*D109,IF(I109="LeaseUp",TINew*D109,IF(I109="Option",TIRenewal*D109,0)))))+(IF(I109="Vacate",LCNew*H109*D109*(1+GrowthMarketRent)^1,IF(I109="Market",Retention*LCRenewal*H109*D109*(1+GrowthMarketRent)^1+(1-Retention)*LCNew*H109*D109*(1+GrowthMarketRent)^1,IF(I109="LeaseUp",LCNew*H109*D109*(1+GrowthMarketRent)^1,IF(I109="Option",LCRenewal*H109*D109*(1+GrowthMarketRent)^1,0))))),IF(F109="",0,IF(AND(F109&gt;=DATE(2026+1,5,1),F109&lt;=DATE(2027+1,4,30)),(IF(I109="Vacate",TINew*D109,IF(I109="Market",Retention*TIRenewal*D109+(1-Retention)*TINew*D109,IF(I109="LeaseUp",TINew*D109,IF(I109="Option",TIRenewal*D109,0)))))+(IF(I109="Vacate",LCNew*H109*D109*(1+GrowthMarketRent)^1,IF(I109="Market",Retention*LCRenewal*H109*D109*(1+GrowthMarketRent)^1+(1-Retention)*LCNew*H109*D109*(1+GrowthMarketRent)^1,IF(I109="LeaseUp",LCNew*H109*D109*(1+GrowthMarketRent)^1,IF(I109="Option",LCRenewal*H109*D109*(1+GrowthMarketRent)^1,0))))),0))),0)</f>
        <v/>
      </c>
      <c r="AA109" s="14">
        <f>IFERROR(IF(AND(I109="LeaseUp",2=0),(IF(I109="Vacate",TINew*D109,IF(I109="Market",Retention*TIRenewal*D109+(1-Retention)*TINew*D109,IF(I109="LeaseUp",TINew*D109,IF(I109="Option",TIRenewal*D109,0)))))+(IF(I109="Vacate",LCNew*H109*D109*(1+GrowthMarketRent)^2,IF(I109="Market",Retention*LCRenewal*H109*D109*(1+GrowthMarketRent)^2+(1-Retention)*LCNew*H109*D109*(1+GrowthMarketRent)^2,IF(I109="LeaseUp",LCNew*H109*D109*(1+GrowthMarketRent)^2,IF(I109="Option",LCRenewal*H109*D109*(1+GrowthMarketRent)^2,0))))),IF(F109="",0,IF(AND(F109&gt;=DATE(2026+2,5,1),F109&lt;=DATE(2027+2,4,30)),(IF(I109="Vacate",TINew*D109,IF(I109="Market",Retention*TIRenewal*D109+(1-Retention)*TINew*D109,IF(I109="LeaseUp",TINew*D109,IF(I109="Option",TIRenewal*D109,0)))))+(IF(I109="Vacate",LCNew*H109*D109*(1+GrowthMarketRent)^2,IF(I109="Market",Retention*LCRenewal*H109*D109*(1+GrowthMarketRent)^2+(1-Retention)*LCNew*H109*D109*(1+GrowthMarketRent)^2,IF(I109="LeaseUp",LCNew*H109*D109*(1+GrowthMarketRent)^2,IF(I109="Option",LCRenewal*H109*D109*(1+GrowthMarketRent)^2,0))))),0))),0)</f>
        <v/>
      </c>
      <c r="AB109" s="14">
        <f>IFERROR(IF(AND(I109="LeaseUp",3=0),(IF(I109="Vacate",TINew*D109,IF(I109="Market",Retention*TIRenewal*D109+(1-Retention)*TINew*D109,IF(I109="LeaseUp",TINew*D109,IF(I109="Option",TIRenewal*D109,0)))))+(IF(I109="Vacate",LCNew*H109*D109*(1+GrowthMarketRent)^3,IF(I109="Market",Retention*LCRenewal*H109*D109*(1+GrowthMarketRent)^3+(1-Retention)*LCNew*H109*D109*(1+GrowthMarketRent)^3,IF(I109="LeaseUp",LCNew*H109*D109*(1+GrowthMarketRent)^3,IF(I109="Option",LCRenewal*H109*D109*(1+GrowthMarketRent)^3,0))))),IF(F109="",0,IF(AND(F109&gt;=DATE(2026+3,5,1),F109&lt;=DATE(2027+3,4,30)),(IF(I109="Vacate",TINew*D109,IF(I109="Market",Retention*TIRenewal*D109+(1-Retention)*TINew*D109,IF(I109="LeaseUp",TINew*D109,IF(I109="Option",TIRenewal*D109,0)))))+(IF(I109="Vacate",LCNew*H109*D109*(1+GrowthMarketRent)^3,IF(I109="Market",Retention*LCRenewal*H109*D109*(1+GrowthMarketRent)^3+(1-Retention)*LCNew*H109*D109*(1+GrowthMarketRent)^3,IF(I109="LeaseUp",LCNew*H109*D109*(1+GrowthMarketRent)^3,IF(I109="Option",LCRenewal*H109*D109*(1+GrowthMarketRent)^3,0))))),0))),0)</f>
        <v/>
      </c>
      <c r="AC109" s="14">
        <f>IFERROR(IF(AND(I109="LeaseUp",4=0),(IF(I109="Vacate",TINew*D109,IF(I109="Market",Retention*TIRenewal*D109+(1-Retention)*TINew*D109,IF(I109="LeaseUp",TINew*D109,IF(I109="Option",TIRenewal*D109,0)))))+(IF(I109="Vacate",LCNew*H109*D109*(1+GrowthMarketRent)^4,IF(I109="Market",Retention*LCRenewal*H109*D109*(1+GrowthMarketRent)^4+(1-Retention)*LCNew*H109*D109*(1+GrowthMarketRent)^4,IF(I109="LeaseUp",LCNew*H109*D109*(1+GrowthMarketRent)^4,IF(I109="Option",LCRenewal*H109*D109*(1+GrowthMarketRent)^4,0))))),IF(F109="",0,IF(AND(F109&gt;=DATE(2026+4,5,1),F109&lt;=DATE(2027+4,4,30)),(IF(I109="Vacate",TINew*D109,IF(I109="Market",Retention*TIRenewal*D109+(1-Retention)*TINew*D109,IF(I109="LeaseUp",TINew*D109,IF(I109="Option",TIRenewal*D109,0)))))+(IF(I109="Vacate",LCNew*H109*D109*(1+GrowthMarketRent)^4,IF(I109="Market",Retention*LCRenewal*H109*D109*(1+GrowthMarketRent)^4+(1-Retention)*LCNew*H109*D109*(1+GrowthMarketRent)^4,IF(I109="LeaseUp",LCNew*H109*D109*(1+GrowthMarketRent)^4,IF(I109="Option",LCRenewal*H109*D109*(1+GrowthMarketRent)^4,0))))),0))),0)</f>
        <v/>
      </c>
      <c r="AD109" s="14">
        <f>IFERROR(IF(AND(I109="LeaseUp",5=0),(IF(I109="Vacate",TINew*D109,IF(I109="Market",Retention*TIRenewal*D109+(1-Retention)*TINew*D109,IF(I109="LeaseUp",TINew*D109,IF(I109="Option",TIRenewal*D109,0)))))+(IF(I109="Vacate",LCNew*H109*D109*(1+GrowthMarketRent)^5,IF(I109="Market",Retention*LCRenewal*H109*D109*(1+GrowthMarketRent)^5+(1-Retention)*LCNew*H109*D109*(1+GrowthMarketRent)^5,IF(I109="LeaseUp",LCNew*H109*D109*(1+GrowthMarketRent)^5,IF(I109="Option",LCRenewal*H109*D109*(1+GrowthMarketRent)^5,0))))),IF(F109="",0,IF(AND(F109&gt;=DATE(2026+5,5,1),F109&lt;=DATE(2027+5,4,30)),(IF(I109="Vacate",TINew*D109,IF(I109="Market",Retention*TIRenewal*D109+(1-Retention)*TINew*D109,IF(I109="LeaseUp",TINew*D109,IF(I109="Option",TIRenewal*D109,0)))))+(IF(I109="Vacate",LCNew*H109*D109*(1+GrowthMarketRent)^5,IF(I109="Market",Retention*LCRenewal*H109*D109*(1+GrowthMarketRent)^5+(1-Retention)*LCNew*H109*D109*(1+GrowthMarketRent)^5,IF(I109="LeaseUp",LCNew*H109*D109*(1+GrowthMarketRent)^5,IF(I109="Option",LCRenewal*H109*D109*(1+GrowthMarketRent)^5,0))))),0))),0)</f>
        <v/>
      </c>
      <c r="AE109" s="14">
        <f>IFERROR(IF(AND(I109="LeaseUp",6=0),(IF(I109="Vacate",TINew*D109,IF(I109="Market",Retention*TIRenewal*D109+(1-Retention)*TINew*D109,IF(I109="LeaseUp",TINew*D109,IF(I109="Option",TIRenewal*D109,0)))))+(IF(I109="Vacate",LCNew*H109*D109*(1+GrowthMarketRent)^6,IF(I109="Market",Retention*LCRenewal*H109*D109*(1+GrowthMarketRent)^6+(1-Retention)*LCNew*H109*D109*(1+GrowthMarketRent)^6,IF(I109="LeaseUp",LCNew*H109*D109*(1+GrowthMarketRent)^6,IF(I109="Option",LCRenewal*H109*D109*(1+GrowthMarketRent)^6,0))))),IF(F109="",0,IF(AND(F109&gt;=DATE(2026+6,5,1),F109&lt;=DATE(2027+6,4,30)),(IF(I109="Vacate",TINew*D109,IF(I109="Market",Retention*TIRenewal*D109+(1-Retention)*TINew*D109,IF(I109="LeaseUp",TINew*D109,IF(I109="Option",TIRenewal*D109,0)))))+(IF(I109="Vacate",LCNew*H109*D109*(1+GrowthMarketRent)^6,IF(I109="Market",Retention*LCRenewal*H109*D109*(1+GrowthMarketRent)^6+(1-Retention)*LCNew*H109*D109*(1+GrowthMarketRent)^6,IF(I109="LeaseUp",LCNew*H109*D109*(1+GrowthMarketRent)^6,IF(I109="Option",LCRenewal*H109*D109*(1+GrowthMarketRent)^6,0))))),0))),0)</f>
        <v/>
      </c>
      <c r="AF109" s="14">
        <f>IFERROR(IF(AND(I109="LeaseUp",7=0),(IF(I109="Vacate",TINew*D109,IF(I109="Market",Retention*TIRenewal*D109+(1-Retention)*TINew*D109,IF(I109="LeaseUp",TINew*D109,IF(I109="Option",TIRenewal*D109,0)))))+(IF(I109="Vacate",LCNew*H109*D109*(1+GrowthMarketRent)^7,IF(I109="Market",Retention*LCRenewal*H109*D109*(1+GrowthMarketRent)^7+(1-Retention)*LCNew*H109*D109*(1+GrowthMarketRent)^7,IF(I109="LeaseUp",LCNew*H109*D109*(1+GrowthMarketRent)^7,IF(I109="Option",LCRenewal*H109*D109*(1+GrowthMarketRent)^7,0))))),IF(F109="",0,IF(AND(F109&gt;=DATE(2026+7,5,1),F109&lt;=DATE(2027+7,4,30)),(IF(I109="Vacate",TINew*D109,IF(I109="Market",Retention*TIRenewal*D109+(1-Retention)*TINew*D109,IF(I109="LeaseUp",TINew*D109,IF(I109="Option",TIRenewal*D109,0)))))+(IF(I109="Vacate",LCNew*H109*D109*(1+GrowthMarketRent)^7,IF(I109="Market",Retention*LCRenewal*H109*D109*(1+GrowthMarketRent)^7+(1-Retention)*LCNew*H109*D109*(1+GrowthMarketRent)^7,IF(I109="LeaseUp",LCNew*H109*D109*(1+GrowthMarketRent)^7,IF(I109="Option",LCRenewal*H109*D109*(1+GrowthMarketRent)^7,0))))),0))),0)</f>
        <v/>
      </c>
      <c r="AG109" s="14">
        <f>IFERROR(IF(AND(I109="LeaseUp",8=0),(IF(I109="Vacate",TINew*D109,IF(I109="Market",Retention*TIRenewal*D109+(1-Retention)*TINew*D109,IF(I109="LeaseUp",TINew*D109,IF(I109="Option",TIRenewal*D109,0)))))+(IF(I109="Vacate",LCNew*H109*D109*(1+GrowthMarketRent)^8,IF(I109="Market",Retention*LCRenewal*H109*D109*(1+GrowthMarketRent)^8+(1-Retention)*LCNew*H109*D109*(1+GrowthMarketRent)^8,IF(I109="LeaseUp",LCNew*H109*D109*(1+GrowthMarketRent)^8,IF(I109="Option",LCRenewal*H109*D109*(1+GrowthMarketRent)^8,0))))),IF(F109="",0,IF(AND(F109&gt;=DATE(2026+8,5,1),F109&lt;=DATE(2027+8,4,30)),(IF(I109="Vacate",TINew*D109,IF(I109="Market",Retention*TIRenewal*D109+(1-Retention)*TINew*D109,IF(I109="LeaseUp",TINew*D109,IF(I109="Option",TIRenewal*D109,0)))))+(IF(I109="Vacate",LCNew*H109*D109*(1+GrowthMarketRent)^8,IF(I109="Market",Retention*LCRenewal*H109*D109*(1+GrowthMarketRent)^8+(1-Retention)*LCNew*H109*D109*(1+GrowthMarketRent)^8,IF(I109="LeaseUp",LCNew*H109*D109*(1+GrowthMarketRent)^8,IF(I109="Option",LCRenewal*H109*D109*(1+GrowthMarketRent)^8,0))))),0))),0)</f>
        <v/>
      </c>
      <c r="AH109" s="14">
        <f>IFERROR(IF(AND(I109="LeaseUp",9=0),(IF(I109="Vacate",TINew*D109,IF(I109="Market",Retention*TIRenewal*D109+(1-Retention)*TINew*D109,IF(I109="LeaseUp",TINew*D109,IF(I109="Option",TIRenewal*D109,0)))))+(IF(I109="Vacate",LCNew*H109*D109*(1+GrowthMarketRent)^9,IF(I109="Market",Retention*LCRenewal*H109*D109*(1+GrowthMarketRent)^9+(1-Retention)*LCNew*H109*D109*(1+GrowthMarketRent)^9,IF(I109="LeaseUp",LCNew*H109*D109*(1+GrowthMarketRent)^9,IF(I109="Option",LCRenewal*H109*D109*(1+GrowthMarketRent)^9,0))))),IF(F109="",0,IF(AND(F109&gt;=DATE(2026+9,5,1),F109&lt;=DATE(2027+9,4,30)),(IF(I109="Vacate",TINew*D109,IF(I109="Market",Retention*TIRenewal*D109+(1-Retention)*TINew*D109,IF(I109="LeaseUp",TINew*D109,IF(I109="Option",TIRenewal*D109,0)))))+(IF(I109="Vacate",LCNew*H109*D109*(1+GrowthMarketRent)^9,IF(I109="Market",Retention*LCRenewal*H109*D109*(1+GrowthMarketRent)^9+(1-Retention)*LCNew*H109*D109*(1+GrowthMarketRent)^9,IF(I109="LeaseUp",LCNew*H109*D109*(1+GrowthMarketRent)^9,IF(I109="Option",LCRenewal*H109*D109*(1+GrowthMarketRent)^9,0))))),0))),0)</f>
        <v/>
      </c>
      <c r="AI109" s="14">
        <f>IFERROR(IF(AND(I109="LeaseUp",10=0),(IF(I109="Vacate",TINew*D109,IF(I109="Market",Retention*TIRenewal*D109+(1-Retention)*TINew*D109,IF(I109="LeaseUp",TINew*D109,IF(I109="Option",TIRenewal*D109,0)))))+(IF(I109="Vacate",LCNew*H109*D109*(1+GrowthMarketRent)^10,IF(I109="Market",Retention*LCRenewal*H109*D109*(1+GrowthMarketRent)^10+(1-Retention)*LCNew*H109*D109*(1+GrowthMarketRent)^10,IF(I109="LeaseUp",LCNew*H109*D109*(1+GrowthMarketRent)^10,IF(I109="Option",LCRenewal*H109*D109*(1+GrowthMarketRent)^10,0))))),IF(F109="",0,IF(AND(F109&gt;=DATE(2026+10,5,1),F109&lt;=DATE(2027+10,4,30)),(IF(I109="Vacate",TINew*D109,IF(I109="Market",Retention*TIRenewal*D109+(1-Retention)*TINew*D109,IF(I109="LeaseUp",TINew*D109,IF(I109="Option",TIRenewal*D109,0)))))+(IF(I109="Vacate",LCNew*H109*D109*(1+GrowthMarketRent)^10,IF(I109="Market",Retention*LCRenewal*H109*D109*(1+GrowthMarketRent)^10+(1-Retention)*LCNew*H109*D109*(1+GrowthMarketRent)^10,IF(I109="LeaseUp",LCNew*H109*D109*(1+GrowthMarketRent)^10,IF(I109="Option",LCRenewal*H109*D109*(1+GrowthMarketRent)^10,0))))),0))),0)</f>
        <v/>
      </c>
    </row>
    <row r="110">
      <c r="A110" t="inlineStr">
        <is>
          <t>Lewisville</t>
        </is>
      </c>
      <c r="B110" t="inlineStr">
        <is>
          <t>210</t>
        </is>
      </c>
      <c r="C110" t="inlineStr">
        <is>
          <t>Range Roofing LLC</t>
        </is>
      </c>
      <c r="D110" s="32" t="n">
        <v>2600</v>
      </c>
      <c r="E110" s="33" t="n">
        <v>45078</v>
      </c>
      <c r="F110" s="33" t="n">
        <v>46508</v>
      </c>
      <c r="G110" s="34" t="n">
        <v>14.1834615384615</v>
      </c>
      <c r="H110" s="16">
        <f>VLOOKUP(A110,MLA!$A$5:$L$11,3,FALSE)</f>
        <v/>
      </c>
      <c r="I110" s="11" t="inlineStr">
        <is>
          <t>Vacate</t>
        </is>
      </c>
      <c r="J110" t="inlineStr">
        <is>
          <t>Shop</t>
        </is>
      </c>
      <c r="K110" t="inlineStr">
        <is>
          <t>Occupied</t>
        </is>
      </c>
      <c r="L110" t="inlineStr">
        <is>
          <t>Shop; assumed vacate 05/27; Guarantor: Shawn Newell</t>
        </is>
      </c>
      <c r="M110" s="20">
        <f>IF(E110="",0,(AnalysisStart-E110)/365.25)</f>
        <v/>
      </c>
      <c r="N110" s="14">
        <f>IFERROR(IF(I110="LeaseUp",H110*D110*(1+GrowthMarketRent)^0*IF(0=0,(12-DowntimeNew)/12,1),IF(F110="",0,IF(F110&gt;=DATE(2027+0,4,30),G110*D110*(1+EscalatorInLease)^(0+M110),IF(F110&lt;DATE(2026+0,5,1),IF(I110="Vacate",H110*D110*(1+GrowthMarketRent)^0*IF(INT((DATE(2026+0,10,31)-F110)/365.25)=0,(12-DowntimeNew)/12,1),IF(I110="Option",G110*D110*1.025*(1+EscalatorInLease)^0,IF(I110="Market",Retention*G110*D110*(1+EscalatorInLease)^(0+M110)+(1-Retention)*H110*D110*(1+GrowthMarketRent)^0*IF(INT((DATE(2026+0,10,31)-F110)/365.25)=0,(12-DowntimeNew)/12,1),IF(I110="LeaseUp",H110*D110*(1+GrowthMarketRent)^0*IF(0=0,(12-DowntimeNew)/12,1),0)))),((F110-DATE(2026+0,5,1))/365.25)*G110*D110*(1+EscalatorInLease)^(0+M110)+((DATE(2027+0,4,30)-F110)/365.25)*IF(I110="Vacate",H110*D110*(1+GrowthMarketRent)^0*IF(INT((DATE(2026+0,10,31)-F110)/365.25)=0,(12-DowntimeNew)/12,1),IF(I110="Option",G110*D110*1.025*(1+EscalatorInLease)^0,IF(I110="Market",Retention*G110*D110*(1+EscalatorInLease)^(0+M110)+(1-Retention)*H110*D110*(1+GrowthMarketRent)^0*IF(INT((DATE(2026+0,10,31)-F110)/365.25)=0,(12-DowntimeNew)/12,1),IF(I110="LeaseUp",H110*D110*(1+GrowthMarketRent)^0*IF(0=0,(12-DowntimeNew)/12,1),0)))))))),0)</f>
        <v/>
      </c>
      <c r="O110" s="14">
        <f>IFERROR(IF(I110="LeaseUp",H110*D110*(1+GrowthMarketRent)^1*IF(1=0,(12-DowntimeNew)/12,1),IF(F110="",0,IF(F110&gt;=DATE(2027+1,4,30),G110*D110*(1+EscalatorInLease)^(1+M110),IF(F110&lt;DATE(2026+1,5,1),IF(I110="Vacate",H110*D110*(1+GrowthMarketRent)^1*IF(INT((DATE(2026+1,10,31)-F110)/365.25)=0,(12-DowntimeNew)/12,1),IF(I110="Option",G110*D110*1.025*(1+EscalatorInLease)^1,IF(I110="Market",Retention*G110*D110*(1+EscalatorInLease)^(1+M110)+(1-Retention)*H110*D110*(1+GrowthMarketRent)^1*IF(INT((DATE(2026+1,10,31)-F110)/365.25)=0,(12-DowntimeNew)/12,1),IF(I110="LeaseUp",H110*D110*(1+GrowthMarketRent)^1*IF(1=0,(12-DowntimeNew)/12,1),0)))),((F110-DATE(2026+1,5,1))/365.25)*G110*D110*(1+EscalatorInLease)^(1+M110)+((DATE(2027+1,4,30)-F110)/365.25)*IF(I110="Vacate",H110*D110*(1+GrowthMarketRent)^1*IF(INT((DATE(2026+1,10,31)-F110)/365.25)=0,(12-DowntimeNew)/12,1),IF(I110="Option",G110*D110*1.025*(1+EscalatorInLease)^1,IF(I110="Market",Retention*G110*D110*(1+EscalatorInLease)^(1+M110)+(1-Retention)*H110*D110*(1+GrowthMarketRent)^1*IF(INT((DATE(2026+1,10,31)-F110)/365.25)=0,(12-DowntimeNew)/12,1),IF(I110="LeaseUp",H110*D110*(1+GrowthMarketRent)^1*IF(1=0,(12-DowntimeNew)/12,1),0)))))))),0)</f>
        <v/>
      </c>
      <c r="P110" s="14">
        <f>IFERROR(IF(I110="LeaseUp",H110*D110*(1+GrowthMarketRent)^2*IF(2=0,(12-DowntimeNew)/12,1),IF(F110="",0,IF(F110&gt;=DATE(2027+2,4,30),G110*D110*(1+EscalatorInLease)^(2+M110),IF(F110&lt;DATE(2026+2,5,1),IF(I110="Vacate",H110*D110*(1+GrowthMarketRent)^2*IF(INT((DATE(2026+2,10,31)-F110)/365.25)=0,(12-DowntimeNew)/12,1),IF(I110="Option",G110*D110*1.025*(1+EscalatorInLease)^2,IF(I110="Market",Retention*G110*D110*(1+EscalatorInLease)^(2+M110)+(1-Retention)*H110*D110*(1+GrowthMarketRent)^2*IF(INT((DATE(2026+2,10,31)-F110)/365.25)=0,(12-DowntimeNew)/12,1),IF(I110="LeaseUp",H110*D110*(1+GrowthMarketRent)^2*IF(2=0,(12-DowntimeNew)/12,1),0)))),((F110-DATE(2026+2,5,1))/365.25)*G110*D110*(1+EscalatorInLease)^(2+M110)+((DATE(2027+2,4,30)-F110)/365.25)*IF(I110="Vacate",H110*D110*(1+GrowthMarketRent)^2*IF(INT((DATE(2026+2,10,31)-F110)/365.25)=0,(12-DowntimeNew)/12,1),IF(I110="Option",G110*D110*1.025*(1+EscalatorInLease)^2,IF(I110="Market",Retention*G110*D110*(1+EscalatorInLease)^(2+M110)+(1-Retention)*H110*D110*(1+GrowthMarketRent)^2*IF(INT((DATE(2026+2,10,31)-F110)/365.25)=0,(12-DowntimeNew)/12,1),IF(I110="LeaseUp",H110*D110*(1+GrowthMarketRent)^2*IF(2=0,(12-DowntimeNew)/12,1),0)))))))),0)</f>
        <v/>
      </c>
      <c r="Q110" s="14">
        <f>IFERROR(IF(I110="LeaseUp",H110*D110*(1+GrowthMarketRent)^3*IF(3=0,(12-DowntimeNew)/12,1),IF(F110="",0,IF(F110&gt;=DATE(2027+3,4,30),G110*D110*(1+EscalatorInLease)^(3+M110),IF(F110&lt;DATE(2026+3,5,1),IF(I110="Vacate",H110*D110*(1+GrowthMarketRent)^3*IF(INT((DATE(2026+3,10,31)-F110)/365.25)=0,(12-DowntimeNew)/12,1),IF(I110="Option",G110*D110*1.025*(1+EscalatorInLease)^3,IF(I110="Market",Retention*G110*D110*(1+EscalatorInLease)^(3+M110)+(1-Retention)*H110*D110*(1+GrowthMarketRent)^3*IF(INT((DATE(2026+3,10,31)-F110)/365.25)=0,(12-DowntimeNew)/12,1),IF(I110="LeaseUp",H110*D110*(1+GrowthMarketRent)^3*IF(3=0,(12-DowntimeNew)/12,1),0)))),((F110-DATE(2026+3,5,1))/365.25)*G110*D110*(1+EscalatorInLease)^(3+M110)+((DATE(2027+3,4,30)-F110)/365.25)*IF(I110="Vacate",H110*D110*(1+GrowthMarketRent)^3*IF(INT((DATE(2026+3,10,31)-F110)/365.25)=0,(12-DowntimeNew)/12,1),IF(I110="Option",G110*D110*1.025*(1+EscalatorInLease)^3,IF(I110="Market",Retention*G110*D110*(1+EscalatorInLease)^(3+M110)+(1-Retention)*H110*D110*(1+GrowthMarketRent)^3*IF(INT((DATE(2026+3,10,31)-F110)/365.25)=0,(12-DowntimeNew)/12,1),IF(I110="LeaseUp",H110*D110*(1+GrowthMarketRent)^3*IF(3=0,(12-DowntimeNew)/12,1),0)))))))),0)</f>
        <v/>
      </c>
      <c r="R110" s="14">
        <f>IFERROR(IF(I110="LeaseUp",H110*D110*(1+GrowthMarketRent)^4*IF(4=0,(12-DowntimeNew)/12,1),IF(F110="",0,IF(F110&gt;=DATE(2027+4,4,30),G110*D110*(1+EscalatorInLease)^(4+M110),IF(F110&lt;DATE(2026+4,5,1),IF(I110="Vacate",H110*D110*(1+GrowthMarketRent)^4*IF(INT((DATE(2026+4,10,31)-F110)/365.25)=0,(12-DowntimeNew)/12,1),IF(I110="Option",G110*D110*1.025*(1+EscalatorInLease)^4,IF(I110="Market",Retention*G110*D110*(1+EscalatorInLease)^(4+M110)+(1-Retention)*H110*D110*(1+GrowthMarketRent)^4*IF(INT((DATE(2026+4,10,31)-F110)/365.25)=0,(12-DowntimeNew)/12,1),IF(I110="LeaseUp",H110*D110*(1+GrowthMarketRent)^4*IF(4=0,(12-DowntimeNew)/12,1),0)))),((F110-DATE(2026+4,5,1))/365.25)*G110*D110*(1+EscalatorInLease)^(4+M110)+((DATE(2027+4,4,30)-F110)/365.25)*IF(I110="Vacate",H110*D110*(1+GrowthMarketRent)^4*IF(INT((DATE(2026+4,10,31)-F110)/365.25)=0,(12-DowntimeNew)/12,1),IF(I110="Option",G110*D110*1.025*(1+EscalatorInLease)^4,IF(I110="Market",Retention*G110*D110*(1+EscalatorInLease)^(4+M110)+(1-Retention)*H110*D110*(1+GrowthMarketRent)^4*IF(INT((DATE(2026+4,10,31)-F110)/365.25)=0,(12-DowntimeNew)/12,1),IF(I110="LeaseUp",H110*D110*(1+GrowthMarketRent)^4*IF(4=0,(12-DowntimeNew)/12,1),0)))))))),0)</f>
        <v/>
      </c>
      <c r="S110" s="14">
        <f>IFERROR(IF(I110="LeaseUp",H110*D110*(1+GrowthMarketRent)^5*IF(5=0,(12-DowntimeNew)/12,1),IF(F110="",0,IF(F110&gt;=DATE(2027+5,4,30),G110*D110*(1+EscalatorInLease)^(5+M110),IF(F110&lt;DATE(2026+5,5,1),IF(I110="Vacate",H110*D110*(1+GrowthMarketRent)^5*IF(INT((DATE(2026+5,10,31)-F110)/365.25)=0,(12-DowntimeNew)/12,1),IF(I110="Option",G110*D110*1.025*(1+EscalatorInLease)^5,IF(I110="Market",Retention*G110*D110*(1+EscalatorInLease)^(5+M110)+(1-Retention)*H110*D110*(1+GrowthMarketRent)^5*IF(INT((DATE(2026+5,10,31)-F110)/365.25)=0,(12-DowntimeNew)/12,1),IF(I110="LeaseUp",H110*D110*(1+GrowthMarketRent)^5*IF(5=0,(12-DowntimeNew)/12,1),0)))),((F110-DATE(2026+5,5,1))/365.25)*G110*D110*(1+EscalatorInLease)^(5+M110)+((DATE(2027+5,4,30)-F110)/365.25)*IF(I110="Vacate",H110*D110*(1+GrowthMarketRent)^5*IF(INT((DATE(2026+5,10,31)-F110)/365.25)=0,(12-DowntimeNew)/12,1),IF(I110="Option",G110*D110*1.025*(1+EscalatorInLease)^5,IF(I110="Market",Retention*G110*D110*(1+EscalatorInLease)^(5+M110)+(1-Retention)*H110*D110*(1+GrowthMarketRent)^5*IF(INT((DATE(2026+5,10,31)-F110)/365.25)=0,(12-DowntimeNew)/12,1),IF(I110="LeaseUp",H110*D110*(1+GrowthMarketRent)^5*IF(5=0,(12-DowntimeNew)/12,1),0)))))))),0)</f>
        <v/>
      </c>
      <c r="T110" s="14">
        <f>IFERROR(IF(I110="LeaseUp",H110*D110*(1+GrowthMarketRent)^6*IF(6=0,(12-DowntimeNew)/12,1),IF(F110="",0,IF(F110&gt;=DATE(2027+6,4,30),G110*D110*(1+EscalatorInLease)^(6+M110),IF(F110&lt;DATE(2026+6,5,1),IF(I110="Vacate",H110*D110*(1+GrowthMarketRent)^6*IF(INT((DATE(2026+6,10,31)-F110)/365.25)=0,(12-DowntimeNew)/12,1),IF(I110="Option",G110*D110*1.025*(1+EscalatorInLease)^6,IF(I110="Market",Retention*G110*D110*(1+EscalatorInLease)^(6+M110)+(1-Retention)*H110*D110*(1+GrowthMarketRent)^6*IF(INT((DATE(2026+6,10,31)-F110)/365.25)=0,(12-DowntimeNew)/12,1),IF(I110="LeaseUp",H110*D110*(1+GrowthMarketRent)^6*IF(6=0,(12-DowntimeNew)/12,1),0)))),((F110-DATE(2026+6,5,1))/365.25)*G110*D110*(1+EscalatorInLease)^(6+M110)+((DATE(2027+6,4,30)-F110)/365.25)*IF(I110="Vacate",H110*D110*(1+GrowthMarketRent)^6*IF(INT((DATE(2026+6,10,31)-F110)/365.25)=0,(12-DowntimeNew)/12,1),IF(I110="Option",G110*D110*1.025*(1+EscalatorInLease)^6,IF(I110="Market",Retention*G110*D110*(1+EscalatorInLease)^(6+M110)+(1-Retention)*H110*D110*(1+GrowthMarketRent)^6*IF(INT((DATE(2026+6,10,31)-F110)/365.25)=0,(12-DowntimeNew)/12,1),IF(I110="LeaseUp",H110*D110*(1+GrowthMarketRent)^6*IF(6=0,(12-DowntimeNew)/12,1),0)))))))),0)</f>
        <v/>
      </c>
      <c r="U110" s="14">
        <f>IFERROR(IF(I110="LeaseUp",H110*D110*(1+GrowthMarketRent)^7*IF(7=0,(12-DowntimeNew)/12,1),IF(F110="",0,IF(F110&gt;=DATE(2027+7,4,30),G110*D110*(1+EscalatorInLease)^(7+M110),IF(F110&lt;DATE(2026+7,5,1),IF(I110="Vacate",H110*D110*(1+GrowthMarketRent)^7*IF(INT((DATE(2026+7,10,31)-F110)/365.25)=0,(12-DowntimeNew)/12,1),IF(I110="Option",G110*D110*1.025*(1+EscalatorInLease)^7,IF(I110="Market",Retention*G110*D110*(1+EscalatorInLease)^(7+M110)+(1-Retention)*H110*D110*(1+GrowthMarketRent)^7*IF(INT((DATE(2026+7,10,31)-F110)/365.25)=0,(12-DowntimeNew)/12,1),IF(I110="LeaseUp",H110*D110*(1+GrowthMarketRent)^7*IF(7=0,(12-DowntimeNew)/12,1),0)))),((F110-DATE(2026+7,5,1))/365.25)*G110*D110*(1+EscalatorInLease)^(7+M110)+((DATE(2027+7,4,30)-F110)/365.25)*IF(I110="Vacate",H110*D110*(1+GrowthMarketRent)^7*IF(INT((DATE(2026+7,10,31)-F110)/365.25)=0,(12-DowntimeNew)/12,1),IF(I110="Option",G110*D110*1.025*(1+EscalatorInLease)^7,IF(I110="Market",Retention*G110*D110*(1+EscalatorInLease)^(7+M110)+(1-Retention)*H110*D110*(1+GrowthMarketRent)^7*IF(INT((DATE(2026+7,10,31)-F110)/365.25)=0,(12-DowntimeNew)/12,1),IF(I110="LeaseUp",H110*D110*(1+GrowthMarketRent)^7*IF(7=0,(12-DowntimeNew)/12,1),0)))))))),0)</f>
        <v/>
      </c>
      <c r="V110" s="14">
        <f>IFERROR(IF(I110="LeaseUp",H110*D110*(1+GrowthMarketRent)^8*IF(8=0,(12-DowntimeNew)/12,1),IF(F110="",0,IF(F110&gt;=DATE(2027+8,4,30),G110*D110*(1+EscalatorInLease)^(8+M110),IF(F110&lt;DATE(2026+8,5,1),IF(I110="Vacate",H110*D110*(1+GrowthMarketRent)^8*IF(INT((DATE(2026+8,10,31)-F110)/365.25)=0,(12-DowntimeNew)/12,1),IF(I110="Option",G110*D110*1.025*(1+EscalatorInLease)^8,IF(I110="Market",Retention*G110*D110*(1+EscalatorInLease)^(8+M110)+(1-Retention)*H110*D110*(1+GrowthMarketRent)^8*IF(INT((DATE(2026+8,10,31)-F110)/365.25)=0,(12-DowntimeNew)/12,1),IF(I110="LeaseUp",H110*D110*(1+GrowthMarketRent)^8*IF(8=0,(12-DowntimeNew)/12,1),0)))),((F110-DATE(2026+8,5,1))/365.25)*G110*D110*(1+EscalatorInLease)^(8+M110)+((DATE(2027+8,4,30)-F110)/365.25)*IF(I110="Vacate",H110*D110*(1+GrowthMarketRent)^8*IF(INT((DATE(2026+8,10,31)-F110)/365.25)=0,(12-DowntimeNew)/12,1),IF(I110="Option",G110*D110*1.025*(1+EscalatorInLease)^8,IF(I110="Market",Retention*G110*D110*(1+EscalatorInLease)^(8+M110)+(1-Retention)*H110*D110*(1+GrowthMarketRent)^8*IF(INT((DATE(2026+8,10,31)-F110)/365.25)=0,(12-DowntimeNew)/12,1),IF(I110="LeaseUp",H110*D110*(1+GrowthMarketRent)^8*IF(8=0,(12-DowntimeNew)/12,1),0)))))))),0)</f>
        <v/>
      </c>
      <c r="W110" s="14">
        <f>IFERROR(IF(I110="LeaseUp",H110*D110*(1+GrowthMarketRent)^9*IF(9=0,(12-DowntimeNew)/12,1),IF(F110="",0,IF(F110&gt;=DATE(2027+9,4,30),G110*D110*(1+EscalatorInLease)^(9+M110),IF(F110&lt;DATE(2026+9,5,1),IF(I110="Vacate",H110*D110*(1+GrowthMarketRent)^9*IF(INT((DATE(2026+9,10,31)-F110)/365.25)=0,(12-DowntimeNew)/12,1),IF(I110="Option",G110*D110*1.025*(1+EscalatorInLease)^9,IF(I110="Market",Retention*G110*D110*(1+EscalatorInLease)^(9+M110)+(1-Retention)*H110*D110*(1+GrowthMarketRent)^9*IF(INT((DATE(2026+9,10,31)-F110)/365.25)=0,(12-DowntimeNew)/12,1),IF(I110="LeaseUp",H110*D110*(1+GrowthMarketRent)^9*IF(9=0,(12-DowntimeNew)/12,1),0)))),((F110-DATE(2026+9,5,1))/365.25)*G110*D110*(1+EscalatorInLease)^(9+M110)+((DATE(2027+9,4,30)-F110)/365.25)*IF(I110="Vacate",H110*D110*(1+GrowthMarketRent)^9*IF(INT((DATE(2026+9,10,31)-F110)/365.25)=0,(12-DowntimeNew)/12,1),IF(I110="Option",G110*D110*1.025*(1+EscalatorInLease)^9,IF(I110="Market",Retention*G110*D110*(1+EscalatorInLease)^(9+M110)+(1-Retention)*H110*D110*(1+GrowthMarketRent)^9*IF(INT((DATE(2026+9,10,31)-F110)/365.25)=0,(12-DowntimeNew)/12,1),IF(I110="LeaseUp",H110*D110*(1+GrowthMarketRent)^9*IF(9=0,(12-DowntimeNew)/12,1),0)))))))),0)</f>
        <v/>
      </c>
      <c r="X110" s="14">
        <f>IFERROR(IF(I110="LeaseUp",H110*D110*(1+GrowthMarketRent)^10*IF(10=0,(12-DowntimeNew)/12,1),IF(F110="",0,IF(F110&gt;=DATE(2027+10,4,30),G110*D110*(1+EscalatorInLease)^(10+M110),IF(F110&lt;DATE(2026+10,5,1),IF(I110="Vacate",H110*D110*(1+GrowthMarketRent)^10*IF(INT((DATE(2026+10,10,31)-F110)/365.25)=0,(12-DowntimeNew)/12,1),IF(I110="Option",G110*D110*1.025*(1+EscalatorInLease)^10,IF(I110="Market",Retention*G110*D110*(1+EscalatorInLease)^(10+M110)+(1-Retention)*H110*D110*(1+GrowthMarketRent)^10*IF(INT((DATE(2026+10,10,31)-F110)/365.25)=0,(12-DowntimeNew)/12,1),IF(I110="LeaseUp",H110*D110*(1+GrowthMarketRent)^10*IF(10=0,(12-DowntimeNew)/12,1),0)))),((F110-DATE(2026+10,5,1))/365.25)*G110*D110*(1+EscalatorInLease)^(10+M110)+((DATE(2027+10,4,30)-F110)/365.25)*IF(I110="Vacate",H110*D110*(1+GrowthMarketRent)^10*IF(INT((DATE(2026+10,10,31)-F110)/365.25)=0,(12-DowntimeNew)/12,1),IF(I110="Option",G110*D110*1.025*(1+EscalatorInLease)^10,IF(I110="Market",Retention*G110*D110*(1+EscalatorInLease)^(10+M110)+(1-Retention)*H110*D110*(1+GrowthMarketRent)^10*IF(INT((DATE(2026+10,10,31)-F110)/365.25)=0,(12-DowntimeNew)/12,1),IF(I110="LeaseUp",H110*D110*(1+GrowthMarketRent)^10*IF(10=0,(12-DowntimeNew)/12,1),0)))))))),0)</f>
        <v/>
      </c>
      <c r="Y110" s="14">
        <f>IFERROR(IF(AND(I110="LeaseUp",0=0),(IF(I110="Vacate",TINew*D110,IF(I110="Market",Retention*TIRenewal*D110+(1-Retention)*TINew*D110,IF(I110="LeaseUp",TINew*D110,IF(I110="Option",TIRenewal*D110,0)))))+(IF(I110="Vacate",LCNew*H110*D110*(1+GrowthMarketRent)^0,IF(I110="Market",Retention*LCRenewal*H110*D110*(1+GrowthMarketRent)^0+(1-Retention)*LCNew*H110*D110*(1+GrowthMarketRent)^0,IF(I110="LeaseUp",LCNew*H110*D110*(1+GrowthMarketRent)^0,IF(I110="Option",LCRenewal*H110*D110*(1+GrowthMarketRent)^0,0))))),IF(F110="",0,IF(AND(F110&gt;=DATE(2026+0,5,1),F110&lt;=DATE(2027+0,4,30)),(IF(I110="Vacate",TINew*D110,IF(I110="Market",Retention*TIRenewal*D110+(1-Retention)*TINew*D110,IF(I110="LeaseUp",TINew*D110,IF(I110="Option",TIRenewal*D110,0)))))+(IF(I110="Vacate",LCNew*H110*D110*(1+GrowthMarketRent)^0,IF(I110="Market",Retention*LCRenewal*H110*D110*(1+GrowthMarketRent)^0+(1-Retention)*LCNew*H110*D110*(1+GrowthMarketRent)^0,IF(I110="LeaseUp",LCNew*H110*D110*(1+GrowthMarketRent)^0,IF(I110="Option",LCRenewal*H110*D110*(1+GrowthMarketRent)^0,0))))),0))),0)</f>
        <v/>
      </c>
      <c r="Z110" s="14">
        <f>IFERROR(IF(AND(I110="LeaseUp",1=0),(IF(I110="Vacate",TINew*D110,IF(I110="Market",Retention*TIRenewal*D110+(1-Retention)*TINew*D110,IF(I110="LeaseUp",TINew*D110,IF(I110="Option",TIRenewal*D110,0)))))+(IF(I110="Vacate",LCNew*H110*D110*(1+GrowthMarketRent)^1,IF(I110="Market",Retention*LCRenewal*H110*D110*(1+GrowthMarketRent)^1+(1-Retention)*LCNew*H110*D110*(1+GrowthMarketRent)^1,IF(I110="LeaseUp",LCNew*H110*D110*(1+GrowthMarketRent)^1,IF(I110="Option",LCRenewal*H110*D110*(1+GrowthMarketRent)^1,0))))),IF(F110="",0,IF(AND(F110&gt;=DATE(2026+1,5,1),F110&lt;=DATE(2027+1,4,30)),(IF(I110="Vacate",TINew*D110,IF(I110="Market",Retention*TIRenewal*D110+(1-Retention)*TINew*D110,IF(I110="LeaseUp",TINew*D110,IF(I110="Option",TIRenewal*D110,0)))))+(IF(I110="Vacate",LCNew*H110*D110*(1+GrowthMarketRent)^1,IF(I110="Market",Retention*LCRenewal*H110*D110*(1+GrowthMarketRent)^1+(1-Retention)*LCNew*H110*D110*(1+GrowthMarketRent)^1,IF(I110="LeaseUp",LCNew*H110*D110*(1+GrowthMarketRent)^1,IF(I110="Option",LCRenewal*H110*D110*(1+GrowthMarketRent)^1,0))))),0))),0)</f>
        <v/>
      </c>
      <c r="AA110" s="14">
        <f>IFERROR(IF(AND(I110="LeaseUp",2=0),(IF(I110="Vacate",TINew*D110,IF(I110="Market",Retention*TIRenewal*D110+(1-Retention)*TINew*D110,IF(I110="LeaseUp",TINew*D110,IF(I110="Option",TIRenewal*D110,0)))))+(IF(I110="Vacate",LCNew*H110*D110*(1+GrowthMarketRent)^2,IF(I110="Market",Retention*LCRenewal*H110*D110*(1+GrowthMarketRent)^2+(1-Retention)*LCNew*H110*D110*(1+GrowthMarketRent)^2,IF(I110="LeaseUp",LCNew*H110*D110*(1+GrowthMarketRent)^2,IF(I110="Option",LCRenewal*H110*D110*(1+GrowthMarketRent)^2,0))))),IF(F110="",0,IF(AND(F110&gt;=DATE(2026+2,5,1),F110&lt;=DATE(2027+2,4,30)),(IF(I110="Vacate",TINew*D110,IF(I110="Market",Retention*TIRenewal*D110+(1-Retention)*TINew*D110,IF(I110="LeaseUp",TINew*D110,IF(I110="Option",TIRenewal*D110,0)))))+(IF(I110="Vacate",LCNew*H110*D110*(1+GrowthMarketRent)^2,IF(I110="Market",Retention*LCRenewal*H110*D110*(1+GrowthMarketRent)^2+(1-Retention)*LCNew*H110*D110*(1+GrowthMarketRent)^2,IF(I110="LeaseUp",LCNew*H110*D110*(1+GrowthMarketRent)^2,IF(I110="Option",LCRenewal*H110*D110*(1+GrowthMarketRent)^2,0))))),0))),0)</f>
        <v/>
      </c>
      <c r="AB110" s="14">
        <f>IFERROR(IF(AND(I110="LeaseUp",3=0),(IF(I110="Vacate",TINew*D110,IF(I110="Market",Retention*TIRenewal*D110+(1-Retention)*TINew*D110,IF(I110="LeaseUp",TINew*D110,IF(I110="Option",TIRenewal*D110,0)))))+(IF(I110="Vacate",LCNew*H110*D110*(1+GrowthMarketRent)^3,IF(I110="Market",Retention*LCRenewal*H110*D110*(1+GrowthMarketRent)^3+(1-Retention)*LCNew*H110*D110*(1+GrowthMarketRent)^3,IF(I110="LeaseUp",LCNew*H110*D110*(1+GrowthMarketRent)^3,IF(I110="Option",LCRenewal*H110*D110*(1+GrowthMarketRent)^3,0))))),IF(F110="",0,IF(AND(F110&gt;=DATE(2026+3,5,1),F110&lt;=DATE(2027+3,4,30)),(IF(I110="Vacate",TINew*D110,IF(I110="Market",Retention*TIRenewal*D110+(1-Retention)*TINew*D110,IF(I110="LeaseUp",TINew*D110,IF(I110="Option",TIRenewal*D110,0)))))+(IF(I110="Vacate",LCNew*H110*D110*(1+GrowthMarketRent)^3,IF(I110="Market",Retention*LCRenewal*H110*D110*(1+GrowthMarketRent)^3+(1-Retention)*LCNew*H110*D110*(1+GrowthMarketRent)^3,IF(I110="LeaseUp",LCNew*H110*D110*(1+GrowthMarketRent)^3,IF(I110="Option",LCRenewal*H110*D110*(1+GrowthMarketRent)^3,0))))),0))),0)</f>
        <v/>
      </c>
      <c r="AC110" s="14">
        <f>IFERROR(IF(AND(I110="LeaseUp",4=0),(IF(I110="Vacate",TINew*D110,IF(I110="Market",Retention*TIRenewal*D110+(1-Retention)*TINew*D110,IF(I110="LeaseUp",TINew*D110,IF(I110="Option",TIRenewal*D110,0)))))+(IF(I110="Vacate",LCNew*H110*D110*(1+GrowthMarketRent)^4,IF(I110="Market",Retention*LCRenewal*H110*D110*(1+GrowthMarketRent)^4+(1-Retention)*LCNew*H110*D110*(1+GrowthMarketRent)^4,IF(I110="LeaseUp",LCNew*H110*D110*(1+GrowthMarketRent)^4,IF(I110="Option",LCRenewal*H110*D110*(1+GrowthMarketRent)^4,0))))),IF(F110="",0,IF(AND(F110&gt;=DATE(2026+4,5,1),F110&lt;=DATE(2027+4,4,30)),(IF(I110="Vacate",TINew*D110,IF(I110="Market",Retention*TIRenewal*D110+(1-Retention)*TINew*D110,IF(I110="LeaseUp",TINew*D110,IF(I110="Option",TIRenewal*D110,0)))))+(IF(I110="Vacate",LCNew*H110*D110*(1+GrowthMarketRent)^4,IF(I110="Market",Retention*LCRenewal*H110*D110*(1+GrowthMarketRent)^4+(1-Retention)*LCNew*H110*D110*(1+GrowthMarketRent)^4,IF(I110="LeaseUp",LCNew*H110*D110*(1+GrowthMarketRent)^4,IF(I110="Option",LCRenewal*H110*D110*(1+GrowthMarketRent)^4,0))))),0))),0)</f>
        <v/>
      </c>
      <c r="AD110" s="14">
        <f>IFERROR(IF(AND(I110="LeaseUp",5=0),(IF(I110="Vacate",TINew*D110,IF(I110="Market",Retention*TIRenewal*D110+(1-Retention)*TINew*D110,IF(I110="LeaseUp",TINew*D110,IF(I110="Option",TIRenewal*D110,0)))))+(IF(I110="Vacate",LCNew*H110*D110*(1+GrowthMarketRent)^5,IF(I110="Market",Retention*LCRenewal*H110*D110*(1+GrowthMarketRent)^5+(1-Retention)*LCNew*H110*D110*(1+GrowthMarketRent)^5,IF(I110="LeaseUp",LCNew*H110*D110*(1+GrowthMarketRent)^5,IF(I110="Option",LCRenewal*H110*D110*(1+GrowthMarketRent)^5,0))))),IF(F110="",0,IF(AND(F110&gt;=DATE(2026+5,5,1),F110&lt;=DATE(2027+5,4,30)),(IF(I110="Vacate",TINew*D110,IF(I110="Market",Retention*TIRenewal*D110+(1-Retention)*TINew*D110,IF(I110="LeaseUp",TINew*D110,IF(I110="Option",TIRenewal*D110,0)))))+(IF(I110="Vacate",LCNew*H110*D110*(1+GrowthMarketRent)^5,IF(I110="Market",Retention*LCRenewal*H110*D110*(1+GrowthMarketRent)^5+(1-Retention)*LCNew*H110*D110*(1+GrowthMarketRent)^5,IF(I110="LeaseUp",LCNew*H110*D110*(1+GrowthMarketRent)^5,IF(I110="Option",LCRenewal*H110*D110*(1+GrowthMarketRent)^5,0))))),0))),0)</f>
        <v/>
      </c>
      <c r="AE110" s="14">
        <f>IFERROR(IF(AND(I110="LeaseUp",6=0),(IF(I110="Vacate",TINew*D110,IF(I110="Market",Retention*TIRenewal*D110+(1-Retention)*TINew*D110,IF(I110="LeaseUp",TINew*D110,IF(I110="Option",TIRenewal*D110,0)))))+(IF(I110="Vacate",LCNew*H110*D110*(1+GrowthMarketRent)^6,IF(I110="Market",Retention*LCRenewal*H110*D110*(1+GrowthMarketRent)^6+(1-Retention)*LCNew*H110*D110*(1+GrowthMarketRent)^6,IF(I110="LeaseUp",LCNew*H110*D110*(1+GrowthMarketRent)^6,IF(I110="Option",LCRenewal*H110*D110*(1+GrowthMarketRent)^6,0))))),IF(F110="",0,IF(AND(F110&gt;=DATE(2026+6,5,1),F110&lt;=DATE(2027+6,4,30)),(IF(I110="Vacate",TINew*D110,IF(I110="Market",Retention*TIRenewal*D110+(1-Retention)*TINew*D110,IF(I110="LeaseUp",TINew*D110,IF(I110="Option",TIRenewal*D110,0)))))+(IF(I110="Vacate",LCNew*H110*D110*(1+GrowthMarketRent)^6,IF(I110="Market",Retention*LCRenewal*H110*D110*(1+GrowthMarketRent)^6+(1-Retention)*LCNew*H110*D110*(1+GrowthMarketRent)^6,IF(I110="LeaseUp",LCNew*H110*D110*(1+GrowthMarketRent)^6,IF(I110="Option",LCRenewal*H110*D110*(1+GrowthMarketRent)^6,0))))),0))),0)</f>
        <v/>
      </c>
      <c r="AF110" s="14">
        <f>IFERROR(IF(AND(I110="LeaseUp",7=0),(IF(I110="Vacate",TINew*D110,IF(I110="Market",Retention*TIRenewal*D110+(1-Retention)*TINew*D110,IF(I110="LeaseUp",TINew*D110,IF(I110="Option",TIRenewal*D110,0)))))+(IF(I110="Vacate",LCNew*H110*D110*(1+GrowthMarketRent)^7,IF(I110="Market",Retention*LCRenewal*H110*D110*(1+GrowthMarketRent)^7+(1-Retention)*LCNew*H110*D110*(1+GrowthMarketRent)^7,IF(I110="LeaseUp",LCNew*H110*D110*(1+GrowthMarketRent)^7,IF(I110="Option",LCRenewal*H110*D110*(1+GrowthMarketRent)^7,0))))),IF(F110="",0,IF(AND(F110&gt;=DATE(2026+7,5,1),F110&lt;=DATE(2027+7,4,30)),(IF(I110="Vacate",TINew*D110,IF(I110="Market",Retention*TIRenewal*D110+(1-Retention)*TINew*D110,IF(I110="LeaseUp",TINew*D110,IF(I110="Option",TIRenewal*D110,0)))))+(IF(I110="Vacate",LCNew*H110*D110*(1+GrowthMarketRent)^7,IF(I110="Market",Retention*LCRenewal*H110*D110*(1+GrowthMarketRent)^7+(1-Retention)*LCNew*H110*D110*(1+GrowthMarketRent)^7,IF(I110="LeaseUp",LCNew*H110*D110*(1+GrowthMarketRent)^7,IF(I110="Option",LCRenewal*H110*D110*(1+GrowthMarketRent)^7,0))))),0))),0)</f>
        <v/>
      </c>
      <c r="AG110" s="14">
        <f>IFERROR(IF(AND(I110="LeaseUp",8=0),(IF(I110="Vacate",TINew*D110,IF(I110="Market",Retention*TIRenewal*D110+(1-Retention)*TINew*D110,IF(I110="LeaseUp",TINew*D110,IF(I110="Option",TIRenewal*D110,0)))))+(IF(I110="Vacate",LCNew*H110*D110*(1+GrowthMarketRent)^8,IF(I110="Market",Retention*LCRenewal*H110*D110*(1+GrowthMarketRent)^8+(1-Retention)*LCNew*H110*D110*(1+GrowthMarketRent)^8,IF(I110="LeaseUp",LCNew*H110*D110*(1+GrowthMarketRent)^8,IF(I110="Option",LCRenewal*H110*D110*(1+GrowthMarketRent)^8,0))))),IF(F110="",0,IF(AND(F110&gt;=DATE(2026+8,5,1),F110&lt;=DATE(2027+8,4,30)),(IF(I110="Vacate",TINew*D110,IF(I110="Market",Retention*TIRenewal*D110+(1-Retention)*TINew*D110,IF(I110="LeaseUp",TINew*D110,IF(I110="Option",TIRenewal*D110,0)))))+(IF(I110="Vacate",LCNew*H110*D110*(1+GrowthMarketRent)^8,IF(I110="Market",Retention*LCRenewal*H110*D110*(1+GrowthMarketRent)^8+(1-Retention)*LCNew*H110*D110*(1+GrowthMarketRent)^8,IF(I110="LeaseUp",LCNew*H110*D110*(1+GrowthMarketRent)^8,IF(I110="Option",LCRenewal*H110*D110*(1+GrowthMarketRent)^8,0))))),0))),0)</f>
        <v/>
      </c>
      <c r="AH110" s="14">
        <f>IFERROR(IF(AND(I110="LeaseUp",9=0),(IF(I110="Vacate",TINew*D110,IF(I110="Market",Retention*TIRenewal*D110+(1-Retention)*TINew*D110,IF(I110="LeaseUp",TINew*D110,IF(I110="Option",TIRenewal*D110,0)))))+(IF(I110="Vacate",LCNew*H110*D110*(1+GrowthMarketRent)^9,IF(I110="Market",Retention*LCRenewal*H110*D110*(1+GrowthMarketRent)^9+(1-Retention)*LCNew*H110*D110*(1+GrowthMarketRent)^9,IF(I110="LeaseUp",LCNew*H110*D110*(1+GrowthMarketRent)^9,IF(I110="Option",LCRenewal*H110*D110*(1+GrowthMarketRent)^9,0))))),IF(F110="",0,IF(AND(F110&gt;=DATE(2026+9,5,1),F110&lt;=DATE(2027+9,4,30)),(IF(I110="Vacate",TINew*D110,IF(I110="Market",Retention*TIRenewal*D110+(1-Retention)*TINew*D110,IF(I110="LeaseUp",TINew*D110,IF(I110="Option",TIRenewal*D110,0)))))+(IF(I110="Vacate",LCNew*H110*D110*(1+GrowthMarketRent)^9,IF(I110="Market",Retention*LCRenewal*H110*D110*(1+GrowthMarketRent)^9+(1-Retention)*LCNew*H110*D110*(1+GrowthMarketRent)^9,IF(I110="LeaseUp",LCNew*H110*D110*(1+GrowthMarketRent)^9,IF(I110="Option",LCRenewal*H110*D110*(1+GrowthMarketRent)^9,0))))),0))),0)</f>
        <v/>
      </c>
      <c r="AI110" s="14">
        <f>IFERROR(IF(AND(I110="LeaseUp",10=0),(IF(I110="Vacate",TINew*D110,IF(I110="Market",Retention*TIRenewal*D110+(1-Retention)*TINew*D110,IF(I110="LeaseUp",TINew*D110,IF(I110="Option",TIRenewal*D110,0)))))+(IF(I110="Vacate",LCNew*H110*D110*(1+GrowthMarketRent)^10,IF(I110="Market",Retention*LCRenewal*H110*D110*(1+GrowthMarketRent)^10+(1-Retention)*LCNew*H110*D110*(1+GrowthMarketRent)^10,IF(I110="LeaseUp",LCNew*H110*D110*(1+GrowthMarketRent)^10,IF(I110="Option",LCRenewal*H110*D110*(1+GrowthMarketRent)^10,0))))),IF(F110="",0,IF(AND(F110&gt;=DATE(2026+10,5,1),F110&lt;=DATE(2027+10,4,30)),(IF(I110="Vacate",TINew*D110,IF(I110="Market",Retention*TIRenewal*D110+(1-Retention)*TINew*D110,IF(I110="LeaseUp",TINew*D110,IF(I110="Option",TIRenewal*D110,0)))))+(IF(I110="Vacate",LCNew*H110*D110*(1+GrowthMarketRent)^10,IF(I110="Market",Retention*LCRenewal*H110*D110*(1+GrowthMarketRent)^10+(1-Retention)*LCNew*H110*D110*(1+GrowthMarketRent)^10,IF(I110="LeaseUp",LCNew*H110*D110*(1+GrowthMarketRent)^10,IF(I110="Option",LCRenewal*H110*D110*(1+GrowthMarketRent)^10,0))))),0))),0)</f>
        <v/>
      </c>
    </row>
    <row r="111">
      <c r="A111" t="inlineStr">
        <is>
          <t>Lewisville</t>
        </is>
      </c>
      <c r="B111" t="inlineStr">
        <is>
          <t>301</t>
        </is>
      </c>
      <c r="C111" t="inlineStr">
        <is>
          <t>Texas Best Solar LLC</t>
        </is>
      </c>
      <c r="D111" s="32" t="n">
        <v>2900</v>
      </c>
      <c r="E111" s="33" t="n">
        <v>45078</v>
      </c>
      <c r="F111" s="33" t="n">
        <v>46508</v>
      </c>
      <c r="G111" s="34" t="n">
        <v>14.1834482758621</v>
      </c>
      <c r="H111" s="16">
        <f>VLOOKUP(A111,MLA!$A$5:$L$11,3,FALSE)</f>
        <v/>
      </c>
      <c r="I111" s="11" t="inlineStr">
        <is>
          <t>Option</t>
        </is>
      </c>
      <c r="J111" t="inlineStr">
        <is>
          <t>Studio</t>
        </is>
      </c>
      <c r="K111" t="inlineStr">
        <is>
          <t>Occupied</t>
        </is>
      </c>
      <c r="L111" t="inlineStr">
        <is>
          <t>Studio; Guarantor: Richard Dietrichson; Two 3yr options</t>
        </is>
      </c>
      <c r="M111" s="20">
        <f>IF(E111="",0,(AnalysisStart-E111)/365.25)</f>
        <v/>
      </c>
      <c r="N111" s="14">
        <f>IFERROR(IF(I111="LeaseUp",H111*D111*(1+GrowthMarketRent)^0*IF(0=0,(12-DowntimeNew)/12,1),IF(F111="",0,IF(F111&gt;=DATE(2027+0,4,30),G111*D111*(1+EscalatorInLease)^(0+M111),IF(F111&lt;DATE(2026+0,5,1),IF(I111="Vacate",H111*D111*(1+GrowthMarketRent)^0*IF(INT((DATE(2026+0,10,31)-F111)/365.25)=0,(12-DowntimeNew)/12,1),IF(I111="Option",G111*D111*1.025*(1+EscalatorInLease)^0,IF(I111="Market",Retention*G111*D111*(1+EscalatorInLease)^(0+M111)+(1-Retention)*H111*D111*(1+GrowthMarketRent)^0*IF(INT((DATE(2026+0,10,31)-F111)/365.25)=0,(12-DowntimeNew)/12,1),IF(I111="LeaseUp",H111*D111*(1+GrowthMarketRent)^0*IF(0=0,(12-DowntimeNew)/12,1),0)))),((F111-DATE(2026+0,5,1))/365.25)*G111*D111*(1+EscalatorInLease)^(0+M111)+((DATE(2027+0,4,30)-F111)/365.25)*IF(I111="Vacate",H111*D111*(1+GrowthMarketRent)^0*IF(INT((DATE(2026+0,10,31)-F111)/365.25)=0,(12-DowntimeNew)/12,1),IF(I111="Option",G111*D111*1.025*(1+EscalatorInLease)^0,IF(I111="Market",Retention*G111*D111*(1+EscalatorInLease)^(0+M111)+(1-Retention)*H111*D111*(1+GrowthMarketRent)^0*IF(INT((DATE(2026+0,10,31)-F111)/365.25)=0,(12-DowntimeNew)/12,1),IF(I111="LeaseUp",H111*D111*(1+GrowthMarketRent)^0*IF(0=0,(12-DowntimeNew)/12,1),0)))))))),0)</f>
        <v/>
      </c>
      <c r="O111" s="14">
        <f>IFERROR(IF(I111="LeaseUp",H111*D111*(1+GrowthMarketRent)^1*IF(1=0,(12-DowntimeNew)/12,1),IF(F111="",0,IF(F111&gt;=DATE(2027+1,4,30),G111*D111*(1+EscalatorInLease)^(1+M111),IF(F111&lt;DATE(2026+1,5,1),IF(I111="Vacate",H111*D111*(1+GrowthMarketRent)^1*IF(INT((DATE(2026+1,10,31)-F111)/365.25)=0,(12-DowntimeNew)/12,1),IF(I111="Option",G111*D111*1.025*(1+EscalatorInLease)^1,IF(I111="Market",Retention*G111*D111*(1+EscalatorInLease)^(1+M111)+(1-Retention)*H111*D111*(1+GrowthMarketRent)^1*IF(INT((DATE(2026+1,10,31)-F111)/365.25)=0,(12-DowntimeNew)/12,1),IF(I111="LeaseUp",H111*D111*(1+GrowthMarketRent)^1*IF(1=0,(12-DowntimeNew)/12,1),0)))),((F111-DATE(2026+1,5,1))/365.25)*G111*D111*(1+EscalatorInLease)^(1+M111)+((DATE(2027+1,4,30)-F111)/365.25)*IF(I111="Vacate",H111*D111*(1+GrowthMarketRent)^1*IF(INT((DATE(2026+1,10,31)-F111)/365.25)=0,(12-DowntimeNew)/12,1),IF(I111="Option",G111*D111*1.025*(1+EscalatorInLease)^1,IF(I111="Market",Retention*G111*D111*(1+EscalatorInLease)^(1+M111)+(1-Retention)*H111*D111*(1+GrowthMarketRent)^1*IF(INT((DATE(2026+1,10,31)-F111)/365.25)=0,(12-DowntimeNew)/12,1),IF(I111="LeaseUp",H111*D111*(1+GrowthMarketRent)^1*IF(1=0,(12-DowntimeNew)/12,1),0)))))))),0)</f>
        <v/>
      </c>
      <c r="P111" s="14">
        <f>IFERROR(IF(I111="LeaseUp",H111*D111*(1+GrowthMarketRent)^2*IF(2=0,(12-DowntimeNew)/12,1),IF(F111="",0,IF(F111&gt;=DATE(2027+2,4,30),G111*D111*(1+EscalatorInLease)^(2+M111),IF(F111&lt;DATE(2026+2,5,1),IF(I111="Vacate",H111*D111*(1+GrowthMarketRent)^2*IF(INT((DATE(2026+2,10,31)-F111)/365.25)=0,(12-DowntimeNew)/12,1),IF(I111="Option",G111*D111*1.025*(1+EscalatorInLease)^2,IF(I111="Market",Retention*G111*D111*(1+EscalatorInLease)^(2+M111)+(1-Retention)*H111*D111*(1+GrowthMarketRent)^2*IF(INT((DATE(2026+2,10,31)-F111)/365.25)=0,(12-DowntimeNew)/12,1),IF(I111="LeaseUp",H111*D111*(1+GrowthMarketRent)^2*IF(2=0,(12-DowntimeNew)/12,1),0)))),((F111-DATE(2026+2,5,1))/365.25)*G111*D111*(1+EscalatorInLease)^(2+M111)+((DATE(2027+2,4,30)-F111)/365.25)*IF(I111="Vacate",H111*D111*(1+GrowthMarketRent)^2*IF(INT((DATE(2026+2,10,31)-F111)/365.25)=0,(12-DowntimeNew)/12,1),IF(I111="Option",G111*D111*1.025*(1+EscalatorInLease)^2,IF(I111="Market",Retention*G111*D111*(1+EscalatorInLease)^(2+M111)+(1-Retention)*H111*D111*(1+GrowthMarketRent)^2*IF(INT((DATE(2026+2,10,31)-F111)/365.25)=0,(12-DowntimeNew)/12,1),IF(I111="LeaseUp",H111*D111*(1+GrowthMarketRent)^2*IF(2=0,(12-DowntimeNew)/12,1),0)))))))),0)</f>
        <v/>
      </c>
      <c r="Q111" s="14">
        <f>IFERROR(IF(I111="LeaseUp",H111*D111*(1+GrowthMarketRent)^3*IF(3=0,(12-DowntimeNew)/12,1),IF(F111="",0,IF(F111&gt;=DATE(2027+3,4,30),G111*D111*(1+EscalatorInLease)^(3+M111),IF(F111&lt;DATE(2026+3,5,1),IF(I111="Vacate",H111*D111*(1+GrowthMarketRent)^3*IF(INT((DATE(2026+3,10,31)-F111)/365.25)=0,(12-DowntimeNew)/12,1),IF(I111="Option",G111*D111*1.025*(1+EscalatorInLease)^3,IF(I111="Market",Retention*G111*D111*(1+EscalatorInLease)^(3+M111)+(1-Retention)*H111*D111*(1+GrowthMarketRent)^3*IF(INT((DATE(2026+3,10,31)-F111)/365.25)=0,(12-DowntimeNew)/12,1),IF(I111="LeaseUp",H111*D111*(1+GrowthMarketRent)^3*IF(3=0,(12-DowntimeNew)/12,1),0)))),((F111-DATE(2026+3,5,1))/365.25)*G111*D111*(1+EscalatorInLease)^(3+M111)+((DATE(2027+3,4,30)-F111)/365.25)*IF(I111="Vacate",H111*D111*(1+GrowthMarketRent)^3*IF(INT((DATE(2026+3,10,31)-F111)/365.25)=0,(12-DowntimeNew)/12,1),IF(I111="Option",G111*D111*1.025*(1+EscalatorInLease)^3,IF(I111="Market",Retention*G111*D111*(1+EscalatorInLease)^(3+M111)+(1-Retention)*H111*D111*(1+GrowthMarketRent)^3*IF(INT((DATE(2026+3,10,31)-F111)/365.25)=0,(12-DowntimeNew)/12,1),IF(I111="LeaseUp",H111*D111*(1+GrowthMarketRent)^3*IF(3=0,(12-DowntimeNew)/12,1),0)))))))),0)</f>
        <v/>
      </c>
      <c r="R111" s="14">
        <f>IFERROR(IF(I111="LeaseUp",H111*D111*(1+GrowthMarketRent)^4*IF(4=0,(12-DowntimeNew)/12,1),IF(F111="",0,IF(F111&gt;=DATE(2027+4,4,30),G111*D111*(1+EscalatorInLease)^(4+M111),IF(F111&lt;DATE(2026+4,5,1),IF(I111="Vacate",H111*D111*(1+GrowthMarketRent)^4*IF(INT((DATE(2026+4,10,31)-F111)/365.25)=0,(12-DowntimeNew)/12,1),IF(I111="Option",G111*D111*1.025*(1+EscalatorInLease)^4,IF(I111="Market",Retention*G111*D111*(1+EscalatorInLease)^(4+M111)+(1-Retention)*H111*D111*(1+GrowthMarketRent)^4*IF(INT((DATE(2026+4,10,31)-F111)/365.25)=0,(12-DowntimeNew)/12,1),IF(I111="LeaseUp",H111*D111*(1+GrowthMarketRent)^4*IF(4=0,(12-DowntimeNew)/12,1),0)))),((F111-DATE(2026+4,5,1))/365.25)*G111*D111*(1+EscalatorInLease)^(4+M111)+((DATE(2027+4,4,30)-F111)/365.25)*IF(I111="Vacate",H111*D111*(1+GrowthMarketRent)^4*IF(INT((DATE(2026+4,10,31)-F111)/365.25)=0,(12-DowntimeNew)/12,1),IF(I111="Option",G111*D111*1.025*(1+EscalatorInLease)^4,IF(I111="Market",Retention*G111*D111*(1+EscalatorInLease)^(4+M111)+(1-Retention)*H111*D111*(1+GrowthMarketRent)^4*IF(INT((DATE(2026+4,10,31)-F111)/365.25)=0,(12-DowntimeNew)/12,1),IF(I111="LeaseUp",H111*D111*(1+GrowthMarketRent)^4*IF(4=0,(12-DowntimeNew)/12,1),0)))))))),0)</f>
        <v/>
      </c>
      <c r="S111" s="14">
        <f>IFERROR(IF(I111="LeaseUp",H111*D111*(1+GrowthMarketRent)^5*IF(5=0,(12-DowntimeNew)/12,1),IF(F111="",0,IF(F111&gt;=DATE(2027+5,4,30),G111*D111*(1+EscalatorInLease)^(5+M111),IF(F111&lt;DATE(2026+5,5,1),IF(I111="Vacate",H111*D111*(1+GrowthMarketRent)^5*IF(INT((DATE(2026+5,10,31)-F111)/365.25)=0,(12-DowntimeNew)/12,1),IF(I111="Option",G111*D111*1.025*(1+EscalatorInLease)^5,IF(I111="Market",Retention*G111*D111*(1+EscalatorInLease)^(5+M111)+(1-Retention)*H111*D111*(1+GrowthMarketRent)^5*IF(INT((DATE(2026+5,10,31)-F111)/365.25)=0,(12-DowntimeNew)/12,1),IF(I111="LeaseUp",H111*D111*(1+GrowthMarketRent)^5*IF(5=0,(12-DowntimeNew)/12,1),0)))),((F111-DATE(2026+5,5,1))/365.25)*G111*D111*(1+EscalatorInLease)^(5+M111)+((DATE(2027+5,4,30)-F111)/365.25)*IF(I111="Vacate",H111*D111*(1+GrowthMarketRent)^5*IF(INT((DATE(2026+5,10,31)-F111)/365.25)=0,(12-DowntimeNew)/12,1),IF(I111="Option",G111*D111*1.025*(1+EscalatorInLease)^5,IF(I111="Market",Retention*G111*D111*(1+EscalatorInLease)^(5+M111)+(1-Retention)*H111*D111*(1+GrowthMarketRent)^5*IF(INT((DATE(2026+5,10,31)-F111)/365.25)=0,(12-DowntimeNew)/12,1),IF(I111="LeaseUp",H111*D111*(1+GrowthMarketRent)^5*IF(5=0,(12-DowntimeNew)/12,1),0)))))))),0)</f>
        <v/>
      </c>
      <c r="T111" s="14">
        <f>IFERROR(IF(I111="LeaseUp",H111*D111*(1+GrowthMarketRent)^6*IF(6=0,(12-DowntimeNew)/12,1),IF(F111="",0,IF(F111&gt;=DATE(2027+6,4,30),G111*D111*(1+EscalatorInLease)^(6+M111),IF(F111&lt;DATE(2026+6,5,1),IF(I111="Vacate",H111*D111*(1+GrowthMarketRent)^6*IF(INT((DATE(2026+6,10,31)-F111)/365.25)=0,(12-DowntimeNew)/12,1),IF(I111="Option",G111*D111*1.025*(1+EscalatorInLease)^6,IF(I111="Market",Retention*G111*D111*(1+EscalatorInLease)^(6+M111)+(1-Retention)*H111*D111*(1+GrowthMarketRent)^6*IF(INT((DATE(2026+6,10,31)-F111)/365.25)=0,(12-DowntimeNew)/12,1),IF(I111="LeaseUp",H111*D111*(1+GrowthMarketRent)^6*IF(6=0,(12-DowntimeNew)/12,1),0)))),((F111-DATE(2026+6,5,1))/365.25)*G111*D111*(1+EscalatorInLease)^(6+M111)+((DATE(2027+6,4,30)-F111)/365.25)*IF(I111="Vacate",H111*D111*(1+GrowthMarketRent)^6*IF(INT((DATE(2026+6,10,31)-F111)/365.25)=0,(12-DowntimeNew)/12,1),IF(I111="Option",G111*D111*1.025*(1+EscalatorInLease)^6,IF(I111="Market",Retention*G111*D111*(1+EscalatorInLease)^(6+M111)+(1-Retention)*H111*D111*(1+GrowthMarketRent)^6*IF(INT((DATE(2026+6,10,31)-F111)/365.25)=0,(12-DowntimeNew)/12,1),IF(I111="LeaseUp",H111*D111*(1+GrowthMarketRent)^6*IF(6=0,(12-DowntimeNew)/12,1),0)))))))),0)</f>
        <v/>
      </c>
      <c r="U111" s="14">
        <f>IFERROR(IF(I111="LeaseUp",H111*D111*(1+GrowthMarketRent)^7*IF(7=0,(12-DowntimeNew)/12,1),IF(F111="",0,IF(F111&gt;=DATE(2027+7,4,30),G111*D111*(1+EscalatorInLease)^(7+M111),IF(F111&lt;DATE(2026+7,5,1),IF(I111="Vacate",H111*D111*(1+GrowthMarketRent)^7*IF(INT((DATE(2026+7,10,31)-F111)/365.25)=0,(12-DowntimeNew)/12,1),IF(I111="Option",G111*D111*1.025*(1+EscalatorInLease)^7,IF(I111="Market",Retention*G111*D111*(1+EscalatorInLease)^(7+M111)+(1-Retention)*H111*D111*(1+GrowthMarketRent)^7*IF(INT((DATE(2026+7,10,31)-F111)/365.25)=0,(12-DowntimeNew)/12,1),IF(I111="LeaseUp",H111*D111*(1+GrowthMarketRent)^7*IF(7=0,(12-DowntimeNew)/12,1),0)))),((F111-DATE(2026+7,5,1))/365.25)*G111*D111*(1+EscalatorInLease)^(7+M111)+((DATE(2027+7,4,30)-F111)/365.25)*IF(I111="Vacate",H111*D111*(1+GrowthMarketRent)^7*IF(INT((DATE(2026+7,10,31)-F111)/365.25)=0,(12-DowntimeNew)/12,1),IF(I111="Option",G111*D111*1.025*(1+EscalatorInLease)^7,IF(I111="Market",Retention*G111*D111*(1+EscalatorInLease)^(7+M111)+(1-Retention)*H111*D111*(1+GrowthMarketRent)^7*IF(INT((DATE(2026+7,10,31)-F111)/365.25)=0,(12-DowntimeNew)/12,1),IF(I111="LeaseUp",H111*D111*(1+GrowthMarketRent)^7*IF(7=0,(12-DowntimeNew)/12,1),0)))))))),0)</f>
        <v/>
      </c>
      <c r="V111" s="14">
        <f>IFERROR(IF(I111="LeaseUp",H111*D111*(1+GrowthMarketRent)^8*IF(8=0,(12-DowntimeNew)/12,1),IF(F111="",0,IF(F111&gt;=DATE(2027+8,4,30),G111*D111*(1+EscalatorInLease)^(8+M111),IF(F111&lt;DATE(2026+8,5,1),IF(I111="Vacate",H111*D111*(1+GrowthMarketRent)^8*IF(INT((DATE(2026+8,10,31)-F111)/365.25)=0,(12-DowntimeNew)/12,1),IF(I111="Option",G111*D111*1.025*(1+EscalatorInLease)^8,IF(I111="Market",Retention*G111*D111*(1+EscalatorInLease)^(8+M111)+(1-Retention)*H111*D111*(1+GrowthMarketRent)^8*IF(INT((DATE(2026+8,10,31)-F111)/365.25)=0,(12-DowntimeNew)/12,1),IF(I111="LeaseUp",H111*D111*(1+GrowthMarketRent)^8*IF(8=0,(12-DowntimeNew)/12,1),0)))),((F111-DATE(2026+8,5,1))/365.25)*G111*D111*(1+EscalatorInLease)^(8+M111)+((DATE(2027+8,4,30)-F111)/365.25)*IF(I111="Vacate",H111*D111*(1+GrowthMarketRent)^8*IF(INT((DATE(2026+8,10,31)-F111)/365.25)=0,(12-DowntimeNew)/12,1),IF(I111="Option",G111*D111*1.025*(1+EscalatorInLease)^8,IF(I111="Market",Retention*G111*D111*(1+EscalatorInLease)^(8+M111)+(1-Retention)*H111*D111*(1+GrowthMarketRent)^8*IF(INT((DATE(2026+8,10,31)-F111)/365.25)=0,(12-DowntimeNew)/12,1),IF(I111="LeaseUp",H111*D111*(1+GrowthMarketRent)^8*IF(8=0,(12-DowntimeNew)/12,1),0)))))))),0)</f>
        <v/>
      </c>
      <c r="W111" s="14">
        <f>IFERROR(IF(I111="LeaseUp",H111*D111*(1+GrowthMarketRent)^9*IF(9=0,(12-DowntimeNew)/12,1),IF(F111="",0,IF(F111&gt;=DATE(2027+9,4,30),G111*D111*(1+EscalatorInLease)^(9+M111),IF(F111&lt;DATE(2026+9,5,1),IF(I111="Vacate",H111*D111*(1+GrowthMarketRent)^9*IF(INT((DATE(2026+9,10,31)-F111)/365.25)=0,(12-DowntimeNew)/12,1),IF(I111="Option",G111*D111*1.025*(1+EscalatorInLease)^9,IF(I111="Market",Retention*G111*D111*(1+EscalatorInLease)^(9+M111)+(1-Retention)*H111*D111*(1+GrowthMarketRent)^9*IF(INT((DATE(2026+9,10,31)-F111)/365.25)=0,(12-DowntimeNew)/12,1),IF(I111="LeaseUp",H111*D111*(1+GrowthMarketRent)^9*IF(9=0,(12-DowntimeNew)/12,1),0)))),((F111-DATE(2026+9,5,1))/365.25)*G111*D111*(1+EscalatorInLease)^(9+M111)+((DATE(2027+9,4,30)-F111)/365.25)*IF(I111="Vacate",H111*D111*(1+GrowthMarketRent)^9*IF(INT((DATE(2026+9,10,31)-F111)/365.25)=0,(12-DowntimeNew)/12,1),IF(I111="Option",G111*D111*1.025*(1+EscalatorInLease)^9,IF(I111="Market",Retention*G111*D111*(1+EscalatorInLease)^(9+M111)+(1-Retention)*H111*D111*(1+GrowthMarketRent)^9*IF(INT((DATE(2026+9,10,31)-F111)/365.25)=0,(12-DowntimeNew)/12,1),IF(I111="LeaseUp",H111*D111*(1+GrowthMarketRent)^9*IF(9=0,(12-DowntimeNew)/12,1),0)))))))),0)</f>
        <v/>
      </c>
      <c r="X111" s="14">
        <f>IFERROR(IF(I111="LeaseUp",H111*D111*(1+GrowthMarketRent)^10*IF(10=0,(12-DowntimeNew)/12,1),IF(F111="",0,IF(F111&gt;=DATE(2027+10,4,30),G111*D111*(1+EscalatorInLease)^(10+M111),IF(F111&lt;DATE(2026+10,5,1),IF(I111="Vacate",H111*D111*(1+GrowthMarketRent)^10*IF(INT((DATE(2026+10,10,31)-F111)/365.25)=0,(12-DowntimeNew)/12,1),IF(I111="Option",G111*D111*1.025*(1+EscalatorInLease)^10,IF(I111="Market",Retention*G111*D111*(1+EscalatorInLease)^(10+M111)+(1-Retention)*H111*D111*(1+GrowthMarketRent)^10*IF(INT((DATE(2026+10,10,31)-F111)/365.25)=0,(12-DowntimeNew)/12,1),IF(I111="LeaseUp",H111*D111*(1+GrowthMarketRent)^10*IF(10=0,(12-DowntimeNew)/12,1),0)))),((F111-DATE(2026+10,5,1))/365.25)*G111*D111*(1+EscalatorInLease)^(10+M111)+((DATE(2027+10,4,30)-F111)/365.25)*IF(I111="Vacate",H111*D111*(1+GrowthMarketRent)^10*IF(INT((DATE(2026+10,10,31)-F111)/365.25)=0,(12-DowntimeNew)/12,1),IF(I111="Option",G111*D111*1.025*(1+EscalatorInLease)^10,IF(I111="Market",Retention*G111*D111*(1+EscalatorInLease)^(10+M111)+(1-Retention)*H111*D111*(1+GrowthMarketRent)^10*IF(INT((DATE(2026+10,10,31)-F111)/365.25)=0,(12-DowntimeNew)/12,1),IF(I111="LeaseUp",H111*D111*(1+GrowthMarketRent)^10*IF(10=0,(12-DowntimeNew)/12,1),0)))))))),0)</f>
        <v/>
      </c>
      <c r="Y111" s="14">
        <f>IFERROR(IF(AND(I111="LeaseUp",0=0),(IF(I111="Vacate",TINew*D111,IF(I111="Market",Retention*TIRenewal*D111+(1-Retention)*TINew*D111,IF(I111="LeaseUp",TINew*D111,IF(I111="Option",TIRenewal*D111,0)))))+(IF(I111="Vacate",LCNew*H111*D111*(1+GrowthMarketRent)^0,IF(I111="Market",Retention*LCRenewal*H111*D111*(1+GrowthMarketRent)^0+(1-Retention)*LCNew*H111*D111*(1+GrowthMarketRent)^0,IF(I111="LeaseUp",LCNew*H111*D111*(1+GrowthMarketRent)^0,IF(I111="Option",LCRenewal*H111*D111*(1+GrowthMarketRent)^0,0))))),IF(F111="",0,IF(AND(F111&gt;=DATE(2026+0,5,1),F111&lt;=DATE(2027+0,4,30)),(IF(I111="Vacate",TINew*D111,IF(I111="Market",Retention*TIRenewal*D111+(1-Retention)*TINew*D111,IF(I111="LeaseUp",TINew*D111,IF(I111="Option",TIRenewal*D111,0)))))+(IF(I111="Vacate",LCNew*H111*D111*(1+GrowthMarketRent)^0,IF(I111="Market",Retention*LCRenewal*H111*D111*(1+GrowthMarketRent)^0+(1-Retention)*LCNew*H111*D111*(1+GrowthMarketRent)^0,IF(I111="LeaseUp",LCNew*H111*D111*(1+GrowthMarketRent)^0,IF(I111="Option",LCRenewal*H111*D111*(1+GrowthMarketRent)^0,0))))),0))),0)</f>
        <v/>
      </c>
      <c r="Z111" s="14">
        <f>IFERROR(IF(AND(I111="LeaseUp",1=0),(IF(I111="Vacate",TINew*D111,IF(I111="Market",Retention*TIRenewal*D111+(1-Retention)*TINew*D111,IF(I111="LeaseUp",TINew*D111,IF(I111="Option",TIRenewal*D111,0)))))+(IF(I111="Vacate",LCNew*H111*D111*(1+GrowthMarketRent)^1,IF(I111="Market",Retention*LCRenewal*H111*D111*(1+GrowthMarketRent)^1+(1-Retention)*LCNew*H111*D111*(1+GrowthMarketRent)^1,IF(I111="LeaseUp",LCNew*H111*D111*(1+GrowthMarketRent)^1,IF(I111="Option",LCRenewal*H111*D111*(1+GrowthMarketRent)^1,0))))),IF(F111="",0,IF(AND(F111&gt;=DATE(2026+1,5,1),F111&lt;=DATE(2027+1,4,30)),(IF(I111="Vacate",TINew*D111,IF(I111="Market",Retention*TIRenewal*D111+(1-Retention)*TINew*D111,IF(I111="LeaseUp",TINew*D111,IF(I111="Option",TIRenewal*D111,0)))))+(IF(I111="Vacate",LCNew*H111*D111*(1+GrowthMarketRent)^1,IF(I111="Market",Retention*LCRenewal*H111*D111*(1+GrowthMarketRent)^1+(1-Retention)*LCNew*H111*D111*(1+GrowthMarketRent)^1,IF(I111="LeaseUp",LCNew*H111*D111*(1+GrowthMarketRent)^1,IF(I111="Option",LCRenewal*H111*D111*(1+GrowthMarketRent)^1,0))))),0))),0)</f>
        <v/>
      </c>
      <c r="AA111" s="14">
        <f>IFERROR(IF(AND(I111="LeaseUp",2=0),(IF(I111="Vacate",TINew*D111,IF(I111="Market",Retention*TIRenewal*D111+(1-Retention)*TINew*D111,IF(I111="LeaseUp",TINew*D111,IF(I111="Option",TIRenewal*D111,0)))))+(IF(I111="Vacate",LCNew*H111*D111*(1+GrowthMarketRent)^2,IF(I111="Market",Retention*LCRenewal*H111*D111*(1+GrowthMarketRent)^2+(1-Retention)*LCNew*H111*D111*(1+GrowthMarketRent)^2,IF(I111="LeaseUp",LCNew*H111*D111*(1+GrowthMarketRent)^2,IF(I111="Option",LCRenewal*H111*D111*(1+GrowthMarketRent)^2,0))))),IF(F111="",0,IF(AND(F111&gt;=DATE(2026+2,5,1),F111&lt;=DATE(2027+2,4,30)),(IF(I111="Vacate",TINew*D111,IF(I111="Market",Retention*TIRenewal*D111+(1-Retention)*TINew*D111,IF(I111="LeaseUp",TINew*D111,IF(I111="Option",TIRenewal*D111,0)))))+(IF(I111="Vacate",LCNew*H111*D111*(1+GrowthMarketRent)^2,IF(I111="Market",Retention*LCRenewal*H111*D111*(1+GrowthMarketRent)^2+(1-Retention)*LCNew*H111*D111*(1+GrowthMarketRent)^2,IF(I111="LeaseUp",LCNew*H111*D111*(1+GrowthMarketRent)^2,IF(I111="Option",LCRenewal*H111*D111*(1+GrowthMarketRent)^2,0))))),0))),0)</f>
        <v/>
      </c>
      <c r="AB111" s="14">
        <f>IFERROR(IF(AND(I111="LeaseUp",3=0),(IF(I111="Vacate",TINew*D111,IF(I111="Market",Retention*TIRenewal*D111+(1-Retention)*TINew*D111,IF(I111="LeaseUp",TINew*D111,IF(I111="Option",TIRenewal*D111,0)))))+(IF(I111="Vacate",LCNew*H111*D111*(1+GrowthMarketRent)^3,IF(I111="Market",Retention*LCRenewal*H111*D111*(1+GrowthMarketRent)^3+(1-Retention)*LCNew*H111*D111*(1+GrowthMarketRent)^3,IF(I111="LeaseUp",LCNew*H111*D111*(1+GrowthMarketRent)^3,IF(I111="Option",LCRenewal*H111*D111*(1+GrowthMarketRent)^3,0))))),IF(F111="",0,IF(AND(F111&gt;=DATE(2026+3,5,1),F111&lt;=DATE(2027+3,4,30)),(IF(I111="Vacate",TINew*D111,IF(I111="Market",Retention*TIRenewal*D111+(1-Retention)*TINew*D111,IF(I111="LeaseUp",TINew*D111,IF(I111="Option",TIRenewal*D111,0)))))+(IF(I111="Vacate",LCNew*H111*D111*(1+GrowthMarketRent)^3,IF(I111="Market",Retention*LCRenewal*H111*D111*(1+GrowthMarketRent)^3+(1-Retention)*LCNew*H111*D111*(1+GrowthMarketRent)^3,IF(I111="LeaseUp",LCNew*H111*D111*(1+GrowthMarketRent)^3,IF(I111="Option",LCRenewal*H111*D111*(1+GrowthMarketRent)^3,0))))),0))),0)</f>
        <v/>
      </c>
      <c r="AC111" s="14">
        <f>IFERROR(IF(AND(I111="LeaseUp",4=0),(IF(I111="Vacate",TINew*D111,IF(I111="Market",Retention*TIRenewal*D111+(1-Retention)*TINew*D111,IF(I111="LeaseUp",TINew*D111,IF(I111="Option",TIRenewal*D111,0)))))+(IF(I111="Vacate",LCNew*H111*D111*(1+GrowthMarketRent)^4,IF(I111="Market",Retention*LCRenewal*H111*D111*(1+GrowthMarketRent)^4+(1-Retention)*LCNew*H111*D111*(1+GrowthMarketRent)^4,IF(I111="LeaseUp",LCNew*H111*D111*(1+GrowthMarketRent)^4,IF(I111="Option",LCRenewal*H111*D111*(1+GrowthMarketRent)^4,0))))),IF(F111="",0,IF(AND(F111&gt;=DATE(2026+4,5,1),F111&lt;=DATE(2027+4,4,30)),(IF(I111="Vacate",TINew*D111,IF(I111="Market",Retention*TIRenewal*D111+(1-Retention)*TINew*D111,IF(I111="LeaseUp",TINew*D111,IF(I111="Option",TIRenewal*D111,0)))))+(IF(I111="Vacate",LCNew*H111*D111*(1+GrowthMarketRent)^4,IF(I111="Market",Retention*LCRenewal*H111*D111*(1+GrowthMarketRent)^4+(1-Retention)*LCNew*H111*D111*(1+GrowthMarketRent)^4,IF(I111="LeaseUp",LCNew*H111*D111*(1+GrowthMarketRent)^4,IF(I111="Option",LCRenewal*H111*D111*(1+GrowthMarketRent)^4,0))))),0))),0)</f>
        <v/>
      </c>
      <c r="AD111" s="14">
        <f>IFERROR(IF(AND(I111="LeaseUp",5=0),(IF(I111="Vacate",TINew*D111,IF(I111="Market",Retention*TIRenewal*D111+(1-Retention)*TINew*D111,IF(I111="LeaseUp",TINew*D111,IF(I111="Option",TIRenewal*D111,0)))))+(IF(I111="Vacate",LCNew*H111*D111*(1+GrowthMarketRent)^5,IF(I111="Market",Retention*LCRenewal*H111*D111*(1+GrowthMarketRent)^5+(1-Retention)*LCNew*H111*D111*(1+GrowthMarketRent)^5,IF(I111="LeaseUp",LCNew*H111*D111*(1+GrowthMarketRent)^5,IF(I111="Option",LCRenewal*H111*D111*(1+GrowthMarketRent)^5,0))))),IF(F111="",0,IF(AND(F111&gt;=DATE(2026+5,5,1),F111&lt;=DATE(2027+5,4,30)),(IF(I111="Vacate",TINew*D111,IF(I111="Market",Retention*TIRenewal*D111+(1-Retention)*TINew*D111,IF(I111="LeaseUp",TINew*D111,IF(I111="Option",TIRenewal*D111,0)))))+(IF(I111="Vacate",LCNew*H111*D111*(1+GrowthMarketRent)^5,IF(I111="Market",Retention*LCRenewal*H111*D111*(1+GrowthMarketRent)^5+(1-Retention)*LCNew*H111*D111*(1+GrowthMarketRent)^5,IF(I111="LeaseUp",LCNew*H111*D111*(1+GrowthMarketRent)^5,IF(I111="Option",LCRenewal*H111*D111*(1+GrowthMarketRent)^5,0))))),0))),0)</f>
        <v/>
      </c>
      <c r="AE111" s="14">
        <f>IFERROR(IF(AND(I111="LeaseUp",6=0),(IF(I111="Vacate",TINew*D111,IF(I111="Market",Retention*TIRenewal*D111+(1-Retention)*TINew*D111,IF(I111="LeaseUp",TINew*D111,IF(I111="Option",TIRenewal*D111,0)))))+(IF(I111="Vacate",LCNew*H111*D111*(1+GrowthMarketRent)^6,IF(I111="Market",Retention*LCRenewal*H111*D111*(1+GrowthMarketRent)^6+(1-Retention)*LCNew*H111*D111*(1+GrowthMarketRent)^6,IF(I111="LeaseUp",LCNew*H111*D111*(1+GrowthMarketRent)^6,IF(I111="Option",LCRenewal*H111*D111*(1+GrowthMarketRent)^6,0))))),IF(F111="",0,IF(AND(F111&gt;=DATE(2026+6,5,1),F111&lt;=DATE(2027+6,4,30)),(IF(I111="Vacate",TINew*D111,IF(I111="Market",Retention*TIRenewal*D111+(1-Retention)*TINew*D111,IF(I111="LeaseUp",TINew*D111,IF(I111="Option",TIRenewal*D111,0)))))+(IF(I111="Vacate",LCNew*H111*D111*(1+GrowthMarketRent)^6,IF(I111="Market",Retention*LCRenewal*H111*D111*(1+GrowthMarketRent)^6+(1-Retention)*LCNew*H111*D111*(1+GrowthMarketRent)^6,IF(I111="LeaseUp",LCNew*H111*D111*(1+GrowthMarketRent)^6,IF(I111="Option",LCRenewal*H111*D111*(1+GrowthMarketRent)^6,0))))),0))),0)</f>
        <v/>
      </c>
      <c r="AF111" s="14">
        <f>IFERROR(IF(AND(I111="LeaseUp",7=0),(IF(I111="Vacate",TINew*D111,IF(I111="Market",Retention*TIRenewal*D111+(1-Retention)*TINew*D111,IF(I111="LeaseUp",TINew*D111,IF(I111="Option",TIRenewal*D111,0)))))+(IF(I111="Vacate",LCNew*H111*D111*(1+GrowthMarketRent)^7,IF(I111="Market",Retention*LCRenewal*H111*D111*(1+GrowthMarketRent)^7+(1-Retention)*LCNew*H111*D111*(1+GrowthMarketRent)^7,IF(I111="LeaseUp",LCNew*H111*D111*(1+GrowthMarketRent)^7,IF(I111="Option",LCRenewal*H111*D111*(1+GrowthMarketRent)^7,0))))),IF(F111="",0,IF(AND(F111&gt;=DATE(2026+7,5,1),F111&lt;=DATE(2027+7,4,30)),(IF(I111="Vacate",TINew*D111,IF(I111="Market",Retention*TIRenewal*D111+(1-Retention)*TINew*D111,IF(I111="LeaseUp",TINew*D111,IF(I111="Option",TIRenewal*D111,0)))))+(IF(I111="Vacate",LCNew*H111*D111*(1+GrowthMarketRent)^7,IF(I111="Market",Retention*LCRenewal*H111*D111*(1+GrowthMarketRent)^7+(1-Retention)*LCNew*H111*D111*(1+GrowthMarketRent)^7,IF(I111="LeaseUp",LCNew*H111*D111*(1+GrowthMarketRent)^7,IF(I111="Option",LCRenewal*H111*D111*(1+GrowthMarketRent)^7,0))))),0))),0)</f>
        <v/>
      </c>
      <c r="AG111" s="14">
        <f>IFERROR(IF(AND(I111="LeaseUp",8=0),(IF(I111="Vacate",TINew*D111,IF(I111="Market",Retention*TIRenewal*D111+(1-Retention)*TINew*D111,IF(I111="LeaseUp",TINew*D111,IF(I111="Option",TIRenewal*D111,0)))))+(IF(I111="Vacate",LCNew*H111*D111*(1+GrowthMarketRent)^8,IF(I111="Market",Retention*LCRenewal*H111*D111*(1+GrowthMarketRent)^8+(1-Retention)*LCNew*H111*D111*(1+GrowthMarketRent)^8,IF(I111="LeaseUp",LCNew*H111*D111*(1+GrowthMarketRent)^8,IF(I111="Option",LCRenewal*H111*D111*(1+GrowthMarketRent)^8,0))))),IF(F111="",0,IF(AND(F111&gt;=DATE(2026+8,5,1),F111&lt;=DATE(2027+8,4,30)),(IF(I111="Vacate",TINew*D111,IF(I111="Market",Retention*TIRenewal*D111+(1-Retention)*TINew*D111,IF(I111="LeaseUp",TINew*D111,IF(I111="Option",TIRenewal*D111,0)))))+(IF(I111="Vacate",LCNew*H111*D111*(1+GrowthMarketRent)^8,IF(I111="Market",Retention*LCRenewal*H111*D111*(1+GrowthMarketRent)^8+(1-Retention)*LCNew*H111*D111*(1+GrowthMarketRent)^8,IF(I111="LeaseUp",LCNew*H111*D111*(1+GrowthMarketRent)^8,IF(I111="Option",LCRenewal*H111*D111*(1+GrowthMarketRent)^8,0))))),0))),0)</f>
        <v/>
      </c>
      <c r="AH111" s="14">
        <f>IFERROR(IF(AND(I111="LeaseUp",9=0),(IF(I111="Vacate",TINew*D111,IF(I111="Market",Retention*TIRenewal*D111+(1-Retention)*TINew*D111,IF(I111="LeaseUp",TINew*D111,IF(I111="Option",TIRenewal*D111,0)))))+(IF(I111="Vacate",LCNew*H111*D111*(1+GrowthMarketRent)^9,IF(I111="Market",Retention*LCRenewal*H111*D111*(1+GrowthMarketRent)^9+(1-Retention)*LCNew*H111*D111*(1+GrowthMarketRent)^9,IF(I111="LeaseUp",LCNew*H111*D111*(1+GrowthMarketRent)^9,IF(I111="Option",LCRenewal*H111*D111*(1+GrowthMarketRent)^9,0))))),IF(F111="",0,IF(AND(F111&gt;=DATE(2026+9,5,1),F111&lt;=DATE(2027+9,4,30)),(IF(I111="Vacate",TINew*D111,IF(I111="Market",Retention*TIRenewal*D111+(1-Retention)*TINew*D111,IF(I111="LeaseUp",TINew*D111,IF(I111="Option",TIRenewal*D111,0)))))+(IF(I111="Vacate",LCNew*H111*D111*(1+GrowthMarketRent)^9,IF(I111="Market",Retention*LCRenewal*H111*D111*(1+GrowthMarketRent)^9+(1-Retention)*LCNew*H111*D111*(1+GrowthMarketRent)^9,IF(I111="LeaseUp",LCNew*H111*D111*(1+GrowthMarketRent)^9,IF(I111="Option",LCRenewal*H111*D111*(1+GrowthMarketRent)^9,0))))),0))),0)</f>
        <v/>
      </c>
      <c r="AI111" s="14">
        <f>IFERROR(IF(AND(I111="LeaseUp",10=0),(IF(I111="Vacate",TINew*D111,IF(I111="Market",Retention*TIRenewal*D111+(1-Retention)*TINew*D111,IF(I111="LeaseUp",TINew*D111,IF(I111="Option",TIRenewal*D111,0)))))+(IF(I111="Vacate",LCNew*H111*D111*(1+GrowthMarketRent)^10,IF(I111="Market",Retention*LCRenewal*H111*D111*(1+GrowthMarketRent)^10+(1-Retention)*LCNew*H111*D111*(1+GrowthMarketRent)^10,IF(I111="LeaseUp",LCNew*H111*D111*(1+GrowthMarketRent)^10,IF(I111="Option",LCRenewal*H111*D111*(1+GrowthMarketRent)^10,0))))),IF(F111="",0,IF(AND(F111&gt;=DATE(2026+10,5,1),F111&lt;=DATE(2027+10,4,30)),(IF(I111="Vacate",TINew*D111,IF(I111="Market",Retention*TIRenewal*D111+(1-Retention)*TINew*D111,IF(I111="LeaseUp",TINew*D111,IF(I111="Option",TIRenewal*D111,0)))))+(IF(I111="Vacate",LCNew*H111*D111*(1+GrowthMarketRent)^10,IF(I111="Market",Retention*LCRenewal*H111*D111*(1+GrowthMarketRent)^10+(1-Retention)*LCNew*H111*D111*(1+GrowthMarketRent)^10,IF(I111="LeaseUp",LCNew*H111*D111*(1+GrowthMarketRent)^10,IF(I111="Option",LCRenewal*H111*D111*(1+GrowthMarketRent)^10,0))))),0))),0)</f>
        <v/>
      </c>
    </row>
    <row r="112">
      <c r="A112" t="inlineStr">
        <is>
          <t>Lewisville</t>
        </is>
      </c>
      <c r="B112" t="inlineStr">
        <is>
          <t>302</t>
        </is>
      </c>
      <c r="C112" t="inlineStr">
        <is>
          <t>Texas Doors &amp; Closets LLC</t>
        </is>
      </c>
      <c r="D112" s="32" t="n">
        <v>2900</v>
      </c>
      <c r="E112" s="33" t="n">
        <v>45108</v>
      </c>
      <c r="F112" s="33" t="n">
        <v>46357</v>
      </c>
      <c r="G112" s="34" t="n">
        <v>15.4965517241379</v>
      </c>
      <c r="H112" s="16">
        <f>VLOOKUP(A112,MLA!$A$5:$L$11,3,FALSE)</f>
        <v/>
      </c>
      <c r="I112" s="11" t="inlineStr">
        <is>
          <t>Option</t>
        </is>
      </c>
      <c r="J112" t="inlineStr">
        <is>
          <t>Studio</t>
        </is>
      </c>
      <c r="K112" t="inlineStr">
        <is>
          <t>Occupied</t>
        </is>
      </c>
      <c r="L112" t="inlineStr">
        <is>
          <t>Studio; Guarantor: Josiah Rogers; Two 3yr options</t>
        </is>
      </c>
      <c r="M112" s="20">
        <f>IF(E112="",0,(AnalysisStart-E112)/365.25)</f>
        <v/>
      </c>
      <c r="N112" s="14">
        <f>IFERROR(IF(I112="LeaseUp",H112*D112*(1+GrowthMarketRent)^0*IF(0=0,(12-DowntimeNew)/12,1),IF(F112="",0,IF(F112&gt;=DATE(2027+0,4,30),G112*D112*(1+EscalatorInLease)^(0+M112),IF(F112&lt;DATE(2026+0,5,1),IF(I112="Vacate",H112*D112*(1+GrowthMarketRent)^0*IF(INT((DATE(2026+0,10,31)-F112)/365.25)=0,(12-DowntimeNew)/12,1),IF(I112="Option",G112*D112*1.025*(1+EscalatorInLease)^0,IF(I112="Market",Retention*G112*D112*(1+EscalatorInLease)^(0+M112)+(1-Retention)*H112*D112*(1+GrowthMarketRent)^0*IF(INT((DATE(2026+0,10,31)-F112)/365.25)=0,(12-DowntimeNew)/12,1),IF(I112="LeaseUp",H112*D112*(1+GrowthMarketRent)^0*IF(0=0,(12-DowntimeNew)/12,1),0)))),((F112-DATE(2026+0,5,1))/365.25)*G112*D112*(1+EscalatorInLease)^(0+M112)+((DATE(2027+0,4,30)-F112)/365.25)*IF(I112="Vacate",H112*D112*(1+GrowthMarketRent)^0*IF(INT((DATE(2026+0,10,31)-F112)/365.25)=0,(12-DowntimeNew)/12,1),IF(I112="Option",G112*D112*1.025*(1+EscalatorInLease)^0,IF(I112="Market",Retention*G112*D112*(1+EscalatorInLease)^(0+M112)+(1-Retention)*H112*D112*(1+GrowthMarketRent)^0*IF(INT((DATE(2026+0,10,31)-F112)/365.25)=0,(12-DowntimeNew)/12,1),IF(I112="LeaseUp",H112*D112*(1+GrowthMarketRent)^0*IF(0=0,(12-DowntimeNew)/12,1),0)))))))),0)</f>
        <v/>
      </c>
      <c r="O112" s="14">
        <f>IFERROR(IF(I112="LeaseUp",H112*D112*(1+GrowthMarketRent)^1*IF(1=0,(12-DowntimeNew)/12,1),IF(F112="",0,IF(F112&gt;=DATE(2027+1,4,30),G112*D112*(1+EscalatorInLease)^(1+M112),IF(F112&lt;DATE(2026+1,5,1),IF(I112="Vacate",H112*D112*(1+GrowthMarketRent)^1*IF(INT((DATE(2026+1,10,31)-F112)/365.25)=0,(12-DowntimeNew)/12,1),IF(I112="Option",G112*D112*1.025*(1+EscalatorInLease)^1,IF(I112="Market",Retention*G112*D112*(1+EscalatorInLease)^(1+M112)+(1-Retention)*H112*D112*(1+GrowthMarketRent)^1*IF(INT((DATE(2026+1,10,31)-F112)/365.25)=0,(12-DowntimeNew)/12,1),IF(I112="LeaseUp",H112*D112*(1+GrowthMarketRent)^1*IF(1=0,(12-DowntimeNew)/12,1),0)))),((F112-DATE(2026+1,5,1))/365.25)*G112*D112*(1+EscalatorInLease)^(1+M112)+((DATE(2027+1,4,30)-F112)/365.25)*IF(I112="Vacate",H112*D112*(1+GrowthMarketRent)^1*IF(INT((DATE(2026+1,10,31)-F112)/365.25)=0,(12-DowntimeNew)/12,1),IF(I112="Option",G112*D112*1.025*(1+EscalatorInLease)^1,IF(I112="Market",Retention*G112*D112*(1+EscalatorInLease)^(1+M112)+(1-Retention)*H112*D112*(1+GrowthMarketRent)^1*IF(INT((DATE(2026+1,10,31)-F112)/365.25)=0,(12-DowntimeNew)/12,1),IF(I112="LeaseUp",H112*D112*(1+GrowthMarketRent)^1*IF(1=0,(12-DowntimeNew)/12,1),0)))))))),0)</f>
        <v/>
      </c>
      <c r="P112" s="14">
        <f>IFERROR(IF(I112="LeaseUp",H112*D112*(1+GrowthMarketRent)^2*IF(2=0,(12-DowntimeNew)/12,1),IF(F112="",0,IF(F112&gt;=DATE(2027+2,4,30),G112*D112*(1+EscalatorInLease)^(2+M112),IF(F112&lt;DATE(2026+2,5,1),IF(I112="Vacate",H112*D112*(1+GrowthMarketRent)^2*IF(INT((DATE(2026+2,10,31)-F112)/365.25)=0,(12-DowntimeNew)/12,1),IF(I112="Option",G112*D112*1.025*(1+EscalatorInLease)^2,IF(I112="Market",Retention*G112*D112*(1+EscalatorInLease)^(2+M112)+(1-Retention)*H112*D112*(1+GrowthMarketRent)^2*IF(INT((DATE(2026+2,10,31)-F112)/365.25)=0,(12-DowntimeNew)/12,1),IF(I112="LeaseUp",H112*D112*(1+GrowthMarketRent)^2*IF(2=0,(12-DowntimeNew)/12,1),0)))),((F112-DATE(2026+2,5,1))/365.25)*G112*D112*(1+EscalatorInLease)^(2+M112)+((DATE(2027+2,4,30)-F112)/365.25)*IF(I112="Vacate",H112*D112*(1+GrowthMarketRent)^2*IF(INT((DATE(2026+2,10,31)-F112)/365.25)=0,(12-DowntimeNew)/12,1),IF(I112="Option",G112*D112*1.025*(1+EscalatorInLease)^2,IF(I112="Market",Retention*G112*D112*(1+EscalatorInLease)^(2+M112)+(1-Retention)*H112*D112*(1+GrowthMarketRent)^2*IF(INT((DATE(2026+2,10,31)-F112)/365.25)=0,(12-DowntimeNew)/12,1),IF(I112="LeaseUp",H112*D112*(1+GrowthMarketRent)^2*IF(2=0,(12-DowntimeNew)/12,1),0)))))))),0)</f>
        <v/>
      </c>
      <c r="Q112" s="14">
        <f>IFERROR(IF(I112="LeaseUp",H112*D112*(1+GrowthMarketRent)^3*IF(3=0,(12-DowntimeNew)/12,1),IF(F112="",0,IF(F112&gt;=DATE(2027+3,4,30),G112*D112*(1+EscalatorInLease)^(3+M112),IF(F112&lt;DATE(2026+3,5,1),IF(I112="Vacate",H112*D112*(1+GrowthMarketRent)^3*IF(INT((DATE(2026+3,10,31)-F112)/365.25)=0,(12-DowntimeNew)/12,1),IF(I112="Option",G112*D112*1.025*(1+EscalatorInLease)^3,IF(I112="Market",Retention*G112*D112*(1+EscalatorInLease)^(3+M112)+(1-Retention)*H112*D112*(1+GrowthMarketRent)^3*IF(INT((DATE(2026+3,10,31)-F112)/365.25)=0,(12-DowntimeNew)/12,1),IF(I112="LeaseUp",H112*D112*(1+GrowthMarketRent)^3*IF(3=0,(12-DowntimeNew)/12,1),0)))),((F112-DATE(2026+3,5,1))/365.25)*G112*D112*(1+EscalatorInLease)^(3+M112)+((DATE(2027+3,4,30)-F112)/365.25)*IF(I112="Vacate",H112*D112*(1+GrowthMarketRent)^3*IF(INT((DATE(2026+3,10,31)-F112)/365.25)=0,(12-DowntimeNew)/12,1),IF(I112="Option",G112*D112*1.025*(1+EscalatorInLease)^3,IF(I112="Market",Retention*G112*D112*(1+EscalatorInLease)^(3+M112)+(1-Retention)*H112*D112*(1+GrowthMarketRent)^3*IF(INT((DATE(2026+3,10,31)-F112)/365.25)=0,(12-DowntimeNew)/12,1),IF(I112="LeaseUp",H112*D112*(1+GrowthMarketRent)^3*IF(3=0,(12-DowntimeNew)/12,1),0)))))))),0)</f>
        <v/>
      </c>
      <c r="R112" s="14">
        <f>IFERROR(IF(I112="LeaseUp",H112*D112*(1+GrowthMarketRent)^4*IF(4=0,(12-DowntimeNew)/12,1),IF(F112="",0,IF(F112&gt;=DATE(2027+4,4,30),G112*D112*(1+EscalatorInLease)^(4+M112),IF(F112&lt;DATE(2026+4,5,1),IF(I112="Vacate",H112*D112*(1+GrowthMarketRent)^4*IF(INT((DATE(2026+4,10,31)-F112)/365.25)=0,(12-DowntimeNew)/12,1),IF(I112="Option",G112*D112*1.025*(1+EscalatorInLease)^4,IF(I112="Market",Retention*G112*D112*(1+EscalatorInLease)^(4+M112)+(1-Retention)*H112*D112*(1+GrowthMarketRent)^4*IF(INT((DATE(2026+4,10,31)-F112)/365.25)=0,(12-DowntimeNew)/12,1),IF(I112="LeaseUp",H112*D112*(1+GrowthMarketRent)^4*IF(4=0,(12-DowntimeNew)/12,1),0)))),((F112-DATE(2026+4,5,1))/365.25)*G112*D112*(1+EscalatorInLease)^(4+M112)+((DATE(2027+4,4,30)-F112)/365.25)*IF(I112="Vacate",H112*D112*(1+GrowthMarketRent)^4*IF(INT((DATE(2026+4,10,31)-F112)/365.25)=0,(12-DowntimeNew)/12,1),IF(I112="Option",G112*D112*1.025*(1+EscalatorInLease)^4,IF(I112="Market",Retention*G112*D112*(1+EscalatorInLease)^(4+M112)+(1-Retention)*H112*D112*(1+GrowthMarketRent)^4*IF(INT((DATE(2026+4,10,31)-F112)/365.25)=0,(12-DowntimeNew)/12,1),IF(I112="LeaseUp",H112*D112*(1+GrowthMarketRent)^4*IF(4=0,(12-DowntimeNew)/12,1),0)))))))),0)</f>
        <v/>
      </c>
      <c r="S112" s="14">
        <f>IFERROR(IF(I112="LeaseUp",H112*D112*(1+GrowthMarketRent)^5*IF(5=0,(12-DowntimeNew)/12,1),IF(F112="",0,IF(F112&gt;=DATE(2027+5,4,30),G112*D112*(1+EscalatorInLease)^(5+M112),IF(F112&lt;DATE(2026+5,5,1),IF(I112="Vacate",H112*D112*(1+GrowthMarketRent)^5*IF(INT((DATE(2026+5,10,31)-F112)/365.25)=0,(12-DowntimeNew)/12,1),IF(I112="Option",G112*D112*1.025*(1+EscalatorInLease)^5,IF(I112="Market",Retention*G112*D112*(1+EscalatorInLease)^(5+M112)+(1-Retention)*H112*D112*(1+GrowthMarketRent)^5*IF(INT((DATE(2026+5,10,31)-F112)/365.25)=0,(12-DowntimeNew)/12,1),IF(I112="LeaseUp",H112*D112*(1+GrowthMarketRent)^5*IF(5=0,(12-DowntimeNew)/12,1),0)))),((F112-DATE(2026+5,5,1))/365.25)*G112*D112*(1+EscalatorInLease)^(5+M112)+((DATE(2027+5,4,30)-F112)/365.25)*IF(I112="Vacate",H112*D112*(1+GrowthMarketRent)^5*IF(INT((DATE(2026+5,10,31)-F112)/365.25)=0,(12-DowntimeNew)/12,1),IF(I112="Option",G112*D112*1.025*(1+EscalatorInLease)^5,IF(I112="Market",Retention*G112*D112*(1+EscalatorInLease)^(5+M112)+(1-Retention)*H112*D112*(1+GrowthMarketRent)^5*IF(INT((DATE(2026+5,10,31)-F112)/365.25)=0,(12-DowntimeNew)/12,1),IF(I112="LeaseUp",H112*D112*(1+GrowthMarketRent)^5*IF(5=0,(12-DowntimeNew)/12,1),0)))))))),0)</f>
        <v/>
      </c>
      <c r="T112" s="14">
        <f>IFERROR(IF(I112="LeaseUp",H112*D112*(1+GrowthMarketRent)^6*IF(6=0,(12-DowntimeNew)/12,1),IF(F112="",0,IF(F112&gt;=DATE(2027+6,4,30),G112*D112*(1+EscalatorInLease)^(6+M112),IF(F112&lt;DATE(2026+6,5,1),IF(I112="Vacate",H112*D112*(1+GrowthMarketRent)^6*IF(INT((DATE(2026+6,10,31)-F112)/365.25)=0,(12-DowntimeNew)/12,1),IF(I112="Option",G112*D112*1.025*(1+EscalatorInLease)^6,IF(I112="Market",Retention*G112*D112*(1+EscalatorInLease)^(6+M112)+(1-Retention)*H112*D112*(1+GrowthMarketRent)^6*IF(INT((DATE(2026+6,10,31)-F112)/365.25)=0,(12-DowntimeNew)/12,1),IF(I112="LeaseUp",H112*D112*(1+GrowthMarketRent)^6*IF(6=0,(12-DowntimeNew)/12,1),0)))),((F112-DATE(2026+6,5,1))/365.25)*G112*D112*(1+EscalatorInLease)^(6+M112)+((DATE(2027+6,4,30)-F112)/365.25)*IF(I112="Vacate",H112*D112*(1+GrowthMarketRent)^6*IF(INT((DATE(2026+6,10,31)-F112)/365.25)=0,(12-DowntimeNew)/12,1),IF(I112="Option",G112*D112*1.025*(1+EscalatorInLease)^6,IF(I112="Market",Retention*G112*D112*(1+EscalatorInLease)^(6+M112)+(1-Retention)*H112*D112*(1+GrowthMarketRent)^6*IF(INT((DATE(2026+6,10,31)-F112)/365.25)=0,(12-DowntimeNew)/12,1),IF(I112="LeaseUp",H112*D112*(1+GrowthMarketRent)^6*IF(6=0,(12-DowntimeNew)/12,1),0)))))))),0)</f>
        <v/>
      </c>
      <c r="U112" s="14">
        <f>IFERROR(IF(I112="LeaseUp",H112*D112*(1+GrowthMarketRent)^7*IF(7=0,(12-DowntimeNew)/12,1),IF(F112="",0,IF(F112&gt;=DATE(2027+7,4,30),G112*D112*(1+EscalatorInLease)^(7+M112),IF(F112&lt;DATE(2026+7,5,1),IF(I112="Vacate",H112*D112*(1+GrowthMarketRent)^7*IF(INT((DATE(2026+7,10,31)-F112)/365.25)=0,(12-DowntimeNew)/12,1),IF(I112="Option",G112*D112*1.025*(1+EscalatorInLease)^7,IF(I112="Market",Retention*G112*D112*(1+EscalatorInLease)^(7+M112)+(1-Retention)*H112*D112*(1+GrowthMarketRent)^7*IF(INT((DATE(2026+7,10,31)-F112)/365.25)=0,(12-DowntimeNew)/12,1),IF(I112="LeaseUp",H112*D112*(1+GrowthMarketRent)^7*IF(7=0,(12-DowntimeNew)/12,1),0)))),((F112-DATE(2026+7,5,1))/365.25)*G112*D112*(1+EscalatorInLease)^(7+M112)+((DATE(2027+7,4,30)-F112)/365.25)*IF(I112="Vacate",H112*D112*(1+GrowthMarketRent)^7*IF(INT((DATE(2026+7,10,31)-F112)/365.25)=0,(12-DowntimeNew)/12,1),IF(I112="Option",G112*D112*1.025*(1+EscalatorInLease)^7,IF(I112="Market",Retention*G112*D112*(1+EscalatorInLease)^(7+M112)+(1-Retention)*H112*D112*(1+GrowthMarketRent)^7*IF(INT((DATE(2026+7,10,31)-F112)/365.25)=0,(12-DowntimeNew)/12,1),IF(I112="LeaseUp",H112*D112*(1+GrowthMarketRent)^7*IF(7=0,(12-DowntimeNew)/12,1),0)))))))),0)</f>
        <v/>
      </c>
      <c r="V112" s="14">
        <f>IFERROR(IF(I112="LeaseUp",H112*D112*(1+GrowthMarketRent)^8*IF(8=0,(12-DowntimeNew)/12,1),IF(F112="",0,IF(F112&gt;=DATE(2027+8,4,30),G112*D112*(1+EscalatorInLease)^(8+M112),IF(F112&lt;DATE(2026+8,5,1),IF(I112="Vacate",H112*D112*(1+GrowthMarketRent)^8*IF(INT((DATE(2026+8,10,31)-F112)/365.25)=0,(12-DowntimeNew)/12,1),IF(I112="Option",G112*D112*1.025*(1+EscalatorInLease)^8,IF(I112="Market",Retention*G112*D112*(1+EscalatorInLease)^(8+M112)+(1-Retention)*H112*D112*(1+GrowthMarketRent)^8*IF(INT((DATE(2026+8,10,31)-F112)/365.25)=0,(12-DowntimeNew)/12,1),IF(I112="LeaseUp",H112*D112*(1+GrowthMarketRent)^8*IF(8=0,(12-DowntimeNew)/12,1),0)))),((F112-DATE(2026+8,5,1))/365.25)*G112*D112*(1+EscalatorInLease)^(8+M112)+((DATE(2027+8,4,30)-F112)/365.25)*IF(I112="Vacate",H112*D112*(1+GrowthMarketRent)^8*IF(INT((DATE(2026+8,10,31)-F112)/365.25)=0,(12-DowntimeNew)/12,1),IF(I112="Option",G112*D112*1.025*(1+EscalatorInLease)^8,IF(I112="Market",Retention*G112*D112*(1+EscalatorInLease)^(8+M112)+(1-Retention)*H112*D112*(1+GrowthMarketRent)^8*IF(INT((DATE(2026+8,10,31)-F112)/365.25)=0,(12-DowntimeNew)/12,1),IF(I112="LeaseUp",H112*D112*(1+GrowthMarketRent)^8*IF(8=0,(12-DowntimeNew)/12,1),0)))))))),0)</f>
        <v/>
      </c>
      <c r="W112" s="14">
        <f>IFERROR(IF(I112="LeaseUp",H112*D112*(1+GrowthMarketRent)^9*IF(9=0,(12-DowntimeNew)/12,1),IF(F112="",0,IF(F112&gt;=DATE(2027+9,4,30),G112*D112*(1+EscalatorInLease)^(9+M112),IF(F112&lt;DATE(2026+9,5,1),IF(I112="Vacate",H112*D112*(1+GrowthMarketRent)^9*IF(INT((DATE(2026+9,10,31)-F112)/365.25)=0,(12-DowntimeNew)/12,1),IF(I112="Option",G112*D112*1.025*(1+EscalatorInLease)^9,IF(I112="Market",Retention*G112*D112*(1+EscalatorInLease)^(9+M112)+(1-Retention)*H112*D112*(1+GrowthMarketRent)^9*IF(INT((DATE(2026+9,10,31)-F112)/365.25)=0,(12-DowntimeNew)/12,1),IF(I112="LeaseUp",H112*D112*(1+GrowthMarketRent)^9*IF(9=0,(12-DowntimeNew)/12,1),0)))),((F112-DATE(2026+9,5,1))/365.25)*G112*D112*(1+EscalatorInLease)^(9+M112)+((DATE(2027+9,4,30)-F112)/365.25)*IF(I112="Vacate",H112*D112*(1+GrowthMarketRent)^9*IF(INT((DATE(2026+9,10,31)-F112)/365.25)=0,(12-DowntimeNew)/12,1),IF(I112="Option",G112*D112*1.025*(1+EscalatorInLease)^9,IF(I112="Market",Retention*G112*D112*(1+EscalatorInLease)^(9+M112)+(1-Retention)*H112*D112*(1+GrowthMarketRent)^9*IF(INT((DATE(2026+9,10,31)-F112)/365.25)=0,(12-DowntimeNew)/12,1),IF(I112="LeaseUp",H112*D112*(1+GrowthMarketRent)^9*IF(9=0,(12-DowntimeNew)/12,1),0)))))))),0)</f>
        <v/>
      </c>
      <c r="X112" s="14">
        <f>IFERROR(IF(I112="LeaseUp",H112*D112*(1+GrowthMarketRent)^10*IF(10=0,(12-DowntimeNew)/12,1),IF(F112="",0,IF(F112&gt;=DATE(2027+10,4,30),G112*D112*(1+EscalatorInLease)^(10+M112),IF(F112&lt;DATE(2026+10,5,1),IF(I112="Vacate",H112*D112*(1+GrowthMarketRent)^10*IF(INT((DATE(2026+10,10,31)-F112)/365.25)=0,(12-DowntimeNew)/12,1),IF(I112="Option",G112*D112*1.025*(1+EscalatorInLease)^10,IF(I112="Market",Retention*G112*D112*(1+EscalatorInLease)^(10+M112)+(1-Retention)*H112*D112*(1+GrowthMarketRent)^10*IF(INT((DATE(2026+10,10,31)-F112)/365.25)=0,(12-DowntimeNew)/12,1),IF(I112="LeaseUp",H112*D112*(1+GrowthMarketRent)^10*IF(10=0,(12-DowntimeNew)/12,1),0)))),((F112-DATE(2026+10,5,1))/365.25)*G112*D112*(1+EscalatorInLease)^(10+M112)+((DATE(2027+10,4,30)-F112)/365.25)*IF(I112="Vacate",H112*D112*(1+GrowthMarketRent)^10*IF(INT((DATE(2026+10,10,31)-F112)/365.25)=0,(12-DowntimeNew)/12,1),IF(I112="Option",G112*D112*1.025*(1+EscalatorInLease)^10,IF(I112="Market",Retention*G112*D112*(1+EscalatorInLease)^(10+M112)+(1-Retention)*H112*D112*(1+GrowthMarketRent)^10*IF(INT((DATE(2026+10,10,31)-F112)/365.25)=0,(12-DowntimeNew)/12,1),IF(I112="LeaseUp",H112*D112*(1+GrowthMarketRent)^10*IF(10=0,(12-DowntimeNew)/12,1),0)))))))),0)</f>
        <v/>
      </c>
      <c r="Y112" s="14">
        <f>IFERROR(IF(AND(I112="LeaseUp",0=0),(IF(I112="Vacate",TINew*D112,IF(I112="Market",Retention*TIRenewal*D112+(1-Retention)*TINew*D112,IF(I112="LeaseUp",TINew*D112,IF(I112="Option",TIRenewal*D112,0)))))+(IF(I112="Vacate",LCNew*H112*D112*(1+GrowthMarketRent)^0,IF(I112="Market",Retention*LCRenewal*H112*D112*(1+GrowthMarketRent)^0+(1-Retention)*LCNew*H112*D112*(1+GrowthMarketRent)^0,IF(I112="LeaseUp",LCNew*H112*D112*(1+GrowthMarketRent)^0,IF(I112="Option",LCRenewal*H112*D112*(1+GrowthMarketRent)^0,0))))),IF(F112="",0,IF(AND(F112&gt;=DATE(2026+0,5,1),F112&lt;=DATE(2027+0,4,30)),(IF(I112="Vacate",TINew*D112,IF(I112="Market",Retention*TIRenewal*D112+(1-Retention)*TINew*D112,IF(I112="LeaseUp",TINew*D112,IF(I112="Option",TIRenewal*D112,0)))))+(IF(I112="Vacate",LCNew*H112*D112*(1+GrowthMarketRent)^0,IF(I112="Market",Retention*LCRenewal*H112*D112*(1+GrowthMarketRent)^0+(1-Retention)*LCNew*H112*D112*(1+GrowthMarketRent)^0,IF(I112="LeaseUp",LCNew*H112*D112*(1+GrowthMarketRent)^0,IF(I112="Option",LCRenewal*H112*D112*(1+GrowthMarketRent)^0,0))))),0))),0)</f>
        <v/>
      </c>
      <c r="Z112" s="14">
        <f>IFERROR(IF(AND(I112="LeaseUp",1=0),(IF(I112="Vacate",TINew*D112,IF(I112="Market",Retention*TIRenewal*D112+(1-Retention)*TINew*D112,IF(I112="LeaseUp",TINew*D112,IF(I112="Option",TIRenewal*D112,0)))))+(IF(I112="Vacate",LCNew*H112*D112*(1+GrowthMarketRent)^1,IF(I112="Market",Retention*LCRenewal*H112*D112*(1+GrowthMarketRent)^1+(1-Retention)*LCNew*H112*D112*(1+GrowthMarketRent)^1,IF(I112="LeaseUp",LCNew*H112*D112*(1+GrowthMarketRent)^1,IF(I112="Option",LCRenewal*H112*D112*(1+GrowthMarketRent)^1,0))))),IF(F112="",0,IF(AND(F112&gt;=DATE(2026+1,5,1),F112&lt;=DATE(2027+1,4,30)),(IF(I112="Vacate",TINew*D112,IF(I112="Market",Retention*TIRenewal*D112+(1-Retention)*TINew*D112,IF(I112="LeaseUp",TINew*D112,IF(I112="Option",TIRenewal*D112,0)))))+(IF(I112="Vacate",LCNew*H112*D112*(1+GrowthMarketRent)^1,IF(I112="Market",Retention*LCRenewal*H112*D112*(1+GrowthMarketRent)^1+(1-Retention)*LCNew*H112*D112*(1+GrowthMarketRent)^1,IF(I112="LeaseUp",LCNew*H112*D112*(1+GrowthMarketRent)^1,IF(I112="Option",LCRenewal*H112*D112*(1+GrowthMarketRent)^1,0))))),0))),0)</f>
        <v/>
      </c>
      <c r="AA112" s="14">
        <f>IFERROR(IF(AND(I112="LeaseUp",2=0),(IF(I112="Vacate",TINew*D112,IF(I112="Market",Retention*TIRenewal*D112+(1-Retention)*TINew*D112,IF(I112="LeaseUp",TINew*D112,IF(I112="Option",TIRenewal*D112,0)))))+(IF(I112="Vacate",LCNew*H112*D112*(1+GrowthMarketRent)^2,IF(I112="Market",Retention*LCRenewal*H112*D112*(1+GrowthMarketRent)^2+(1-Retention)*LCNew*H112*D112*(1+GrowthMarketRent)^2,IF(I112="LeaseUp",LCNew*H112*D112*(1+GrowthMarketRent)^2,IF(I112="Option",LCRenewal*H112*D112*(1+GrowthMarketRent)^2,0))))),IF(F112="",0,IF(AND(F112&gt;=DATE(2026+2,5,1),F112&lt;=DATE(2027+2,4,30)),(IF(I112="Vacate",TINew*D112,IF(I112="Market",Retention*TIRenewal*D112+(1-Retention)*TINew*D112,IF(I112="LeaseUp",TINew*D112,IF(I112="Option",TIRenewal*D112,0)))))+(IF(I112="Vacate",LCNew*H112*D112*(1+GrowthMarketRent)^2,IF(I112="Market",Retention*LCRenewal*H112*D112*(1+GrowthMarketRent)^2+(1-Retention)*LCNew*H112*D112*(1+GrowthMarketRent)^2,IF(I112="LeaseUp",LCNew*H112*D112*(1+GrowthMarketRent)^2,IF(I112="Option",LCRenewal*H112*D112*(1+GrowthMarketRent)^2,0))))),0))),0)</f>
        <v/>
      </c>
      <c r="AB112" s="14">
        <f>IFERROR(IF(AND(I112="LeaseUp",3=0),(IF(I112="Vacate",TINew*D112,IF(I112="Market",Retention*TIRenewal*D112+(1-Retention)*TINew*D112,IF(I112="LeaseUp",TINew*D112,IF(I112="Option",TIRenewal*D112,0)))))+(IF(I112="Vacate",LCNew*H112*D112*(1+GrowthMarketRent)^3,IF(I112="Market",Retention*LCRenewal*H112*D112*(1+GrowthMarketRent)^3+(1-Retention)*LCNew*H112*D112*(1+GrowthMarketRent)^3,IF(I112="LeaseUp",LCNew*H112*D112*(1+GrowthMarketRent)^3,IF(I112="Option",LCRenewal*H112*D112*(1+GrowthMarketRent)^3,0))))),IF(F112="",0,IF(AND(F112&gt;=DATE(2026+3,5,1),F112&lt;=DATE(2027+3,4,30)),(IF(I112="Vacate",TINew*D112,IF(I112="Market",Retention*TIRenewal*D112+(1-Retention)*TINew*D112,IF(I112="LeaseUp",TINew*D112,IF(I112="Option",TIRenewal*D112,0)))))+(IF(I112="Vacate",LCNew*H112*D112*(1+GrowthMarketRent)^3,IF(I112="Market",Retention*LCRenewal*H112*D112*(1+GrowthMarketRent)^3+(1-Retention)*LCNew*H112*D112*(1+GrowthMarketRent)^3,IF(I112="LeaseUp",LCNew*H112*D112*(1+GrowthMarketRent)^3,IF(I112="Option",LCRenewal*H112*D112*(1+GrowthMarketRent)^3,0))))),0))),0)</f>
        <v/>
      </c>
      <c r="AC112" s="14">
        <f>IFERROR(IF(AND(I112="LeaseUp",4=0),(IF(I112="Vacate",TINew*D112,IF(I112="Market",Retention*TIRenewal*D112+(1-Retention)*TINew*D112,IF(I112="LeaseUp",TINew*D112,IF(I112="Option",TIRenewal*D112,0)))))+(IF(I112="Vacate",LCNew*H112*D112*(1+GrowthMarketRent)^4,IF(I112="Market",Retention*LCRenewal*H112*D112*(1+GrowthMarketRent)^4+(1-Retention)*LCNew*H112*D112*(1+GrowthMarketRent)^4,IF(I112="LeaseUp",LCNew*H112*D112*(1+GrowthMarketRent)^4,IF(I112="Option",LCRenewal*H112*D112*(1+GrowthMarketRent)^4,0))))),IF(F112="",0,IF(AND(F112&gt;=DATE(2026+4,5,1),F112&lt;=DATE(2027+4,4,30)),(IF(I112="Vacate",TINew*D112,IF(I112="Market",Retention*TIRenewal*D112+(1-Retention)*TINew*D112,IF(I112="LeaseUp",TINew*D112,IF(I112="Option",TIRenewal*D112,0)))))+(IF(I112="Vacate",LCNew*H112*D112*(1+GrowthMarketRent)^4,IF(I112="Market",Retention*LCRenewal*H112*D112*(1+GrowthMarketRent)^4+(1-Retention)*LCNew*H112*D112*(1+GrowthMarketRent)^4,IF(I112="LeaseUp",LCNew*H112*D112*(1+GrowthMarketRent)^4,IF(I112="Option",LCRenewal*H112*D112*(1+GrowthMarketRent)^4,0))))),0))),0)</f>
        <v/>
      </c>
      <c r="AD112" s="14">
        <f>IFERROR(IF(AND(I112="LeaseUp",5=0),(IF(I112="Vacate",TINew*D112,IF(I112="Market",Retention*TIRenewal*D112+(1-Retention)*TINew*D112,IF(I112="LeaseUp",TINew*D112,IF(I112="Option",TIRenewal*D112,0)))))+(IF(I112="Vacate",LCNew*H112*D112*(1+GrowthMarketRent)^5,IF(I112="Market",Retention*LCRenewal*H112*D112*(1+GrowthMarketRent)^5+(1-Retention)*LCNew*H112*D112*(1+GrowthMarketRent)^5,IF(I112="LeaseUp",LCNew*H112*D112*(1+GrowthMarketRent)^5,IF(I112="Option",LCRenewal*H112*D112*(1+GrowthMarketRent)^5,0))))),IF(F112="",0,IF(AND(F112&gt;=DATE(2026+5,5,1),F112&lt;=DATE(2027+5,4,30)),(IF(I112="Vacate",TINew*D112,IF(I112="Market",Retention*TIRenewal*D112+(1-Retention)*TINew*D112,IF(I112="LeaseUp",TINew*D112,IF(I112="Option",TIRenewal*D112,0)))))+(IF(I112="Vacate",LCNew*H112*D112*(1+GrowthMarketRent)^5,IF(I112="Market",Retention*LCRenewal*H112*D112*(1+GrowthMarketRent)^5+(1-Retention)*LCNew*H112*D112*(1+GrowthMarketRent)^5,IF(I112="LeaseUp",LCNew*H112*D112*(1+GrowthMarketRent)^5,IF(I112="Option",LCRenewal*H112*D112*(1+GrowthMarketRent)^5,0))))),0))),0)</f>
        <v/>
      </c>
      <c r="AE112" s="14">
        <f>IFERROR(IF(AND(I112="LeaseUp",6=0),(IF(I112="Vacate",TINew*D112,IF(I112="Market",Retention*TIRenewal*D112+(1-Retention)*TINew*D112,IF(I112="LeaseUp",TINew*D112,IF(I112="Option",TIRenewal*D112,0)))))+(IF(I112="Vacate",LCNew*H112*D112*(1+GrowthMarketRent)^6,IF(I112="Market",Retention*LCRenewal*H112*D112*(1+GrowthMarketRent)^6+(1-Retention)*LCNew*H112*D112*(1+GrowthMarketRent)^6,IF(I112="LeaseUp",LCNew*H112*D112*(1+GrowthMarketRent)^6,IF(I112="Option",LCRenewal*H112*D112*(1+GrowthMarketRent)^6,0))))),IF(F112="",0,IF(AND(F112&gt;=DATE(2026+6,5,1),F112&lt;=DATE(2027+6,4,30)),(IF(I112="Vacate",TINew*D112,IF(I112="Market",Retention*TIRenewal*D112+(1-Retention)*TINew*D112,IF(I112="LeaseUp",TINew*D112,IF(I112="Option",TIRenewal*D112,0)))))+(IF(I112="Vacate",LCNew*H112*D112*(1+GrowthMarketRent)^6,IF(I112="Market",Retention*LCRenewal*H112*D112*(1+GrowthMarketRent)^6+(1-Retention)*LCNew*H112*D112*(1+GrowthMarketRent)^6,IF(I112="LeaseUp",LCNew*H112*D112*(1+GrowthMarketRent)^6,IF(I112="Option",LCRenewal*H112*D112*(1+GrowthMarketRent)^6,0))))),0))),0)</f>
        <v/>
      </c>
      <c r="AF112" s="14">
        <f>IFERROR(IF(AND(I112="LeaseUp",7=0),(IF(I112="Vacate",TINew*D112,IF(I112="Market",Retention*TIRenewal*D112+(1-Retention)*TINew*D112,IF(I112="LeaseUp",TINew*D112,IF(I112="Option",TIRenewal*D112,0)))))+(IF(I112="Vacate",LCNew*H112*D112*(1+GrowthMarketRent)^7,IF(I112="Market",Retention*LCRenewal*H112*D112*(1+GrowthMarketRent)^7+(1-Retention)*LCNew*H112*D112*(1+GrowthMarketRent)^7,IF(I112="LeaseUp",LCNew*H112*D112*(1+GrowthMarketRent)^7,IF(I112="Option",LCRenewal*H112*D112*(1+GrowthMarketRent)^7,0))))),IF(F112="",0,IF(AND(F112&gt;=DATE(2026+7,5,1),F112&lt;=DATE(2027+7,4,30)),(IF(I112="Vacate",TINew*D112,IF(I112="Market",Retention*TIRenewal*D112+(1-Retention)*TINew*D112,IF(I112="LeaseUp",TINew*D112,IF(I112="Option",TIRenewal*D112,0)))))+(IF(I112="Vacate",LCNew*H112*D112*(1+GrowthMarketRent)^7,IF(I112="Market",Retention*LCRenewal*H112*D112*(1+GrowthMarketRent)^7+(1-Retention)*LCNew*H112*D112*(1+GrowthMarketRent)^7,IF(I112="LeaseUp",LCNew*H112*D112*(1+GrowthMarketRent)^7,IF(I112="Option",LCRenewal*H112*D112*(1+GrowthMarketRent)^7,0))))),0))),0)</f>
        <v/>
      </c>
      <c r="AG112" s="14">
        <f>IFERROR(IF(AND(I112="LeaseUp",8=0),(IF(I112="Vacate",TINew*D112,IF(I112="Market",Retention*TIRenewal*D112+(1-Retention)*TINew*D112,IF(I112="LeaseUp",TINew*D112,IF(I112="Option",TIRenewal*D112,0)))))+(IF(I112="Vacate",LCNew*H112*D112*(1+GrowthMarketRent)^8,IF(I112="Market",Retention*LCRenewal*H112*D112*(1+GrowthMarketRent)^8+(1-Retention)*LCNew*H112*D112*(1+GrowthMarketRent)^8,IF(I112="LeaseUp",LCNew*H112*D112*(1+GrowthMarketRent)^8,IF(I112="Option",LCRenewal*H112*D112*(1+GrowthMarketRent)^8,0))))),IF(F112="",0,IF(AND(F112&gt;=DATE(2026+8,5,1),F112&lt;=DATE(2027+8,4,30)),(IF(I112="Vacate",TINew*D112,IF(I112="Market",Retention*TIRenewal*D112+(1-Retention)*TINew*D112,IF(I112="LeaseUp",TINew*D112,IF(I112="Option",TIRenewal*D112,0)))))+(IF(I112="Vacate",LCNew*H112*D112*(1+GrowthMarketRent)^8,IF(I112="Market",Retention*LCRenewal*H112*D112*(1+GrowthMarketRent)^8+(1-Retention)*LCNew*H112*D112*(1+GrowthMarketRent)^8,IF(I112="LeaseUp",LCNew*H112*D112*(1+GrowthMarketRent)^8,IF(I112="Option",LCRenewal*H112*D112*(1+GrowthMarketRent)^8,0))))),0))),0)</f>
        <v/>
      </c>
      <c r="AH112" s="14">
        <f>IFERROR(IF(AND(I112="LeaseUp",9=0),(IF(I112="Vacate",TINew*D112,IF(I112="Market",Retention*TIRenewal*D112+(1-Retention)*TINew*D112,IF(I112="LeaseUp",TINew*D112,IF(I112="Option",TIRenewal*D112,0)))))+(IF(I112="Vacate",LCNew*H112*D112*(1+GrowthMarketRent)^9,IF(I112="Market",Retention*LCRenewal*H112*D112*(1+GrowthMarketRent)^9+(1-Retention)*LCNew*H112*D112*(1+GrowthMarketRent)^9,IF(I112="LeaseUp",LCNew*H112*D112*(1+GrowthMarketRent)^9,IF(I112="Option",LCRenewal*H112*D112*(1+GrowthMarketRent)^9,0))))),IF(F112="",0,IF(AND(F112&gt;=DATE(2026+9,5,1),F112&lt;=DATE(2027+9,4,30)),(IF(I112="Vacate",TINew*D112,IF(I112="Market",Retention*TIRenewal*D112+(1-Retention)*TINew*D112,IF(I112="LeaseUp",TINew*D112,IF(I112="Option",TIRenewal*D112,0)))))+(IF(I112="Vacate",LCNew*H112*D112*(1+GrowthMarketRent)^9,IF(I112="Market",Retention*LCRenewal*H112*D112*(1+GrowthMarketRent)^9+(1-Retention)*LCNew*H112*D112*(1+GrowthMarketRent)^9,IF(I112="LeaseUp",LCNew*H112*D112*(1+GrowthMarketRent)^9,IF(I112="Option",LCRenewal*H112*D112*(1+GrowthMarketRent)^9,0))))),0))),0)</f>
        <v/>
      </c>
      <c r="AI112" s="14">
        <f>IFERROR(IF(AND(I112="LeaseUp",10=0),(IF(I112="Vacate",TINew*D112,IF(I112="Market",Retention*TIRenewal*D112+(1-Retention)*TINew*D112,IF(I112="LeaseUp",TINew*D112,IF(I112="Option",TIRenewal*D112,0)))))+(IF(I112="Vacate",LCNew*H112*D112*(1+GrowthMarketRent)^10,IF(I112="Market",Retention*LCRenewal*H112*D112*(1+GrowthMarketRent)^10+(1-Retention)*LCNew*H112*D112*(1+GrowthMarketRent)^10,IF(I112="LeaseUp",LCNew*H112*D112*(1+GrowthMarketRent)^10,IF(I112="Option",LCRenewal*H112*D112*(1+GrowthMarketRent)^10,0))))),IF(F112="",0,IF(AND(F112&gt;=DATE(2026+10,5,1),F112&lt;=DATE(2027+10,4,30)),(IF(I112="Vacate",TINew*D112,IF(I112="Market",Retention*TIRenewal*D112+(1-Retention)*TINew*D112,IF(I112="LeaseUp",TINew*D112,IF(I112="Option",TIRenewal*D112,0)))))+(IF(I112="Vacate",LCNew*H112*D112*(1+GrowthMarketRent)^10,IF(I112="Market",Retention*LCRenewal*H112*D112*(1+GrowthMarketRent)^10+(1-Retention)*LCNew*H112*D112*(1+GrowthMarketRent)^10,IF(I112="LeaseUp",LCNew*H112*D112*(1+GrowthMarketRent)^10,IF(I112="Option",LCRenewal*H112*D112*(1+GrowthMarketRent)^10,0))))),0))),0)</f>
        <v/>
      </c>
    </row>
    <row r="113">
      <c r="A113" t="inlineStr">
        <is>
          <t>Lewisville</t>
        </is>
      </c>
      <c r="B113" t="inlineStr">
        <is>
          <t>303</t>
        </is>
      </c>
      <c r="C113" t="inlineStr">
        <is>
          <t>Mesquite Signs LLC</t>
        </is>
      </c>
      <c r="D113" s="32" t="n">
        <v>2350</v>
      </c>
      <c r="E113" s="33" t="n">
        <v>45292</v>
      </c>
      <c r="F113" s="33" t="n">
        <v>46539</v>
      </c>
      <c r="G113" s="34" t="n">
        <v>15.4965957446809</v>
      </c>
      <c r="H113" s="16">
        <f>VLOOKUP(A113,MLA!$A$5:$L$11,3,FALSE)</f>
        <v/>
      </c>
      <c r="I113" s="11" t="inlineStr">
        <is>
          <t>Option</t>
        </is>
      </c>
      <c r="J113" t="inlineStr">
        <is>
          <t>Studio</t>
        </is>
      </c>
      <c r="K113" t="inlineStr">
        <is>
          <t>Occupied</t>
        </is>
      </c>
      <c r="L113" t="inlineStr">
        <is>
          <t>Studio; Guarantor: Todd Rumaner; Two 3yr options</t>
        </is>
      </c>
      <c r="M113" s="20">
        <f>IF(E113="",0,(AnalysisStart-E113)/365.25)</f>
        <v/>
      </c>
      <c r="N113" s="14">
        <f>IFERROR(IF(I113="LeaseUp",H113*D113*(1+GrowthMarketRent)^0*IF(0=0,(12-DowntimeNew)/12,1),IF(F113="",0,IF(F113&gt;=DATE(2027+0,4,30),G113*D113*(1+EscalatorInLease)^(0+M113),IF(F113&lt;DATE(2026+0,5,1),IF(I113="Vacate",H113*D113*(1+GrowthMarketRent)^0*IF(INT((DATE(2026+0,10,31)-F113)/365.25)=0,(12-DowntimeNew)/12,1),IF(I113="Option",G113*D113*1.025*(1+EscalatorInLease)^0,IF(I113="Market",Retention*G113*D113*(1+EscalatorInLease)^(0+M113)+(1-Retention)*H113*D113*(1+GrowthMarketRent)^0*IF(INT((DATE(2026+0,10,31)-F113)/365.25)=0,(12-DowntimeNew)/12,1),IF(I113="LeaseUp",H113*D113*(1+GrowthMarketRent)^0*IF(0=0,(12-DowntimeNew)/12,1),0)))),((F113-DATE(2026+0,5,1))/365.25)*G113*D113*(1+EscalatorInLease)^(0+M113)+((DATE(2027+0,4,30)-F113)/365.25)*IF(I113="Vacate",H113*D113*(1+GrowthMarketRent)^0*IF(INT((DATE(2026+0,10,31)-F113)/365.25)=0,(12-DowntimeNew)/12,1),IF(I113="Option",G113*D113*1.025*(1+EscalatorInLease)^0,IF(I113="Market",Retention*G113*D113*(1+EscalatorInLease)^(0+M113)+(1-Retention)*H113*D113*(1+GrowthMarketRent)^0*IF(INT((DATE(2026+0,10,31)-F113)/365.25)=0,(12-DowntimeNew)/12,1),IF(I113="LeaseUp",H113*D113*(1+GrowthMarketRent)^0*IF(0=0,(12-DowntimeNew)/12,1),0)))))))),0)</f>
        <v/>
      </c>
      <c r="O113" s="14">
        <f>IFERROR(IF(I113="LeaseUp",H113*D113*(1+GrowthMarketRent)^1*IF(1=0,(12-DowntimeNew)/12,1),IF(F113="",0,IF(F113&gt;=DATE(2027+1,4,30),G113*D113*(1+EscalatorInLease)^(1+M113),IF(F113&lt;DATE(2026+1,5,1),IF(I113="Vacate",H113*D113*(1+GrowthMarketRent)^1*IF(INT((DATE(2026+1,10,31)-F113)/365.25)=0,(12-DowntimeNew)/12,1),IF(I113="Option",G113*D113*1.025*(1+EscalatorInLease)^1,IF(I113="Market",Retention*G113*D113*(1+EscalatorInLease)^(1+M113)+(1-Retention)*H113*D113*(1+GrowthMarketRent)^1*IF(INT((DATE(2026+1,10,31)-F113)/365.25)=0,(12-DowntimeNew)/12,1),IF(I113="LeaseUp",H113*D113*(1+GrowthMarketRent)^1*IF(1=0,(12-DowntimeNew)/12,1),0)))),((F113-DATE(2026+1,5,1))/365.25)*G113*D113*(1+EscalatorInLease)^(1+M113)+((DATE(2027+1,4,30)-F113)/365.25)*IF(I113="Vacate",H113*D113*(1+GrowthMarketRent)^1*IF(INT((DATE(2026+1,10,31)-F113)/365.25)=0,(12-DowntimeNew)/12,1),IF(I113="Option",G113*D113*1.025*(1+EscalatorInLease)^1,IF(I113="Market",Retention*G113*D113*(1+EscalatorInLease)^(1+M113)+(1-Retention)*H113*D113*(1+GrowthMarketRent)^1*IF(INT((DATE(2026+1,10,31)-F113)/365.25)=0,(12-DowntimeNew)/12,1),IF(I113="LeaseUp",H113*D113*(1+GrowthMarketRent)^1*IF(1=0,(12-DowntimeNew)/12,1),0)))))))),0)</f>
        <v/>
      </c>
      <c r="P113" s="14">
        <f>IFERROR(IF(I113="LeaseUp",H113*D113*(1+GrowthMarketRent)^2*IF(2=0,(12-DowntimeNew)/12,1),IF(F113="",0,IF(F113&gt;=DATE(2027+2,4,30),G113*D113*(1+EscalatorInLease)^(2+M113),IF(F113&lt;DATE(2026+2,5,1),IF(I113="Vacate",H113*D113*(1+GrowthMarketRent)^2*IF(INT((DATE(2026+2,10,31)-F113)/365.25)=0,(12-DowntimeNew)/12,1),IF(I113="Option",G113*D113*1.025*(1+EscalatorInLease)^2,IF(I113="Market",Retention*G113*D113*(1+EscalatorInLease)^(2+M113)+(1-Retention)*H113*D113*(1+GrowthMarketRent)^2*IF(INT((DATE(2026+2,10,31)-F113)/365.25)=0,(12-DowntimeNew)/12,1),IF(I113="LeaseUp",H113*D113*(1+GrowthMarketRent)^2*IF(2=0,(12-DowntimeNew)/12,1),0)))),((F113-DATE(2026+2,5,1))/365.25)*G113*D113*(1+EscalatorInLease)^(2+M113)+((DATE(2027+2,4,30)-F113)/365.25)*IF(I113="Vacate",H113*D113*(1+GrowthMarketRent)^2*IF(INT((DATE(2026+2,10,31)-F113)/365.25)=0,(12-DowntimeNew)/12,1),IF(I113="Option",G113*D113*1.025*(1+EscalatorInLease)^2,IF(I113="Market",Retention*G113*D113*(1+EscalatorInLease)^(2+M113)+(1-Retention)*H113*D113*(1+GrowthMarketRent)^2*IF(INT((DATE(2026+2,10,31)-F113)/365.25)=0,(12-DowntimeNew)/12,1),IF(I113="LeaseUp",H113*D113*(1+GrowthMarketRent)^2*IF(2=0,(12-DowntimeNew)/12,1),0)))))))),0)</f>
        <v/>
      </c>
      <c r="Q113" s="14">
        <f>IFERROR(IF(I113="LeaseUp",H113*D113*(1+GrowthMarketRent)^3*IF(3=0,(12-DowntimeNew)/12,1),IF(F113="",0,IF(F113&gt;=DATE(2027+3,4,30),G113*D113*(1+EscalatorInLease)^(3+M113),IF(F113&lt;DATE(2026+3,5,1),IF(I113="Vacate",H113*D113*(1+GrowthMarketRent)^3*IF(INT((DATE(2026+3,10,31)-F113)/365.25)=0,(12-DowntimeNew)/12,1),IF(I113="Option",G113*D113*1.025*(1+EscalatorInLease)^3,IF(I113="Market",Retention*G113*D113*(1+EscalatorInLease)^(3+M113)+(1-Retention)*H113*D113*(1+GrowthMarketRent)^3*IF(INT((DATE(2026+3,10,31)-F113)/365.25)=0,(12-DowntimeNew)/12,1),IF(I113="LeaseUp",H113*D113*(1+GrowthMarketRent)^3*IF(3=0,(12-DowntimeNew)/12,1),0)))),((F113-DATE(2026+3,5,1))/365.25)*G113*D113*(1+EscalatorInLease)^(3+M113)+((DATE(2027+3,4,30)-F113)/365.25)*IF(I113="Vacate",H113*D113*(1+GrowthMarketRent)^3*IF(INT((DATE(2026+3,10,31)-F113)/365.25)=0,(12-DowntimeNew)/12,1),IF(I113="Option",G113*D113*1.025*(1+EscalatorInLease)^3,IF(I113="Market",Retention*G113*D113*(1+EscalatorInLease)^(3+M113)+(1-Retention)*H113*D113*(1+GrowthMarketRent)^3*IF(INT((DATE(2026+3,10,31)-F113)/365.25)=0,(12-DowntimeNew)/12,1),IF(I113="LeaseUp",H113*D113*(1+GrowthMarketRent)^3*IF(3=0,(12-DowntimeNew)/12,1),0)))))))),0)</f>
        <v/>
      </c>
      <c r="R113" s="14">
        <f>IFERROR(IF(I113="LeaseUp",H113*D113*(1+GrowthMarketRent)^4*IF(4=0,(12-DowntimeNew)/12,1),IF(F113="",0,IF(F113&gt;=DATE(2027+4,4,30),G113*D113*(1+EscalatorInLease)^(4+M113),IF(F113&lt;DATE(2026+4,5,1),IF(I113="Vacate",H113*D113*(1+GrowthMarketRent)^4*IF(INT((DATE(2026+4,10,31)-F113)/365.25)=0,(12-DowntimeNew)/12,1),IF(I113="Option",G113*D113*1.025*(1+EscalatorInLease)^4,IF(I113="Market",Retention*G113*D113*(1+EscalatorInLease)^(4+M113)+(1-Retention)*H113*D113*(1+GrowthMarketRent)^4*IF(INT((DATE(2026+4,10,31)-F113)/365.25)=0,(12-DowntimeNew)/12,1),IF(I113="LeaseUp",H113*D113*(1+GrowthMarketRent)^4*IF(4=0,(12-DowntimeNew)/12,1),0)))),((F113-DATE(2026+4,5,1))/365.25)*G113*D113*(1+EscalatorInLease)^(4+M113)+((DATE(2027+4,4,30)-F113)/365.25)*IF(I113="Vacate",H113*D113*(1+GrowthMarketRent)^4*IF(INT((DATE(2026+4,10,31)-F113)/365.25)=0,(12-DowntimeNew)/12,1),IF(I113="Option",G113*D113*1.025*(1+EscalatorInLease)^4,IF(I113="Market",Retention*G113*D113*(1+EscalatorInLease)^(4+M113)+(1-Retention)*H113*D113*(1+GrowthMarketRent)^4*IF(INT((DATE(2026+4,10,31)-F113)/365.25)=0,(12-DowntimeNew)/12,1),IF(I113="LeaseUp",H113*D113*(1+GrowthMarketRent)^4*IF(4=0,(12-DowntimeNew)/12,1),0)))))))),0)</f>
        <v/>
      </c>
      <c r="S113" s="14">
        <f>IFERROR(IF(I113="LeaseUp",H113*D113*(1+GrowthMarketRent)^5*IF(5=0,(12-DowntimeNew)/12,1),IF(F113="",0,IF(F113&gt;=DATE(2027+5,4,30),G113*D113*(1+EscalatorInLease)^(5+M113),IF(F113&lt;DATE(2026+5,5,1),IF(I113="Vacate",H113*D113*(1+GrowthMarketRent)^5*IF(INT((DATE(2026+5,10,31)-F113)/365.25)=0,(12-DowntimeNew)/12,1),IF(I113="Option",G113*D113*1.025*(1+EscalatorInLease)^5,IF(I113="Market",Retention*G113*D113*(1+EscalatorInLease)^(5+M113)+(1-Retention)*H113*D113*(1+GrowthMarketRent)^5*IF(INT((DATE(2026+5,10,31)-F113)/365.25)=0,(12-DowntimeNew)/12,1),IF(I113="LeaseUp",H113*D113*(1+GrowthMarketRent)^5*IF(5=0,(12-DowntimeNew)/12,1),0)))),((F113-DATE(2026+5,5,1))/365.25)*G113*D113*(1+EscalatorInLease)^(5+M113)+((DATE(2027+5,4,30)-F113)/365.25)*IF(I113="Vacate",H113*D113*(1+GrowthMarketRent)^5*IF(INT((DATE(2026+5,10,31)-F113)/365.25)=0,(12-DowntimeNew)/12,1),IF(I113="Option",G113*D113*1.025*(1+EscalatorInLease)^5,IF(I113="Market",Retention*G113*D113*(1+EscalatorInLease)^(5+M113)+(1-Retention)*H113*D113*(1+GrowthMarketRent)^5*IF(INT((DATE(2026+5,10,31)-F113)/365.25)=0,(12-DowntimeNew)/12,1),IF(I113="LeaseUp",H113*D113*(1+GrowthMarketRent)^5*IF(5=0,(12-DowntimeNew)/12,1),0)))))))),0)</f>
        <v/>
      </c>
      <c r="T113" s="14">
        <f>IFERROR(IF(I113="LeaseUp",H113*D113*(1+GrowthMarketRent)^6*IF(6=0,(12-DowntimeNew)/12,1),IF(F113="",0,IF(F113&gt;=DATE(2027+6,4,30),G113*D113*(1+EscalatorInLease)^(6+M113),IF(F113&lt;DATE(2026+6,5,1),IF(I113="Vacate",H113*D113*(1+GrowthMarketRent)^6*IF(INT((DATE(2026+6,10,31)-F113)/365.25)=0,(12-DowntimeNew)/12,1),IF(I113="Option",G113*D113*1.025*(1+EscalatorInLease)^6,IF(I113="Market",Retention*G113*D113*(1+EscalatorInLease)^(6+M113)+(1-Retention)*H113*D113*(1+GrowthMarketRent)^6*IF(INT((DATE(2026+6,10,31)-F113)/365.25)=0,(12-DowntimeNew)/12,1),IF(I113="LeaseUp",H113*D113*(1+GrowthMarketRent)^6*IF(6=0,(12-DowntimeNew)/12,1),0)))),((F113-DATE(2026+6,5,1))/365.25)*G113*D113*(1+EscalatorInLease)^(6+M113)+((DATE(2027+6,4,30)-F113)/365.25)*IF(I113="Vacate",H113*D113*(1+GrowthMarketRent)^6*IF(INT((DATE(2026+6,10,31)-F113)/365.25)=0,(12-DowntimeNew)/12,1),IF(I113="Option",G113*D113*1.025*(1+EscalatorInLease)^6,IF(I113="Market",Retention*G113*D113*(1+EscalatorInLease)^(6+M113)+(1-Retention)*H113*D113*(1+GrowthMarketRent)^6*IF(INT((DATE(2026+6,10,31)-F113)/365.25)=0,(12-DowntimeNew)/12,1),IF(I113="LeaseUp",H113*D113*(1+GrowthMarketRent)^6*IF(6=0,(12-DowntimeNew)/12,1),0)))))))),0)</f>
        <v/>
      </c>
      <c r="U113" s="14">
        <f>IFERROR(IF(I113="LeaseUp",H113*D113*(1+GrowthMarketRent)^7*IF(7=0,(12-DowntimeNew)/12,1),IF(F113="",0,IF(F113&gt;=DATE(2027+7,4,30),G113*D113*(1+EscalatorInLease)^(7+M113),IF(F113&lt;DATE(2026+7,5,1),IF(I113="Vacate",H113*D113*(1+GrowthMarketRent)^7*IF(INT((DATE(2026+7,10,31)-F113)/365.25)=0,(12-DowntimeNew)/12,1),IF(I113="Option",G113*D113*1.025*(1+EscalatorInLease)^7,IF(I113="Market",Retention*G113*D113*(1+EscalatorInLease)^(7+M113)+(1-Retention)*H113*D113*(1+GrowthMarketRent)^7*IF(INT((DATE(2026+7,10,31)-F113)/365.25)=0,(12-DowntimeNew)/12,1),IF(I113="LeaseUp",H113*D113*(1+GrowthMarketRent)^7*IF(7=0,(12-DowntimeNew)/12,1),0)))),((F113-DATE(2026+7,5,1))/365.25)*G113*D113*(1+EscalatorInLease)^(7+M113)+((DATE(2027+7,4,30)-F113)/365.25)*IF(I113="Vacate",H113*D113*(1+GrowthMarketRent)^7*IF(INT((DATE(2026+7,10,31)-F113)/365.25)=0,(12-DowntimeNew)/12,1),IF(I113="Option",G113*D113*1.025*(1+EscalatorInLease)^7,IF(I113="Market",Retention*G113*D113*(1+EscalatorInLease)^(7+M113)+(1-Retention)*H113*D113*(1+GrowthMarketRent)^7*IF(INT((DATE(2026+7,10,31)-F113)/365.25)=0,(12-DowntimeNew)/12,1),IF(I113="LeaseUp",H113*D113*(1+GrowthMarketRent)^7*IF(7=0,(12-DowntimeNew)/12,1),0)))))))),0)</f>
        <v/>
      </c>
      <c r="V113" s="14">
        <f>IFERROR(IF(I113="LeaseUp",H113*D113*(1+GrowthMarketRent)^8*IF(8=0,(12-DowntimeNew)/12,1),IF(F113="",0,IF(F113&gt;=DATE(2027+8,4,30),G113*D113*(1+EscalatorInLease)^(8+M113),IF(F113&lt;DATE(2026+8,5,1),IF(I113="Vacate",H113*D113*(1+GrowthMarketRent)^8*IF(INT((DATE(2026+8,10,31)-F113)/365.25)=0,(12-DowntimeNew)/12,1),IF(I113="Option",G113*D113*1.025*(1+EscalatorInLease)^8,IF(I113="Market",Retention*G113*D113*(1+EscalatorInLease)^(8+M113)+(1-Retention)*H113*D113*(1+GrowthMarketRent)^8*IF(INT((DATE(2026+8,10,31)-F113)/365.25)=0,(12-DowntimeNew)/12,1),IF(I113="LeaseUp",H113*D113*(1+GrowthMarketRent)^8*IF(8=0,(12-DowntimeNew)/12,1),0)))),((F113-DATE(2026+8,5,1))/365.25)*G113*D113*(1+EscalatorInLease)^(8+M113)+((DATE(2027+8,4,30)-F113)/365.25)*IF(I113="Vacate",H113*D113*(1+GrowthMarketRent)^8*IF(INT((DATE(2026+8,10,31)-F113)/365.25)=0,(12-DowntimeNew)/12,1),IF(I113="Option",G113*D113*1.025*(1+EscalatorInLease)^8,IF(I113="Market",Retention*G113*D113*(1+EscalatorInLease)^(8+M113)+(1-Retention)*H113*D113*(1+GrowthMarketRent)^8*IF(INT((DATE(2026+8,10,31)-F113)/365.25)=0,(12-DowntimeNew)/12,1),IF(I113="LeaseUp",H113*D113*(1+GrowthMarketRent)^8*IF(8=0,(12-DowntimeNew)/12,1),0)))))))),0)</f>
        <v/>
      </c>
      <c r="W113" s="14">
        <f>IFERROR(IF(I113="LeaseUp",H113*D113*(1+GrowthMarketRent)^9*IF(9=0,(12-DowntimeNew)/12,1),IF(F113="",0,IF(F113&gt;=DATE(2027+9,4,30),G113*D113*(1+EscalatorInLease)^(9+M113),IF(F113&lt;DATE(2026+9,5,1),IF(I113="Vacate",H113*D113*(1+GrowthMarketRent)^9*IF(INT((DATE(2026+9,10,31)-F113)/365.25)=0,(12-DowntimeNew)/12,1),IF(I113="Option",G113*D113*1.025*(1+EscalatorInLease)^9,IF(I113="Market",Retention*G113*D113*(1+EscalatorInLease)^(9+M113)+(1-Retention)*H113*D113*(1+GrowthMarketRent)^9*IF(INT((DATE(2026+9,10,31)-F113)/365.25)=0,(12-DowntimeNew)/12,1),IF(I113="LeaseUp",H113*D113*(1+GrowthMarketRent)^9*IF(9=0,(12-DowntimeNew)/12,1),0)))),((F113-DATE(2026+9,5,1))/365.25)*G113*D113*(1+EscalatorInLease)^(9+M113)+((DATE(2027+9,4,30)-F113)/365.25)*IF(I113="Vacate",H113*D113*(1+GrowthMarketRent)^9*IF(INT((DATE(2026+9,10,31)-F113)/365.25)=0,(12-DowntimeNew)/12,1),IF(I113="Option",G113*D113*1.025*(1+EscalatorInLease)^9,IF(I113="Market",Retention*G113*D113*(1+EscalatorInLease)^(9+M113)+(1-Retention)*H113*D113*(1+GrowthMarketRent)^9*IF(INT((DATE(2026+9,10,31)-F113)/365.25)=0,(12-DowntimeNew)/12,1),IF(I113="LeaseUp",H113*D113*(1+GrowthMarketRent)^9*IF(9=0,(12-DowntimeNew)/12,1),0)))))))),0)</f>
        <v/>
      </c>
      <c r="X113" s="14">
        <f>IFERROR(IF(I113="LeaseUp",H113*D113*(1+GrowthMarketRent)^10*IF(10=0,(12-DowntimeNew)/12,1),IF(F113="",0,IF(F113&gt;=DATE(2027+10,4,30),G113*D113*(1+EscalatorInLease)^(10+M113),IF(F113&lt;DATE(2026+10,5,1),IF(I113="Vacate",H113*D113*(1+GrowthMarketRent)^10*IF(INT((DATE(2026+10,10,31)-F113)/365.25)=0,(12-DowntimeNew)/12,1),IF(I113="Option",G113*D113*1.025*(1+EscalatorInLease)^10,IF(I113="Market",Retention*G113*D113*(1+EscalatorInLease)^(10+M113)+(1-Retention)*H113*D113*(1+GrowthMarketRent)^10*IF(INT((DATE(2026+10,10,31)-F113)/365.25)=0,(12-DowntimeNew)/12,1),IF(I113="LeaseUp",H113*D113*(1+GrowthMarketRent)^10*IF(10=0,(12-DowntimeNew)/12,1),0)))),((F113-DATE(2026+10,5,1))/365.25)*G113*D113*(1+EscalatorInLease)^(10+M113)+((DATE(2027+10,4,30)-F113)/365.25)*IF(I113="Vacate",H113*D113*(1+GrowthMarketRent)^10*IF(INT((DATE(2026+10,10,31)-F113)/365.25)=0,(12-DowntimeNew)/12,1),IF(I113="Option",G113*D113*1.025*(1+EscalatorInLease)^10,IF(I113="Market",Retention*G113*D113*(1+EscalatorInLease)^(10+M113)+(1-Retention)*H113*D113*(1+GrowthMarketRent)^10*IF(INT((DATE(2026+10,10,31)-F113)/365.25)=0,(12-DowntimeNew)/12,1),IF(I113="LeaseUp",H113*D113*(1+GrowthMarketRent)^10*IF(10=0,(12-DowntimeNew)/12,1),0)))))))),0)</f>
        <v/>
      </c>
      <c r="Y113" s="14">
        <f>IFERROR(IF(AND(I113="LeaseUp",0=0),(IF(I113="Vacate",TINew*D113,IF(I113="Market",Retention*TIRenewal*D113+(1-Retention)*TINew*D113,IF(I113="LeaseUp",TINew*D113,IF(I113="Option",TIRenewal*D113,0)))))+(IF(I113="Vacate",LCNew*H113*D113*(1+GrowthMarketRent)^0,IF(I113="Market",Retention*LCRenewal*H113*D113*(1+GrowthMarketRent)^0+(1-Retention)*LCNew*H113*D113*(1+GrowthMarketRent)^0,IF(I113="LeaseUp",LCNew*H113*D113*(1+GrowthMarketRent)^0,IF(I113="Option",LCRenewal*H113*D113*(1+GrowthMarketRent)^0,0))))),IF(F113="",0,IF(AND(F113&gt;=DATE(2026+0,5,1),F113&lt;=DATE(2027+0,4,30)),(IF(I113="Vacate",TINew*D113,IF(I113="Market",Retention*TIRenewal*D113+(1-Retention)*TINew*D113,IF(I113="LeaseUp",TINew*D113,IF(I113="Option",TIRenewal*D113,0)))))+(IF(I113="Vacate",LCNew*H113*D113*(1+GrowthMarketRent)^0,IF(I113="Market",Retention*LCRenewal*H113*D113*(1+GrowthMarketRent)^0+(1-Retention)*LCNew*H113*D113*(1+GrowthMarketRent)^0,IF(I113="LeaseUp",LCNew*H113*D113*(1+GrowthMarketRent)^0,IF(I113="Option",LCRenewal*H113*D113*(1+GrowthMarketRent)^0,0))))),0))),0)</f>
        <v/>
      </c>
      <c r="Z113" s="14">
        <f>IFERROR(IF(AND(I113="LeaseUp",1=0),(IF(I113="Vacate",TINew*D113,IF(I113="Market",Retention*TIRenewal*D113+(1-Retention)*TINew*D113,IF(I113="LeaseUp",TINew*D113,IF(I113="Option",TIRenewal*D113,0)))))+(IF(I113="Vacate",LCNew*H113*D113*(1+GrowthMarketRent)^1,IF(I113="Market",Retention*LCRenewal*H113*D113*(1+GrowthMarketRent)^1+(1-Retention)*LCNew*H113*D113*(1+GrowthMarketRent)^1,IF(I113="LeaseUp",LCNew*H113*D113*(1+GrowthMarketRent)^1,IF(I113="Option",LCRenewal*H113*D113*(1+GrowthMarketRent)^1,0))))),IF(F113="",0,IF(AND(F113&gt;=DATE(2026+1,5,1),F113&lt;=DATE(2027+1,4,30)),(IF(I113="Vacate",TINew*D113,IF(I113="Market",Retention*TIRenewal*D113+(1-Retention)*TINew*D113,IF(I113="LeaseUp",TINew*D113,IF(I113="Option",TIRenewal*D113,0)))))+(IF(I113="Vacate",LCNew*H113*D113*(1+GrowthMarketRent)^1,IF(I113="Market",Retention*LCRenewal*H113*D113*(1+GrowthMarketRent)^1+(1-Retention)*LCNew*H113*D113*(1+GrowthMarketRent)^1,IF(I113="LeaseUp",LCNew*H113*D113*(1+GrowthMarketRent)^1,IF(I113="Option",LCRenewal*H113*D113*(1+GrowthMarketRent)^1,0))))),0))),0)</f>
        <v/>
      </c>
      <c r="AA113" s="14">
        <f>IFERROR(IF(AND(I113="LeaseUp",2=0),(IF(I113="Vacate",TINew*D113,IF(I113="Market",Retention*TIRenewal*D113+(1-Retention)*TINew*D113,IF(I113="LeaseUp",TINew*D113,IF(I113="Option",TIRenewal*D113,0)))))+(IF(I113="Vacate",LCNew*H113*D113*(1+GrowthMarketRent)^2,IF(I113="Market",Retention*LCRenewal*H113*D113*(1+GrowthMarketRent)^2+(1-Retention)*LCNew*H113*D113*(1+GrowthMarketRent)^2,IF(I113="LeaseUp",LCNew*H113*D113*(1+GrowthMarketRent)^2,IF(I113="Option",LCRenewal*H113*D113*(1+GrowthMarketRent)^2,0))))),IF(F113="",0,IF(AND(F113&gt;=DATE(2026+2,5,1),F113&lt;=DATE(2027+2,4,30)),(IF(I113="Vacate",TINew*D113,IF(I113="Market",Retention*TIRenewal*D113+(1-Retention)*TINew*D113,IF(I113="LeaseUp",TINew*D113,IF(I113="Option",TIRenewal*D113,0)))))+(IF(I113="Vacate",LCNew*H113*D113*(1+GrowthMarketRent)^2,IF(I113="Market",Retention*LCRenewal*H113*D113*(1+GrowthMarketRent)^2+(1-Retention)*LCNew*H113*D113*(1+GrowthMarketRent)^2,IF(I113="LeaseUp",LCNew*H113*D113*(1+GrowthMarketRent)^2,IF(I113="Option",LCRenewal*H113*D113*(1+GrowthMarketRent)^2,0))))),0))),0)</f>
        <v/>
      </c>
      <c r="AB113" s="14">
        <f>IFERROR(IF(AND(I113="LeaseUp",3=0),(IF(I113="Vacate",TINew*D113,IF(I113="Market",Retention*TIRenewal*D113+(1-Retention)*TINew*D113,IF(I113="LeaseUp",TINew*D113,IF(I113="Option",TIRenewal*D113,0)))))+(IF(I113="Vacate",LCNew*H113*D113*(1+GrowthMarketRent)^3,IF(I113="Market",Retention*LCRenewal*H113*D113*(1+GrowthMarketRent)^3+(1-Retention)*LCNew*H113*D113*(1+GrowthMarketRent)^3,IF(I113="LeaseUp",LCNew*H113*D113*(1+GrowthMarketRent)^3,IF(I113="Option",LCRenewal*H113*D113*(1+GrowthMarketRent)^3,0))))),IF(F113="",0,IF(AND(F113&gt;=DATE(2026+3,5,1),F113&lt;=DATE(2027+3,4,30)),(IF(I113="Vacate",TINew*D113,IF(I113="Market",Retention*TIRenewal*D113+(1-Retention)*TINew*D113,IF(I113="LeaseUp",TINew*D113,IF(I113="Option",TIRenewal*D113,0)))))+(IF(I113="Vacate",LCNew*H113*D113*(1+GrowthMarketRent)^3,IF(I113="Market",Retention*LCRenewal*H113*D113*(1+GrowthMarketRent)^3+(1-Retention)*LCNew*H113*D113*(1+GrowthMarketRent)^3,IF(I113="LeaseUp",LCNew*H113*D113*(1+GrowthMarketRent)^3,IF(I113="Option",LCRenewal*H113*D113*(1+GrowthMarketRent)^3,0))))),0))),0)</f>
        <v/>
      </c>
      <c r="AC113" s="14">
        <f>IFERROR(IF(AND(I113="LeaseUp",4=0),(IF(I113="Vacate",TINew*D113,IF(I113="Market",Retention*TIRenewal*D113+(1-Retention)*TINew*D113,IF(I113="LeaseUp",TINew*D113,IF(I113="Option",TIRenewal*D113,0)))))+(IF(I113="Vacate",LCNew*H113*D113*(1+GrowthMarketRent)^4,IF(I113="Market",Retention*LCRenewal*H113*D113*(1+GrowthMarketRent)^4+(1-Retention)*LCNew*H113*D113*(1+GrowthMarketRent)^4,IF(I113="LeaseUp",LCNew*H113*D113*(1+GrowthMarketRent)^4,IF(I113="Option",LCRenewal*H113*D113*(1+GrowthMarketRent)^4,0))))),IF(F113="",0,IF(AND(F113&gt;=DATE(2026+4,5,1),F113&lt;=DATE(2027+4,4,30)),(IF(I113="Vacate",TINew*D113,IF(I113="Market",Retention*TIRenewal*D113+(1-Retention)*TINew*D113,IF(I113="LeaseUp",TINew*D113,IF(I113="Option",TIRenewal*D113,0)))))+(IF(I113="Vacate",LCNew*H113*D113*(1+GrowthMarketRent)^4,IF(I113="Market",Retention*LCRenewal*H113*D113*(1+GrowthMarketRent)^4+(1-Retention)*LCNew*H113*D113*(1+GrowthMarketRent)^4,IF(I113="LeaseUp",LCNew*H113*D113*(1+GrowthMarketRent)^4,IF(I113="Option",LCRenewal*H113*D113*(1+GrowthMarketRent)^4,0))))),0))),0)</f>
        <v/>
      </c>
      <c r="AD113" s="14">
        <f>IFERROR(IF(AND(I113="LeaseUp",5=0),(IF(I113="Vacate",TINew*D113,IF(I113="Market",Retention*TIRenewal*D113+(1-Retention)*TINew*D113,IF(I113="LeaseUp",TINew*D113,IF(I113="Option",TIRenewal*D113,0)))))+(IF(I113="Vacate",LCNew*H113*D113*(1+GrowthMarketRent)^5,IF(I113="Market",Retention*LCRenewal*H113*D113*(1+GrowthMarketRent)^5+(1-Retention)*LCNew*H113*D113*(1+GrowthMarketRent)^5,IF(I113="LeaseUp",LCNew*H113*D113*(1+GrowthMarketRent)^5,IF(I113="Option",LCRenewal*H113*D113*(1+GrowthMarketRent)^5,0))))),IF(F113="",0,IF(AND(F113&gt;=DATE(2026+5,5,1),F113&lt;=DATE(2027+5,4,30)),(IF(I113="Vacate",TINew*D113,IF(I113="Market",Retention*TIRenewal*D113+(1-Retention)*TINew*D113,IF(I113="LeaseUp",TINew*D113,IF(I113="Option",TIRenewal*D113,0)))))+(IF(I113="Vacate",LCNew*H113*D113*(1+GrowthMarketRent)^5,IF(I113="Market",Retention*LCRenewal*H113*D113*(1+GrowthMarketRent)^5+(1-Retention)*LCNew*H113*D113*(1+GrowthMarketRent)^5,IF(I113="LeaseUp",LCNew*H113*D113*(1+GrowthMarketRent)^5,IF(I113="Option",LCRenewal*H113*D113*(1+GrowthMarketRent)^5,0))))),0))),0)</f>
        <v/>
      </c>
      <c r="AE113" s="14">
        <f>IFERROR(IF(AND(I113="LeaseUp",6=0),(IF(I113="Vacate",TINew*D113,IF(I113="Market",Retention*TIRenewal*D113+(1-Retention)*TINew*D113,IF(I113="LeaseUp",TINew*D113,IF(I113="Option",TIRenewal*D113,0)))))+(IF(I113="Vacate",LCNew*H113*D113*(1+GrowthMarketRent)^6,IF(I113="Market",Retention*LCRenewal*H113*D113*(1+GrowthMarketRent)^6+(1-Retention)*LCNew*H113*D113*(1+GrowthMarketRent)^6,IF(I113="LeaseUp",LCNew*H113*D113*(1+GrowthMarketRent)^6,IF(I113="Option",LCRenewal*H113*D113*(1+GrowthMarketRent)^6,0))))),IF(F113="",0,IF(AND(F113&gt;=DATE(2026+6,5,1),F113&lt;=DATE(2027+6,4,30)),(IF(I113="Vacate",TINew*D113,IF(I113="Market",Retention*TIRenewal*D113+(1-Retention)*TINew*D113,IF(I113="LeaseUp",TINew*D113,IF(I113="Option",TIRenewal*D113,0)))))+(IF(I113="Vacate",LCNew*H113*D113*(1+GrowthMarketRent)^6,IF(I113="Market",Retention*LCRenewal*H113*D113*(1+GrowthMarketRent)^6+(1-Retention)*LCNew*H113*D113*(1+GrowthMarketRent)^6,IF(I113="LeaseUp",LCNew*H113*D113*(1+GrowthMarketRent)^6,IF(I113="Option",LCRenewal*H113*D113*(1+GrowthMarketRent)^6,0))))),0))),0)</f>
        <v/>
      </c>
      <c r="AF113" s="14">
        <f>IFERROR(IF(AND(I113="LeaseUp",7=0),(IF(I113="Vacate",TINew*D113,IF(I113="Market",Retention*TIRenewal*D113+(1-Retention)*TINew*D113,IF(I113="LeaseUp",TINew*D113,IF(I113="Option",TIRenewal*D113,0)))))+(IF(I113="Vacate",LCNew*H113*D113*(1+GrowthMarketRent)^7,IF(I113="Market",Retention*LCRenewal*H113*D113*(1+GrowthMarketRent)^7+(1-Retention)*LCNew*H113*D113*(1+GrowthMarketRent)^7,IF(I113="LeaseUp",LCNew*H113*D113*(1+GrowthMarketRent)^7,IF(I113="Option",LCRenewal*H113*D113*(1+GrowthMarketRent)^7,0))))),IF(F113="",0,IF(AND(F113&gt;=DATE(2026+7,5,1),F113&lt;=DATE(2027+7,4,30)),(IF(I113="Vacate",TINew*D113,IF(I113="Market",Retention*TIRenewal*D113+(1-Retention)*TINew*D113,IF(I113="LeaseUp",TINew*D113,IF(I113="Option",TIRenewal*D113,0)))))+(IF(I113="Vacate",LCNew*H113*D113*(1+GrowthMarketRent)^7,IF(I113="Market",Retention*LCRenewal*H113*D113*(1+GrowthMarketRent)^7+(1-Retention)*LCNew*H113*D113*(1+GrowthMarketRent)^7,IF(I113="LeaseUp",LCNew*H113*D113*(1+GrowthMarketRent)^7,IF(I113="Option",LCRenewal*H113*D113*(1+GrowthMarketRent)^7,0))))),0))),0)</f>
        <v/>
      </c>
      <c r="AG113" s="14">
        <f>IFERROR(IF(AND(I113="LeaseUp",8=0),(IF(I113="Vacate",TINew*D113,IF(I113="Market",Retention*TIRenewal*D113+(1-Retention)*TINew*D113,IF(I113="LeaseUp",TINew*D113,IF(I113="Option",TIRenewal*D113,0)))))+(IF(I113="Vacate",LCNew*H113*D113*(1+GrowthMarketRent)^8,IF(I113="Market",Retention*LCRenewal*H113*D113*(1+GrowthMarketRent)^8+(1-Retention)*LCNew*H113*D113*(1+GrowthMarketRent)^8,IF(I113="LeaseUp",LCNew*H113*D113*(1+GrowthMarketRent)^8,IF(I113="Option",LCRenewal*H113*D113*(1+GrowthMarketRent)^8,0))))),IF(F113="",0,IF(AND(F113&gt;=DATE(2026+8,5,1),F113&lt;=DATE(2027+8,4,30)),(IF(I113="Vacate",TINew*D113,IF(I113="Market",Retention*TIRenewal*D113+(1-Retention)*TINew*D113,IF(I113="LeaseUp",TINew*D113,IF(I113="Option",TIRenewal*D113,0)))))+(IF(I113="Vacate",LCNew*H113*D113*(1+GrowthMarketRent)^8,IF(I113="Market",Retention*LCRenewal*H113*D113*(1+GrowthMarketRent)^8+(1-Retention)*LCNew*H113*D113*(1+GrowthMarketRent)^8,IF(I113="LeaseUp",LCNew*H113*D113*(1+GrowthMarketRent)^8,IF(I113="Option",LCRenewal*H113*D113*(1+GrowthMarketRent)^8,0))))),0))),0)</f>
        <v/>
      </c>
      <c r="AH113" s="14">
        <f>IFERROR(IF(AND(I113="LeaseUp",9=0),(IF(I113="Vacate",TINew*D113,IF(I113="Market",Retention*TIRenewal*D113+(1-Retention)*TINew*D113,IF(I113="LeaseUp",TINew*D113,IF(I113="Option",TIRenewal*D113,0)))))+(IF(I113="Vacate",LCNew*H113*D113*(1+GrowthMarketRent)^9,IF(I113="Market",Retention*LCRenewal*H113*D113*(1+GrowthMarketRent)^9+(1-Retention)*LCNew*H113*D113*(1+GrowthMarketRent)^9,IF(I113="LeaseUp",LCNew*H113*D113*(1+GrowthMarketRent)^9,IF(I113="Option",LCRenewal*H113*D113*(1+GrowthMarketRent)^9,0))))),IF(F113="",0,IF(AND(F113&gt;=DATE(2026+9,5,1),F113&lt;=DATE(2027+9,4,30)),(IF(I113="Vacate",TINew*D113,IF(I113="Market",Retention*TIRenewal*D113+(1-Retention)*TINew*D113,IF(I113="LeaseUp",TINew*D113,IF(I113="Option",TIRenewal*D113,0)))))+(IF(I113="Vacate",LCNew*H113*D113*(1+GrowthMarketRent)^9,IF(I113="Market",Retention*LCRenewal*H113*D113*(1+GrowthMarketRent)^9+(1-Retention)*LCNew*H113*D113*(1+GrowthMarketRent)^9,IF(I113="LeaseUp",LCNew*H113*D113*(1+GrowthMarketRent)^9,IF(I113="Option",LCRenewal*H113*D113*(1+GrowthMarketRent)^9,0))))),0))),0)</f>
        <v/>
      </c>
      <c r="AI113" s="14">
        <f>IFERROR(IF(AND(I113="LeaseUp",10=0),(IF(I113="Vacate",TINew*D113,IF(I113="Market",Retention*TIRenewal*D113+(1-Retention)*TINew*D113,IF(I113="LeaseUp",TINew*D113,IF(I113="Option",TIRenewal*D113,0)))))+(IF(I113="Vacate",LCNew*H113*D113*(1+GrowthMarketRent)^10,IF(I113="Market",Retention*LCRenewal*H113*D113*(1+GrowthMarketRent)^10+(1-Retention)*LCNew*H113*D113*(1+GrowthMarketRent)^10,IF(I113="LeaseUp",LCNew*H113*D113*(1+GrowthMarketRent)^10,IF(I113="Option",LCRenewal*H113*D113*(1+GrowthMarketRent)^10,0))))),IF(F113="",0,IF(AND(F113&gt;=DATE(2026+10,5,1),F113&lt;=DATE(2027+10,4,30)),(IF(I113="Vacate",TINew*D113,IF(I113="Market",Retention*TIRenewal*D113+(1-Retention)*TINew*D113,IF(I113="LeaseUp",TINew*D113,IF(I113="Option",TIRenewal*D113,0)))))+(IF(I113="Vacate",LCNew*H113*D113*(1+GrowthMarketRent)^10,IF(I113="Market",Retention*LCRenewal*H113*D113*(1+GrowthMarketRent)^10+(1-Retention)*LCNew*H113*D113*(1+GrowthMarketRent)^10,IF(I113="LeaseUp",LCNew*H113*D113*(1+GrowthMarketRent)^10,IF(I113="Option",LCRenewal*H113*D113*(1+GrowthMarketRent)^10,0))))),0))),0)</f>
        <v/>
      </c>
    </row>
    <row r="114">
      <c r="A114" t="inlineStr">
        <is>
          <t>Lewisville</t>
        </is>
      </c>
      <c r="B114" t="inlineStr">
        <is>
          <t>304</t>
        </is>
      </c>
      <c r="C114" t="inlineStr">
        <is>
          <t>Fidler Marketing Inc.</t>
        </is>
      </c>
      <c r="D114" s="32" t="n">
        <v>1870</v>
      </c>
      <c r="E114" s="33" t="n">
        <v>45413</v>
      </c>
      <c r="F114" s="33" t="n">
        <v>46661</v>
      </c>
      <c r="G114" s="34" t="n">
        <v>16.8101604278075</v>
      </c>
      <c r="H114" s="16">
        <f>VLOOKUP(A114,MLA!$A$5:$L$11,3,FALSE)</f>
        <v/>
      </c>
      <c r="I114" s="11" t="inlineStr">
        <is>
          <t>Option</t>
        </is>
      </c>
      <c r="J114" t="inlineStr">
        <is>
          <t>Studio</t>
        </is>
      </c>
      <c r="K114" t="inlineStr">
        <is>
          <t>Occupied</t>
        </is>
      </c>
      <c r="L114" t="inlineStr">
        <is>
          <t>Studio; Guarantor: Leland Tate Jr.; Two 3yr options @ FMV</t>
        </is>
      </c>
      <c r="M114" s="20">
        <f>IF(E114="",0,(AnalysisStart-E114)/365.25)</f>
        <v/>
      </c>
      <c r="N114" s="14">
        <f>IFERROR(IF(I114="LeaseUp",H114*D114*(1+GrowthMarketRent)^0*IF(0=0,(12-DowntimeNew)/12,1),IF(F114="",0,IF(F114&gt;=DATE(2027+0,4,30),G114*D114*(1+EscalatorInLease)^(0+M114),IF(F114&lt;DATE(2026+0,5,1),IF(I114="Vacate",H114*D114*(1+GrowthMarketRent)^0*IF(INT((DATE(2026+0,10,31)-F114)/365.25)=0,(12-DowntimeNew)/12,1),IF(I114="Option",G114*D114*1.025*(1+EscalatorInLease)^0,IF(I114="Market",Retention*G114*D114*(1+EscalatorInLease)^(0+M114)+(1-Retention)*H114*D114*(1+GrowthMarketRent)^0*IF(INT((DATE(2026+0,10,31)-F114)/365.25)=0,(12-DowntimeNew)/12,1),IF(I114="LeaseUp",H114*D114*(1+GrowthMarketRent)^0*IF(0=0,(12-DowntimeNew)/12,1),0)))),((F114-DATE(2026+0,5,1))/365.25)*G114*D114*(1+EscalatorInLease)^(0+M114)+((DATE(2027+0,4,30)-F114)/365.25)*IF(I114="Vacate",H114*D114*(1+GrowthMarketRent)^0*IF(INT((DATE(2026+0,10,31)-F114)/365.25)=0,(12-DowntimeNew)/12,1),IF(I114="Option",G114*D114*1.025*(1+EscalatorInLease)^0,IF(I114="Market",Retention*G114*D114*(1+EscalatorInLease)^(0+M114)+(1-Retention)*H114*D114*(1+GrowthMarketRent)^0*IF(INT((DATE(2026+0,10,31)-F114)/365.25)=0,(12-DowntimeNew)/12,1),IF(I114="LeaseUp",H114*D114*(1+GrowthMarketRent)^0*IF(0=0,(12-DowntimeNew)/12,1),0)))))))),0)</f>
        <v/>
      </c>
      <c r="O114" s="14">
        <f>IFERROR(IF(I114="LeaseUp",H114*D114*(1+GrowthMarketRent)^1*IF(1=0,(12-DowntimeNew)/12,1),IF(F114="",0,IF(F114&gt;=DATE(2027+1,4,30),G114*D114*(1+EscalatorInLease)^(1+M114),IF(F114&lt;DATE(2026+1,5,1),IF(I114="Vacate",H114*D114*(1+GrowthMarketRent)^1*IF(INT((DATE(2026+1,10,31)-F114)/365.25)=0,(12-DowntimeNew)/12,1),IF(I114="Option",G114*D114*1.025*(1+EscalatorInLease)^1,IF(I114="Market",Retention*G114*D114*(1+EscalatorInLease)^(1+M114)+(1-Retention)*H114*D114*(1+GrowthMarketRent)^1*IF(INT((DATE(2026+1,10,31)-F114)/365.25)=0,(12-DowntimeNew)/12,1),IF(I114="LeaseUp",H114*D114*(1+GrowthMarketRent)^1*IF(1=0,(12-DowntimeNew)/12,1),0)))),((F114-DATE(2026+1,5,1))/365.25)*G114*D114*(1+EscalatorInLease)^(1+M114)+((DATE(2027+1,4,30)-F114)/365.25)*IF(I114="Vacate",H114*D114*(1+GrowthMarketRent)^1*IF(INT((DATE(2026+1,10,31)-F114)/365.25)=0,(12-DowntimeNew)/12,1),IF(I114="Option",G114*D114*1.025*(1+EscalatorInLease)^1,IF(I114="Market",Retention*G114*D114*(1+EscalatorInLease)^(1+M114)+(1-Retention)*H114*D114*(1+GrowthMarketRent)^1*IF(INT((DATE(2026+1,10,31)-F114)/365.25)=0,(12-DowntimeNew)/12,1),IF(I114="LeaseUp",H114*D114*(1+GrowthMarketRent)^1*IF(1=0,(12-DowntimeNew)/12,1),0)))))))),0)</f>
        <v/>
      </c>
      <c r="P114" s="14">
        <f>IFERROR(IF(I114="LeaseUp",H114*D114*(1+GrowthMarketRent)^2*IF(2=0,(12-DowntimeNew)/12,1),IF(F114="",0,IF(F114&gt;=DATE(2027+2,4,30),G114*D114*(1+EscalatorInLease)^(2+M114),IF(F114&lt;DATE(2026+2,5,1),IF(I114="Vacate",H114*D114*(1+GrowthMarketRent)^2*IF(INT((DATE(2026+2,10,31)-F114)/365.25)=0,(12-DowntimeNew)/12,1),IF(I114="Option",G114*D114*1.025*(1+EscalatorInLease)^2,IF(I114="Market",Retention*G114*D114*(1+EscalatorInLease)^(2+M114)+(1-Retention)*H114*D114*(1+GrowthMarketRent)^2*IF(INT((DATE(2026+2,10,31)-F114)/365.25)=0,(12-DowntimeNew)/12,1),IF(I114="LeaseUp",H114*D114*(1+GrowthMarketRent)^2*IF(2=0,(12-DowntimeNew)/12,1),0)))),((F114-DATE(2026+2,5,1))/365.25)*G114*D114*(1+EscalatorInLease)^(2+M114)+((DATE(2027+2,4,30)-F114)/365.25)*IF(I114="Vacate",H114*D114*(1+GrowthMarketRent)^2*IF(INT((DATE(2026+2,10,31)-F114)/365.25)=0,(12-DowntimeNew)/12,1),IF(I114="Option",G114*D114*1.025*(1+EscalatorInLease)^2,IF(I114="Market",Retention*G114*D114*(1+EscalatorInLease)^(2+M114)+(1-Retention)*H114*D114*(1+GrowthMarketRent)^2*IF(INT((DATE(2026+2,10,31)-F114)/365.25)=0,(12-DowntimeNew)/12,1),IF(I114="LeaseUp",H114*D114*(1+GrowthMarketRent)^2*IF(2=0,(12-DowntimeNew)/12,1),0)))))))),0)</f>
        <v/>
      </c>
      <c r="Q114" s="14">
        <f>IFERROR(IF(I114="LeaseUp",H114*D114*(1+GrowthMarketRent)^3*IF(3=0,(12-DowntimeNew)/12,1),IF(F114="",0,IF(F114&gt;=DATE(2027+3,4,30),G114*D114*(1+EscalatorInLease)^(3+M114),IF(F114&lt;DATE(2026+3,5,1),IF(I114="Vacate",H114*D114*(1+GrowthMarketRent)^3*IF(INT((DATE(2026+3,10,31)-F114)/365.25)=0,(12-DowntimeNew)/12,1),IF(I114="Option",G114*D114*1.025*(1+EscalatorInLease)^3,IF(I114="Market",Retention*G114*D114*(1+EscalatorInLease)^(3+M114)+(1-Retention)*H114*D114*(1+GrowthMarketRent)^3*IF(INT((DATE(2026+3,10,31)-F114)/365.25)=0,(12-DowntimeNew)/12,1),IF(I114="LeaseUp",H114*D114*(1+GrowthMarketRent)^3*IF(3=0,(12-DowntimeNew)/12,1),0)))),((F114-DATE(2026+3,5,1))/365.25)*G114*D114*(1+EscalatorInLease)^(3+M114)+((DATE(2027+3,4,30)-F114)/365.25)*IF(I114="Vacate",H114*D114*(1+GrowthMarketRent)^3*IF(INT((DATE(2026+3,10,31)-F114)/365.25)=0,(12-DowntimeNew)/12,1),IF(I114="Option",G114*D114*1.025*(1+EscalatorInLease)^3,IF(I114="Market",Retention*G114*D114*(1+EscalatorInLease)^(3+M114)+(1-Retention)*H114*D114*(1+GrowthMarketRent)^3*IF(INT((DATE(2026+3,10,31)-F114)/365.25)=0,(12-DowntimeNew)/12,1),IF(I114="LeaseUp",H114*D114*(1+GrowthMarketRent)^3*IF(3=0,(12-DowntimeNew)/12,1),0)))))))),0)</f>
        <v/>
      </c>
      <c r="R114" s="14">
        <f>IFERROR(IF(I114="LeaseUp",H114*D114*(1+GrowthMarketRent)^4*IF(4=0,(12-DowntimeNew)/12,1),IF(F114="",0,IF(F114&gt;=DATE(2027+4,4,30),G114*D114*(1+EscalatorInLease)^(4+M114),IF(F114&lt;DATE(2026+4,5,1),IF(I114="Vacate",H114*D114*(1+GrowthMarketRent)^4*IF(INT((DATE(2026+4,10,31)-F114)/365.25)=0,(12-DowntimeNew)/12,1),IF(I114="Option",G114*D114*1.025*(1+EscalatorInLease)^4,IF(I114="Market",Retention*G114*D114*(1+EscalatorInLease)^(4+M114)+(1-Retention)*H114*D114*(1+GrowthMarketRent)^4*IF(INT((DATE(2026+4,10,31)-F114)/365.25)=0,(12-DowntimeNew)/12,1),IF(I114="LeaseUp",H114*D114*(1+GrowthMarketRent)^4*IF(4=0,(12-DowntimeNew)/12,1),0)))),((F114-DATE(2026+4,5,1))/365.25)*G114*D114*(1+EscalatorInLease)^(4+M114)+((DATE(2027+4,4,30)-F114)/365.25)*IF(I114="Vacate",H114*D114*(1+GrowthMarketRent)^4*IF(INT((DATE(2026+4,10,31)-F114)/365.25)=0,(12-DowntimeNew)/12,1),IF(I114="Option",G114*D114*1.025*(1+EscalatorInLease)^4,IF(I114="Market",Retention*G114*D114*(1+EscalatorInLease)^(4+M114)+(1-Retention)*H114*D114*(1+GrowthMarketRent)^4*IF(INT((DATE(2026+4,10,31)-F114)/365.25)=0,(12-DowntimeNew)/12,1),IF(I114="LeaseUp",H114*D114*(1+GrowthMarketRent)^4*IF(4=0,(12-DowntimeNew)/12,1),0)))))))),0)</f>
        <v/>
      </c>
      <c r="S114" s="14">
        <f>IFERROR(IF(I114="LeaseUp",H114*D114*(1+GrowthMarketRent)^5*IF(5=0,(12-DowntimeNew)/12,1),IF(F114="",0,IF(F114&gt;=DATE(2027+5,4,30),G114*D114*(1+EscalatorInLease)^(5+M114),IF(F114&lt;DATE(2026+5,5,1),IF(I114="Vacate",H114*D114*(1+GrowthMarketRent)^5*IF(INT((DATE(2026+5,10,31)-F114)/365.25)=0,(12-DowntimeNew)/12,1),IF(I114="Option",G114*D114*1.025*(1+EscalatorInLease)^5,IF(I114="Market",Retention*G114*D114*(1+EscalatorInLease)^(5+M114)+(1-Retention)*H114*D114*(1+GrowthMarketRent)^5*IF(INT((DATE(2026+5,10,31)-F114)/365.25)=0,(12-DowntimeNew)/12,1),IF(I114="LeaseUp",H114*D114*(1+GrowthMarketRent)^5*IF(5=0,(12-DowntimeNew)/12,1),0)))),((F114-DATE(2026+5,5,1))/365.25)*G114*D114*(1+EscalatorInLease)^(5+M114)+((DATE(2027+5,4,30)-F114)/365.25)*IF(I114="Vacate",H114*D114*(1+GrowthMarketRent)^5*IF(INT((DATE(2026+5,10,31)-F114)/365.25)=0,(12-DowntimeNew)/12,1),IF(I114="Option",G114*D114*1.025*(1+EscalatorInLease)^5,IF(I114="Market",Retention*G114*D114*(1+EscalatorInLease)^(5+M114)+(1-Retention)*H114*D114*(1+GrowthMarketRent)^5*IF(INT((DATE(2026+5,10,31)-F114)/365.25)=0,(12-DowntimeNew)/12,1),IF(I114="LeaseUp",H114*D114*(1+GrowthMarketRent)^5*IF(5=0,(12-DowntimeNew)/12,1),0)))))))),0)</f>
        <v/>
      </c>
      <c r="T114" s="14">
        <f>IFERROR(IF(I114="LeaseUp",H114*D114*(1+GrowthMarketRent)^6*IF(6=0,(12-DowntimeNew)/12,1),IF(F114="",0,IF(F114&gt;=DATE(2027+6,4,30),G114*D114*(1+EscalatorInLease)^(6+M114),IF(F114&lt;DATE(2026+6,5,1),IF(I114="Vacate",H114*D114*(1+GrowthMarketRent)^6*IF(INT((DATE(2026+6,10,31)-F114)/365.25)=0,(12-DowntimeNew)/12,1),IF(I114="Option",G114*D114*1.025*(1+EscalatorInLease)^6,IF(I114="Market",Retention*G114*D114*(1+EscalatorInLease)^(6+M114)+(1-Retention)*H114*D114*(1+GrowthMarketRent)^6*IF(INT((DATE(2026+6,10,31)-F114)/365.25)=0,(12-DowntimeNew)/12,1),IF(I114="LeaseUp",H114*D114*(1+GrowthMarketRent)^6*IF(6=0,(12-DowntimeNew)/12,1),0)))),((F114-DATE(2026+6,5,1))/365.25)*G114*D114*(1+EscalatorInLease)^(6+M114)+((DATE(2027+6,4,30)-F114)/365.25)*IF(I114="Vacate",H114*D114*(1+GrowthMarketRent)^6*IF(INT((DATE(2026+6,10,31)-F114)/365.25)=0,(12-DowntimeNew)/12,1),IF(I114="Option",G114*D114*1.025*(1+EscalatorInLease)^6,IF(I114="Market",Retention*G114*D114*(1+EscalatorInLease)^(6+M114)+(1-Retention)*H114*D114*(1+GrowthMarketRent)^6*IF(INT((DATE(2026+6,10,31)-F114)/365.25)=0,(12-DowntimeNew)/12,1),IF(I114="LeaseUp",H114*D114*(1+GrowthMarketRent)^6*IF(6=0,(12-DowntimeNew)/12,1),0)))))))),0)</f>
        <v/>
      </c>
      <c r="U114" s="14">
        <f>IFERROR(IF(I114="LeaseUp",H114*D114*(1+GrowthMarketRent)^7*IF(7=0,(12-DowntimeNew)/12,1),IF(F114="",0,IF(F114&gt;=DATE(2027+7,4,30),G114*D114*(1+EscalatorInLease)^(7+M114),IF(F114&lt;DATE(2026+7,5,1),IF(I114="Vacate",H114*D114*(1+GrowthMarketRent)^7*IF(INT((DATE(2026+7,10,31)-F114)/365.25)=0,(12-DowntimeNew)/12,1),IF(I114="Option",G114*D114*1.025*(1+EscalatorInLease)^7,IF(I114="Market",Retention*G114*D114*(1+EscalatorInLease)^(7+M114)+(1-Retention)*H114*D114*(1+GrowthMarketRent)^7*IF(INT((DATE(2026+7,10,31)-F114)/365.25)=0,(12-DowntimeNew)/12,1),IF(I114="LeaseUp",H114*D114*(1+GrowthMarketRent)^7*IF(7=0,(12-DowntimeNew)/12,1),0)))),((F114-DATE(2026+7,5,1))/365.25)*G114*D114*(1+EscalatorInLease)^(7+M114)+((DATE(2027+7,4,30)-F114)/365.25)*IF(I114="Vacate",H114*D114*(1+GrowthMarketRent)^7*IF(INT((DATE(2026+7,10,31)-F114)/365.25)=0,(12-DowntimeNew)/12,1),IF(I114="Option",G114*D114*1.025*(1+EscalatorInLease)^7,IF(I114="Market",Retention*G114*D114*(1+EscalatorInLease)^(7+M114)+(1-Retention)*H114*D114*(1+GrowthMarketRent)^7*IF(INT((DATE(2026+7,10,31)-F114)/365.25)=0,(12-DowntimeNew)/12,1),IF(I114="LeaseUp",H114*D114*(1+GrowthMarketRent)^7*IF(7=0,(12-DowntimeNew)/12,1),0)))))))),0)</f>
        <v/>
      </c>
      <c r="V114" s="14">
        <f>IFERROR(IF(I114="LeaseUp",H114*D114*(1+GrowthMarketRent)^8*IF(8=0,(12-DowntimeNew)/12,1),IF(F114="",0,IF(F114&gt;=DATE(2027+8,4,30),G114*D114*(1+EscalatorInLease)^(8+M114),IF(F114&lt;DATE(2026+8,5,1),IF(I114="Vacate",H114*D114*(1+GrowthMarketRent)^8*IF(INT((DATE(2026+8,10,31)-F114)/365.25)=0,(12-DowntimeNew)/12,1),IF(I114="Option",G114*D114*1.025*(1+EscalatorInLease)^8,IF(I114="Market",Retention*G114*D114*(1+EscalatorInLease)^(8+M114)+(1-Retention)*H114*D114*(1+GrowthMarketRent)^8*IF(INT((DATE(2026+8,10,31)-F114)/365.25)=0,(12-DowntimeNew)/12,1),IF(I114="LeaseUp",H114*D114*(1+GrowthMarketRent)^8*IF(8=0,(12-DowntimeNew)/12,1),0)))),((F114-DATE(2026+8,5,1))/365.25)*G114*D114*(1+EscalatorInLease)^(8+M114)+((DATE(2027+8,4,30)-F114)/365.25)*IF(I114="Vacate",H114*D114*(1+GrowthMarketRent)^8*IF(INT((DATE(2026+8,10,31)-F114)/365.25)=0,(12-DowntimeNew)/12,1),IF(I114="Option",G114*D114*1.025*(1+EscalatorInLease)^8,IF(I114="Market",Retention*G114*D114*(1+EscalatorInLease)^(8+M114)+(1-Retention)*H114*D114*(1+GrowthMarketRent)^8*IF(INT((DATE(2026+8,10,31)-F114)/365.25)=0,(12-DowntimeNew)/12,1),IF(I114="LeaseUp",H114*D114*(1+GrowthMarketRent)^8*IF(8=0,(12-DowntimeNew)/12,1),0)))))))),0)</f>
        <v/>
      </c>
      <c r="W114" s="14">
        <f>IFERROR(IF(I114="LeaseUp",H114*D114*(1+GrowthMarketRent)^9*IF(9=0,(12-DowntimeNew)/12,1),IF(F114="",0,IF(F114&gt;=DATE(2027+9,4,30),G114*D114*(1+EscalatorInLease)^(9+M114),IF(F114&lt;DATE(2026+9,5,1),IF(I114="Vacate",H114*D114*(1+GrowthMarketRent)^9*IF(INT((DATE(2026+9,10,31)-F114)/365.25)=0,(12-DowntimeNew)/12,1),IF(I114="Option",G114*D114*1.025*(1+EscalatorInLease)^9,IF(I114="Market",Retention*G114*D114*(1+EscalatorInLease)^(9+M114)+(1-Retention)*H114*D114*(1+GrowthMarketRent)^9*IF(INT((DATE(2026+9,10,31)-F114)/365.25)=0,(12-DowntimeNew)/12,1),IF(I114="LeaseUp",H114*D114*(1+GrowthMarketRent)^9*IF(9=0,(12-DowntimeNew)/12,1),0)))),((F114-DATE(2026+9,5,1))/365.25)*G114*D114*(1+EscalatorInLease)^(9+M114)+((DATE(2027+9,4,30)-F114)/365.25)*IF(I114="Vacate",H114*D114*(1+GrowthMarketRent)^9*IF(INT((DATE(2026+9,10,31)-F114)/365.25)=0,(12-DowntimeNew)/12,1),IF(I114="Option",G114*D114*1.025*(1+EscalatorInLease)^9,IF(I114="Market",Retention*G114*D114*(1+EscalatorInLease)^(9+M114)+(1-Retention)*H114*D114*(1+GrowthMarketRent)^9*IF(INT((DATE(2026+9,10,31)-F114)/365.25)=0,(12-DowntimeNew)/12,1),IF(I114="LeaseUp",H114*D114*(1+GrowthMarketRent)^9*IF(9=0,(12-DowntimeNew)/12,1),0)))))))),0)</f>
        <v/>
      </c>
      <c r="X114" s="14">
        <f>IFERROR(IF(I114="LeaseUp",H114*D114*(1+GrowthMarketRent)^10*IF(10=0,(12-DowntimeNew)/12,1),IF(F114="",0,IF(F114&gt;=DATE(2027+10,4,30),G114*D114*(1+EscalatorInLease)^(10+M114),IF(F114&lt;DATE(2026+10,5,1),IF(I114="Vacate",H114*D114*(1+GrowthMarketRent)^10*IF(INT((DATE(2026+10,10,31)-F114)/365.25)=0,(12-DowntimeNew)/12,1),IF(I114="Option",G114*D114*1.025*(1+EscalatorInLease)^10,IF(I114="Market",Retention*G114*D114*(1+EscalatorInLease)^(10+M114)+(1-Retention)*H114*D114*(1+GrowthMarketRent)^10*IF(INT((DATE(2026+10,10,31)-F114)/365.25)=0,(12-DowntimeNew)/12,1),IF(I114="LeaseUp",H114*D114*(1+GrowthMarketRent)^10*IF(10=0,(12-DowntimeNew)/12,1),0)))),((F114-DATE(2026+10,5,1))/365.25)*G114*D114*(1+EscalatorInLease)^(10+M114)+((DATE(2027+10,4,30)-F114)/365.25)*IF(I114="Vacate",H114*D114*(1+GrowthMarketRent)^10*IF(INT((DATE(2026+10,10,31)-F114)/365.25)=0,(12-DowntimeNew)/12,1),IF(I114="Option",G114*D114*1.025*(1+EscalatorInLease)^10,IF(I114="Market",Retention*G114*D114*(1+EscalatorInLease)^(10+M114)+(1-Retention)*H114*D114*(1+GrowthMarketRent)^10*IF(INT((DATE(2026+10,10,31)-F114)/365.25)=0,(12-DowntimeNew)/12,1),IF(I114="LeaseUp",H114*D114*(1+GrowthMarketRent)^10*IF(10=0,(12-DowntimeNew)/12,1),0)))))))),0)</f>
        <v/>
      </c>
      <c r="Y114" s="14">
        <f>IFERROR(IF(AND(I114="LeaseUp",0=0),(IF(I114="Vacate",TINew*D114,IF(I114="Market",Retention*TIRenewal*D114+(1-Retention)*TINew*D114,IF(I114="LeaseUp",TINew*D114,IF(I114="Option",TIRenewal*D114,0)))))+(IF(I114="Vacate",LCNew*H114*D114*(1+GrowthMarketRent)^0,IF(I114="Market",Retention*LCRenewal*H114*D114*(1+GrowthMarketRent)^0+(1-Retention)*LCNew*H114*D114*(1+GrowthMarketRent)^0,IF(I114="LeaseUp",LCNew*H114*D114*(1+GrowthMarketRent)^0,IF(I114="Option",LCRenewal*H114*D114*(1+GrowthMarketRent)^0,0))))),IF(F114="",0,IF(AND(F114&gt;=DATE(2026+0,5,1),F114&lt;=DATE(2027+0,4,30)),(IF(I114="Vacate",TINew*D114,IF(I114="Market",Retention*TIRenewal*D114+(1-Retention)*TINew*D114,IF(I114="LeaseUp",TINew*D114,IF(I114="Option",TIRenewal*D114,0)))))+(IF(I114="Vacate",LCNew*H114*D114*(1+GrowthMarketRent)^0,IF(I114="Market",Retention*LCRenewal*H114*D114*(1+GrowthMarketRent)^0+(1-Retention)*LCNew*H114*D114*(1+GrowthMarketRent)^0,IF(I114="LeaseUp",LCNew*H114*D114*(1+GrowthMarketRent)^0,IF(I114="Option",LCRenewal*H114*D114*(1+GrowthMarketRent)^0,0))))),0))),0)</f>
        <v/>
      </c>
      <c r="Z114" s="14">
        <f>IFERROR(IF(AND(I114="LeaseUp",1=0),(IF(I114="Vacate",TINew*D114,IF(I114="Market",Retention*TIRenewal*D114+(1-Retention)*TINew*D114,IF(I114="LeaseUp",TINew*D114,IF(I114="Option",TIRenewal*D114,0)))))+(IF(I114="Vacate",LCNew*H114*D114*(1+GrowthMarketRent)^1,IF(I114="Market",Retention*LCRenewal*H114*D114*(1+GrowthMarketRent)^1+(1-Retention)*LCNew*H114*D114*(1+GrowthMarketRent)^1,IF(I114="LeaseUp",LCNew*H114*D114*(1+GrowthMarketRent)^1,IF(I114="Option",LCRenewal*H114*D114*(1+GrowthMarketRent)^1,0))))),IF(F114="",0,IF(AND(F114&gt;=DATE(2026+1,5,1),F114&lt;=DATE(2027+1,4,30)),(IF(I114="Vacate",TINew*D114,IF(I114="Market",Retention*TIRenewal*D114+(1-Retention)*TINew*D114,IF(I114="LeaseUp",TINew*D114,IF(I114="Option",TIRenewal*D114,0)))))+(IF(I114="Vacate",LCNew*H114*D114*(1+GrowthMarketRent)^1,IF(I114="Market",Retention*LCRenewal*H114*D114*(1+GrowthMarketRent)^1+(1-Retention)*LCNew*H114*D114*(1+GrowthMarketRent)^1,IF(I114="LeaseUp",LCNew*H114*D114*(1+GrowthMarketRent)^1,IF(I114="Option",LCRenewal*H114*D114*(1+GrowthMarketRent)^1,0))))),0))),0)</f>
        <v/>
      </c>
      <c r="AA114" s="14">
        <f>IFERROR(IF(AND(I114="LeaseUp",2=0),(IF(I114="Vacate",TINew*D114,IF(I114="Market",Retention*TIRenewal*D114+(1-Retention)*TINew*D114,IF(I114="LeaseUp",TINew*D114,IF(I114="Option",TIRenewal*D114,0)))))+(IF(I114="Vacate",LCNew*H114*D114*(1+GrowthMarketRent)^2,IF(I114="Market",Retention*LCRenewal*H114*D114*(1+GrowthMarketRent)^2+(1-Retention)*LCNew*H114*D114*(1+GrowthMarketRent)^2,IF(I114="LeaseUp",LCNew*H114*D114*(1+GrowthMarketRent)^2,IF(I114="Option",LCRenewal*H114*D114*(1+GrowthMarketRent)^2,0))))),IF(F114="",0,IF(AND(F114&gt;=DATE(2026+2,5,1),F114&lt;=DATE(2027+2,4,30)),(IF(I114="Vacate",TINew*D114,IF(I114="Market",Retention*TIRenewal*D114+(1-Retention)*TINew*D114,IF(I114="LeaseUp",TINew*D114,IF(I114="Option",TIRenewal*D114,0)))))+(IF(I114="Vacate",LCNew*H114*D114*(1+GrowthMarketRent)^2,IF(I114="Market",Retention*LCRenewal*H114*D114*(1+GrowthMarketRent)^2+(1-Retention)*LCNew*H114*D114*(1+GrowthMarketRent)^2,IF(I114="LeaseUp",LCNew*H114*D114*(1+GrowthMarketRent)^2,IF(I114="Option",LCRenewal*H114*D114*(1+GrowthMarketRent)^2,0))))),0))),0)</f>
        <v/>
      </c>
      <c r="AB114" s="14">
        <f>IFERROR(IF(AND(I114="LeaseUp",3=0),(IF(I114="Vacate",TINew*D114,IF(I114="Market",Retention*TIRenewal*D114+(1-Retention)*TINew*D114,IF(I114="LeaseUp",TINew*D114,IF(I114="Option",TIRenewal*D114,0)))))+(IF(I114="Vacate",LCNew*H114*D114*(1+GrowthMarketRent)^3,IF(I114="Market",Retention*LCRenewal*H114*D114*(1+GrowthMarketRent)^3+(1-Retention)*LCNew*H114*D114*(1+GrowthMarketRent)^3,IF(I114="LeaseUp",LCNew*H114*D114*(1+GrowthMarketRent)^3,IF(I114="Option",LCRenewal*H114*D114*(1+GrowthMarketRent)^3,0))))),IF(F114="",0,IF(AND(F114&gt;=DATE(2026+3,5,1),F114&lt;=DATE(2027+3,4,30)),(IF(I114="Vacate",TINew*D114,IF(I114="Market",Retention*TIRenewal*D114+(1-Retention)*TINew*D114,IF(I114="LeaseUp",TINew*D114,IF(I114="Option",TIRenewal*D114,0)))))+(IF(I114="Vacate",LCNew*H114*D114*(1+GrowthMarketRent)^3,IF(I114="Market",Retention*LCRenewal*H114*D114*(1+GrowthMarketRent)^3+(1-Retention)*LCNew*H114*D114*(1+GrowthMarketRent)^3,IF(I114="LeaseUp",LCNew*H114*D114*(1+GrowthMarketRent)^3,IF(I114="Option",LCRenewal*H114*D114*(1+GrowthMarketRent)^3,0))))),0))),0)</f>
        <v/>
      </c>
      <c r="AC114" s="14">
        <f>IFERROR(IF(AND(I114="LeaseUp",4=0),(IF(I114="Vacate",TINew*D114,IF(I114="Market",Retention*TIRenewal*D114+(1-Retention)*TINew*D114,IF(I114="LeaseUp",TINew*D114,IF(I114="Option",TIRenewal*D114,0)))))+(IF(I114="Vacate",LCNew*H114*D114*(1+GrowthMarketRent)^4,IF(I114="Market",Retention*LCRenewal*H114*D114*(1+GrowthMarketRent)^4+(1-Retention)*LCNew*H114*D114*(1+GrowthMarketRent)^4,IF(I114="LeaseUp",LCNew*H114*D114*(1+GrowthMarketRent)^4,IF(I114="Option",LCRenewal*H114*D114*(1+GrowthMarketRent)^4,0))))),IF(F114="",0,IF(AND(F114&gt;=DATE(2026+4,5,1),F114&lt;=DATE(2027+4,4,30)),(IF(I114="Vacate",TINew*D114,IF(I114="Market",Retention*TIRenewal*D114+(1-Retention)*TINew*D114,IF(I114="LeaseUp",TINew*D114,IF(I114="Option",TIRenewal*D114,0)))))+(IF(I114="Vacate",LCNew*H114*D114*(1+GrowthMarketRent)^4,IF(I114="Market",Retention*LCRenewal*H114*D114*(1+GrowthMarketRent)^4+(1-Retention)*LCNew*H114*D114*(1+GrowthMarketRent)^4,IF(I114="LeaseUp",LCNew*H114*D114*(1+GrowthMarketRent)^4,IF(I114="Option",LCRenewal*H114*D114*(1+GrowthMarketRent)^4,0))))),0))),0)</f>
        <v/>
      </c>
      <c r="AD114" s="14">
        <f>IFERROR(IF(AND(I114="LeaseUp",5=0),(IF(I114="Vacate",TINew*D114,IF(I114="Market",Retention*TIRenewal*D114+(1-Retention)*TINew*D114,IF(I114="LeaseUp",TINew*D114,IF(I114="Option",TIRenewal*D114,0)))))+(IF(I114="Vacate",LCNew*H114*D114*(1+GrowthMarketRent)^5,IF(I114="Market",Retention*LCRenewal*H114*D114*(1+GrowthMarketRent)^5+(1-Retention)*LCNew*H114*D114*(1+GrowthMarketRent)^5,IF(I114="LeaseUp",LCNew*H114*D114*(1+GrowthMarketRent)^5,IF(I114="Option",LCRenewal*H114*D114*(1+GrowthMarketRent)^5,0))))),IF(F114="",0,IF(AND(F114&gt;=DATE(2026+5,5,1),F114&lt;=DATE(2027+5,4,30)),(IF(I114="Vacate",TINew*D114,IF(I114="Market",Retention*TIRenewal*D114+(1-Retention)*TINew*D114,IF(I114="LeaseUp",TINew*D114,IF(I114="Option",TIRenewal*D114,0)))))+(IF(I114="Vacate",LCNew*H114*D114*(1+GrowthMarketRent)^5,IF(I114="Market",Retention*LCRenewal*H114*D114*(1+GrowthMarketRent)^5+(1-Retention)*LCNew*H114*D114*(1+GrowthMarketRent)^5,IF(I114="LeaseUp",LCNew*H114*D114*(1+GrowthMarketRent)^5,IF(I114="Option",LCRenewal*H114*D114*(1+GrowthMarketRent)^5,0))))),0))),0)</f>
        <v/>
      </c>
      <c r="AE114" s="14">
        <f>IFERROR(IF(AND(I114="LeaseUp",6=0),(IF(I114="Vacate",TINew*D114,IF(I114="Market",Retention*TIRenewal*D114+(1-Retention)*TINew*D114,IF(I114="LeaseUp",TINew*D114,IF(I114="Option",TIRenewal*D114,0)))))+(IF(I114="Vacate",LCNew*H114*D114*(1+GrowthMarketRent)^6,IF(I114="Market",Retention*LCRenewal*H114*D114*(1+GrowthMarketRent)^6+(1-Retention)*LCNew*H114*D114*(1+GrowthMarketRent)^6,IF(I114="LeaseUp",LCNew*H114*D114*(1+GrowthMarketRent)^6,IF(I114="Option",LCRenewal*H114*D114*(1+GrowthMarketRent)^6,0))))),IF(F114="",0,IF(AND(F114&gt;=DATE(2026+6,5,1),F114&lt;=DATE(2027+6,4,30)),(IF(I114="Vacate",TINew*D114,IF(I114="Market",Retention*TIRenewal*D114+(1-Retention)*TINew*D114,IF(I114="LeaseUp",TINew*D114,IF(I114="Option",TIRenewal*D114,0)))))+(IF(I114="Vacate",LCNew*H114*D114*(1+GrowthMarketRent)^6,IF(I114="Market",Retention*LCRenewal*H114*D114*(1+GrowthMarketRent)^6+(1-Retention)*LCNew*H114*D114*(1+GrowthMarketRent)^6,IF(I114="LeaseUp",LCNew*H114*D114*(1+GrowthMarketRent)^6,IF(I114="Option",LCRenewal*H114*D114*(1+GrowthMarketRent)^6,0))))),0))),0)</f>
        <v/>
      </c>
      <c r="AF114" s="14">
        <f>IFERROR(IF(AND(I114="LeaseUp",7=0),(IF(I114="Vacate",TINew*D114,IF(I114="Market",Retention*TIRenewal*D114+(1-Retention)*TINew*D114,IF(I114="LeaseUp",TINew*D114,IF(I114="Option",TIRenewal*D114,0)))))+(IF(I114="Vacate",LCNew*H114*D114*(1+GrowthMarketRent)^7,IF(I114="Market",Retention*LCRenewal*H114*D114*(1+GrowthMarketRent)^7+(1-Retention)*LCNew*H114*D114*(1+GrowthMarketRent)^7,IF(I114="LeaseUp",LCNew*H114*D114*(1+GrowthMarketRent)^7,IF(I114="Option",LCRenewal*H114*D114*(1+GrowthMarketRent)^7,0))))),IF(F114="",0,IF(AND(F114&gt;=DATE(2026+7,5,1),F114&lt;=DATE(2027+7,4,30)),(IF(I114="Vacate",TINew*D114,IF(I114="Market",Retention*TIRenewal*D114+(1-Retention)*TINew*D114,IF(I114="LeaseUp",TINew*D114,IF(I114="Option",TIRenewal*D114,0)))))+(IF(I114="Vacate",LCNew*H114*D114*(1+GrowthMarketRent)^7,IF(I114="Market",Retention*LCRenewal*H114*D114*(1+GrowthMarketRent)^7+(1-Retention)*LCNew*H114*D114*(1+GrowthMarketRent)^7,IF(I114="LeaseUp",LCNew*H114*D114*(1+GrowthMarketRent)^7,IF(I114="Option",LCRenewal*H114*D114*(1+GrowthMarketRent)^7,0))))),0))),0)</f>
        <v/>
      </c>
      <c r="AG114" s="14">
        <f>IFERROR(IF(AND(I114="LeaseUp",8=0),(IF(I114="Vacate",TINew*D114,IF(I114="Market",Retention*TIRenewal*D114+(1-Retention)*TINew*D114,IF(I114="LeaseUp",TINew*D114,IF(I114="Option",TIRenewal*D114,0)))))+(IF(I114="Vacate",LCNew*H114*D114*(1+GrowthMarketRent)^8,IF(I114="Market",Retention*LCRenewal*H114*D114*(1+GrowthMarketRent)^8+(1-Retention)*LCNew*H114*D114*(1+GrowthMarketRent)^8,IF(I114="LeaseUp",LCNew*H114*D114*(1+GrowthMarketRent)^8,IF(I114="Option",LCRenewal*H114*D114*(1+GrowthMarketRent)^8,0))))),IF(F114="",0,IF(AND(F114&gt;=DATE(2026+8,5,1),F114&lt;=DATE(2027+8,4,30)),(IF(I114="Vacate",TINew*D114,IF(I114="Market",Retention*TIRenewal*D114+(1-Retention)*TINew*D114,IF(I114="LeaseUp",TINew*D114,IF(I114="Option",TIRenewal*D114,0)))))+(IF(I114="Vacate",LCNew*H114*D114*(1+GrowthMarketRent)^8,IF(I114="Market",Retention*LCRenewal*H114*D114*(1+GrowthMarketRent)^8+(1-Retention)*LCNew*H114*D114*(1+GrowthMarketRent)^8,IF(I114="LeaseUp",LCNew*H114*D114*(1+GrowthMarketRent)^8,IF(I114="Option",LCRenewal*H114*D114*(1+GrowthMarketRent)^8,0))))),0))),0)</f>
        <v/>
      </c>
      <c r="AH114" s="14">
        <f>IFERROR(IF(AND(I114="LeaseUp",9=0),(IF(I114="Vacate",TINew*D114,IF(I114="Market",Retention*TIRenewal*D114+(1-Retention)*TINew*D114,IF(I114="LeaseUp",TINew*D114,IF(I114="Option",TIRenewal*D114,0)))))+(IF(I114="Vacate",LCNew*H114*D114*(1+GrowthMarketRent)^9,IF(I114="Market",Retention*LCRenewal*H114*D114*(1+GrowthMarketRent)^9+(1-Retention)*LCNew*H114*D114*(1+GrowthMarketRent)^9,IF(I114="LeaseUp",LCNew*H114*D114*(1+GrowthMarketRent)^9,IF(I114="Option",LCRenewal*H114*D114*(1+GrowthMarketRent)^9,0))))),IF(F114="",0,IF(AND(F114&gt;=DATE(2026+9,5,1),F114&lt;=DATE(2027+9,4,30)),(IF(I114="Vacate",TINew*D114,IF(I114="Market",Retention*TIRenewal*D114+(1-Retention)*TINew*D114,IF(I114="LeaseUp",TINew*D114,IF(I114="Option",TIRenewal*D114,0)))))+(IF(I114="Vacate",LCNew*H114*D114*(1+GrowthMarketRent)^9,IF(I114="Market",Retention*LCRenewal*H114*D114*(1+GrowthMarketRent)^9+(1-Retention)*LCNew*H114*D114*(1+GrowthMarketRent)^9,IF(I114="LeaseUp",LCNew*H114*D114*(1+GrowthMarketRent)^9,IF(I114="Option",LCRenewal*H114*D114*(1+GrowthMarketRent)^9,0))))),0))),0)</f>
        <v/>
      </c>
      <c r="AI114" s="14">
        <f>IFERROR(IF(AND(I114="LeaseUp",10=0),(IF(I114="Vacate",TINew*D114,IF(I114="Market",Retention*TIRenewal*D114+(1-Retention)*TINew*D114,IF(I114="LeaseUp",TINew*D114,IF(I114="Option",TIRenewal*D114,0)))))+(IF(I114="Vacate",LCNew*H114*D114*(1+GrowthMarketRent)^10,IF(I114="Market",Retention*LCRenewal*H114*D114*(1+GrowthMarketRent)^10+(1-Retention)*LCNew*H114*D114*(1+GrowthMarketRent)^10,IF(I114="LeaseUp",LCNew*H114*D114*(1+GrowthMarketRent)^10,IF(I114="Option",LCRenewal*H114*D114*(1+GrowthMarketRent)^10,0))))),IF(F114="",0,IF(AND(F114&gt;=DATE(2026+10,5,1),F114&lt;=DATE(2027+10,4,30)),(IF(I114="Vacate",TINew*D114,IF(I114="Market",Retention*TIRenewal*D114+(1-Retention)*TINew*D114,IF(I114="LeaseUp",TINew*D114,IF(I114="Option",TIRenewal*D114,0)))))+(IF(I114="Vacate",LCNew*H114*D114*(1+GrowthMarketRent)^10,IF(I114="Market",Retention*LCRenewal*H114*D114*(1+GrowthMarketRent)^10+(1-Retention)*LCNew*H114*D114*(1+GrowthMarketRent)^10,IF(I114="LeaseUp",LCNew*H114*D114*(1+GrowthMarketRent)^10,IF(I114="Option",LCRenewal*H114*D114*(1+GrowthMarketRent)^10,0))))),0))),0)</f>
        <v/>
      </c>
    </row>
    <row r="115">
      <c r="A115" t="inlineStr">
        <is>
          <t>Lewisville</t>
        </is>
      </c>
      <c r="B115" t="inlineStr">
        <is>
          <t>305</t>
        </is>
      </c>
      <c r="C115" t="inlineStr">
        <is>
          <t>Moonshot 3D LLC</t>
        </is>
      </c>
      <c r="D115" s="32" t="n">
        <v>1870</v>
      </c>
      <c r="E115" s="33" t="n">
        <v>45078</v>
      </c>
      <c r="F115" s="33" t="n">
        <v>46327</v>
      </c>
      <c r="G115" s="34" t="n">
        <v>15.2342245989305</v>
      </c>
      <c r="H115" s="16">
        <f>VLOOKUP(A115,MLA!$A$5:$L$11,3,FALSE)</f>
        <v/>
      </c>
      <c r="I115" s="11" t="inlineStr">
        <is>
          <t>Option</t>
        </is>
      </c>
      <c r="J115" t="inlineStr">
        <is>
          <t>Studio</t>
        </is>
      </c>
      <c r="K115" t="inlineStr">
        <is>
          <t>Occupied</t>
        </is>
      </c>
      <c r="L115" t="inlineStr">
        <is>
          <t>Studio; Guarantor: Adnan Hussaini; Two 3yr options</t>
        </is>
      </c>
      <c r="M115" s="20">
        <f>IF(E115="",0,(AnalysisStart-E115)/365.25)</f>
        <v/>
      </c>
      <c r="N115" s="14">
        <f>IFERROR(IF(I115="LeaseUp",H115*D115*(1+GrowthMarketRent)^0*IF(0=0,(12-DowntimeNew)/12,1),IF(F115="",0,IF(F115&gt;=DATE(2027+0,4,30),G115*D115*(1+EscalatorInLease)^(0+M115),IF(F115&lt;DATE(2026+0,5,1),IF(I115="Vacate",H115*D115*(1+GrowthMarketRent)^0*IF(INT((DATE(2026+0,10,31)-F115)/365.25)=0,(12-DowntimeNew)/12,1),IF(I115="Option",G115*D115*1.025*(1+EscalatorInLease)^0,IF(I115="Market",Retention*G115*D115*(1+EscalatorInLease)^(0+M115)+(1-Retention)*H115*D115*(1+GrowthMarketRent)^0*IF(INT((DATE(2026+0,10,31)-F115)/365.25)=0,(12-DowntimeNew)/12,1),IF(I115="LeaseUp",H115*D115*(1+GrowthMarketRent)^0*IF(0=0,(12-DowntimeNew)/12,1),0)))),((F115-DATE(2026+0,5,1))/365.25)*G115*D115*(1+EscalatorInLease)^(0+M115)+((DATE(2027+0,4,30)-F115)/365.25)*IF(I115="Vacate",H115*D115*(1+GrowthMarketRent)^0*IF(INT((DATE(2026+0,10,31)-F115)/365.25)=0,(12-DowntimeNew)/12,1),IF(I115="Option",G115*D115*1.025*(1+EscalatorInLease)^0,IF(I115="Market",Retention*G115*D115*(1+EscalatorInLease)^(0+M115)+(1-Retention)*H115*D115*(1+GrowthMarketRent)^0*IF(INT((DATE(2026+0,10,31)-F115)/365.25)=0,(12-DowntimeNew)/12,1),IF(I115="LeaseUp",H115*D115*(1+GrowthMarketRent)^0*IF(0=0,(12-DowntimeNew)/12,1),0)))))))),0)</f>
        <v/>
      </c>
      <c r="O115" s="14">
        <f>IFERROR(IF(I115="LeaseUp",H115*D115*(1+GrowthMarketRent)^1*IF(1=0,(12-DowntimeNew)/12,1),IF(F115="",0,IF(F115&gt;=DATE(2027+1,4,30),G115*D115*(1+EscalatorInLease)^(1+M115),IF(F115&lt;DATE(2026+1,5,1),IF(I115="Vacate",H115*D115*(1+GrowthMarketRent)^1*IF(INT((DATE(2026+1,10,31)-F115)/365.25)=0,(12-DowntimeNew)/12,1),IF(I115="Option",G115*D115*1.025*(1+EscalatorInLease)^1,IF(I115="Market",Retention*G115*D115*(1+EscalatorInLease)^(1+M115)+(1-Retention)*H115*D115*(1+GrowthMarketRent)^1*IF(INT((DATE(2026+1,10,31)-F115)/365.25)=0,(12-DowntimeNew)/12,1),IF(I115="LeaseUp",H115*D115*(1+GrowthMarketRent)^1*IF(1=0,(12-DowntimeNew)/12,1),0)))),((F115-DATE(2026+1,5,1))/365.25)*G115*D115*(1+EscalatorInLease)^(1+M115)+((DATE(2027+1,4,30)-F115)/365.25)*IF(I115="Vacate",H115*D115*(1+GrowthMarketRent)^1*IF(INT((DATE(2026+1,10,31)-F115)/365.25)=0,(12-DowntimeNew)/12,1),IF(I115="Option",G115*D115*1.025*(1+EscalatorInLease)^1,IF(I115="Market",Retention*G115*D115*(1+EscalatorInLease)^(1+M115)+(1-Retention)*H115*D115*(1+GrowthMarketRent)^1*IF(INT((DATE(2026+1,10,31)-F115)/365.25)=0,(12-DowntimeNew)/12,1),IF(I115="LeaseUp",H115*D115*(1+GrowthMarketRent)^1*IF(1=0,(12-DowntimeNew)/12,1),0)))))))),0)</f>
        <v/>
      </c>
      <c r="P115" s="14">
        <f>IFERROR(IF(I115="LeaseUp",H115*D115*(1+GrowthMarketRent)^2*IF(2=0,(12-DowntimeNew)/12,1),IF(F115="",0,IF(F115&gt;=DATE(2027+2,4,30),G115*D115*(1+EscalatorInLease)^(2+M115),IF(F115&lt;DATE(2026+2,5,1),IF(I115="Vacate",H115*D115*(1+GrowthMarketRent)^2*IF(INT((DATE(2026+2,10,31)-F115)/365.25)=0,(12-DowntimeNew)/12,1),IF(I115="Option",G115*D115*1.025*(1+EscalatorInLease)^2,IF(I115="Market",Retention*G115*D115*(1+EscalatorInLease)^(2+M115)+(1-Retention)*H115*D115*(1+GrowthMarketRent)^2*IF(INT((DATE(2026+2,10,31)-F115)/365.25)=0,(12-DowntimeNew)/12,1),IF(I115="LeaseUp",H115*D115*(1+GrowthMarketRent)^2*IF(2=0,(12-DowntimeNew)/12,1),0)))),((F115-DATE(2026+2,5,1))/365.25)*G115*D115*(1+EscalatorInLease)^(2+M115)+((DATE(2027+2,4,30)-F115)/365.25)*IF(I115="Vacate",H115*D115*(1+GrowthMarketRent)^2*IF(INT((DATE(2026+2,10,31)-F115)/365.25)=0,(12-DowntimeNew)/12,1),IF(I115="Option",G115*D115*1.025*(1+EscalatorInLease)^2,IF(I115="Market",Retention*G115*D115*(1+EscalatorInLease)^(2+M115)+(1-Retention)*H115*D115*(1+GrowthMarketRent)^2*IF(INT((DATE(2026+2,10,31)-F115)/365.25)=0,(12-DowntimeNew)/12,1),IF(I115="LeaseUp",H115*D115*(1+GrowthMarketRent)^2*IF(2=0,(12-DowntimeNew)/12,1),0)))))))),0)</f>
        <v/>
      </c>
      <c r="Q115" s="14">
        <f>IFERROR(IF(I115="LeaseUp",H115*D115*(1+GrowthMarketRent)^3*IF(3=0,(12-DowntimeNew)/12,1),IF(F115="",0,IF(F115&gt;=DATE(2027+3,4,30),G115*D115*(1+EscalatorInLease)^(3+M115),IF(F115&lt;DATE(2026+3,5,1),IF(I115="Vacate",H115*D115*(1+GrowthMarketRent)^3*IF(INT((DATE(2026+3,10,31)-F115)/365.25)=0,(12-DowntimeNew)/12,1),IF(I115="Option",G115*D115*1.025*(1+EscalatorInLease)^3,IF(I115="Market",Retention*G115*D115*(1+EscalatorInLease)^(3+M115)+(1-Retention)*H115*D115*(1+GrowthMarketRent)^3*IF(INT((DATE(2026+3,10,31)-F115)/365.25)=0,(12-DowntimeNew)/12,1),IF(I115="LeaseUp",H115*D115*(1+GrowthMarketRent)^3*IF(3=0,(12-DowntimeNew)/12,1),0)))),((F115-DATE(2026+3,5,1))/365.25)*G115*D115*(1+EscalatorInLease)^(3+M115)+((DATE(2027+3,4,30)-F115)/365.25)*IF(I115="Vacate",H115*D115*(1+GrowthMarketRent)^3*IF(INT((DATE(2026+3,10,31)-F115)/365.25)=0,(12-DowntimeNew)/12,1),IF(I115="Option",G115*D115*1.025*(1+EscalatorInLease)^3,IF(I115="Market",Retention*G115*D115*(1+EscalatorInLease)^(3+M115)+(1-Retention)*H115*D115*(1+GrowthMarketRent)^3*IF(INT((DATE(2026+3,10,31)-F115)/365.25)=0,(12-DowntimeNew)/12,1),IF(I115="LeaseUp",H115*D115*(1+GrowthMarketRent)^3*IF(3=0,(12-DowntimeNew)/12,1),0)))))))),0)</f>
        <v/>
      </c>
      <c r="R115" s="14">
        <f>IFERROR(IF(I115="LeaseUp",H115*D115*(1+GrowthMarketRent)^4*IF(4=0,(12-DowntimeNew)/12,1),IF(F115="",0,IF(F115&gt;=DATE(2027+4,4,30),G115*D115*(1+EscalatorInLease)^(4+M115),IF(F115&lt;DATE(2026+4,5,1),IF(I115="Vacate",H115*D115*(1+GrowthMarketRent)^4*IF(INT((DATE(2026+4,10,31)-F115)/365.25)=0,(12-DowntimeNew)/12,1),IF(I115="Option",G115*D115*1.025*(1+EscalatorInLease)^4,IF(I115="Market",Retention*G115*D115*(1+EscalatorInLease)^(4+M115)+(1-Retention)*H115*D115*(1+GrowthMarketRent)^4*IF(INT((DATE(2026+4,10,31)-F115)/365.25)=0,(12-DowntimeNew)/12,1),IF(I115="LeaseUp",H115*D115*(1+GrowthMarketRent)^4*IF(4=0,(12-DowntimeNew)/12,1),0)))),((F115-DATE(2026+4,5,1))/365.25)*G115*D115*(1+EscalatorInLease)^(4+M115)+((DATE(2027+4,4,30)-F115)/365.25)*IF(I115="Vacate",H115*D115*(1+GrowthMarketRent)^4*IF(INT((DATE(2026+4,10,31)-F115)/365.25)=0,(12-DowntimeNew)/12,1),IF(I115="Option",G115*D115*1.025*(1+EscalatorInLease)^4,IF(I115="Market",Retention*G115*D115*(1+EscalatorInLease)^(4+M115)+(1-Retention)*H115*D115*(1+GrowthMarketRent)^4*IF(INT((DATE(2026+4,10,31)-F115)/365.25)=0,(12-DowntimeNew)/12,1),IF(I115="LeaseUp",H115*D115*(1+GrowthMarketRent)^4*IF(4=0,(12-DowntimeNew)/12,1),0)))))))),0)</f>
        <v/>
      </c>
      <c r="S115" s="14">
        <f>IFERROR(IF(I115="LeaseUp",H115*D115*(1+GrowthMarketRent)^5*IF(5=0,(12-DowntimeNew)/12,1),IF(F115="",0,IF(F115&gt;=DATE(2027+5,4,30),G115*D115*(1+EscalatorInLease)^(5+M115),IF(F115&lt;DATE(2026+5,5,1),IF(I115="Vacate",H115*D115*(1+GrowthMarketRent)^5*IF(INT((DATE(2026+5,10,31)-F115)/365.25)=0,(12-DowntimeNew)/12,1),IF(I115="Option",G115*D115*1.025*(1+EscalatorInLease)^5,IF(I115="Market",Retention*G115*D115*(1+EscalatorInLease)^(5+M115)+(1-Retention)*H115*D115*(1+GrowthMarketRent)^5*IF(INT((DATE(2026+5,10,31)-F115)/365.25)=0,(12-DowntimeNew)/12,1),IF(I115="LeaseUp",H115*D115*(1+GrowthMarketRent)^5*IF(5=0,(12-DowntimeNew)/12,1),0)))),((F115-DATE(2026+5,5,1))/365.25)*G115*D115*(1+EscalatorInLease)^(5+M115)+((DATE(2027+5,4,30)-F115)/365.25)*IF(I115="Vacate",H115*D115*(1+GrowthMarketRent)^5*IF(INT((DATE(2026+5,10,31)-F115)/365.25)=0,(12-DowntimeNew)/12,1),IF(I115="Option",G115*D115*1.025*(1+EscalatorInLease)^5,IF(I115="Market",Retention*G115*D115*(1+EscalatorInLease)^(5+M115)+(1-Retention)*H115*D115*(1+GrowthMarketRent)^5*IF(INT((DATE(2026+5,10,31)-F115)/365.25)=0,(12-DowntimeNew)/12,1),IF(I115="LeaseUp",H115*D115*(1+GrowthMarketRent)^5*IF(5=0,(12-DowntimeNew)/12,1),0)))))))),0)</f>
        <v/>
      </c>
      <c r="T115" s="14">
        <f>IFERROR(IF(I115="LeaseUp",H115*D115*(1+GrowthMarketRent)^6*IF(6=0,(12-DowntimeNew)/12,1),IF(F115="",0,IF(F115&gt;=DATE(2027+6,4,30),G115*D115*(1+EscalatorInLease)^(6+M115),IF(F115&lt;DATE(2026+6,5,1),IF(I115="Vacate",H115*D115*(1+GrowthMarketRent)^6*IF(INT((DATE(2026+6,10,31)-F115)/365.25)=0,(12-DowntimeNew)/12,1),IF(I115="Option",G115*D115*1.025*(1+EscalatorInLease)^6,IF(I115="Market",Retention*G115*D115*(1+EscalatorInLease)^(6+M115)+(1-Retention)*H115*D115*(1+GrowthMarketRent)^6*IF(INT((DATE(2026+6,10,31)-F115)/365.25)=0,(12-DowntimeNew)/12,1),IF(I115="LeaseUp",H115*D115*(1+GrowthMarketRent)^6*IF(6=0,(12-DowntimeNew)/12,1),0)))),((F115-DATE(2026+6,5,1))/365.25)*G115*D115*(1+EscalatorInLease)^(6+M115)+((DATE(2027+6,4,30)-F115)/365.25)*IF(I115="Vacate",H115*D115*(1+GrowthMarketRent)^6*IF(INT((DATE(2026+6,10,31)-F115)/365.25)=0,(12-DowntimeNew)/12,1),IF(I115="Option",G115*D115*1.025*(1+EscalatorInLease)^6,IF(I115="Market",Retention*G115*D115*(1+EscalatorInLease)^(6+M115)+(1-Retention)*H115*D115*(1+GrowthMarketRent)^6*IF(INT((DATE(2026+6,10,31)-F115)/365.25)=0,(12-DowntimeNew)/12,1),IF(I115="LeaseUp",H115*D115*(1+GrowthMarketRent)^6*IF(6=0,(12-DowntimeNew)/12,1),0)))))))),0)</f>
        <v/>
      </c>
      <c r="U115" s="14">
        <f>IFERROR(IF(I115="LeaseUp",H115*D115*(1+GrowthMarketRent)^7*IF(7=0,(12-DowntimeNew)/12,1),IF(F115="",0,IF(F115&gt;=DATE(2027+7,4,30),G115*D115*(1+EscalatorInLease)^(7+M115),IF(F115&lt;DATE(2026+7,5,1),IF(I115="Vacate",H115*D115*(1+GrowthMarketRent)^7*IF(INT((DATE(2026+7,10,31)-F115)/365.25)=0,(12-DowntimeNew)/12,1),IF(I115="Option",G115*D115*1.025*(1+EscalatorInLease)^7,IF(I115="Market",Retention*G115*D115*(1+EscalatorInLease)^(7+M115)+(1-Retention)*H115*D115*(1+GrowthMarketRent)^7*IF(INT((DATE(2026+7,10,31)-F115)/365.25)=0,(12-DowntimeNew)/12,1),IF(I115="LeaseUp",H115*D115*(1+GrowthMarketRent)^7*IF(7=0,(12-DowntimeNew)/12,1),0)))),((F115-DATE(2026+7,5,1))/365.25)*G115*D115*(1+EscalatorInLease)^(7+M115)+((DATE(2027+7,4,30)-F115)/365.25)*IF(I115="Vacate",H115*D115*(1+GrowthMarketRent)^7*IF(INT((DATE(2026+7,10,31)-F115)/365.25)=0,(12-DowntimeNew)/12,1),IF(I115="Option",G115*D115*1.025*(1+EscalatorInLease)^7,IF(I115="Market",Retention*G115*D115*(1+EscalatorInLease)^(7+M115)+(1-Retention)*H115*D115*(1+GrowthMarketRent)^7*IF(INT((DATE(2026+7,10,31)-F115)/365.25)=0,(12-DowntimeNew)/12,1),IF(I115="LeaseUp",H115*D115*(1+GrowthMarketRent)^7*IF(7=0,(12-DowntimeNew)/12,1),0)))))))),0)</f>
        <v/>
      </c>
      <c r="V115" s="14">
        <f>IFERROR(IF(I115="LeaseUp",H115*D115*(1+GrowthMarketRent)^8*IF(8=0,(12-DowntimeNew)/12,1),IF(F115="",0,IF(F115&gt;=DATE(2027+8,4,30),G115*D115*(1+EscalatorInLease)^(8+M115),IF(F115&lt;DATE(2026+8,5,1),IF(I115="Vacate",H115*D115*(1+GrowthMarketRent)^8*IF(INT((DATE(2026+8,10,31)-F115)/365.25)=0,(12-DowntimeNew)/12,1),IF(I115="Option",G115*D115*1.025*(1+EscalatorInLease)^8,IF(I115="Market",Retention*G115*D115*(1+EscalatorInLease)^(8+M115)+(1-Retention)*H115*D115*(1+GrowthMarketRent)^8*IF(INT((DATE(2026+8,10,31)-F115)/365.25)=0,(12-DowntimeNew)/12,1),IF(I115="LeaseUp",H115*D115*(1+GrowthMarketRent)^8*IF(8=0,(12-DowntimeNew)/12,1),0)))),((F115-DATE(2026+8,5,1))/365.25)*G115*D115*(1+EscalatorInLease)^(8+M115)+((DATE(2027+8,4,30)-F115)/365.25)*IF(I115="Vacate",H115*D115*(1+GrowthMarketRent)^8*IF(INT((DATE(2026+8,10,31)-F115)/365.25)=0,(12-DowntimeNew)/12,1),IF(I115="Option",G115*D115*1.025*(1+EscalatorInLease)^8,IF(I115="Market",Retention*G115*D115*(1+EscalatorInLease)^(8+M115)+(1-Retention)*H115*D115*(1+GrowthMarketRent)^8*IF(INT((DATE(2026+8,10,31)-F115)/365.25)=0,(12-DowntimeNew)/12,1),IF(I115="LeaseUp",H115*D115*(1+GrowthMarketRent)^8*IF(8=0,(12-DowntimeNew)/12,1),0)))))))),0)</f>
        <v/>
      </c>
      <c r="W115" s="14">
        <f>IFERROR(IF(I115="LeaseUp",H115*D115*(1+GrowthMarketRent)^9*IF(9=0,(12-DowntimeNew)/12,1),IF(F115="",0,IF(F115&gt;=DATE(2027+9,4,30),G115*D115*(1+EscalatorInLease)^(9+M115),IF(F115&lt;DATE(2026+9,5,1),IF(I115="Vacate",H115*D115*(1+GrowthMarketRent)^9*IF(INT((DATE(2026+9,10,31)-F115)/365.25)=0,(12-DowntimeNew)/12,1),IF(I115="Option",G115*D115*1.025*(1+EscalatorInLease)^9,IF(I115="Market",Retention*G115*D115*(1+EscalatorInLease)^(9+M115)+(1-Retention)*H115*D115*(1+GrowthMarketRent)^9*IF(INT((DATE(2026+9,10,31)-F115)/365.25)=0,(12-DowntimeNew)/12,1),IF(I115="LeaseUp",H115*D115*(1+GrowthMarketRent)^9*IF(9=0,(12-DowntimeNew)/12,1),0)))),((F115-DATE(2026+9,5,1))/365.25)*G115*D115*(1+EscalatorInLease)^(9+M115)+((DATE(2027+9,4,30)-F115)/365.25)*IF(I115="Vacate",H115*D115*(1+GrowthMarketRent)^9*IF(INT((DATE(2026+9,10,31)-F115)/365.25)=0,(12-DowntimeNew)/12,1),IF(I115="Option",G115*D115*1.025*(1+EscalatorInLease)^9,IF(I115="Market",Retention*G115*D115*(1+EscalatorInLease)^(9+M115)+(1-Retention)*H115*D115*(1+GrowthMarketRent)^9*IF(INT((DATE(2026+9,10,31)-F115)/365.25)=0,(12-DowntimeNew)/12,1),IF(I115="LeaseUp",H115*D115*(1+GrowthMarketRent)^9*IF(9=0,(12-DowntimeNew)/12,1),0)))))))),0)</f>
        <v/>
      </c>
      <c r="X115" s="14">
        <f>IFERROR(IF(I115="LeaseUp",H115*D115*(1+GrowthMarketRent)^10*IF(10=0,(12-DowntimeNew)/12,1),IF(F115="",0,IF(F115&gt;=DATE(2027+10,4,30),G115*D115*(1+EscalatorInLease)^(10+M115),IF(F115&lt;DATE(2026+10,5,1),IF(I115="Vacate",H115*D115*(1+GrowthMarketRent)^10*IF(INT((DATE(2026+10,10,31)-F115)/365.25)=0,(12-DowntimeNew)/12,1),IF(I115="Option",G115*D115*1.025*(1+EscalatorInLease)^10,IF(I115="Market",Retention*G115*D115*(1+EscalatorInLease)^(10+M115)+(1-Retention)*H115*D115*(1+GrowthMarketRent)^10*IF(INT((DATE(2026+10,10,31)-F115)/365.25)=0,(12-DowntimeNew)/12,1),IF(I115="LeaseUp",H115*D115*(1+GrowthMarketRent)^10*IF(10=0,(12-DowntimeNew)/12,1),0)))),((F115-DATE(2026+10,5,1))/365.25)*G115*D115*(1+EscalatorInLease)^(10+M115)+((DATE(2027+10,4,30)-F115)/365.25)*IF(I115="Vacate",H115*D115*(1+GrowthMarketRent)^10*IF(INT((DATE(2026+10,10,31)-F115)/365.25)=0,(12-DowntimeNew)/12,1),IF(I115="Option",G115*D115*1.025*(1+EscalatorInLease)^10,IF(I115="Market",Retention*G115*D115*(1+EscalatorInLease)^(10+M115)+(1-Retention)*H115*D115*(1+GrowthMarketRent)^10*IF(INT((DATE(2026+10,10,31)-F115)/365.25)=0,(12-DowntimeNew)/12,1),IF(I115="LeaseUp",H115*D115*(1+GrowthMarketRent)^10*IF(10=0,(12-DowntimeNew)/12,1),0)))))))),0)</f>
        <v/>
      </c>
      <c r="Y115" s="14">
        <f>IFERROR(IF(AND(I115="LeaseUp",0=0),(IF(I115="Vacate",TINew*D115,IF(I115="Market",Retention*TIRenewal*D115+(1-Retention)*TINew*D115,IF(I115="LeaseUp",TINew*D115,IF(I115="Option",TIRenewal*D115,0)))))+(IF(I115="Vacate",LCNew*H115*D115*(1+GrowthMarketRent)^0,IF(I115="Market",Retention*LCRenewal*H115*D115*(1+GrowthMarketRent)^0+(1-Retention)*LCNew*H115*D115*(1+GrowthMarketRent)^0,IF(I115="LeaseUp",LCNew*H115*D115*(1+GrowthMarketRent)^0,IF(I115="Option",LCRenewal*H115*D115*(1+GrowthMarketRent)^0,0))))),IF(F115="",0,IF(AND(F115&gt;=DATE(2026+0,5,1),F115&lt;=DATE(2027+0,4,30)),(IF(I115="Vacate",TINew*D115,IF(I115="Market",Retention*TIRenewal*D115+(1-Retention)*TINew*D115,IF(I115="LeaseUp",TINew*D115,IF(I115="Option",TIRenewal*D115,0)))))+(IF(I115="Vacate",LCNew*H115*D115*(1+GrowthMarketRent)^0,IF(I115="Market",Retention*LCRenewal*H115*D115*(1+GrowthMarketRent)^0+(1-Retention)*LCNew*H115*D115*(1+GrowthMarketRent)^0,IF(I115="LeaseUp",LCNew*H115*D115*(1+GrowthMarketRent)^0,IF(I115="Option",LCRenewal*H115*D115*(1+GrowthMarketRent)^0,0))))),0))),0)</f>
        <v/>
      </c>
      <c r="Z115" s="14">
        <f>IFERROR(IF(AND(I115="LeaseUp",1=0),(IF(I115="Vacate",TINew*D115,IF(I115="Market",Retention*TIRenewal*D115+(1-Retention)*TINew*D115,IF(I115="LeaseUp",TINew*D115,IF(I115="Option",TIRenewal*D115,0)))))+(IF(I115="Vacate",LCNew*H115*D115*(1+GrowthMarketRent)^1,IF(I115="Market",Retention*LCRenewal*H115*D115*(1+GrowthMarketRent)^1+(1-Retention)*LCNew*H115*D115*(1+GrowthMarketRent)^1,IF(I115="LeaseUp",LCNew*H115*D115*(1+GrowthMarketRent)^1,IF(I115="Option",LCRenewal*H115*D115*(1+GrowthMarketRent)^1,0))))),IF(F115="",0,IF(AND(F115&gt;=DATE(2026+1,5,1),F115&lt;=DATE(2027+1,4,30)),(IF(I115="Vacate",TINew*D115,IF(I115="Market",Retention*TIRenewal*D115+(1-Retention)*TINew*D115,IF(I115="LeaseUp",TINew*D115,IF(I115="Option",TIRenewal*D115,0)))))+(IF(I115="Vacate",LCNew*H115*D115*(1+GrowthMarketRent)^1,IF(I115="Market",Retention*LCRenewal*H115*D115*(1+GrowthMarketRent)^1+(1-Retention)*LCNew*H115*D115*(1+GrowthMarketRent)^1,IF(I115="LeaseUp",LCNew*H115*D115*(1+GrowthMarketRent)^1,IF(I115="Option",LCRenewal*H115*D115*(1+GrowthMarketRent)^1,0))))),0))),0)</f>
        <v/>
      </c>
      <c r="AA115" s="14">
        <f>IFERROR(IF(AND(I115="LeaseUp",2=0),(IF(I115="Vacate",TINew*D115,IF(I115="Market",Retention*TIRenewal*D115+(1-Retention)*TINew*D115,IF(I115="LeaseUp",TINew*D115,IF(I115="Option",TIRenewal*D115,0)))))+(IF(I115="Vacate",LCNew*H115*D115*(1+GrowthMarketRent)^2,IF(I115="Market",Retention*LCRenewal*H115*D115*(1+GrowthMarketRent)^2+(1-Retention)*LCNew*H115*D115*(1+GrowthMarketRent)^2,IF(I115="LeaseUp",LCNew*H115*D115*(1+GrowthMarketRent)^2,IF(I115="Option",LCRenewal*H115*D115*(1+GrowthMarketRent)^2,0))))),IF(F115="",0,IF(AND(F115&gt;=DATE(2026+2,5,1),F115&lt;=DATE(2027+2,4,30)),(IF(I115="Vacate",TINew*D115,IF(I115="Market",Retention*TIRenewal*D115+(1-Retention)*TINew*D115,IF(I115="LeaseUp",TINew*D115,IF(I115="Option",TIRenewal*D115,0)))))+(IF(I115="Vacate",LCNew*H115*D115*(1+GrowthMarketRent)^2,IF(I115="Market",Retention*LCRenewal*H115*D115*(1+GrowthMarketRent)^2+(1-Retention)*LCNew*H115*D115*(1+GrowthMarketRent)^2,IF(I115="LeaseUp",LCNew*H115*D115*(1+GrowthMarketRent)^2,IF(I115="Option",LCRenewal*H115*D115*(1+GrowthMarketRent)^2,0))))),0))),0)</f>
        <v/>
      </c>
      <c r="AB115" s="14">
        <f>IFERROR(IF(AND(I115="LeaseUp",3=0),(IF(I115="Vacate",TINew*D115,IF(I115="Market",Retention*TIRenewal*D115+(1-Retention)*TINew*D115,IF(I115="LeaseUp",TINew*D115,IF(I115="Option",TIRenewal*D115,0)))))+(IF(I115="Vacate",LCNew*H115*D115*(1+GrowthMarketRent)^3,IF(I115="Market",Retention*LCRenewal*H115*D115*(1+GrowthMarketRent)^3+(1-Retention)*LCNew*H115*D115*(1+GrowthMarketRent)^3,IF(I115="LeaseUp",LCNew*H115*D115*(1+GrowthMarketRent)^3,IF(I115="Option",LCRenewal*H115*D115*(1+GrowthMarketRent)^3,0))))),IF(F115="",0,IF(AND(F115&gt;=DATE(2026+3,5,1),F115&lt;=DATE(2027+3,4,30)),(IF(I115="Vacate",TINew*D115,IF(I115="Market",Retention*TIRenewal*D115+(1-Retention)*TINew*D115,IF(I115="LeaseUp",TINew*D115,IF(I115="Option",TIRenewal*D115,0)))))+(IF(I115="Vacate",LCNew*H115*D115*(1+GrowthMarketRent)^3,IF(I115="Market",Retention*LCRenewal*H115*D115*(1+GrowthMarketRent)^3+(1-Retention)*LCNew*H115*D115*(1+GrowthMarketRent)^3,IF(I115="LeaseUp",LCNew*H115*D115*(1+GrowthMarketRent)^3,IF(I115="Option",LCRenewal*H115*D115*(1+GrowthMarketRent)^3,0))))),0))),0)</f>
        <v/>
      </c>
      <c r="AC115" s="14">
        <f>IFERROR(IF(AND(I115="LeaseUp",4=0),(IF(I115="Vacate",TINew*D115,IF(I115="Market",Retention*TIRenewal*D115+(1-Retention)*TINew*D115,IF(I115="LeaseUp",TINew*D115,IF(I115="Option",TIRenewal*D115,0)))))+(IF(I115="Vacate",LCNew*H115*D115*(1+GrowthMarketRent)^4,IF(I115="Market",Retention*LCRenewal*H115*D115*(1+GrowthMarketRent)^4+(1-Retention)*LCNew*H115*D115*(1+GrowthMarketRent)^4,IF(I115="LeaseUp",LCNew*H115*D115*(1+GrowthMarketRent)^4,IF(I115="Option",LCRenewal*H115*D115*(1+GrowthMarketRent)^4,0))))),IF(F115="",0,IF(AND(F115&gt;=DATE(2026+4,5,1),F115&lt;=DATE(2027+4,4,30)),(IF(I115="Vacate",TINew*D115,IF(I115="Market",Retention*TIRenewal*D115+(1-Retention)*TINew*D115,IF(I115="LeaseUp",TINew*D115,IF(I115="Option",TIRenewal*D115,0)))))+(IF(I115="Vacate",LCNew*H115*D115*(1+GrowthMarketRent)^4,IF(I115="Market",Retention*LCRenewal*H115*D115*(1+GrowthMarketRent)^4+(1-Retention)*LCNew*H115*D115*(1+GrowthMarketRent)^4,IF(I115="LeaseUp",LCNew*H115*D115*(1+GrowthMarketRent)^4,IF(I115="Option",LCRenewal*H115*D115*(1+GrowthMarketRent)^4,0))))),0))),0)</f>
        <v/>
      </c>
      <c r="AD115" s="14">
        <f>IFERROR(IF(AND(I115="LeaseUp",5=0),(IF(I115="Vacate",TINew*D115,IF(I115="Market",Retention*TIRenewal*D115+(1-Retention)*TINew*D115,IF(I115="LeaseUp",TINew*D115,IF(I115="Option",TIRenewal*D115,0)))))+(IF(I115="Vacate",LCNew*H115*D115*(1+GrowthMarketRent)^5,IF(I115="Market",Retention*LCRenewal*H115*D115*(1+GrowthMarketRent)^5+(1-Retention)*LCNew*H115*D115*(1+GrowthMarketRent)^5,IF(I115="LeaseUp",LCNew*H115*D115*(1+GrowthMarketRent)^5,IF(I115="Option",LCRenewal*H115*D115*(1+GrowthMarketRent)^5,0))))),IF(F115="",0,IF(AND(F115&gt;=DATE(2026+5,5,1),F115&lt;=DATE(2027+5,4,30)),(IF(I115="Vacate",TINew*D115,IF(I115="Market",Retention*TIRenewal*D115+(1-Retention)*TINew*D115,IF(I115="LeaseUp",TINew*D115,IF(I115="Option",TIRenewal*D115,0)))))+(IF(I115="Vacate",LCNew*H115*D115*(1+GrowthMarketRent)^5,IF(I115="Market",Retention*LCRenewal*H115*D115*(1+GrowthMarketRent)^5+(1-Retention)*LCNew*H115*D115*(1+GrowthMarketRent)^5,IF(I115="LeaseUp",LCNew*H115*D115*(1+GrowthMarketRent)^5,IF(I115="Option",LCRenewal*H115*D115*(1+GrowthMarketRent)^5,0))))),0))),0)</f>
        <v/>
      </c>
      <c r="AE115" s="14">
        <f>IFERROR(IF(AND(I115="LeaseUp",6=0),(IF(I115="Vacate",TINew*D115,IF(I115="Market",Retention*TIRenewal*D115+(1-Retention)*TINew*D115,IF(I115="LeaseUp",TINew*D115,IF(I115="Option",TIRenewal*D115,0)))))+(IF(I115="Vacate",LCNew*H115*D115*(1+GrowthMarketRent)^6,IF(I115="Market",Retention*LCRenewal*H115*D115*(1+GrowthMarketRent)^6+(1-Retention)*LCNew*H115*D115*(1+GrowthMarketRent)^6,IF(I115="LeaseUp",LCNew*H115*D115*(1+GrowthMarketRent)^6,IF(I115="Option",LCRenewal*H115*D115*(1+GrowthMarketRent)^6,0))))),IF(F115="",0,IF(AND(F115&gt;=DATE(2026+6,5,1),F115&lt;=DATE(2027+6,4,30)),(IF(I115="Vacate",TINew*D115,IF(I115="Market",Retention*TIRenewal*D115+(1-Retention)*TINew*D115,IF(I115="LeaseUp",TINew*D115,IF(I115="Option",TIRenewal*D115,0)))))+(IF(I115="Vacate",LCNew*H115*D115*(1+GrowthMarketRent)^6,IF(I115="Market",Retention*LCRenewal*H115*D115*(1+GrowthMarketRent)^6+(1-Retention)*LCNew*H115*D115*(1+GrowthMarketRent)^6,IF(I115="LeaseUp",LCNew*H115*D115*(1+GrowthMarketRent)^6,IF(I115="Option",LCRenewal*H115*D115*(1+GrowthMarketRent)^6,0))))),0))),0)</f>
        <v/>
      </c>
      <c r="AF115" s="14">
        <f>IFERROR(IF(AND(I115="LeaseUp",7=0),(IF(I115="Vacate",TINew*D115,IF(I115="Market",Retention*TIRenewal*D115+(1-Retention)*TINew*D115,IF(I115="LeaseUp",TINew*D115,IF(I115="Option",TIRenewal*D115,0)))))+(IF(I115="Vacate",LCNew*H115*D115*(1+GrowthMarketRent)^7,IF(I115="Market",Retention*LCRenewal*H115*D115*(1+GrowthMarketRent)^7+(1-Retention)*LCNew*H115*D115*(1+GrowthMarketRent)^7,IF(I115="LeaseUp",LCNew*H115*D115*(1+GrowthMarketRent)^7,IF(I115="Option",LCRenewal*H115*D115*(1+GrowthMarketRent)^7,0))))),IF(F115="",0,IF(AND(F115&gt;=DATE(2026+7,5,1),F115&lt;=DATE(2027+7,4,30)),(IF(I115="Vacate",TINew*D115,IF(I115="Market",Retention*TIRenewal*D115+(1-Retention)*TINew*D115,IF(I115="LeaseUp",TINew*D115,IF(I115="Option",TIRenewal*D115,0)))))+(IF(I115="Vacate",LCNew*H115*D115*(1+GrowthMarketRent)^7,IF(I115="Market",Retention*LCRenewal*H115*D115*(1+GrowthMarketRent)^7+(1-Retention)*LCNew*H115*D115*(1+GrowthMarketRent)^7,IF(I115="LeaseUp",LCNew*H115*D115*(1+GrowthMarketRent)^7,IF(I115="Option",LCRenewal*H115*D115*(1+GrowthMarketRent)^7,0))))),0))),0)</f>
        <v/>
      </c>
      <c r="AG115" s="14">
        <f>IFERROR(IF(AND(I115="LeaseUp",8=0),(IF(I115="Vacate",TINew*D115,IF(I115="Market",Retention*TIRenewal*D115+(1-Retention)*TINew*D115,IF(I115="LeaseUp",TINew*D115,IF(I115="Option",TIRenewal*D115,0)))))+(IF(I115="Vacate",LCNew*H115*D115*(1+GrowthMarketRent)^8,IF(I115="Market",Retention*LCRenewal*H115*D115*(1+GrowthMarketRent)^8+(1-Retention)*LCNew*H115*D115*(1+GrowthMarketRent)^8,IF(I115="LeaseUp",LCNew*H115*D115*(1+GrowthMarketRent)^8,IF(I115="Option",LCRenewal*H115*D115*(1+GrowthMarketRent)^8,0))))),IF(F115="",0,IF(AND(F115&gt;=DATE(2026+8,5,1),F115&lt;=DATE(2027+8,4,30)),(IF(I115="Vacate",TINew*D115,IF(I115="Market",Retention*TIRenewal*D115+(1-Retention)*TINew*D115,IF(I115="LeaseUp",TINew*D115,IF(I115="Option",TIRenewal*D115,0)))))+(IF(I115="Vacate",LCNew*H115*D115*(1+GrowthMarketRent)^8,IF(I115="Market",Retention*LCRenewal*H115*D115*(1+GrowthMarketRent)^8+(1-Retention)*LCNew*H115*D115*(1+GrowthMarketRent)^8,IF(I115="LeaseUp",LCNew*H115*D115*(1+GrowthMarketRent)^8,IF(I115="Option",LCRenewal*H115*D115*(1+GrowthMarketRent)^8,0))))),0))),0)</f>
        <v/>
      </c>
      <c r="AH115" s="14">
        <f>IFERROR(IF(AND(I115="LeaseUp",9=0),(IF(I115="Vacate",TINew*D115,IF(I115="Market",Retention*TIRenewal*D115+(1-Retention)*TINew*D115,IF(I115="LeaseUp",TINew*D115,IF(I115="Option",TIRenewal*D115,0)))))+(IF(I115="Vacate",LCNew*H115*D115*(1+GrowthMarketRent)^9,IF(I115="Market",Retention*LCRenewal*H115*D115*(1+GrowthMarketRent)^9+(1-Retention)*LCNew*H115*D115*(1+GrowthMarketRent)^9,IF(I115="LeaseUp",LCNew*H115*D115*(1+GrowthMarketRent)^9,IF(I115="Option",LCRenewal*H115*D115*(1+GrowthMarketRent)^9,0))))),IF(F115="",0,IF(AND(F115&gt;=DATE(2026+9,5,1),F115&lt;=DATE(2027+9,4,30)),(IF(I115="Vacate",TINew*D115,IF(I115="Market",Retention*TIRenewal*D115+(1-Retention)*TINew*D115,IF(I115="LeaseUp",TINew*D115,IF(I115="Option",TIRenewal*D115,0)))))+(IF(I115="Vacate",LCNew*H115*D115*(1+GrowthMarketRent)^9,IF(I115="Market",Retention*LCRenewal*H115*D115*(1+GrowthMarketRent)^9+(1-Retention)*LCNew*H115*D115*(1+GrowthMarketRent)^9,IF(I115="LeaseUp",LCNew*H115*D115*(1+GrowthMarketRent)^9,IF(I115="Option",LCRenewal*H115*D115*(1+GrowthMarketRent)^9,0))))),0))),0)</f>
        <v/>
      </c>
      <c r="AI115" s="14">
        <f>IFERROR(IF(AND(I115="LeaseUp",10=0),(IF(I115="Vacate",TINew*D115,IF(I115="Market",Retention*TIRenewal*D115+(1-Retention)*TINew*D115,IF(I115="LeaseUp",TINew*D115,IF(I115="Option",TIRenewal*D115,0)))))+(IF(I115="Vacate",LCNew*H115*D115*(1+GrowthMarketRent)^10,IF(I115="Market",Retention*LCRenewal*H115*D115*(1+GrowthMarketRent)^10+(1-Retention)*LCNew*H115*D115*(1+GrowthMarketRent)^10,IF(I115="LeaseUp",LCNew*H115*D115*(1+GrowthMarketRent)^10,IF(I115="Option",LCRenewal*H115*D115*(1+GrowthMarketRent)^10,0))))),IF(F115="",0,IF(AND(F115&gt;=DATE(2026+10,5,1),F115&lt;=DATE(2027+10,4,30)),(IF(I115="Vacate",TINew*D115,IF(I115="Market",Retention*TIRenewal*D115+(1-Retention)*TINew*D115,IF(I115="LeaseUp",TINew*D115,IF(I115="Option",TIRenewal*D115,0)))))+(IF(I115="Vacate",LCNew*H115*D115*(1+GrowthMarketRent)^10,IF(I115="Market",Retention*LCRenewal*H115*D115*(1+GrowthMarketRent)^10+(1-Retention)*LCNew*H115*D115*(1+GrowthMarketRent)^10,IF(I115="LeaseUp",LCNew*H115*D115*(1+GrowthMarketRent)^10,IF(I115="Option",LCRenewal*H115*D115*(1+GrowthMarketRent)^10,0))))),0))),0)</f>
        <v/>
      </c>
    </row>
    <row r="116">
      <c r="A116" t="inlineStr">
        <is>
          <t>Lewisville</t>
        </is>
      </c>
      <c r="B116" t="inlineStr">
        <is>
          <t>306</t>
        </is>
      </c>
      <c r="C116" t="inlineStr">
        <is>
          <t>Moonshot 3D LLC</t>
        </is>
      </c>
      <c r="D116" s="32" t="n">
        <v>1870</v>
      </c>
      <c r="E116" s="33" t="n">
        <v>45078</v>
      </c>
      <c r="F116" s="33" t="n">
        <v>46327</v>
      </c>
      <c r="G116" s="34" t="n">
        <v>15.2342245989305</v>
      </c>
      <c r="H116" s="16">
        <f>VLOOKUP(A116,MLA!$A$5:$L$11,3,FALSE)</f>
        <v/>
      </c>
      <c r="I116" s="11" t="inlineStr">
        <is>
          <t>Option</t>
        </is>
      </c>
      <c r="J116" t="inlineStr">
        <is>
          <t>Studio</t>
        </is>
      </c>
      <c r="K116" t="inlineStr">
        <is>
          <t>Occupied</t>
        </is>
      </c>
      <c r="L116" t="inlineStr">
        <is>
          <t>Studio; Guarantor: Adnan Hussaini; Two 3yr options</t>
        </is>
      </c>
      <c r="M116" s="20">
        <f>IF(E116="",0,(AnalysisStart-E116)/365.25)</f>
        <v/>
      </c>
      <c r="N116" s="14">
        <f>IFERROR(IF(I116="LeaseUp",H116*D116*(1+GrowthMarketRent)^0*IF(0=0,(12-DowntimeNew)/12,1),IF(F116="",0,IF(F116&gt;=DATE(2027+0,4,30),G116*D116*(1+EscalatorInLease)^(0+M116),IF(F116&lt;DATE(2026+0,5,1),IF(I116="Vacate",H116*D116*(1+GrowthMarketRent)^0*IF(INT((DATE(2026+0,10,31)-F116)/365.25)=0,(12-DowntimeNew)/12,1),IF(I116="Option",G116*D116*1.025*(1+EscalatorInLease)^0,IF(I116="Market",Retention*G116*D116*(1+EscalatorInLease)^(0+M116)+(1-Retention)*H116*D116*(1+GrowthMarketRent)^0*IF(INT((DATE(2026+0,10,31)-F116)/365.25)=0,(12-DowntimeNew)/12,1),IF(I116="LeaseUp",H116*D116*(1+GrowthMarketRent)^0*IF(0=0,(12-DowntimeNew)/12,1),0)))),((F116-DATE(2026+0,5,1))/365.25)*G116*D116*(1+EscalatorInLease)^(0+M116)+((DATE(2027+0,4,30)-F116)/365.25)*IF(I116="Vacate",H116*D116*(1+GrowthMarketRent)^0*IF(INT((DATE(2026+0,10,31)-F116)/365.25)=0,(12-DowntimeNew)/12,1),IF(I116="Option",G116*D116*1.025*(1+EscalatorInLease)^0,IF(I116="Market",Retention*G116*D116*(1+EscalatorInLease)^(0+M116)+(1-Retention)*H116*D116*(1+GrowthMarketRent)^0*IF(INT((DATE(2026+0,10,31)-F116)/365.25)=0,(12-DowntimeNew)/12,1),IF(I116="LeaseUp",H116*D116*(1+GrowthMarketRent)^0*IF(0=0,(12-DowntimeNew)/12,1),0)))))))),0)</f>
        <v/>
      </c>
      <c r="O116" s="14">
        <f>IFERROR(IF(I116="LeaseUp",H116*D116*(1+GrowthMarketRent)^1*IF(1=0,(12-DowntimeNew)/12,1),IF(F116="",0,IF(F116&gt;=DATE(2027+1,4,30),G116*D116*(1+EscalatorInLease)^(1+M116),IF(F116&lt;DATE(2026+1,5,1),IF(I116="Vacate",H116*D116*(1+GrowthMarketRent)^1*IF(INT((DATE(2026+1,10,31)-F116)/365.25)=0,(12-DowntimeNew)/12,1),IF(I116="Option",G116*D116*1.025*(1+EscalatorInLease)^1,IF(I116="Market",Retention*G116*D116*(1+EscalatorInLease)^(1+M116)+(1-Retention)*H116*D116*(1+GrowthMarketRent)^1*IF(INT((DATE(2026+1,10,31)-F116)/365.25)=0,(12-DowntimeNew)/12,1),IF(I116="LeaseUp",H116*D116*(1+GrowthMarketRent)^1*IF(1=0,(12-DowntimeNew)/12,1),0)))),((F116-DATE(2026+1,5,1))/365.25)*G116*D116*(1+EscalatorInLease)^(1+M116)+((DATE(2027+1,4,30)-F116)/365.25)*IF(I116="Vacate",H116*D116*(1+GrowthMarketRent)^1*IF(INT((DATE(2026+1,10,31)-F116)/365.25)=0,(12-DowntimeNew)/12,1),IF(I116="Option",G116*D116*1.025*(1+EscalatorInLease)^1,IF(I116="Market",Retention*G116*D116*(1+EscalatorInLease)^(1+M116)+(1-Retention)*H116*D116*(1+GrowthMarketRent)^1*IF(INT((DATE(2026+1,10,31)-F116)/365.25)=0,(12-DowntimeNew)/12,1),IF(I116="LeaseUp",H116*D116*(1+GrowthMarketRent)^1*IF(1=0,(12-DowntimeNew)/12,1),0)))))))),0)</f>
        <v/>
      </c>
      <c r="P116" s="14">
        <f>IFERROR(IF(I116="LeaseUp",H116*D116*(1+GrowthMarketRent)^2*IF(2=0,(12-DowntimeNew)/12,1),IF(F116="",0,IF(F116&gt;=DATE(2027+2,4,30),G116*D116*(1+EscalatorInLease)^(2+M116),IF(F116&lt;DATE(2026+2,5,1),IF(I116="Vacate",H116*D116*(1+GrowthMarketRent)^2*IF(INT((DATE(2026+2,10,31)-F116)/365.25)=0,(12-DowntimeNew)/12,1),IF(I116="Option",G116*D116*1.025*(1+EscalatorInLease)^2,IF(I116="Market",Retention*G116*D116*(1+EscalatorInLease)^(2+M116)+(1-Retention)*H116*D116*(1+GrowthMarketRent)^2*IF(INT((DATE(2026+2,10,31)-F116)/365.25)=0,(12-DowntimeNew)/12,1),IF(I116="LeaseUp",H116*D116*(1+GrowthMarketRent)^2*IF(2=0,(12-DowntimeNew)/12,1),0)))),((F116-DATE(2026+2,5,1))/365.25)*G116*D116*(1+EscalatorInLease)^(2+M116)+((DATE(2027+2,4,30)-F116)/365.25)*IF(I116="Vacate",H116*D116*(1+GrowthMarketRent)^2*IF(INT((DATE(2026+2,10,31)-F116)/365.25)=0,(12-DowntimeNew)/12,1),IF(I116="Option",G116*D116*1.025*(1+EscalatorInLease)^2,IF(I116="Market",Retention*G116*D116*(1+EscalatorInLease)^(2+M116)+(1-Retention)*H116*D116*(1+GrowthMarketRent)^2*IF(INT((DATE(2026+2,10,31)-F116)/365.25)=0,(12-DowntimeNew)/12,1),IF(I116="LeaseUp",H116*D116*(1+GrowthMarketRent)^2*IF(2=0,(12-DowntimeNew)/12,1),0)))))))),0)</f>
        <v/>
      </c>
      <c r="Q116" s="14">
        <f>IFERROR(IF(I116="LeaseUp",H116*D116*(1+GrowthMarketRent)^3*IF(3=0,(12-DowntimeNew)/12,1),IF(F116="",0,IF(F116&gt;=DATE(2027+3,4,30),G116*D116*(1+EscalatorInLease)^(3+M116),IF(F116&lt;DATE(2026+3,5,1),IF(I116="Vacate",H116*D116*(1+GrowthMarketRent)^3*IF(INT((DATE(2026+3,10,31)-F116)/365.25)=0,(12-DowntimeNew)/12,1),IF(I116="Option",G116*D116*1.025*(1+EscalatorInLease)^3,IF(I116="Market",Retention*G116*D116*(1+EscalatorInLease)^(3+M116)+(1-Retention)*H116*D116*(1+GrowthMarketRent)^3*IF(INT((DATE(2026+3,10,31)-F116)/365.25)=0,(12-DowntimeNew)/12,1),IF(I116="LeaseUp",H116*D116*(1+GrowthMarketRent)^3*IF(3=0,(12-DowntimeNew)/12,1),0)))),((F116-DATE(2026+3,5,1))/365.25)*G116*D116*(1+EscalatorInLease)^(3+M116)+((DATE(2027+3,4,30)-F116)/365.25)*IF(I116="Vacate",H116*D116*(1+GrowthMarketRent)^3*IF(INT((DATE(2026+3,10,31)-F116)/365.25)=0,(12-DowntimeNew)/12,1),IF(I116="Option",G116*D116*1.025*(1+EscalatorInLease)^3,IF(I116="Market",Retention*G116*D116*(1+EscalatorInLease)^(3+M116)+(1-Retention)*H116*D116*(1+GrowthMarketRent)^3*IF(INT((DATE(2026+3,10,31)-F116)/365.25)=0,(12-DowntimeNew)/12,1),IF(I116="LeaseUp",H116*D116*(1+GrowthMarketRent)^3*IF(3=0,(12-DowntimeNew)/12,1),0)))))))),0)</f>
        <v/>
      </c>
      <c r="R116" s="14">
        <f>IFERROR(IF(I116="LeaseUp",H116*D116*(1+GrowthMarketRent)^4*IF(4=0,(12-DowntimeNew)/12,1),IF(F116="",0,IF(F116&gt;=DATE(2027+4,4,30),G116*D116*(1+EscalatorInLease)^(4+M116),IF(F116&lt;DATE(2026+4,5,1),IF(I116="Vacate",H116*D116*(1+GrowthMarketRent)^4*IF(INT((DATE(2026+4,10,31)-F116)/365.25)=0,(12-DowntimeNew)/12,1),IF(I116="Option",G116*D116*1.025*(1+EscalatorInLease)^4,IF(I116="Market",Retention*G116*D116*(1+EscalatorInLease)^(4+M116)+(1-Retention)*H116*D116*(1+GrowthMarketRent)^4*IF(INT((DATE(2026+4,10,31)-F116)/365.25)=0,(12-DowntimeNew)/12,1),IF(I116="LeaseUp",H116*D116*(1+GrowthMarketRent)^4*IF(4=0,(12-DowntimeNew)/12,1),0)))),((F116-DATE(2026+4,5,1))/365.25)*G116*D116*(1+EscalatorInLease)^(4+M116)+((DATE(2027+4,4,30)-F116)/365.25)*IF(I116="Vacate",H116*D116*(1+GrowthMarketRent)^4*IF(INT((DATE(2026+4,10,31)-F116)/365.25)=0,(12-DowntimeNew)/12,1),IF(I116="Option",G116*D116*1.025*(1+EscalatorInLease)^4,IF(I116="Market",Retention*G116*D116*(1+EscalatorInLease)^(4+M116)+(1-Retention)*H116*D116*(1+GrowthMarketRent)^4*IF(INT((DATE(2026+4,10,31)-F116)/365.25)=0,(12-DowntimeNew)/12,1),IF(I116="LeaseUp",H116*D116*(1+GrowthMarketRent)^4*IF(4=0,(12-DowntimeNew)/12,1),0)))))))),0)</f>
        <v/>
      </c>
      <c r="S116" s="14">
        <f>IFERROR(IF(I116="LeaseUp",H116*D116*(1+GrowthMarketRent)^5*IF(5=0,(12-DowntimeNew)/12,1),IF(F116="",0,IF(F116&gt;=DATE(2027+5,4,30),G116*D116*(1+EscalatorInLease)^(5+M116),IF(F116&lt;DATE(2026+5,5,1),IF(I116="Vacate",H116*D116*(1+GrowthMarketRent)^5*IF(INT((DATE(2026+5,10,31)-F116)/365.25)=0,(12-DowntimeNew)/12,1),IF(I116="Option",G116*D116*1.025*(1+EscalatorInLease)^5,IF(I116="Market",Retention*G116*D116*(1+EscalatorInLease)^(5+M116)+(1-Retention)*H116*D116*(1+GrowthMarketRent)^5*IF(INT((DATE(2026+5,10,31)-F116)/365.25)=0,(12-DowntimeNew)/12,1),IF(I116="LeaseUp",H116*D116*(1+GrowthMarketRent)^5*IF(5=0,(12-DowntimeNew)/12,1),0)))),((F116-DATE(2026+5,5,1))/365.25)*G116*D116*(1+EscalatorInLease)^(5+M116)+((DATE(2027+5,4,30)-F116)/365.25)*IF(I116="Vacate",H116*D116*(1+GrowthMarketRent)^5*IF(INT((DATE(2026+5,10,31)-F116)/365.25)=0,(12-DowntimeNew)/12,1),IF(I116="Option",G116*D116*1.025*(1+EscalatorInLease)^5,IF(I116="Market",Retention*G116*D116*(1+EscalatorInLease)^(5+M116)+(1-Retention)*H116*D116*(1+GrowthMarketRent)^5*IF(INT((DATE(2026+5,10,31)-F116)/365.25)=0,(12-DowntimeNew)/12,1),IF(I116="LeaseUp",H116*D116*(1+GrowthMarketRent)^5*IF(5=0,(12-DowntimeNew)/12,1),0)))))))),0)</f>
        <v/>
      </c>
      <c r="T116" s="14">
        <f>IFERROR(IF(I116="LeaseUp",H116*D116*(1+GrowthMarketRent)^6*IF(6=0,(12-DowntimeNew)/12,1),IF(F116="",0,IF(F116&gt;=DATE(2027+6,4,30),G116*D116*(1+EscalatorInLease)^(6+M116),IF(F116&lt;DATE(2026+6,5,1),IF(I116="Vacate",H116*D116*(1+GrowthMarketRent)^6*IF(INT((DATE(2026+6,10,31)-F116)/365.25)=0,(12-DowntimeNew)/12,1),IF(I116="Option",G116*D116*1.025*(1+EscalatorInLease)^6,IF(I116="Market",Retention*G116*D116*(1+EscalatorInLease)^(6+M116)+(1-Retention)*H116*D116*(1+GrowthMarketRent)^6*IF(INT((DATE(2026+6,10,31)-F116)/365.25)=0,(12-DowntimeNew)/12,1),IF(I116="LeaseUp",H116*D116*(1+GrowthMarketRent)^6*IF(6=0,(12-DowntimeNew)/12,1),0)))),((F116-DATE(2026+6,5,1))/365.25)*G116*D116*(1+EscalatorInLease)^(6+M116)+((DATE(2027+6,4,30)-F116)/365.25)*IF(I116="Vacate",H116*D116*(1+GrowthMarketRent)^6*IF(INT((DATE(2026+6,10,31)-F116)/365.25)=0,(12-DowntimeNew)/12,1),IF(I116="Option",G116*D116*1.025*(1+EscalatorInLease)^6,IF(I116="Market",Retention*G116*D116*(1+EscalatorInLease)^(6+M116)+(1-Retention)*H116*D116*(1+GrowthMarketRent)^6*IF(INT((DATE(2026+6,10,31)-F116)/365.25)=0,(12-DowntimeNew)/12,1),IF(I116="LeaseUp",H116*D116*(1+GrowthMarketRent)^6*IF(6=0,(12-DowntimeNew)/12,1),0)))))))),0)</f>
        <v/>
      </c>
      <c r="U116" s="14">
        <f>IFERROR(IF(I116="LeaseUp",H116*D116*(1+GrowthMarketRent)^7*IF(7=0,(12-DowntimeNew)/12,1),IF(F116="",0,IF(F116&gt;=DATE(2027+7,4,30),G116*D116*(1+EscalatorInLease)^(7+M116),IF(F116&lt;DATE(2026+7,5,1),IF(I116="Vacate",H116*D116*(1+GrowthMarketRent)^7*IF(INT((DATE(2026+7,10,31)-F116)/365.25)=0,(12-DowntimeNew)/12,1),IF(I116="Option",G116*D116*1.025*(1+EscalatorInLease)^7,IF(I116="Market",Retention*G116*D116*(1+EscalatorInLease)^(7+M116)+(1-Retention)*H116*D116*(1+GrowthMarketRent)^7*IF(INT((DATE(2026+7,10,31)-F116)/365.25)=0,(12-DowntimeNew)/12,1),IF(I116="LeaseUp",H116*D116*(1+GrowthMarketRent)^7*IF(7=0,(12-DowntimeNew)/12,1),0)))),((F116-DATE(2026+7,5,1))/365.25)*G116*D116*(1+EscalatorInLease)^(7+M116)+((DATE(2027+7,4,30)-F116)/365.25)*IF(I116="Vacate",H116*D116*(1+GrowthMarketRent)^7*IF(INT((DATE(2026+7,10,31)-F116)/365.25)=0,(12-DowntimeNew)/12,1),IF(I116="Option",G116*D116*1.025*(1+EscalatorInLease)^7,IF(I116="Market",Retention*G116*D116*(1+EscalatorInLease)^(7+M116)+(1-Retention)*H116*D116*(1+GrowthMarketRent)^7*IF(INT((DATE(2026+7,10,31)-F116)/365.25)=0,(12-DowntimeNew)/12,1),IF(I116="LeaseUp",H116*D116*(1+GrowthMarketRent)^7*IF(7=0,(12-DowntimeNew)/12,1),0)))))))),0)</f>
        <v/>
      </c>
      <c r="V116" s="14">
        <f>IFERROR(IF(I116="LeaseUp",H116*D116*(1+GrowthMarketRent)^8*IF(8=0,(12-DowntimeNew)/12,1),IF(F116="",0,IF(F116&gt;=DATE(2027+8,4,30),G116*D116*(1+EscalatorInLease)^(8+M116),IF(F116&lt;DATE(2026+8,5,1),IF(I116="Vacate",H116*D116*(1+GrowthMarketRent)^8*IF(INT((DATE(2026+8,10,31)-F116)/365.25)=0,(12-DowntimeNew)/12,1),IF(I116="Option",G116*D116*1.025*(1+EscalatorInLease)^8,IF(I116="Market",Retention*G116*D116*(1+EscalatorInLease)^(8+M116)+(1-Retention)*H116*D116*(1+GrowthMarketRent)^8*IF(INT((DATE(2026+8,10,31)-F116)/365.25)=0,(12-DowntimeNew)/12,1),IF(I116="LeaseUp",H116*D116*(1+GrowthMarketRent)^8*IF(8=0,(12-DowntimeNew)/12,1),0)))),((F116-DATE(2026+8,5,1))/365.25)*G116*D116*(1+EscalatorInLease)^(8+M116)+((DATE(2027+8,4,30)-F116)/365.25)*IF(I116="Vacate",H116*D116*(1+GrowthMarketRent)^8*IF(INT((DATE(2026+8,10,31)-F116)/365.25)=0,(12-DowntimeNew)/12,1),IF(I116="Option",G116*D116*1.025*(1+EscalatorInLease)^8,IF(I116="Market",Retention*G116*D116*(1+EscalatorInLease)^(8+M116)+(1-Retention)*H116*D116*(1+GrowthMarketRent)^8*IF(INT((DATE(2026+8,10,31)-F116)/365.25)=0,(12-DowntimeNew)/12,1),IF(I116="LeaseUp",H116*D116*(1+GrowthMarketRent)^8*IF(8=0,(12-DowntimeNew)/12,1),0)))))))),0)</f>
        <v/>
      </c>
      <c r="W116" s="14">
        <f>IFERROR(IF(I116="LeaseUp",H116*D116*(1+GrowthMarketRent)^9*IF(9=0,(12-DowntimeNew)/12,1),IF(F116="",0,IF(F116&gt;=DATE(2027+9,4,30),G116*D116*(1+EscalatorInLease)^(9+M116),IF(F116&lt;DATE(2026+9,5,1),IF(I116="Vacate",H116*D116*(1+GrowthMarketRent)^9*IF(INT((DATE(2026+9,10,31)-F116)/365.25)=0,(12-DowntimeNew)/12,1),IF(I116="Option",G116*D116*1.025*(1+EscalatorInLease)^9,IF(I116="Market",Retention*G116*D116*(1+EscalatorInLease)^(9+M116)+(1-Retention)*H116*D116*(1+GrowthMarketRent)^9*IF(INT((DATE(2026+9,10,31)-F116)/365.25)=0,(12-DowntimeNew)/12,1),IF(I116="LeaseUp",H116*D116*(1+GrowthMarketRent)^9*IF(9=0,(12-DowntimeNew)/12,1),0)))),((F116-DATE(2026+9,5,1))/365.25)*G116*D116*(1+EscalatorInLease)^(9+M116)+((DATE(2027+9,4,30)-F116)/365.25)*IF(I116="Vacate",H116*D116*(1+GrowthMarketRent)^9*IF(INT((DATE(2026+9,10,31)-F116)/365.25)=0,(12-DowntimeNew)/12,1),IF(I116="Option",G116*D116*1.025*(1+EscalatorInLease)^9,IF(I116="Market",Retention*G116*D116*(1+EscalatorInLease)^(9+M116)+(1-Retention)*H116*D116*(1+GrowthMarketRent)^9*IF(INT((DATE(2026+9,10,31)-F116)/365.25)=0,(12-DowntimeNew)/12,1),IF(I116="LeaseUp",H116*D116*(1+GrowthMarketRent)^9*IF(9=0,(12-DowntimeNew)/12,1),0)))))))),0)</f>
        <v/>
      </c>
      <c r="X116" s="14">
        <f>IFERROR(IF(I116="LeaseUp",H116*D116*(1+GrowthMarketRent)^10*IF(10=0,(12-DowntimeNew)/12,1),IF(F116="",0,IF(F116&gt;=DATE(2027+10,4,30),G116*D116*(1+EscalatorInLease)^(10+M116),IF(F116&lt;DATE(2026+10,5,1),IF(I116="Vacate",H116*D116*(1+GrowthMarketRent)^10*IF(INT((DATE(2026+10,10,31)-F116)/365.25)=0,(12-DowntimeNew)/12,1),IF(I116="Option",G116*D116*1.025*(1+EscalatorInLease)^10,IF(I116="Market",Retention*G116*D116*(1+EscalatorInLease)^(10+M116)+(1-Retention)*H116*D116*(1+GrowthMarketRent)^10*IF(INT((DATE(2026+10,10,31)-F116)/365.25)=0,(12-DowntimeNew)/12,1),IF(I116="LeaseUp",H116*D116*(1+GrowthMarketRent)^10*IF(10=0,(12-DowntimeNew)/12,1),0)))),((F116-DATE(2026+10,5,1))/365.25)*G116*D116*(1+EscalatorInLease)^(10+M116)+((DATE(2027+10,4,30)-F116)/365.25)*IF(I116="Vacate",H116*D116*(1+GrowthMarketRent)^10*IF(INT((DATE(2026+10,10,31)-F116)/365.25)=0,(12-DowntimeNew)/12,1),IF(I116="Option",G116*D116*1.025*(1+EscalatorInLease)^10,IF(I116="Market",Retention*G116*D116*(1+EscalatorInLease)^(10+M116)+(1-Retention)*H116*D116*(1+GrowthMarketRent)^10*IF(INT((DATE(2026+10,10,31)-F116)/365.25)=0,(12-DowntimeNew)/12,1),IF(I116="LeaseUp",H116*D116*(1+GrowthMarketRent)^10*IF(10=0,(12-DowntimeNew)/12,1),0)))))))),0)</f>
        <v/>
      </c>
      <c r="Y116" s="14">
        <f>IFERROR(IF(AND(I116="LeaseUp",0=0),(IF(I116="Vacate",TINew*D116,IF(I116="Market",Retention*TIRenewal*D116+(1-Retention)*TINew*D116,IF(I116="LeaseUp",TINew*D116,IF(I116="Option",TIRenewal*D116,0)))))+(IF(I116="Vacate",LCNew*H116*D116*(1+GrowthMarketRent)^0,IF(I116="Market",Retention*LCRenewal*H116*D116*(1+GrowthMarketRent)^0+(1-Retention)*LCNew*H116*D116*(1+GrowthMarketRent)^0,IF(I116="LeaseUp",LCNew*H116*D116*(1+GrowthMarketRent)^0,IF(I116="Option",LCRenewal*H116*D116*(1+GrowthMarketRent)^0,0))))),IF(F116="",0,IF(AND(F116&gt;=DATE(2026+0,5,1),F116&lt;=DATE(2027+0,4,30)),(IF(I116="Vacate",TINew*D116,IF(I116="Market",Retention*TIRenewal*D116+(1-Retention)*TINew*D116,IF(I116="LeaseUp",TINew*D116,IF(I116="Option",TIRenewal*D116,0)))))+(IF(I116="Vacate",LCNew*H116*D116*(1+GrowthMarketRent)^0,IF(I116="Market",Retention*LCRenewal*H116*D116*(1+GrowthMarketRent)^0+(1-Retention)*LCNew*H116*D116*(1+GrowthMarketRent)^0,IF(I116="LeaseUp",LCNew*H116*D116*(1+GrowthMarketRent)^0,IF(I116="Option",LCRenewal*H116*D116*(1+GrowthMarketRent)^0,0))))),0))),0)</f>
        <v/>
      </c>
      <c r="Z116" s="14">
        <f>IFERROR(IF(AND(I116="LeaseUp",1=0),(IF(I116="Vacate",TINew*D116,IF(I116="Market",Retention*TIRenewal*D116+(1-Retention)*TINew*D116,IF(I116="LeaseUp",TINew*D116,IF(I116="Option",TIRenewal*D116,0)))))+(IF(I116="Vacate",LCNew*H116*D116*(1+GrowthMarketRent)^1,IF(I116="Market",Retention*LCRenewal*H116*D116*(1+GrowthMarketRent)^1+(1-Retention)*LCNew*H116*D116*(1+GrowthMarketRent)^1,IF(I116="LeaseUp",LCNew*H116*D116*(1+GrowthMarketRent)^1,IF(I116="Option",LCRenewal*H116*D116*(1+GrowthMarketRent)^1,0))))),IF(F116="",0,IF(AND(F116&gt;=DATE(2026+1,5,1),F116&lt;=DATE(2027+1,4,30)),(IF(I116="Vacate",TINew*D116,IF(I116="Market",Retention*TIRenewal*D116+(1-Retention)*TINew*D116,IF(I116="LeaseUp",TINew*D116,IF(I116="Option",TIRenewal*D116,0)))))+(IF(I116="Vacate",LCNew*H116*D116*(1+GrowthMarketRent)^1,IF(I116="Market",Retention*LCRenewal*H116*D116*(1+GrowthMarketRent)^1+(1-Retention)*LCNew*H116*D116*(1+GrowthMarketRent)^1,IF(I116="LeaseUp",LCNew*H116*D116*(1+GrowthMarketRent)^1,IF(I116="Option",LCRenewal*H116*D116*(1+GrowthMarketRent)^1,0))))),0))),0)</f>
        <v/>
      </c>
      <c r="AA116" s="14">
        <f>IFERROR(IF(AND(I116="LeaseUp",2=0),(IF(I116="Vacate",TINew*D116,IF(I116="Market",Retention*TIRenewal*D116+(1-Retention)*TINew*D116,IF(I116="LeaseUp",TINew*D116,IF(I116="Option",TIRenewal*D116,0)))))+(IF(I116="Vacate",LCNew*H116*D116*(1+GrowthMarketRent)^2,IF(I116="Market",Retention*LCRenewal*H116*D116*(1+GrowthMarketRent)^2+(1-Retention)*LCNew*H116*D116*(1+GrowthMarketRent)^2,IF(I116="LeaseUp",LCNew*H116*D116*(1+GrowthMarketRent)^2,IF(I116="Option",LCRenewal*H116*D116*(1+GrowthMarketRent)^2,0))))),IF(F116="",0,IF(AND(F116&gt;=DATE(2026+2,5,1),F116&lt;=DATE(2027+2,4,30)),(IF(I116="Vacate",TINew*D116,IF(I116="Market",Retention*TIRenewal*D116+(1-Retention)*TINew*D116,IF(I116="LeaseUp",TINew*D116,IF(I116="Option",TIRenewal*D116,0)))))+(IF(I116="Vacate",LCNew*H116*D116*(1+GrowthMarketRent)^2,IF(I116="Market",Retention*LCRenewal*H116*D116*(1+GrowthMarketRent)^2+(1-Retention)*LCNew*H116*D116*(1+GrowthMarketRent)^2,IF(I116="LeaseUp",LCNew*H116*D116*(1+GrowthMarketRent)^2,IF(I116="Option",LCRenewal*H116*D116*(1+GrowthMarketRent)^2,0))))),0))),0)</f>
        <v/>
      </c>
      <c r="AB116" s="14">
        <f>IFERROR(IF(AND(I116="LeaseUp",3=0),(IF(I116="Vacate",TINew*D116,IF(I116="Market",Retention*TIRenewal*D116+(1-Retention)*TINew*D116,IF(I116="LeaseUp",TINew*D116,IF(I116="Option",TIRenewal*D116,0)))))+(IF(I116="Vacate",LCNew*H116*D116*(1+GrowthMarketRent)^3,IF(I116="Market",Retention*LCRenewal*H116*D116*(1+GrowthMarketRent)^3+(1-Retention)*LCNew*H116*D116*(1+GrowthMarketRent)^3,IF(I116="LeaseUp",LCNew*H116*D116*(1+GrowthMarketRent)^3,IF(I116="Option",LCRenewal*H116*D116*(1+GrowthMarketRent)^3,0))))),IF(F116="",0,IF(AND(F116&gt;=DATE(2026+3,5,1),F116&lt;=DATE(2027+3,4,30)),(IF(I116="Vacate",TINew*D116,IF(I116="Market",Retention*TIRenewal*D116+(1-Retention)*TINew*D116,IF(I116="LeaseUp",TINew*D116,IF(I116="Option",TIRenewal*D116,0)))))+(IF(I116="Vacate",LCNew*H116*D116*(1+GrowthMarketRent)^3,IF(I116="Market",Retention*LCRenewal*H116*D116*(1+GrowthMarketRent)^3+(1-Retention)*LCNew*H116*D116*(1+GrowthMarketRent)^3,IF(I116="LeaseUp",LCNew*H116*D116*(1+GrowthMarketRent)^3,IF(I116="Option",LCRenewal*H116*D116*(1+GrowthMarketRent)^3,0))))),0))),0)</f>
        <v/>
      </c>
      <c r="AC116" s="14">
        <f>IFERROR(IF(AND(I116="LeaseUp",4=0),(IF(I116="Vacate",TINew*D116,IF(I116="Market",Retention*TIRenewal*D116+(1-Retention)*TINew*D116,IF(I116="LeaseUp",TINew*D116,IF(I116="Option",TIRenewal*D116,0)))))+(IF(I116="Vacate",LCNew*H116*D116*(1+GrowthMarketRent)^4,IF(I116="Market",Retention*LCRenewal*H116*D116*(1+GrowthMarketRent)^4+(1-Retention)*LCNew*H116*D116*(1+GrowthMarketRent)^4,IF(I116="LeaseUp",LCNew*H116*D116*(1+GrowthMarketRent)^4,IF(I116="Option",LCRenewal*H116*D116*(1+GrowthMarketRent)^4,0))))),IF(F116="",0,IF(AND(F116&gt;=DATE(2026+4,5,1),F116&lt;=DATE(2027+4,4,30)),(IF(I116="Vacate",TINew*D116,IF(I116="Market",Retention*TIRenewal*D116+(1-Retention)*TINew*D116,IF(I116="LeaseUp",TINew*D116,IF(I116="Option",TIRenewal*D116,0)))))+(IF(I116="Vacate",LCNew*H116*D116*(1+GrowthMarketRent)^4,IF(I116="Market",Retention*LCRenewal*H116*D116*(1+GrowthMarketRent)^4+(1-Retention)*LCNew*H116*D116*(1+GrowthMarketRent)^4,IF(I116="LeaseUp",LCNew*H116*D116*(1+GrowthMarketRent)^4,IF(I116="Option",LCRenewal*H116*D116*(1+GrowthMarketRent)^4,0))))),0))),0)</f>
        <v/>
      </c>
      <c r="AD116" s="14">
        <f>IFERROR(IF(AND(I116="LeaseUp",5=0),(IF(I116="Vacate",TINew*D116,IF(I116="Market",Retention*TIRenewal*D116+(1-Retention)*TINew*D116,IF(I116="LeaseUp",TINew*D116,IF(I116="Option",TIRenewal*D116,0)))))+(IF(I116="Vacate",LCNew*H116*D116*(1+GrowthMarketRent)^5,IF(I116="Market",Retention*LCRenewal*H116*D116*(1+GrowthMarketRent)^5+(1-Retention)*LCNew*H116*D116*(1+GrowthMarketRent)^5,IF(I116="LeaseUp",LCNew*H116*D116*(1+GrowthMarketRent)^5,IF(I116="Option",LCRenewal*H116*D116*(1+GrowthMarketRent)^5,0))))),IF(F116="",0,IF(AND(F116&gt;=DATE(2026+5,5,1),F116&lt;=DATE(2027+5,4,30)),(IF(I116="Vacate",TINew*D116,IF(I116="Market",Retention*TIRenewal*D116+(1-Retention)*TINew*D116,IF(I116="LeaseUp",TINew*D116,IF(I116="Option",TIRenewal*D116,0)))))+(IF(I116="Vacate",LCNew*H116*D116*(1+GrowthMarketRent)^5,IF(I116="Market",Retention*LCRenewal*H116*D116*(1+GrowthMarketRent)^5+(1-Retention)*LCNew*H116*D116*(1+GrowthMarketRent)^5,IF(I116="LeaseUp",LCNew*H116*D116*(1+GrowthMarketRent)^5,IF(I116="Option",LCRenewal*H116*D116*(1+GrowthMarketRent)^5,0))))),0))),0)</f>
        <v/>
      </c>
      <c r="AE116" s="14">
        <f>IFERROR(IF(AND(I116="LeaseUp",6=0),(IF(I116="Vacate",TINew*D116,IF(I116="Market",Retention*TIRenewal*D116+(1-Retention)*TINew*D116,IF(I116="LeaseUp",TINew*D116,IF(I116="Option",TIRenewal*D116,0)))))+(IF(I116="Vacate",LCNew*H116*D116*(1+GrowthMarketRent)^6,IF(I116="Market",Retention*LCRenewal*H116*D116*(1+GrowthMarketRent)^6+(1-Retention)*LCNew*H116*D116*(1+GrowthMarketRent)^6,IF(I116="LeaseUp",LCNew*H116*D116*(1+GrowthMarketRent)^6,IF(I116="Option",LCRenewal*H116*D116*(1+GrowthMarketRent)^6,0))))),IF(F116="",0,IF(AND(F116&gt;=DATE(2026+6,5,1),F116&lt;=DATE(2027+6,4,30)),(IF(I116="Vacate",TINew*D116,IF(I116="Market",Retention*TIRenewal*D116+(1-Retention)*TINew*D116,IF(I116="LeaseUp",TINew*D116,IF(I116="Option",TIRenewal*D116,0)))))+(IF(I116="Vacate",LCNew*H116*D116*(1+GrowthMarketRent)^6,IF(I116="Market",Retention*LCRenewal*H116*D116*(1+GrowthMarketRent)^6+(1-Retention)*LCNew*H116*D116*(1+GrowthMarketRent)^6,IF(I116="LeaseUp",LCNew*H116*D116*(1+GrowthMarketRent)^6,IF(I116="Option",LCRenewal*H116*D116*(1+GrowthMarketRent)^6,0))))),0))),0)</f>
        <v/>
      </c>
      <c r="AF116" s="14">
        <f>IFERROR(IF(AND(I116="LeaseUp",7=0),(IF(I116="Vacate",TINew*D116,IF(I116="Market",Retention*TIRenewal*D116+(1-Retention)*TINew*D116,IF(I116="LeaseUp",TINew*D116,IF(I116="Option",TIRenewal*D116,0)))))+(IF(I116="Vacate",LCNew*H116*D116*(1+GrowthMarketRent)^7,IF(I116="Market",Retention*LCRenewal*H116*D116*(1+GrowthMarketRent)^7+(1-Retention)*LCNew*H116*D116*(1+GrowthMarketRent)^7,IF(I116="LeaseUp",LCNew*H116*D116*(1+GrowthMarketRent)^7,IF(I116="Option",LCRenewal*H116*D116*(1+GrowthMarketRent)^7,0))))),IF(F116="",0,IF(AND(F116&gt;=DATE(2026+7,5,1),F116&lt;=DATE(2027+7,4,30)),(IF(I116="Vacate",TINew*D116,IF(I116="Market",Retention*TIRenewal*D116+(1-Retention)*TINew*D116,IF(I116="LeaseUp",TINew*D116,IF(I116="Option",TIRenewal*D116,0)))))+(IF(I116="Vacate",LCNew*H116*D116*(1+GrowthMarketRent)^7,IF(I116="Market",Retention*LCRenewal*H116*D116*(1+GrowthMarketRent)^7+(1-Retention)*LCNew*H116*D116*(1+GrowthMarketRent)^7,IF(I116="LeaseUp",LCNew*H116*D116*(1+GrowthMarketRent)^7,IF(I116="Option",LCRenewal*H116*D116*(1+GrowthMarketRent)^7,0))))),0))),0)</f>
        <v/>
      </c>
      <c r="AG116" s="14">
        <f>IFERROR(IF(AND(I116="LeaseUp",8=0),(IF(I116="Vacate",TINew*D116,IF(I116="Market",Retention*TIRenewal*D116+(1-Retention)*TINew*D116,IF(I116="LeaseUp",TINew*D116,IF(I116="Option",TIRenewal*D116,0)))))+(IF(I116="Vacate",LCNew*H116*D116*(1+GrowthMarketRent)^8,IF(I116="Market",Retention*LCRenewal*H116*D116*(1+GrowthMarketRent)^8+(1-Retention)*LCNew*H116*D116*(1+GrowthMarketRent)^8,IF(I116="LeaseUp",LCNew*H116*D116*(1+GrowthMarketRent)^8,IF(I116="Option",LCRenewal*H116*D116*(1+GrowthMarketRent)^8,0))))),IF(F116="",0,IF(AND(F116&gt;=DATE(2026+8,5,1),F116&lt;=DATE(2027+8,4,30)),(IF(I116="Vacate",TINew*D116,IF(I116="Market",Retention*TIRenewal*D116+(1-Retention)*TINew*D116,IF(I116="LeaseUp",TINew*D116,IF(I116="Option",TIRenewal*D116,0)))))+(IF(I116="Vacate",LCNew*H116*D116*(1+GrowthMarketRent)^8,IF(I116="Market",Retention*LCRenewal*H116*D116*(1+GrowthMarketRent)^8+(1-Retention)*LCNew*H116*D116*(1+GrowthMarketRent)^8,IF(I116="LeaseUp",LCNew*H116*D116*(1+GrowthMarketRent)^8,IF(I116="Option",LCRenewal*H116*D116*(1+GrowthMarketRent)^8,0))))),0))),0)</f>
        <v/>
      </c>
      <c r="AH116" s="14">
        <f>IFERROR(IF(AND(I116="LeaseUp",9=0),(IF(I116="Vacate",TINew*D116,IF(I116="Market",Retention*TIRenewal*D116+(1-Retention)*TINew*D116,IF(I116="LeaseUp",TINew*D116,IF(I116="Option",TIRenewal*D116,0)))))+(IF(I116="Vacate",LCNew*H116*D116*(1+GrowthMarketRent)^9,IF(I116="Market",Retention*LCRenewal*H116*D116*(1+GrowthMarketRent)^9+(1-Retention)*LCNew*H116*D116*(1+GrowthMarketRent)^9,IF(I116="LeaseUp",LCNew*H116*D116*(1+GrowthMarketRent)^9,IF(I116="Option",LCRenewal*H116*D116*(1+GrowthMarketRent)^9,0))))),IF(F116="",0,IF(AND(F116&gt;=DATE(2026+9,5,1),F116&lt;=DATE(2027+9,4,30)),(IF(I116="Vacate",TINew*D116,IF(I116="Market",Retention*TIRenewal*D116+(1-Retention)*TINew*D116,IF(I116="LeaseUp",TINew*D116,IF(I116="Option",TIRenewal*D116,0)))))+(IF(I116="Vacate",LCNew*H116*D116*(1+GrowthMarketRent)^9,IF(I116="Market",Retention*LCRenewal*H116*D116*(1+GrowthMarketRent)^9+(1-Retention)*LCNew*H116*D116*(1+GrowthMarketRent)^9,IF(I116="LeaseUp",LCNew*H116*D116*(1+GrowthMarketRent)^9,IF(I116="Option",LCRenewal*H116*D116*(1+GrowthMarketRent)^9,0))))),0))),0)</f>
        <v/>
      </c>
      <c r="AI116" s="14">
        <f>IFERROR(IF(AND(I116="LeaseUp",10=0),(IF(I116="Vacate",TINew*D116,IF(I116="Market",Retention*TIRenewal*D116+(1-Retention)*TINew*D116,IF(I116="LeaseUp",TINew*D116,IF(I116="Option",TIRenewal*D116,0)))))+(IF(I116="Vacate",LCNew*H116*D116*(1+GrowthMarketRent)^10,IF(I116="Market",Retention*LCRenewal*H116*D116*(1+GrowthMarketRent)^10+(1-Retention)*LCNew*H116*D116*(1+GrowthMarketRent)^10,IF(I116="LeaseUp",LCNew*H116*D116*(1+GrowthMarketRent)^10,IF(I116="Option",LCRenewal*H116*D116*(1+GrowthMarketRent)^10,0))))),IF(F116="",0,IF(AND(F116&gt;=DATE(2026+10,5,1),F116&lt;=DATE(2027+10,4,30)),(IF(I116="Vacate",TINew*D116,IF(I116="Market",Retention*TIRenewal*D116+(1-Retention)*TINew*D116,IF(I116="LeaseUp",TINew*D116,IF(I116="Option",TIRenewal*D116,0)))))+(IF(I116="Vacate",LCNew*H116*D116*(1+GrowthMarketRent)^10,IF(I116="Market",Retention*LCRenewal*H116*D116*(1+GrowthMarketRent)^10+(1-Retention)*LCNew*H116*D116*(1+GrowthMarketRent)^10,IF(I116="LeaseUp",LCNew*H116*D116*(1+GrowthMarketRent)^10,IF(I116="Option",LCRenewal*H116*D116*(1+GrowthMarketRent)^10,0))))),0))),0)</f>
        <v/>
      </c>
    </row>
    <row r="117">
      <c r="A117" t="inlineStr">
        <is>
          <t>Lewisville</t>
        </is>
      </c>
      <c r="B117" t="inlineStr">
        <is>
          <t>307</t>
        </is>
      </c>
      <c r="C117" t="inlineStr">
        <is>
          <t>Streamlined Operations Group LLC</t>
        </is>
      </c>
      <c r="D117" s="32" t="n">
        <v>1870</v>
      </c>
      <c r="E117" s="33" t="n">
        <v>45261</v>
      </c>
      <c r="F117" s="33" t="n">
        <v>46508</v>
      </c>
      <c r="G117" s="34" t="n">
        <v>15.4967914438503</v>
      </c>
      <c r="H117" s="16">
        <f>VLOOKUP(A117,MLA!$A$5:$L$11,3,FALSE)</f>
        <v/>
      </c>
      <c r="I117" s="11" t="inlineStr">
        <is>
          <t>Vacate</t>
        </is>
      </c>
      <c r="J117" t="inlineStr">
        <is>
          <t>Studio</t>
        </is>
      </c>
      <c r="K117" t="inlineStr">
        <is>
          <t>Occupied</t>
        </is>
      </c>
      <c r="L117" t="inlineStr">
        <is>
          <t>Studio; assumed vacate 05/27; Guarantor: Edmund Sullivan</t>
        </is>
      </c>
      <c r="M117" s="20">
        <f>IF(E117="",0,(AnalysisStart-E117)/365.25)</f>
        <v/>
      </c>
      <c r="N117" s="14">
        <f>IFERROR(IF(I117="LeaseUp",H117*D117*(1+GrowthMarketRent)^0*IF(0=0,(12-DowntimeNew)/12,1),IF(F117="",0,IF(F117&gt;=DATE(2027+0,4,30),G117*D117*(1+EscalatorInLease)^(0+M117),IF(F117&lt;DATE(2026+0,5,1),IF(I117="Vacate",H117*D117*(1+GrowthMarketRent)^0*IF(INT((DATE(2026+0,10,31)-F117)/365.25)=0,(12-DowntimeNew)/12,1),IF(I117="Option",G117*D117*1.025*(1+EscalatorInLease)^0,IF(I117="Market",Retention*G117*D117*(1+EscalatorInLease)^(0+M117)+(1-Retention)*H117*D117*(1+GrowthMarketRent)^0*IF(INT((DATE(2026+0,10,31)-F117)/365.25)=0,(12-DowntimeNew)/12,1),IF(I117="LeaseUp",H117*D117*(1+GrowthMarketRent)^0*IF(0=0,(12-DowntimeNew)/12,1),0)))),((F117-DATE(2026+0,5,1))/365.25)*G117*D117*(1+EscalatorInLease)^(0+M117)+((DATE(2027+0,4,30)-F117)/365.25)*IF(I117="Vacate",H117*D117*(1+GrowthMarketRent)^0*IF(INT((DATE(2026+0,10,31)-F117)/365.25)=0,(12-DowntimeNew)/12,1),IF(I117="Option",G117*D117*1.025*(1+EscalatorInLease)^0,IF(I117="Market",Retention*G117*D117*(1+EscalatorInLease)^(0+M117)+(1-Retention)*H117*D117*(1+GrowthMarketRent)^0*IF(INT((DATE(2026+0,10,31)-F117)/365.25)=0,(12-DowntimeNew)/12,1),IF(I117="LeaseUp",H117*D117*(1+GrowthMarketRent)^0*IF(0=0,(12-DowntimeNew)/12,1),0)))))))),0)</f>
        <v/>
      </c>
      <c r="O117" s="14">
        <f>IFERROR(IF(I117="LeaseUp",H117*D117*(1+GrowthMarketRent)^1*IF(1=0,(12-DowntimeNew)/12,1),IF(F117="",0,IF(F117&gt;=DATE(2027+1,4,30),G117*D117*(1+EscalatorInLease)^(1+M117),IF(F117&lt;DATE(2026+1,5,1),IF(I117="Vacate",H117*D117*(1+GrowthMarketRent)^1*IF(INT((DATE(2026+1,10,31)-F117)/365.25)=0,(12-DowntimeNew)/12,1),IF(I117="Option",G117*D117*1.025*(1+EscalatorInLease)^1,IF(I117="Market",Retention*G117*D117*(1+EscalatorInLease)^(1+M117)+(1-Retention)*H117*D117*(1+GrowthMarketRent)^1*IF(INT((DATE(2026+1,10,31)-F117)/365.25)=0,(12-DowntimeNew)/12,1),IF(I117="LeaseUp",H117*D117*(1+GrowthMarketRent)^1*IF(1=0,(12-DowntimeNew)/12,1),0)))),((F117-DATE(2026+1,5,1))/365.25)*G117*D117*(1+EscalatorInLease)^(1+M117)+((DATE(2027+1,4,30)-F117)/365.25)*IF(I117="Vacate",H117*D117*(1+GrowthMarketRent)^1*IF(INT((DATE(2026+1,10,31)-F117)/365.25)=0,(12-DowntimeNew)/12,1),IF(I117="Option",G117*D117*1.025*(1+EscalatorInLease)^1,IF(I117="Market",Retention*G117*D117*(1+EscalatorInLease)^(1+M117)+(1-Retention)*H117*D117*(1+GrowthMarketRent)^1*IF(INT((DATE(2026+1,10,31)-F117)/365.25)=0,(12-DowntimeNew)/12,1),IF(I117="LeaseUp",H117*D117*(1+GrowthMarketRent)^1*IF(1=0,(12-DowntimeNew)/12,1),0)))))))),0)</f>
        <v/>
      </c>
      <c r="P117" s="14">
        <f>IFERROR(IF(I117="LeaseUp",H117*D117*(1+GrowthMarketRent)^2*IF(2=0,(12-DowntimeNew)/12,1),IF(F117="",0,IF(F117&gt;=DATE(2027+2,4,30),G117*D117*(1+EscalatorInLease)^(2+M117),IF(F117&lt;DATE(2026+2,5,1),IF(I117="Vacate",H117*D117*(1+GrowthMarketRent)^2*IF(INT((DATE(2026+2,10,31)-F117)/365.25)=0,(12-DowntimeNew)/12,1),IF(I117="Option",G117*D117*1.025*(1+EscalatorInLease)^2,IF(I117="Market",Retention*G117*D117*(1+EscalatorInLease)^(2+M117)+(1-Retention)*H117*D117*(1+GrowthMarketRent)^2*IF(INT((DATE(2026+2,10,31)-F117)/365.25)=0,(12-DowntimeNew)/12,1),IF(I117="LeaseUp",H117*D117*(1+GrowthMarketRent)^2*IF(2=0,(12-DowntimeNew)/12,1),0)))),((F117-DATE(2026+2,5,1))/365.25)*G117*D117*(1+EscalatorInLease)^(2+M117)+((DATE(2027+2,4,30)-F117)/365.25)*IF(I117="Vacate",H117*D117*(1+GrowthMarketRent)^2*IF(INT((DATE(2026+2,10,31)-F117)/365.25)=0,(12-DowntimeNew)/12,1),IF(I117="Option",G117*D117*1.025*(1+EscalatorInLease)^2,IF(I117="Market",Retention*G117*D117*(1+EscalatorInLease)^(2+M117)+(1-Retention)*H117*D117*(1+GrowthMarketRent)^2*IF(INT((DATE(2026+2,10,31)-F117)/365.25)=0,(12-DowntimeNew)/12,1),IF(I117="LeaseUp",H117*D117*(1+GrowthMarketRent)^2*IF(2=0,(12-DowntimeNew)/12,1),0)))))))),0)</f>
        <v/>
      </c>
      <c r="Q117" s="14">
        <f>IFERROR(IF(I117="LeaseUp",H117*D117*(1+GrowthMarketRent)^3*IF(3=0,(12-DowntimeNew)/12,1),IF(F117="",0,IF(F117&gt;=DATE(2027+3,4,30),G117*D117*(1+EscalatorInLease)^(3+M117),IF(F117&lt;DATE(2026+3,5,1),IF(I117="Vacate",H117*D117*(1+GrowthMarketRent)^3*IF(INT((DATE(2026+3,10,31)-F117)/365.25)=0,(12-DowntimeNew)/12,1),IF(I117="Option",G117*D117*1.025*(1+EscalatorInLease)^3,IF(I117="Market",Retention*G117*D117*(1+EscalatorInLease)^(3+M117)+(1-Retention)*H117*D117*(1+GrowthMarketRent)^3*IF(INT((DATE(2026+3,10,31)-F117)/365.25)=0,(12-DowntimeNew)/12,1),IF(I117="LeaseUp",H117*D117*(1+GrowthMarketRent)^3*IF(3=0,(12-DowntimeNew)/12,1),0)))),((F117-DATE(2026+3,5,1))/365.25)*G117*D117*(1+EscalatorInLease)^(3+M117)+((DATE(2027+3,4,30)-F117)/365.25)*IF(I117="Vacate",H117*D117*(1+GrowthMarketRent)^3*IF(INT((DATE(2026+3,10,31)-F117)/365.25)=0,(12-DowntimeNew)/12,1),IF(I117="Option",G117*D117*1.025*(1+EscalatorInLease)^3,IF(I117="Market",Retention*G117*D117*(1+EscalatorInLease)^(3+M117)+(1-Retention)*H117*D117*(1+GrowthMarketRent)^3*IF(INT((DATE(2026+3,10,31)-F117)/365.25)=0,(12-DowntimeNew)/12,1),IF(I117="LeaseUp",H117*D117*(1+GrowthMarketRent)^3*IF(3=0,(12-DowntimeNew)/12,1),0)))))))),0)</f>
        <v/>
      </c>
      <c r="R117" s="14">
        <f>IFERROR(IF(I117="LeaseUp",H117*D117*(1+GrowthMarketRent)^4*IF(4=0,(12-DowntimeNew)/12,1),IF(F117="",0,IF(F117&gt;=DATE(2027+4,4,30),G117*D117*(1+EscalatorInLease)^(4+M117),IF(F117&lt;DATE(2026+4,5,1),IF(I117="Vacate",H117*D117*(1+GrowthMarketRent)^4*IF(INT((DATE(2026+4,10,31)-F117)/365.25)=0,(12-DowntimeNew)/12,1),IF(I117="Option",G117*D117*1.025*(1+EscalatorInLease)^4,IF(I117="Market",Retention*G117*D117*(1+EscalatorInLease)^(4+M117)+(1-Retention)*H117*D117*(1+GrowthMarketRent)^4*IF(INT((DATE(2026+4,10,31)-F117)/365.25)=0,(12-DowntimeNew)/12,1),IF(I117="LeaseUp",H117*D117*(1+GrowthMarketRent)^4*IF(4=0,(12-DowntimeNew)/12,1),0)))),((F117-DATE(2026+4,5,1))/365.25)*G117*D117*(1+EscalatorInLease)^(4+M117)+((DATE(2027+4,4,30)-F117)/365.25)*IF(I117="Vacate",H117*D117*(1+GrowthMarketRent)^4*IF(INT((DATE(2026+4,10,31)-F117)/365.25)=0,(12-DowntimeNew)/12,1),IF(I117="Option",G117*D117*1.025*(1+EscalatorInLease)^4,IF(I117="Market",Retention*G117*D117*(1+EscalatorInLease)^(4+M117)+(1-Retention)*H117*D117*(1+GrowthMarketRent)^4*IF(INT((DATE(2026+4,10,31)-F117)/365.25)=0,(12-DowntimeNew)/12,1),IF(I117="LeaseUp",H117*D117*(1+GrowthMarketRent)^4*IF(4=0,(12-DowntimeNew)/12,1),0)))))))),0)</f>
        <v/>
      </c>
      <c r="S117" s="14">
        <f>IFERROR(IF(I117="LeaseUp",H117*D117*(1+GrowthMarketRent)^5*IF(5=0,(12-DowntimeNew)/12,1),IF(F117="",0,IF(F117&gt;=DATE(2027+5,4,30),G117*D117*(1+EscalatorInLease)^(5+M117),IF(F117&lt;DATE(2026+5,5,1),IF(I117="Vacate",H117*D117*(1+GrowthMarketRent)^5*IF(INT((DATE(2026+5,10,31)-F117)/365.25)=0,(12-DowntimeNew)/12,1),IF(I117="Option",G117*D117*1.025*(1+EscalatorInLease)^5,IF(I117="Market",Retention*G117*D117*(1+EscalatorInLease)^(5+M117)+(1-Retention)*H117*D117*(1+GrowthMarketRent)^5*IF(INT((DATE(2026+5,10,31)-F117)/365.25)=0,(12-DowntimeNew)/12,1),IF(I117="LeaseUp",H117*D117*(1+GrowthMarketRent)^5*IF(5=0,(12-DowntimeNew)/12,1),0)))),((F117-DATE(2026+5,5,1))/365.25)*G117*D117*(1+EscalatorInLease)^(5+M117)+((DATE(2027+5,4,30)-F117)/365.25)*IF(I117="Vacate",H117*D117*(1+GrowthMarketRent)^5*IF(INT((DATE(2026+5,10,31)-F117)/365.25)=0,(12-DowntimeNew)/12,1),IF(I117="Option",G117*D117*1.025*(1+EscalatorInLease)^5,IF(I117="Market",Retention*G117*D117*(1+EscalatorInLease)^(5+M117)+(1-Retention)*H117*D117*(1+GrowthMarketRent)^5*IF(INT((DATE(2026+5,10,31)-F117)/365.25)=0,(12-DowntimeNew)/12,1),IF(I117="LeaseUp",H117*D117*(1+GrowthMarketRent)^5*IF(5=0,(12-DowntimeNew)/12,1),0)))))))),0)</f>
        <v/>
      </c>
      <c r="T117" s="14">
        <f>IFERROR(IF(I117="LeaseUp",H117*D117*(1+GrowthMarketRent)^6*IF(6=0,(12-DowntimeNew)/12,1),IF(F117="",0,IF(F117&gt;=DATE(2027+6,4,30),G117*D117*(1+EscalatorInLease)^(6+M117),IF(F117&lt;DATE(2026+6,5,1),IF(I117="Vacate",H117*D117*(1+GrowthMarketRent)^6*IF(INT((DATE(2026+6,10,31)-F117)/365.25)=0,(12-DowntimeNew)/12,1),IF(I117="Option",G117*D117*1.025*(1+EscalatorInLease)^6,IF(I117="Market",Retention*G117*D117*(1+EscalatorInLease)^(6+M117)+(1-Retention)*H117*D117*(1+GrowthMarketRent)^6*IF(INT((DATE(2026+6,10,31)-F117)/365.25)=0,(12-DowntimeNew)/12,1),IF(I117="LeaseUp",H117*D117*(1+GrowthMarketRent)^6*IF(6=0,(12-DowntimeNew)/12,1),0)))),((F117-DATE(2026+6,5,1))/365.25)*G117*D117*(1+EscalatorInLease)^(6+M117)+((DATE(2027+6,4,30)-F117)/365.25)*IF(I117="Vacate",H117*D117*(1+GrowthMarketRent)^6*IF(INT((DATE(2026+6,10,31)-F117)/365.25)=0,(12-DowntimeNew)/12,1),IF(I117="Option",G117*D117*1.025*(1+EscalatorInLease)^6,IF(I117="Market",Retention*G117*D117*(1+EscalatorInLease)^(6+M117)+(1-Retention)*H117*D117*(1+GrowthMarketRent)^6*IF(INT((DATE(2026+6,10,31)-F117)/365.25)=0,(12-DowntimeNew)/12,1),IF(I117="LeaseUp",H117*D117*(1+GrowthMarketRent)^6*IF(6=0,(12-DowntimeNew)/12,1),0)))))))),0)</f>
        <v/>
      </c>
      <c r="U117" s="14">
        <f>IFERROR(IF(I117="LeaseUp",H117*D117*(1+GrowthMarketRent)^7*IF(7=0,(12-DowntimeNew)/12,1),IF(F117="",0,IF(F117&gt;=DATE(2027+7,4,30),G117*D117*(1+EscalatorInLease)^(7+M117),IF(F117&lt;DATE(2026+7,5,1),IF(I117="Vacate",H117*D117*(1+GrowthMarketRent)^7*IF(INT((DATE(2026+7,10,31)-F117)/365.25)=0,(12-DowntimeNew)/12,1),IF(I117="Option",G117*D117*1.025*(1+EscalatorInLease)^7,IF(I117="Market",Retention*G117*D117*(1+EscalatorInLease)^(7+M117)+(1-Retention)*H117*D117*(1+GrowthMarketRent)^7*IF(INT((DATE(2026+7,10,31)-F117)/365.25)=0,(12-DowntimeNew)/12,1),IF(I117="LeaseUp",H117*D117*(1+GrowthMarketRent)^7*IF(7=0,(12-DowntimeNew)/12,1),0)))),((F117-DATE(2026+7,5,1))/365.25)*G117*D117*(1+EscalatorInLease)^(7+M117)+((DATE(2027+7,4,30)-F117)/365.25)*IF(I117="Vacate",H117*D117*(1+GrowthMarketRent)^7*IF(INT((DATE(2026+7,10,31)-F117)/365.25)=0,(12-DowntimeNew)/12,1),IF(I117="Option",G117*D117*1.025*(1+EscalatorInLease)^7,IF(I117="Market",Retention*G117*D117*(1+EscalatorInLease)^(7+M117)+(1-Retention)*H117*D117*(1+GrowthMarketRent)^7*IF(INT((DATE(2026+7,10,31)-F117)/365.25)=0,(12-DowntimeNew)/12,1),IF(I117="LeaseUp",H117*D117*(1+GrowthMarketRent)^7*IF(7=0,(12-DowntimeNew)/12,1),0)))))))),0)</f>
        <v/>
      </c>
      <c r="V117" s="14">
        <f>IFERROR(IF(I117="LeaseUp",H117*D117*(1+GrowthMarketRent)^8*IF(8=0,(12-DowntimeNew)/12,1),IF(F117="",0,IF(F117&gt;=DATE(2027+8,4,30),G117*D117*(1+EscalatorInLease)^(8+M117),IF(F117&lt;DATE(2026+8,5,1),IF(I117="Vacate",H117*D117*(1+GrowthMarketRent)^8*IF(INT((DATE(2026+8,10,31)-F117)/365.25)=0,(12-DowntimeNew)/12,1),IF(I117="Option",G117*D117*1.025*(1+EscalatorInLease)^8,IF(I117="Market",Retention*G117*D117*(1+EscalatorInLease)^(8+M117)+(1-Retention)*H117*D117*(1+GrowthMarketRent)^8*IF(INT((DATE(2026+8,10,31)-F117)/365.25)=0,(12-DowntimeNew)/12,1),IF(I117="LeaseUp",H117*D117*(1+GrowthMarketRent)^8*IF(8=0,(12-DowntimeNew)/12,1),0)))),((F117-DATE(2026+8,5,1))/365.25)*G117*D117*(1+EscalatorInLease)^(8+M117)+((DATE(2027+8,4,30)-F117)/365.25)*IF(I117="Vacate",H117*D117*(1+GrowthMarketRent)^8*IF(INT((DATE(2026+8,10,31)-F117)/365.25)=0,(12-DowntimeNew)/12,1),IF(I117="Option",G117*D117*1.025*(1+EscalatorInLease)^8,IF(I117="Market",Retention*G117*D117*(1+EscalatorInLease)^(8+M117)+(1-Retention)*H117*D117*(1+GrowthMarketRent)^8*IF(INT((DATE(2026+8,10,31)-F117)/365.25)=0,(12-DowntimeNew)/12,1),IF(I117="LeaseUp",H117*D117*(1+GrowthMarketRent)^8*IF(8=0,(12-DowntimeNew)/12,1),0)))))))),0)</f>
        <v/>
      </c>
      <c r="W117" s="14">
        <f>IFERROR(IF(I117="LeaseUp",H117*D117*(1+GrowthMarketRent)^9*IF(9=0,(12-DowntimeNew)/12,1),IF(F117="",0,IF(F117&gt;=DATE(2027+9,4,30),G117*D117*(1+EscalatorInLease)^(9+M117),IF(F117&lt;DATE(2026+9,5,1),IF(I117="Vacate",H117*D117*(1+GrowthMarketRent)^9*IF(INT((DATE(2026+9,10,31)-F117)/365.25)=0,(12-DowntimeNew)/12,1),IF(I117="Option",G117*D117*1.025*(1+EscalatorInLease)^9,IF(I117="Market",Retention*G117*D117*(1+EscalatorInLease)^(9+M117)+(1-Retention)*H117*D117*(1+GrowthMarketRent)^9*IF(INT((DATE(2026+9,10,31)-F117)/365.25)=0,(12-DowntimeNew)/12,1),IF(I117="LeaseUp",H117*D117*(1+GrowthMarketRent)^9*IF(9=0,(12-DowntimeNew)/12,1),0)))),((F117-DATE(2026+9,5,1))/365.25)*G117*D117*(1+EscalatorInLease)^(9+M117)+((DATE(2027+9,4,30)-F117)/365.25)*IF(I117="Vacate",H117*D117*(1+GrowthMarketRent)^9*IF(INT((DATE(2026+9,10,31)-F117)/365.25)=0,(12-DowntimeNew)/12,1),IF(I117="Option",G117*D117*1.025*(1+EscalatorInLease)^9,IF(I117="Market",Retention*G117*D117*(1+EscalatorInLease)^(9+M117)+(1-Retention)*H117*D117*(1+GrowthMarketRent)^9*IF(INT((DATE(2026+9,10,31)-F117)/365.25)=0,(12-DowntimeNew)/12,1),IF(I117="LeaseUp",H117*D117*(1+GrowthMarketRent)^9*IF(9=0,(12-DowntimeNew)/12,1),0)))))))),0)</f>
        <v/>
      </c>
      <c r="X117" s="14">
        <f>IFERROR(IF(I117="LeaseUp",H117*D117*(1+GrowthMarketRent)^10*IF(10=0,(12-DowntimeNew)/12,1),IF(F117="",0,IF(F117&gt;=DATE(2027+10,4,30),G117*D117*(1+EscalatorInLease)^(10+M117),IF(F117&lt;DATE(2026+10,5,1),IF(I117="Vacate",H117*D117*(1+GrowthMarketRent)^10*IF(INT((DATE(2026+10,10,31)-F117)/365.25)=0,(12-DowntimeNew)/12,1),IF(I117="Option",G117*D117*1.025*(1+EscalatorInLease)^10,IF(I117="Market",Retention*G117*D117*(1+EscalatorInLease)^(10+M117)+(1-Retention)*H117*D117*(1+GrowthMarketRent)^10*IF(INT((DATE(2026+10,10,31)-F117)/365.25)=0,(12-DowntimeNew)/12,1),IF(I117="LeaseUp",H117*D117*(1+GrowthMarketRent)^10*IF(10=0,(12-DowntimeNew)/12,1),0)))),((F117-DATE(2026+10,5,1))/365.25)*G117*D117*(1+EscalatorInLease)^(10+M117)+((DATE(2027+10,4,30)-F117)/365.25)*IF(I117="Vacate",H117*D117*(1+GrowthMarketRent)^10*IF(INT((DATE(2026+10,10,31)-F117)/365.25)=0,(12-DowntimeNew)/12,1),IF(I117="Option",G117*D117*1.025*(1+EscalatorInLease)^10,IF(I117="Market",Retention*G117*D117*(1+EscalatorInLease)^(10+M117)+(1-Retention)*H117*D117*(1+GrowthMarketRent)^10*IF(INT((DATE(2026+10,10,31)-F117)/365.25)=0,(12-DowntimeNew)/12,1),IF(I117="LeaseUp",H117*D117*(1+GrowthMarketRent)^10*IF(10=0,(12-DowntimeNew)/12,1),0)))))))),0)</f>
        <v/>
      </c>
      <c r="Y117" s="14">
        <f>IFERROR(IF(AND(I117="LeaseUp",0=0),(IF(I117="Vacate",TINew*D117,IF(I117="Market",Retention*TIRenewal*D117+(1-Retention)*TINew*D117,IF(I117="LeaseUp",TINew*D117,IF(I117="Option",TIRenewal*D117,0)))))+(IF(I117="Vacate",LCNew*H117*D117*(1+GrowthMarketRent)^0,IF(I117="Market",Retention*LCRenewal*H117*D117*(1+GrowthMarketRent)^0+(1-Retention)*LCNew*H117*D117*(1+GrowthMarketRent)^0,IF(I117="LeaseUp",LCNew*H117*D117*(1+GrowthMarketRent)^0,IF(I117="Option",LCRenewal*H117*D117*(1+GrowthMarketRent)^0,0))))),IF(F117="",0,IF(AND(F117&gt;=DATE(2026+0,5,1),F117&lt;=DATE(2027+0,4,30)),(IF(I117="Vacate",TINew*D117,IF(I117="Market",Retention*TIRenewal*D117+(1-Retention)*TINew*D117,IF(I117="LeaseUp",TINew*D117,IF(I117="Option",TIRenewal*D117,0)))))+(IF(I117="Vacate",LCNew*H117*D117*(1+GrowthMarketRent)^0,IF(I117="Market",Retention*LCRenewal*H117*D117*(1+GrowthMarketRent)^0+(1-Retention)*LCNew*H117*D117*(1+GrowthMarketRent)^0,IF(I117="LeaseUp",LCNew*H117*D117*(1+GrowthMarketRent)^0,IF(I117="Option",LCRenewal*H117*D117*(1+GrowthMarketRent)^0,0))))),0))),0)</f>
        <v/>
      </c>
      <c r="Z117" s="14">
        <f>IFERROR(IF(AND(I117="LeaseUp",1=0),(IF(I117="Vacate",TINew*D117,IF(I117="Market",Retention*TIRenewal*D117+(1-Retention)*TINew*D117,IF(I117="LeaseUp",TINew*D117,IF(I117="Option",TIRenewal*D117,0)))))+(IF(I117="Vacate",LCNew*H117*D117*(1+GrowthMarketRent)^1,IF(I117="Market",Retention*LCRenewal*H117*D117*(1+GrowthMarketRent)^1+(1-Retention)*LCNew*H117*D117*(1+GrowthMarketRent)^1,IF(I117="LeaseUp",LCNew*H117*D117*(1+GrowthMarketRent)^1,IF(I117="Option",LCRenewal*H117*D117*(1+GrowthMarketRent)^1,0))))),IF(F117="",0,IF(AND(F117&gt;=DATE(2026+1,5,1),F117&lt;=DATE(2027+1,4,30)),(IF(I117="Vacate",TINew*D117,IF(I117="Market",Retention*TIRenewal*D117+(1-Retention)*TINew*D117,IF(I117="LeaseUp",TINew*D117,IF(I117="Option",TIRenewal*D117,0)))))+(IF(I117="Vacate",LCNew*H117*D117*(1+GrowthMarketRent)^1,IF(I117="Market",Retention*LCRenewal*H117*D117*(1+GrowthMarketRent)^1+(1-Retention)*LCNew*H117*D117*(1+GrowthMarketRent)^1,IF(I117="LeaseUp",LCNew*H117*D117*(1+GrowthMarketRent)^1,IF(I117="Option",LCRenewal*H117*D117*(1+GrowthMarketRent)^1,0))))),0))),0)</f>
        <v/>
      </c>
      <c r="AA117" s="14">
        <f>IFERROR(IF(AND(I117="LeaseUp",2=0),(IF(I117="Vacate",TINew*D117,IF(I117="Market",Retention*TIRenewal*D117+(1-Retention)*TINew*D117,IF(I117="LeaseUp",TINew*D117,IF(I117="Option",TIRenewal*D117,0)))))+(IF(I117="Vacate",LCNew*H117*D117*(1+GrowthMarketRent)^2,IF(I117="Market",Retention*LCRenewal*H117*D117*(1+GrowthMarketRent)^2+(1-Retention)*LCNew*H117*D117*(1+GrowthMarketRent)^2,IF(I117="LeaseUp",LCNew*H117*D117*(1+GrowthMarketRent)^2,IF(I117="Option",LCRenewal*H117*D117*(1+GrowthMarketRent)^2,0))))),IF(F117="",0,IF(AND(F117&gt;=DATE(2026+2,5,1),F117&lt;=DATE(2027+2,4,30)),(IF(I117="Vacate",TINew*D117,IF(I117="Market",Retention*TIRenewal*D117+(1-Retention)*TINew*D117,IF(I117="LeaseUp",TINew*D117,IF(I117="Option",TIRenewal*D117,0)))))+(IF(I117="Vacate",LCNew*H117*D117*(1+GrowthMarketRent)^2,IF(I117="Market",Retention*LCRenewal*H117*D117*(1+GrowthMarketRent)^2+(1-Retention)*LCNew*H117*D117*(1+GrowthMarketRent)^2,IF(I117="LeaseUp",LCNew*H117*D117*(1+GrowthMarketRent)^2,IF(I117="Option",LCRenewal*H117*D117*(1+GrowthMarketRent)^2,0))))),0))),0)</f>
        <v/>
      </c>
      <c r="AB117" s="14">
        <f>IFERROR(IF(AND(I117="LeaseUp",3=0),(IF(I117="Vacate",TINew*D117,IF(I117="Market",Retention*TIRenewal*D117+(1-Retention)*TINew*D117,IF(I117="LeaseUp",TINew*D117,IF(I117="Option",TIRenewal*D117,0)))))+(IF(I117="Vacate",LCNew*H117*D117*(1+GrowthMarketRent)^3,IF(I117="Market",Retention*LCRenewal*H117*D117*(1+GrowthMarketRent)^3+(1-Retention)*LCNew*H117*D117*(1+GrowthMarketRent)^3,IF(I117="LeaseUp",LCNew*H117*D117*(1+GrowthMarketRent)^3,IF(I117="Option",LCRenewal*H117*D117*(1+GrowthMarketRent)^3,0))))),IF(F117="",0,IF(AND(F117&gt;=DATE(2026+3,5,1),F117&lt;=DATE(2027+3,4,30)),(IF(I117="Vacate",TINew*D117,IF(I117="Market",Retention*TIRenewal*D117+(1-Retention)*TINew*D117,IF(I117="LeaseUp",TINew*D117,IF(I117="Option",TIRenewal*D117,0)))))+(IF(I117="Vacate",LCNew*H117*D117*(1+GrowthMarketRent)^3,IF(I117="Market",Retention*LCRenewal*H117*D117*(1+GrowthMarketRent)^3+(1-Retention)*LCNew*H117*D117*(1+GrowthMarketRent)^3,IF(I117="LeaseUp",LCNew*H117*D117*(1+GrowthMarketRent)^3,IF(I117="Option",LCRenewal*H117*D117*(1+GrowthMarketRent)^3,0))))),0))),0)</f>
        <v/>
      </c>
      <c r="AC117" s="14">
        <f>IFERROR(IF(AND(I117="LeaseUp",4=0),(IF(I117="Vacate",TINew*D117,IF(I117="Market",Retention*TIRenewal*D117+(1-Retention)*TINew*D117,IF(I117="LeaseUp",TINew*D117,IF(I117="Option",TIRenewal*D117,0)))))+(IF(I117="Vacate",LCNew*H117*D117*(1+GrowthMarketRent)^4,IF(I117="Market",Retention*LCRenewal*H117*D117*(1+GrowthMarketRent)^4+(1-Retention)*LCNew*H117*D117*(1+GrowthMarketRent)^4,IF(I117="LeaseUp",LCNew*H117*D117*(1+GrowthMarketRent)^4,IF(I117="Option",LCRenewal*H117*D117*(1+GrowthMarketRent)^4,0))))),IF(F117="",0,IF(AND(F117&gt;=DATE(2026+4,5,1),F117&lt;=DATE(2027+4,4,30)),(IF(I117="Vacate",TINew*D117,IF(I117="Market",Retention*TIRenewal*D117+(1-Retention)*TINew*D117,IF(I117="LeaseUp",TINew*D117,IF(I117="Option",TIRenewal*D117,0)))))+(IF(I117="Vacate",LCNew*H117*D117*(1+GrowthMarketRent)^4,IF(I117="Market",Retention*LCRenewal*H117*D117*(1+GrowthMarketRent)^4+(1-Retention)*LCNew*H117*D117*(1+GrowthMarketRent)^4,IF(I117="LeaseUp",LCNew*H117*D117*(1+GrowthMarketRent)^4,IF(I117="Option",LCRenewal*H117*D117*(1+GrowthMarketRent)^4,0))))),0))),0)</f>
        <v/>
      </c>
      <c r="AD117" s="14">
        <f>IFERROR(IF(AND(I117="LeaseUp",5=0),(IF(I117="Vacate",TINew*D117,IF(I117="Market",Retention*TIRenewal*D117+(1-Retention)*TINew*D117,IF(I117="LeaseUp",TINew*D117,IF(I117="Option",TIRenewal*D117,0)))))+(IF(I117="Vacate",LCNew*H117*D117*(1+GrowthMarketRent)^5,IF(I117="Market",Retention*LCRenewal*H117*D117*(1+GrowthMarketRent)^5+(1-Retention)*LCNew*H117*D117*(1+GrowthMarketRent)^5,IF(I117="LeaseUp",LCNew*H117*D117*(1+GrowthMarketRent)^5,IF(I117="Option",LCRenewal*H117*D117*(1+GrowthMarketRent)^5,0))))),IF(F117="",0,IF(AND(F117&gt;=DATE(2026+5,5,1),F117&lt;=DATE(2027+5,4,30)),(IF(I117="Vacate",TINew*D117,IF(I117="Market",Retention*TIRenewal*D117+(1-Retention)*TINew*D117,IF(I117="LeaseUp",TINew*D117,IF(I117="Option",TIRenewal*D117,0)))))+(IF(I117="Vacate",LCNew*H117*D117*(1+GrowthMarketRent)^5,IF(I117="Market",Retention*LCRenewal*H117*D117*(1+GrowthMarketRent)^5+(1-Retention)*LCNew*H117*D117*(1+GrowthMarketRent)^5,IF(I117="LeaseUp",LCNew*H117*D117*(1+GrowthMarketRent)^5,IF(I117="Option",LCRenewal*H117*D117*(1+GrowthMarketRent)^5,0))))),0))),0)</f>
        <v/>
      </c>
      <c r="AE117" s="14">
        <f>IFERROR(IF(AND(I117="LeaseUp",6=0),(IF(I117="Vacate",TINew*D117,IF(I117="Market",Retention*TIRenewal*D117+(1-Retention)*TINew*D117,IF(I117="LeaseUp",TINew*D117,IF(I117="Option",TIRenewal*D117,0)))))+(IF(I117="Vacate",LCNew*H117*D117*(1+GrowthMarketRent)^6,IF(I117="Market",Retention*LCRenewal*H117*D117*(1+GrowthMarketRent)^6+(1-Retention)*LCNew*H117*D117*(1+GrowthMarketRent)^6,IF(I117="LeaseUp",LCNew*H117*D117*(1+GrowthMarketRent)^6,IF(I117="Option",LCRenewal*H117*D117*(1+GrowthMarketRent)^6,0))))),IF(F117="",0,IF(AND(F117&gt;=DATE(2026+6,5,1),F117&lt;=DATE(2027+6,4,30)),(IF(I117="Vacate",TINew*D117,IF(I117="Market",Retention*TIRenewal*D117+(1-Retention)*TINew*D117,IF(I117="LeaseUp",TINew*D117,IF(I117="Option",TIRenewal*D117,0)))))+(IF(I117="Vacate",LCNew*H117*D117*(1+GrowthMarketRent)^6,IF(I117="Market",Retention*LCRenewal*H117*D117*(1+GrowthMarketRent)^6+(1-Retention)*LCNew*H117*D117*(1+GrowthMarketRent)^6,IF(I117="LeaseUp",LCNew*H117*D117*(1+GrowthMarketRent)^6,IF(I117="Option",LCRenewal*H117*D117*(1+GrowthMarketRent)^6,0))))),0))),0)</f>
        <v/>
      </c>
      <c r="AF117" s="14">
        <f>IFERROR(IF(AND(I117="LeaseUp",7=0),(IF(I117="Vacate",TINew*D117,IF(I117="Market",Retention*TIRenewal*D117+(1-Retention)*TINew*D117,IF(I117="LeaseUp",TINew*D117,IF(I117="Option",TIRenewal*D117,0)))))+(IF(I117="Vacate",LCNew*H117*D117*(1+GrowthMarketRent)^7,IF(I117="Market",Retention*LCRenewal*H117*D117*(1+GrowthMarketRent)^7+(1-Retention)*LCNew*H117*D117*(1+GrowthMarketRent)^7,IF(I117="LeaseUp",LCNew*H117*D117*(1+GrowthMarketRent)^7,IF(I117="Option",LCRenewal*H117*D117*(1+GrowthMarketRent)^7,0))))),IF(F117="",0,IF(AND(F117&gt;=DATE(2026+7,5,1),F117&lt;=DATE(2027+7,4,30)),(IF(I117="Vacate",TINew*D117,IF(I117="Market",Retention*TIRenewal*D117+(1-Retention)*TINew*D117,IF(I117="LeaseUp",TINew*D117,IF(I117="Option",TIRenewal*D117,0)))))+(IF(I117="Vacate",LCNew*H117*D117*(1+GrowthMarketRent)^7,IF(I117="Market",Retention*LCRenewal*H117*D117*(1+GrowthMarketRent)^7+(1-Retention)*LCNew*H117*D117*(1+GrowthMarketRent)^7,IF(I117="LeaseUp",LCNew*H117*D117*(1+GrowthMarketRent)^7,IF(I117="Option",LCRenewal*H117*D117*(1+GrowthMarketRent)^7,0))))),0))),0)</f>
        <v/>
      </c>
      <c r="AG117" s="14">
        <f>IFERROR(IF(AND(I117="LeaseUp",8=0),(IF(I117="Vacate",TINew*D117,IF(I117="Market",Retention*TIRenewal*D117+(1-Retention)*TINew*D117,IF(I117="LeaseUp",TINew*D117,IF(I117="Option",TIRenewal*D117,0)))))+(IF(I117="Vacate",LCNew*H117*D117*(1+GrowthMarketRent)^8,IF(I117="Market",Retention*LCRenewal*H117*D117*(1+GrowthMarketRent)^8+(1-Retention)*LCNew*H117*D117*(1+GrowthMarketRent)^8,IF(I117="LeaseUp",LCNew*H117*D117*(1+GrowthMarketRent)^8,IF(I117="Option",LCRenewal*H117*D117*(1+GrowthMarketRent)^8,0))))),IF(F117="",0,IF(AND(F117&gt;=DATE(2026+8,5,1),F117&lt;=DATE(2027+8,4,30)),(IF(I117="Vacate",TINew*D117,IF(I117="Market",Retention*TIRenewal*D117+(1-Retention)*TINew*D117,IF(I117="LeaseUp",TINew*D117,IF(I117="Option",TIRenewal*D117,0)))))+(IF(I117="Vacate",LCNew*H117*D117*(1+GrowthMarketRent)^8,IF(I117="Market",Retention*LCRenewal*H117*D117*(1+GrowthMarketRent)^8+(1-Retention)*LCNew*H117*D117*(1+GrowthMarketRent)^8,IF(I117="LeaseUp",LCNew*H117*D117*(1+GrowthMarketRent)^8,IF(I117="Option",LCRenewal*H117*D117*(1+GrowthMarketRent)^8,0))))),0))),0)</f>
        <v/>
      </c>
      <c r="AH117" s="14">
        <f>IFERROR(IF(AND(I117="LeaseUp",9=0),(IF(I117="Vacate",TINew*D117,IF(I117="Market",Retention*TIRenewal*D117+(1-Retention)*TINew*D117,IF(I117="LeaseUp",TINew*D117,IF(I117="Option",TIRenewal*D117,0)))))+(IF(I117="Vacate",LCNew*H117*D117*(1+GrowthMarketRent)^9,IF(I117="Market",Retention*LCRenewal*H117*D117*(1+GrowthMarketRent)^9+(1-Retention)*LCNew*H117*D117*(1+GrowthMarketRent)^9,IF(I117="LeaseUp",LCNew*H117*D117*(1+GrowthMarketRent)^9,IF(I117="Option",LCRenewal*H117*D117*(1+GrowthMarketRent)^9,0))))),IF(F117="",0,IF(AND(F117&gt;=DATE(2026+9,5,1),F117&lt;=DATE(2027+9,4,30)),(IF(I117="Vacate",TINew*D117,IF(I117="Market",Retention*TIRenewal*D117+(1-Retention)*TINew*D117,IF(I117="LeaseUp",TINew*D117,IF(I117="Option",TIRenewal*D117,0)))))+(IF(I117="Vacate",LCNew*H117*D117*(1+GrowthMarketRent)^9,IF(I117="Market",Retention*LCRenewal*H117*D117*(1+GrowthMarketRent)^9+(1-Retention)*LCNew*H117*D117*(1+GrowthMarketRent)^9,IF(I117="LeaseUp",LCNew*H117*D117*(1+GrowthMarketRent)^9,IF(I117="Option",LCRenewal*H117*D117*(1+GrowthMarketRent)^9,0))))),0))),0)</f>
        <v/>
      </c>
      <c r="AI117" s="14">
        <f>IFERROR(IF(AND(I117="LeaseUp",10=0),(IF(I117="Vacate",TINew*D117,IF(I117="Market",Retention*TIRenewal*D117+(1-Retention)*TINew*D117,IF(I117="LeaseUp",TINew*D117,IF(I117="Option",TIRenewal*D117,0)))))+(IF(I117="Vacate",LCNew*H117*D117*(1+GrowthMarketRent)^10,IF(I117="Market",Retention*LCRenewal*H117*D117*(1+GrowthMarketRent)^10+(1-Retention)*LCNew*H117*D117*(1+GrowthMarketRent)^10,IF(I117="LeaseUp",LCNew*H117*D117*(1+GrowthMarketRent)^10,IF(I117="Option",LCRenewal*H117*D117*(1+GrowthMarketRent)^10,0))))),IF(F117="",0,IF(AND(F117&gt;=DATE(2026+10,5,1),F117&lt;=DATE(2027+10,4,30)),(IF(I117="Vacate",TINew*D117,IF(I117="Market",Retention*TIRenewal*D117+(1-Retention)*TINew*D117,IF(I117="LeaseUp",TINew*D117,IF(I117="Option",TIRenewal*D117,0)))))+(IF(I117="Vacate",LCNew*H117*D117*(1+GrowthMarketRent)^10,IF(I117="Market",Retention*LCRenewal*H117*D117*(1+GrowthMarketRent)^10+(1-Retention)*LCNew*H117*D117*(1+GrowthMarketRent)^10,IF(I117="LeaseUp",LCNew*H117*D117*(1+GrowthMarketRent)^10,IF(I117="Option",LCRenewal*H117*D117*(1+GrowthMarketRent)^10,0))))),0))),0)</f>
        <v/>
      </c>
    </row>
    <row r="118">
      <c r="A118" t="inlineStr">
        <is>
          <t>Lewisville</t>
        </is>
      </c>
      <c r="B118" t="inlineStr">
        <is>
          <t>308</t>
        </is>
      </c>
      <c r="C118" t="inlineStr">
        <is>
          <t>Truly Nolen of America Inc.</t>
        </is>
      </c>
      <c r="D118" s="32" t="n">
        <v>1870</v>
      </c>
      <c r="E118" s="33" t="n">
        <v>45078</v>
      </c>
      <c r="F118" s="33" t="n">
        <v>46874</v>
      </c>
      <c r="G118" s="34" t="n">
        <v>15.2342245989305</v>
      </c>
      <c r="H118" s="16">
        <f>VLOOKUP(A118,MLA!$A$5:$L$11,3,FALSE)</f>
        <v/>
      </c>
      <c r="I118" s="11" t="inlineStr">
        <is>
          <t>Option</t>
        </is>
      </c>
      <c r="J118" t="inlineStr">
        <is>
          <t>Studio</t>
        </is>
      </c>
      <c r="K118" t="inlineStr">
        <is>
          <t>Occupied</t>
        </is>
      </c>
      <c r="L118" t="inlineStr">
        <is>
          <t>Studio; Two 3yr options; Guarantor: Truly Nolen of America Inc.</t>
        </is>
      </c>
      <c r="M118" s="20">
        <f>IF(E118="",0,(AnalysisStart-E118)/365.25)</f>
        <v/>
      </c>
      <c r="N118" s="14">
        <f>IFERROR(IF(I118="LeaseUp",H118*D118*(1+GrowthMarketRent)^0*IF(0=0,(12-DowntimeNew)/12,1),IF(F118="",0,IF(F118&gt;=DATE(2027+0,4,30),G118*D118*(1+EscalatorInLease)^(0+M118),IF(F118&lt;DATE(2026+0,5,1),IF(I118="Vacate",H118*D118*(1+GrowthMarketRent)^0*IF(INT((DATE(2026+0,10,31)-F118)/365.25)=0,(12-DowntimeNew)/12,1),IF(I118="Option",G118*D118*1.025*(1+EscalatorInLease)^0,IF(I118="Market",Retention*G118*D118*(1+EscalatorInLease)^(0+M118)+(1-Retention)*H118*D118*(1+GrowthMarketRent)^0*IF(INT((DATE(2026+0,10,31)-F118)/365.25)=0,(12-DowntimeNew)/12,1),IF(I118="LeaseUp",H118*D118*(1+GrowthMarketRent)^0*IF(0=0,(12-DowntimeNew)/12,1),0)))),((F118-DATE(2026+0,5,1))/365.25)*G118*D118*(1+EscalatorInLease)^(0+M118)+((DATE(2027+0,4,30)-F118)/365.25)*IF(I118="Vacate",H118*D118*(1+GrowthMarketRent)^0*IF(INT((DATE(2026+0,10,31)-F118)/365.25)=0,(12-DowntimeNew)/12,1),IF(I118="Option",G118*D118*1.025*(1+EscalatorInLease)^0,IF(I118="Market",Retention*G118*D118*(1+EscalatorInLease)^(0+M118)+(1-Retention)*H118*D118*(1+GrowthMarketRent)^0*IF(INT((DATE(2026+0,10,31)-F118)/365.25)=0,(12-DowntimeNew)/12,1),IF(I118="LeaseUp",H118*D118*(1+GrowthMarketRent)^0*IF(0=0,(12-DowntimeNew)/12,1),0)))))))),0)</f>
        <v/>
      </c>
      <c r="O118" s="14">
        <f>IFERROR(IF(I118="LeaseUp",H118*D118*(1+GrowthMarketRent)^1*IF(1=0,(12-DowntimeNew)/12,1),IF(F118="",0,IF(F118&gt;=DATE(2027+1,4,30),G118*D118*(1+EscalatorInLease)^(1+M118),IF(F118&lt;DATE(2026+1,5,1),IF(I118="Vacate",H118*D118*(1+GrowthMarketRent)^1*IF(INT((DATE(2026+1,10,31)-F118)/365.25)=0,(12-DowntimeNew)/12,1),IF(I118="Option",G118*D118*1.025*(1+EscalatorInLease)^1,IF(I118="Market",Retention*G118*D118*(1+EscalatorInLease)^(1+M118)+(1-Retention)*H118*D118*(1+GrowthMarketRent)^1*IF(INT((DATE(2026+1,10,31)-F118)/365.25)=0,(12-DowntimeNew)/12,1),IF(I118="LeaseUp",H118*D118*(1+GrowthMarketRent)^1*IF(1=0,(12-DowntimeNew)/12,1),0)))),((F118-DATE(2026+1,5,1))/365.25)*G118*D118*(1+EscalatorInLease)^(1+M118)+((DATE(2027+1,4,30)-F118)/365.25)*IF(I118="Vacate",H118*D118*(1+GrowthMarketRent)^1*IF(INT((DATE(2026+1,10,31)-F118)/365.25)=0,(12-DowntimeNew)/12,1),IF(I118="Option",G118*D118*1.025*(1+EscalatorInLease)^1,IF(I118="Market",Retention*G118*D118*(1+EscalatorInLease)^(1+M118)+(1-Retention)*H118*D118*(1+GrowthMarketRent)^1*IF(INT((DATE(2026+1,10,31)-F118)/365.25)=0,(12-DowntimeNew)/12,1),IF(I118="LeaseUp",H118*D118*(1+GrowthMarketRent)^1*IF(1=0,(12-DowntimeNew)/12,1),0)))))))),0)</f>
        <v/>
      </c>
      <c r="P118" s="14">
        <f>IFERROR(IF(I118="LeaseUp",H118*D118*(1+GrowthMarketRent)^2*IF(2=0,(12-DowntimeNew)/12,1),IF(F118="",0,IF(F118&gt;=DATE(2027+2,4,30),G118*D118*(1+EscalatorInLease)^(2+M118),IF(F118&lt;DATE(2026+2,5,1),IF(I118="Vacate",H118*D118*(1+GrowthMarketRent)^2*IF(INT((DATE(2026+2,10,31)-F118)/365.25)=0,(12-DowntimeNew)/12,1),IF(I118="Option",G118*D118*1.025*(1+EscalatorInLease)^2,IF(I118="Market",Retention*G118*D118*(1+EscalatorInLease)^(2+M118)+(1-Retention)*H118*D118*(1+GrowthMarketRent)^2*IF(INT((DATE(2026+2,10,31)-F118)/365.25)=0,(12-DowntimeNew)/12,1),IF(I118="LeaseUp",H118*D118*(1+GrowthMarketRent)^2*IF(2=0,(12-DowntimeNew)/12,1),0)))),((F118-DATE(2026+2,5,1))/365.25)*G118*D118*(1+EscalatorInLease)^(2+M118)+((DATE(2027+2,4,30)-F118)/365.25)*IF(I118="Vacate",H118*D118*(1+GrowthMarketRent)^2*IF(INT((DATE(2026+2,10,31)-F118)/365.25)=0,(12-DowntimeNew)/12,1),IF(I118="Option",G118*D118*1.025*(1+EscalatorInLease)^2,IF(I118="Market",Retention*G118*D118*(1+EscalatorInLease)^(2+M118)+(1-Retention)*H118*D118*(1+GrowthMarketRent)^2*IF(INT((DATE(2026+2,10,31)-F118)/365.25)=0,(12-DowntimeNew)/12,1),IF(I118="LeaseUp",H118*D118*(1+GrowthMarketRent)^2*IF(2=0,(12-DowntimeNew)/12,1),0)))))))),0)</f>
        <v/>
      </c>
      <c r="Q118" s="14">
        <f>IFERROR(IF(I118="LeaseUp",H118*D118*(1+GrowthMarketRent)^3*IF(3=0,(12-DowntimeNew)/12,1),IF(F118="",0,IF(F118&gt;=DATE(2027+3,4,30),G118*D118*(1+EscalatorInLease)^(3+M118),IF(F118&lt;DATE(2026+3,5,1),IF(I118="Vacate",H118*D118*(1+GrowthMarketRent)^3*IF(INT((DATE(2026+3,10,31)-F118)/365.25)=0,(12-DowntimeNew)/12,1),IF(I118="Option",G118*D118*1.025*(1+EscalatorInLease)^3,IF(I118="Market",Retention*G118*D118*(1+EscalatorInLease)^(3+M118)+(1-Retention)*H118*D118*(1+GrowthMarketRent)^3*IF(INT((DATE(2026+3,10,31)-F118)/365.25)=0,(12-DowntimeNew)/12,1),IF(I118="LeaseUp",H118*D118*(1+GrowthMarketRent)^3*IF(3=0,(12-DowntimeNew)/12,1),0)))),((F118-DATE(2026+3,5,1))/365.25)*G118*D118*(1+EscalatorInLease)^(3+M118)+((DATE(2027+3,4,30)-F118)/365.25)*IF(I118="Vacate",H118*D118*(1+GrowthMarketRent)^3*IF(INT((DATE(2026+3,10,31)-F118)/365.25)=0,(12-DowntimeNew)/12,1),IF(I118="Option",G118*D118*1.025*(1+EscalatorInLease)^3,IF(I118="Market",Retention*G118*D118*(1+EscalatorInLease)^(3+M118)+(1-Retention)*H118*D118*(1+GrowthMarketRent)^3*IF(INT((DATE(2026+3,10,31)-F118)/365.25)=0,(12-DowntimeNew)/12,1),IF(I118="LeaseUp",H118*D118*(1+GrowthMarketRent)^3*IF(3=0,(12-DowntimeNew)/12,1),0)))))))),0)</f>
        <v/>
      </c>
      <c r="R118" s="14">
        <f>IFERROR(IF(I118="LeaseUp",H118*D118*(1+GrowthMarketRent)^4*IF(4=0,(12-DowntimeNew)/12,1),IF(F118="",0,IF(F118&gt;=DATE(2027+4,4,30),G118*D118*(1+EscalatorInLease)^(4+M118),IF(F118&lt;DATE(2026+4,5,1),IF(I118="Vacate",H118*D118*(1+GrowthMarketRent)^4*IF(INT((DATE(2026+4,10,31)-F118)/365.25)=0,(12-DowntimeNew)/12,1),IF(I118="Option",G118*D118*1.025*(1+EscalatorInLease)^4,IF(I118="Market",Retention*G118*D118*(1+EscalatorInLease)^(4+M118)+(1-Retention)*H118*D118*(1+GrowthMarketRent)^4*IF(INT((DATE(2026+4,10,31)-F118)/365.25)=0,(12-DowntimeNew)/12,1),IF(I118="LeaseUp",H118*D118*(1+GrowthMarketRent)^4*IF(4=0,(12-DowntimeNew)/12,1),0)))),((F118-DATE(2026+4,5,1))/365.25)*G118*D118*(1+EscalatorInLease)^(4+M118)+((DATE(2027+4,4,30)-F118)/365.25)*IF(I118="Vacate",H118*D118*(1+GrowthMarketRent)^4*IF(INT((DATE(2026+4,10,31)-F118)/365.25)=0,(12-DowntimeNew)/12,1),IF(I118="Option",G118*D118*1.025*(1+EscalatorInLease)^4,IF(I118="Market",Retention*G118*D118*(1+EscalatorInLease)^(4+M118)+(1-Retention)*H118*D118*(1+GrowthMarketRent)^4*IF(INT((DATE(2026+4,10,31)-F118)/365.25)=0,(12-DowntimeNew)/12,1),IF(I118="LeaseUp",H118*D118*(1+GrowthMarketRent)^4*IF(4=0,(12-DowntimeNew)/12,1),0)))))))),0)</f>
        <v/>
      </c>
      <c r="S118" s="14">
        <f>IFERROR(IF(I118="LeaseUp",H118*D118*(1+GrowthMarketRent)^5*IF(5=0,(12-DowntimeNew)/12,1),IF(F118="",0,IF(F118&gt;=DATE(2027+5,4,30),G118*D118*(1+EscalatorInLease)^(5+M118),IF(F118&lt;DATE(2026+5,5,1),IF(I118="Vacate",H118*D118*(1+GrowthMarketRent)^5*IF(INT((DATE(2026+5,10,31)-F118)/365.25)=0,(12-DowntimeNew)/12,1),IF(I118="Option",G118*D118*1.025*(1+EscalatorInLease)^5,IF(I118="Market",Retention*G118*D118*(1+EscalatorInLease)^(5+M118)+(1-Retention)*H118*D118*(1+GrowthMarketRent)^5*IF(INT((DATE(2026+5,10,31)-F118)/365.25)=0,(12-DowntimeNew)/12,1),IF(I118="LeaseUp",H118*D118*(1+GrowthMarketRent)^5*IF(5=0,(12-DowntimeNew)/12,1),0)))),((F118-DATE(2026+5,5,1))/365.25)*G118*D118*(1+EscalatorInLease)^(5+M118)+((DATE(2027+5,4,30)-F118)/365.25)*IF(I118="Vacate",H118*D118*(1+GrowthMarketRent)^5*IF(INT((DATE(2026+5,10,31)-F118)/365.25)=0,(12-DowntimeNew)/12,1),IF(I118="Option",G118*D118*1.025*(1+EscalatorInLease)^5,IF(I118="Market",Retention*G118*D118*(1+EscalatorInLease)^(5+M118)+(1-Retention)*H118*D118*(1+GrowthMarketRent)^5*IF(INT((DATE(2026+5,10,31)-F118)/365.25)=0,(12-DowntimeNew)/12,1),IF(I118="LeaseUp",H118*D118*(1+GrowthMarketRent)^5*IF(5=0,(12-DowntimeNew)/12,1),0)))))))),0)</f>
        <v/>
      </c>
      <c r="T118" s="14">
        <f>IFERROR(IF(I118="LeaseUp",H118*D118*(1+GrowthMarketRent)^6*IF(6=0,(12-DowntimeNew)/12,1),IF(F118="",0,IF(F118&gt;=DATE(2027+6,4,30),G118*D118*(1+EscalatorInLease)^(6+M118),IF(F118&lt;DATE(2026+6,5,1),IF(I118="Vacate",H118*D118*(1+GrowthMarketRent)^6*IF(INT((DATE(2026+6,10,31)-F118)/365.25)=0,(12-DowntimeNew)/12,1),IF(I118="Option",G118*D118*1.025*(1+EscalatorInLease)^6,IF(I118="Market",Retention*G118*D118*(1+EscalatorInLease)^(6+M118)+(1-Retention)*H118*D118*(1+GrowthMarketRent)^6*IF(INT((DATE(2026+6,10,31)-F118)/365.25)=0,(12-DowntimeNew)/12,1),IF(I118="LeaseUp",H118*D118*(1+GrowthMarketRent)^6*IF(6=0,(12-DowntimeNew)/12,1),0)))),((F118-DATE(2026+6,5,1))/365.25)*G118*D118*(1+EscalatorInLease)^(6+M118)+((DATE(2027+6,4,30)-F118)/365.25)*IF(I118="Vacate",H118*D118*(1+GrowthMarketRent)^6*IF(INT((DATE(2026+6,10,31)-F118)/365.25)=0,(12-DowntimeNew)/12,1),IF(I118="Option",G118*D118*1.025*(1+EscalatorInLease)^6,IF(I118="Market",Retention*G118*D118*(1+EscalatorInLease)^(6+M118)+(1-Retention)*H118*D118*(1+GrowthMarketRent)^6*IF(INT((DATE(2026+6,10,31)-F118)/365.25)=0,(12-DowntimeNew)/12,1),IF(I118="LeaseUp",H118*D118*(1+GrowthMarketRent)^6*IF(6=0,(12-DowntimeNew)/12,1),0)))))))),0)</f>
        <v/>
      </c>
      <c r="U118" s="14">
        <f>IFERROR(IF(I118="LeaseUp",H118*D118*(1+GrowthMarketRent)^7*IF(7=0,(12-DowntimeNew)/12,1),IF(F118="",0,IF(F118&gt;=DATE(2027+7,4,30),G118*D118*(1+EscalatorInLease)^(7+M118),IF(F118&lt;DATE(2026+7,5,1),IF(I118="Vacate",H118*D118*(1+GrowthMarketRent)^7*IF(INT((DATE(2026+7,10,31)-F118)/365.25)=0,(12-DowntimeNew)/12,1),IF(I118="Option",G118*D118*1.025*(1+EscalatorInLease)^7,IF(I118="Market",Retention*G118*D118*(1+EscalatorInLease)^(7+M118)+(1-Retention)*H118*D118*(1+GrowthMarketRent)^7*IF(INT((DATE(2026+7,10,31)-F118)/365.25)=0,(12-DowntimeNew)/12,1),IF(I118="LeaseUp",H118*D118*(1+GrowthMarketRent)^7*IF(7=0,(12-DowntimeNew)/12,1),0)))),((F118-DATE(2026+7,5,1))/365.25)*G118*D118*(1+EscalatorInLease)^(7+M118)+((DATE(2027+7,4,30)-F118)/365.25)*IF(I118="Vacate",H118*D118*(1+GrowthMarketRent)^7*IF(INT((DATE(2026+7,10,31)-F118)/365.25)=0,(12-DowntimeNew)/12,1),IF(I118="Option",G118*D118*1.025*(1+EscalatorInLease)^7,IF(I118="Market",Retention*G118*D118*(1+EscalatorInLease)^(7+M118)+(1-Retention)*H118*D118*(1+GrowthMarketRent)^7*IF(INT((DATE(2026+7,10,31)-F118)/365.25)=0,(12-DowntimeNew)/12,1),IF(I118="LeaseUp",H118*D118*(1+GrowthMarketRent)^7*IF(7=0,(12-DowntimeNew)/12,1),0)))))))),0)</f>
        <v/>
      </c>
      <c r="V118" s="14">
        <f>IFERROR(IF(I118="LeaseUp",H118*D118*(1+GrowthMarketRent)^8*IF(8=0,(12-DowntimeNew)/12,1),IF(F118="",0,IF(F118&gt;=DATE(2027+8,4,30),G118*D118*(1+EscalatorInLease)^(8+M118),IF(F118&lt;DATE(2026+8,5,1),IF(I118="Vacate",H118*D118*(1+GrowthMarketRent)^8*IF(INT((DATE(2026+8,10,31)-F118)/365.25)=0,(12-DowntimeNew)/12,1),IF(I118="Option",G118*D118*1.025*(1+EscalatorInLease)^8,IF(I118="Market",Retention*G118*D118*(1+EscalatorInLease)^(8+M118)+(1-Retention)*H118*D118*(1+GrowthMarketRent)^8*IF(INT((DATE(2026+8,10,31)-F118)/365.25)=0,(12-DowntimeNew)/12,1),IF(I118="LeaseUp",H118*D118*(1+GrowthMarketRent)^8*IF(8=0,(12-DowntimeNew)/12,1),0)))),((F118-DATE(2026+8,5,1))/365.25)*G118*D118*(1+EscalatorInLease)^(8+M118)+((DATE(2027+8,4,30)-F118)/365.25)*IF(I118="Vacate",H118*D118*(1+GrowthMarketRent)^8*IF(INT((DATE(2026+8,10,31)-F118)/365.25)=0,(12-DowntimeNew)/12,1),IF(I118="Option",G118*D118*1.025*(1+EscalatorInLease)^8,IF(I118="Market",Retention*G118*D118*(1+EscalatorInLease)^(8+M118)+(1-Retention)*H118*D118*(1+GrowthMarketRent)^8*IF(INT((DATE(2026+8,10,31)-F118)/365.25)=0,(12-DowntimeNew)/12,1),IF(I118="LeaseUp",H118*D118*(1+GrowthMarketRent)^8*IF(8=0,(12-DowntimeNew)/12,1),0)))))))),0)</f>
        <v/>
      </c>
      <c r="W118" s="14">
        <f>IFERROR(IF(I118="LeaseUp",H118*D118*(1+GrowthMarketRent)^9*IF(9=0,(12-DowntimeNew)/12,1),IF(F118="",0,IF(F118&gt;=DATE(2027+9,4,30),G118*D118*(1+EscalatorInLease)^(9+M118),IF(F118&lt;DATE(2026+9,5,1),IF(I118="Vacate",H118*D118*(1+GrowthMarketRent)^9*IF(INT((DATE(2026+9,10,31)-F118)/365.25)=0,(12-DowntimeNew)/12,1),IF(I118="Option",G118*D118*1.025*(1+EscalatorInLease)^9,IF(I118="Market",Retention*G118*D118*(1+EscalatorInLease)^(9+M118)+(1-Retention)*H118*D118*(1+GrowthMarketRent)^9*IF(INT((DATE(2026+9,10,31)-F118)/365.25)=0,(12-DowntimeNew)/12,1),IF(I118="LeaseUp",H118*D118*(1+GrowthMarketRent)^9*IF(9=0,(12-DowntimeNew)/12,1),0)))),((F118-DATE(2026+9,5,1))/365.25)*G118*D118*(1+EscalatorInLease)^(9+M118)+((DATE(2027+9,4,30)-F118)/365.25)*IF(I118="Vacate",H118*D118*(1+GrowthMarketRent)^9*IF(INT((DATE(2026+9,10,31)-F118)/365.25)=0,(12-DowntimeNew)/12,1),IF(I118="Option",G118*D118*1.025*(1+EscalatorInLease)^9,IF(I118="Market",Retention*G118*D118*(1+EscalatorInLease)^(9+M118)+(1-Retention)*H118*D118*(1+GrowthMarketRent)^9*IF(INT((DATE(2026+9,10,31)-F118)/365.25)=0,(12-DowntimeNew)/12,1),IF(I118="LeaseUp",H118*D118*(1+GrowthMarketRent)^9*IF(9=0,(12-DowntimeNew)/12,1),0)))))))),0)</f>
        <v/>
      </c>
      <c r="X118" s="14">
        <f>IFERROR(IF(I118="LeaseUp",H118*D118*(1+GrowthMarketRent)^10*IF(10=0,(12-DowntimeNew)/12,1),IF(F118="",0,IF(F118&gt;=DATE(2027+10,4,30),G118*D118*(1+EscalatorInLease)^(10+M118),IF(F118&lt;DATE(2026+10,5,1),IF(I118="Vacate",H118*D118*(1+GrowthMarketRent)^10*IF(INT((DATE(2026+10,10,31)-F118)/365.25)=0,(12-DowntimeNew)/12,1),IF(I118="Option",G118*D118*1.025*(1+EscalatorInLease)^10,IF(I118="Market",Retention*G118*D118*(1+EscalatorInLease)^(10+M118)+(1-Retention)*H118*D118*(1+GrowthMarketRent)^10*IF(INT((DATE(2026+10,10,31)-F118)/365.25)=0,(12-DowntimeNew)/12,1),IF(I118="LeaseUp",H118*D118*(1+GrowthMarketRent)^10*IF(10=0,(12-DowntimeNew)/12,1),0)))),((F118-DATE(2026+10,5,1))/365.25)*G118*D118*(1+EscalatorInLease)^(10+M118)+((DATE(2027+10,4,30)-F118)/365.25)*IF(I118="Vacate",H118*D118*(1+GrowthMarketRent)^10*IF(INT((DATE(2026+10,10,31)-F118)/365.25)=0,(12-DowntimeNew)/12,1),IF(I118="Option",G118*D118*1.025*(1+EscalatorInLease)^10,IF(I118="Market",Retention*G118*D118*(1+EscalatorInLease)^(10+M118)+(1-Retention)*H118*D118*(1+GrowthMarketRent)^10*IF(INT((DATE(2026+10,10,31)-F118)/365.25)=0,(12-DowntimeNew)/12,1),IF(I118="LeaseUp",H118*D118*(1+GrowthMarketRent)^10*IF(10=0,(12-DowntimeNew)/12,1),0)))))))),0)</f>
        <v/>
      </c>
      <c r="Y118" s="14">
        <f>IFERROR(IF(AND(I118="LeaseUp",0=0),(IF(I118="Vacate",TINew*D118,IF(I118="Market",Retention*TIRenewal*D118+(1-Retention)*TINew*D118,IF(I118="LeaseUp",TINew*D118,IF(I118="Option",TIRenewal*D118,0)))))+(IF(I118="Vacate",LCNew*H118*D118*(1+GrowthMarketRent)^0,IF(I118="Market",Retention*LCRenewal*H118*D118*(1+GrowthMarketRent)^0+(1-Retention)*LCNew*H118*D118*(1+GrowthMarketRent)^0,IF(I118="LeaseUp",LCNew*H118*D118*(1+GrowthMarketRent)^0,IF(I118="Option",LCRenewal*H118*D118*(1+GrowthMarketRent)^0,0))))),IF(F118="",0,IF(AND(F118&gt;=DATE(2026+0,5,1),F118&lt;=DATE(2027+0,4,30)),(IF(I118="Vacate",TINew*D118,IF(I118="Market",Retention*TIRenewal*D118+(1-Retention)*TINew*D118,IF(I118="LeaseUp",TINew*D118,IF(I118="Option",TIRenewal*D118,0)))))+(IF(I118="Vacate",LCNew*H118*D118*(1+GrowthMarketRent)^0,IF(I118="Market",Retention*LCRenewal*H118*D118*(1+GrowthMarketRent)^0+(1-Retention)*LCNew*H118*D118*(1+GrowthMarketRent)^0,IF(I118="LeaseUp",LCNew*H118*D118*(1+GrowthMarketRent)^0,IF(I118="Option",LCRenewal*H118*D118*(1+GrowthMarketRent)^0,0))))),0))),0)</f>
        <v/>
      </c>
      <c r="Z118" s="14">
        <f>IFERROR(IF(AND(I118="LeaseUp",1=0),(IF(I118="Vacate",TINew*D118,IF(I118="Market",Retention*TIRenewal*D118+(1-Retention)*TINew*D118,IF(I118="LeaseUp",TINew*D118,IF(I118="Option",TIRenewal*D118,0)))))+(IF(I118="Vacate",LCNew*H118*D118*(1+GrowthMarketRent)^1,IF(I118="Market",Retention*LCRenewal*H118*D118*(1+GrowthMarketRent)^1+(1-Retention)*LCNew*H118*D118*(1+GrowthMarketRent)^1,IF(I118="LeaseUp",LCNew*H118*D118*(1+GrowthMarketRent)^1,IF(I118="Option",LCRenewal*H118*D118*(1+GrowthMarketRent)^1,0))))),IF(F118="",0,IF(AND(F118&gt;=DATE(2026+1,5,1),F118&lt;=DATE(2027+1,4,30)),(IF(I118="Vacate",TINew*D118,IF(I118="Market",Retention*TIRenewal*D118+(1-Retention)*TINew*D118,IF(I118="LeaseUp",TINew*D118,IF(I118="Option",TIRenewal*D118,0)))))+(IF(I118="Vacate",LCNew*H118*D118*(1+GrowthMarketRent)^1,IF(I118="Market",Retention*LCRenewal*H118*D118*(1+GrowthMarketRent)^1+(1-Retention)*LCNew*H118*D118*(1+GrowthMarketRent)^1,IF(I118="LeaseUp",LCNew*H118*D118*(1+GrowthMarketRent)^1,IF(I118="Option",LCRenewal*H118*D118*(1+GrowthMarketRent)^1,0))))),0))),0)</f>
        <v/>
      </c>
      <c r="AA118" s="14">
        <f>IFERROR(IF(AND(I118="LeaseUp",2=0),(IF(I118="Vacate",TINew*D118,IF(I118="Market",Retention*TIRenewal*D118+(1-Retention)*TINew*D118,IF(I118="LeaseUp",TINew*D118,IF(I118="Option",TIRenewal*D118,0)))))+(IF(I118="Vacate",LCNew*H118*D118*(1+GrowthMarketRent)^2,IF(I118="Market",Retention*LCRenewal*H118*D118*(1+GrowthMarketRent)^2+(1-Retention)*LCNew*H118*D118*(1+GrowthMarketRent)^2,IF(I118="LeaseUp",LCNew*H118*D118*(1+GrowthMarketRent)^2,IF(I118="Option",LCRenewal*H118*D118*(1+GrowthMarketRent)^2,0))))),IF(F118="",0,IF(AND(F118&gt;=DATE(2026+2,5,1),F118&lt;=DATE(2027+2,4,30)),(IF(I118="Vacate",TINew*D118,IF(I118="Market",Retention*TIRenewal*D118+(1-Retention)*TINew*D118,IF(I118="LeaseUp",TINew*D118,IF(I118="Option",TIRenewal*D118,0)))))+(IF(I118="Vacate",LCNew*H118*D118*(1+GrowthMarketRent)^2,IF(I118="Market",Retention*LCRenewal*H118*D118*(1+GrowthMarketRent)^2+(1-Retention)*LCNew*H118*D118*(1+GrowthMarketRent)^2,IF(I118="LeaseUp",LCNew*H118*D118*(1+GrowthMarketRent)^2,IF(I118="Option",LCRenewal*H118*D118*(1+GrowthMarketRent)^2,0))))),0))),0)</f>
        <v/>
      </c>
      <c r="AB118" s="14">
        <f>IFERROR(IF(AND(I118="LeaseUp",3=0),(IF(I118="Vacate",TINew*D118,IF(I118="Market",Retention*TIRenewal*D118+(1-Retention)*TINew*D118,IF(I118="LeaseUp",TINew*D118,IF(I118="Option",TIRenewal*D118,0)))))+(IF(I118="Vacate",LCNew*H118*D118*(1+GrowthMarketRent)^3,IF(I118="Market",Retention*LCRenewal*H118*D118*(1+GrowthMarketRent)^3+(1-Retention)*LCNew*H118*D118*(1+GrowthMarketRent)^3,IF(I118="LeaseUp",LCNew*H118*D118*(1+GrowthMarketRent)^3,IF(I118="Option",LCRenewal*H118*D118*(1+GrowthMarketRent)^3,0))))),IF(F118="",0,IF(AND(F118&gt;=DATE(2026+3,5,1),F118&lt;=DATE(2027+3,4,30)),(IF(I118="Vacate",TINew*D118,IF(I118="Market",Retention*TIRenewal*D118+(1-Retention)*TINew*D118,IF(I118="LeaseUp",TINew*D118,IF(I118="Option",TIRenewal*D118,0)))))+(IF(I118="Vacate",LCNew*H118*D118*(1+GrowthMarketRent)^3,IF(I118="Market",Retention*LCRenewal*H118*D118*(1+GrowthMarketRent)^3+(1-Retention)*LCNew*H118*D118*(1+GrowthMarketRent)^3,IF(I118="LeaseUp",LCNew*H118*D118*(1+GrowthMarketRent)^3,IF(I118="Option",LCRenewal*H118*D118*(1+GrowthMarketRent)^3,0))))),0))),0)</f>
        <v/>
      </c>
      <c r="AC118" s="14">
        <f>IFERROR(IF(AND(I118="LeaseUp",4=0),(IF(I118="Vacate",TINew*D118,IF(I118="Market",Retention*TIRenewal*D118+(1-Retention)*TINew*D118,IF(I118="LeaseUp",TINew*D118,IF(I118="Option",TIRenewal*D118,0)))))+(IF(I118="Vacate",LCNew*H118*D118*(1+GrowthMarketRent)^4,IF(I118="Market",Retention*LCRenewal*H118*D118*(1+GrowthMarketRent)^4+(1-Retention)*LCNew*H118*D118*(1+GrowthMarketRent)^4,IF(I118="LeaseUp",LCNew*H118*D118*(1+GrowthMarketRent)^4,IF(I118="Option",LCRenewal*H118*D118*(1+GrowthMarketRent)^4,0))))),IF(F118="",0,IF(AND(F118&gt;=DATE(2026+4,5,1),F118&lt;=DATE(2027+4,4,30)),(IF(I118="Vacate",TINew*D118,IF(I118="Market",Retention*TIRenewal*D118+(1-Retention)*TINew*D118,IF(I118="LeaseUp",TINew*D118,IF(I118="Option",TIRenewal*D118,0)))))+(IF(I118="Vacate",LCNew*H118*D118*(1+GrowthMarketRent)^4,IF(I118="Market",Retention*LCRenewal*H118*D118*(1+GrowthMarketRent)^4+(1-Retention)*LCNew*H118*D118*(1+GrowthMarketRent)^4,IF(I118="LeaseUp",LCNew*H118*D118*(1+GrowthMarketRent)^4,IF(I118="Option",LCRenewal*H118*D118*(1+GrowthMarketRent)^4,0))))),0))),0)</f>
        <v/>
      </c>
      <c r="AD118" s="14">
        <f>IFERROR(IF(AND(I118="LeaseUp",5=0),(IF(I118="Vacate",TINew*D118,IF(I118="Market",Retention*TIRenewal*D118+(1-Retention)*TINew*D118,IF(I118="LeaseUp",TINew*D118,IF(I118="Option",TIRenewal*D118,0)))))+(IF(I118="Vacate",LCNew*H118*D118*(1+GrowthMarketRent)^5,IF(I118="Market",Retention*LCRenewal*H118*D118*(1+GrowthMarketRent)^5+(1-Retention)*LCNew*H118*D118*(1+GrowthMarketRent)^5,IF(I118="LeaseUp",LCNew*H118*D118*(1+GrowthMarketRent)^5,IF(I118="Option",LCRenewal*H118*D118*(1+GrowthMarketRent)^5,0))))),IF(F118="",0,IF(AND(F118&gt;=DATE(2026+5,5,1),F118&lt;=DATE(2027+5,4,30)),(IF(I118="Vacate",TINew*D118,IF(I118="Market",Retention*TIRenewal*D118+(1-Retention)*TINew*D118,IF(I118="LeaseUp",TINew*D118,IF(I118="Option",TIRenewal*D118,0)))))+(IF(I118="Vacate",LCNew*H118*D118*(1+GrowthMarketRent)^5,IF(I118="Market",Retention*LCRenewal*H118*D118*(1+GrowthMarketRent)^5+(1-Retention)*LCNew*H118*D118*(1+GrowthMarketRent)^5,IF(I118="LeaseUp",LCNew*H118*D118*(1+GrowthMarketRent)^5,IF(I118="Option",LCRenewal*H118*D118*(1+GrowthMarketRent)^5,0))))),0))),0)</f>
        <v/>
      </c>
      <c r="AE118" s="14">
        <f>IFERROR(IF(AND(I118="LeaseUp",6=0),(IF(I118="Vacate",TINew*D118,IF(I118="Market",Retention*TIRenewal*D118+(1-Retention)*TINew*D118,IF(I118="LeaseUp",TINew*D118,IF(I118="Option",TIRenewal*D118,0)))))+(IF(I118="Vacate",LCNew*H118*D118*(1+GrowthMarketRent)^6,IF(I118="Market",Retention*LCRenewal*H118*D118*(1+GrowthMarketRent)^6+(1-Retention)*LCNew*H118*D118*(1+GrowthMarketRent)^6,IF(I118="LeaseUp",LCNew*H118*D118*(1+GrowthMarketRent)^6,IF(I118="Option",LCRenewal*H118*D118*(1+GrowthMarketRent)^6,0))))),IF(F118="",0,IF(AND(F118&gt;=DATE(2026+6,5,1),F118&lt;=DATE(2027+6,4,30)),(IF(I118="Vacate",TINew*D118,IF(I118="Market",Retention*TIRenewal*D118+(1-Retention)*TINew*D118,IF(I118="LeaseUp",TINew*D118,IF(I118="Option",TIRenewal*D118,0)))))+(IF(I118="Vacate",LCNew*H118*D118*(1+GrowthMarketRent)^6,IF(I118="Market",Retention*LCRenewal*H118*D118*(1+GrowthMarketRent)^6+(1-Retention)*LCNew*H118*D118*(1+GrowthMarketRent)^6,IF(I118="LeaseUp",LCNew*H118*D118*(1+GrowthMarketRent)^6,IF(I118="Option",LCRenewal*H118*D118*(1+GrowthMarketRent)^6,0))))),0))),0)</f>
        <v/>
      </c>
      <c r="AF118" s="14">
        <f>IFERROR(IF(AND(I118="LeaseUp",7=0),(IF(I118="Vacate",TINew*D118,IF(I118="Market",Retention*TIRenewal*D118+(1-Retention)*TINew*D118,IF(I118="LeaseUp",TINew*D118,IF(I118="Option",TIRenewal*D118,0)))))+(IF(I118="Vacate",LCNew*H118*D118*(1+GrowthMarketRent)^7,IF(I118="Market",Retention*LCRenewal*H118*D118*(1+GrowthMarketRent)^7+(1-Retention)*LCNew*H118*D118*(1+GrowthMarketRent)^7,IF(I118="LeaseUp",LCNew*H118*D118*(1+GrowthMarketRent)^7,IF(I118="Option",LCRenewal*H118*D118*(1+GrowthMarketRent)^7,0))))),IF(F118="",0,IF(AND(F118&gt;=DATE(2026+7,5,1),F118&lt;=DATE(2027+7,4,30)),(IF(I118="Vacate",TINew*D118,IF(I118="Market",Retention*TIRenewal*D118+(1-Retention)*TINew*D118,IF(I118="LeaseUp",TINew*D118,IF(I118="Option",TIRenewal*D118,0)))))+(IF(I118="Vacate",LCNew*H118*D118*(1+GrowthMarketRent)^7,IF(I118="Market",Retention*LCRenewal*H118*D118*(1+GrowthMarketRent)^7+(1-Retention)*LCNew*H118*D118*(1+GrowthMarketRent)^7,IF(I118="LeaseUp",LCNew*H118*D118*(1+GrowthMarketRent)^7,IF(I118="Option",LCRenewal*H118*D118*(1+GrowthMarketRent)^7,0))))),0))),0)</f>
        <v/>
      </c>
      <c r="AG118" s="14">
        <f>IFERROR(IF(AND(I118="LeaseUp",8=0),(IF(I118="Vacate",TINew*D118,IF(I118="Market",Retention*TIRenewal*D118+(1-Retention)*TINew*D118,IF(I118="LeaseUp",TINew*D118,IF(I118="Option",TIRenewal*D118,0)))))+(IF(I118="Vacate",LCNew*H118*D118*(1+GrowthMarketRent)^8,IF(I118="Market",Retention*LCRenewal*H118*D118*(1+GrowthMarketRent)^8+(1-Retention)*LCNew*H118*D118*(1+GrowthMarketRent)^8,IF(I118="LeaseUp",LCNew*H118*D118*(1+GrowthMarketRent)^8,IF(I118="Option",LCRenewal*H118*D118*(1+GrowthMarketRent)^8,0))))),IF(F118="",0,IF(AND(F118&gt;=DATE(2026+8,5,1),F118&lt;=DATE(2027+8,4,30)),(IF(I118="Vacate",TINew*D118,IF(I118="Market",Retention*TIRenewal*D118+(1-Retention)*TINew*D118,IF(I118="LeaseUp",TINew*D118,IF(I118="Option",TIRenewal*D118,0)))))+(IF(I118="Vacate",LCNew*H118*D118*(1+GrowthMarketRent)^8,IF(I118="Market",Retention*LCRenewal*H118*D118*(1+GrowthMarketRent)^8+(1-Retention)*LCNew*H118*D118*(1+GrowthMarketRent)^8,IF(I118="LeaseUp",LCNew*H118*D118*(1+GrowthMarketRent)^8,IF(I118="Option",LCRenewal*H118*D118*(1+GrowthMarketRent)^8,0))))),0))),0)</f>
        <v/>
      </c>
      <c r="AH118" s="14">
        <f>IFERROR(IF(AND(I118="LeaseUp",9=0),(IF(I118="Vacate",TINew*D118,IF(I118="Market",Retention*TIRenewal*D118+(1-Retention)*TINew*D118,IF(I118="LeaseUp",TINew*D118,IF(I118="Option",TIRenewal*D118,0)))))+(IF(I118="Vacate",LCNew*H118*D118*(1+GrowthMarketRent)^9,IF(I118="Market",Retention*LCRenewal*H118*D118*(1+GrowthMarketRent)^9+(1-Retention)*LCNew*H118*D118*(1+GrowthMarketRent)^9,IF(I118="LeaseUp",LCNew*H118*D118*(1+GrowthMarketRent)^9,IF(I118="Option",LCRenewal*H118*D118*(1+GrowthMarketRent)^9,0))))),IF(F118="",0,IF(AND(F118&gt;=DATE(2026+9,5,1),F118&lt;=DATE(2027+9,4,30)),(IF(I118="Vacate",TINew*D118,IF(I118="Market",Retention*TIRenewal*D118+(1-Retention)*TINew*D118,IF(I118="LeaseUp",TINew*D118,IF(I118="Option",TIRenewal*D118,0)))))+(IF(I118="Vacate",LCNew*H118*D118*(1+GrowthMarketRent)^9,IF(I118="Market",Retention*LCRenewal*H118*D118*(1+GrowthMarketRent)^9+(1-Retention)*LCNew*H118*D118*(1+GrowthMarketRent)^9,IF(I118="LeaseUp",LCNew*H118*D118*(1+GrowthMarketRent)^9,IF(I118="Option",LCRenewal*H118*D118*(1+GrowthMarketRent)^9,0))))),0))),0)</f>
        <v/>
      </c>
      <c r="AI118" s="14">
        <f>IFERROR(IF(AND(I118="LeaseUp",10=0),(IF(I118="Vacate",TINew*D118,IF(I118="Market",Retention*TIRenewal*D118+(1-Retention)*TINew*D118,IF(I118="LeaseUp",TINew*D118,IF(I118="Option",TIRenewal*D118,0)))))+(IF(I118="Vacate",LCNew*H118*D118*(1+GrowthMarketRent)^10,IF(I118="Market",Retention*LCRenewal*H118*D118*(1+GrowthMarketRent)^10+(1-Retention)*LCNew*H118*D118*(1+GrowthMarketRent)^10,IF(I118="LeaseUp",LCNew*H118*D118*(1+GrowthMarketRent)^10,IF(I118="Option",LCRenewal*H118*D118*(1+GrowthMarketRent)^10,0))))),IF(F118="",0,IF(AND(F118&gt;=DATE(2026+10,5,1),F118&lt;=DATE(2027+10,4,30)),(IF(I118="Vacate",TINew*D118,IF(I118="Market",Retention*TIRenewal*D118+(1-Retention)*TINew*D118,IF(I118="LeaseUp",TINew*D118,IF(I118="Option",TIRenewal*D118,0)))))+(IF(I118="Vacate",LCNew*H118*D118*(1+GrowthMarketRent)^10,IF(I118="Market",Retention*LCRenewal*H118*D118*(1+GrowthMarketRent)^10+(1-Retention)*LCNew*H118*D118*(1+GrowthMarketRent)^10,IF(I118="LeaseUp",LCNew*H118*D118*(1+GrowthMarketRent)^10,IF(I118="Option",LCRenewal*H118*D118*(1+GrowthMarketRent)^10,0))))),0))),0)</f>
        <v/>
      </c>
    </row>
    <row r="119">
      <c r="A119" t="inlineStr">
        <is>
          <t>Roanoke</t>
        </is>
      </c>
      <c r="B119" t="inlineStr">
        <is>
          <t>100A</t>
        </is>
      </c>
      <c r="C119" t="inlineStr">
        <is>
          <t>Suncoast Enclosures USA LLC</t>
        </is>
      </c>
      <c r="D119" s="32" t="n">
        <v>3450</v>
      </c>
      <c r="E119" s="33" t="n">
        <v>45809</v>
      </c>
      <c r="F119" s="33" t="n">
        <v>47058</v>
      </c>
      <c r="G119" s="34" t="n">
        <v>16</v>
      </c>
      <c r="H119" s="16">
        <f>VLOOKUP(A119,MLA!$A$5:$L$11,3,FALSE)</f>
        <v/>
      </c>
      <c r="I119" s="11" t="inlineStr">
        <is>
          <t>Option</t>
        </is>
      </c>
      <c r="J119" t="inlineStr">
        <is>
          <t>Shop</t>
        </is>
      </c>
      <c r="K119" t="inlineStr">
        <is>
          <t>Occupied</t>
        </is>
      </c>
      <c r="L119" t="inlineStr">
        <is>
          <t>Shop; Guarantor: Suncoast Built USA Inc.; Two 3yr options @ FMV</t>
        </is>
      </c>
      <c r="M119" s="20">
        <f>IF(E119="",0,(AnalysisStart-E119)/365.25)</f>
        <v/>
      </c>
      <c r="N119" s="14">
        <f>IFERROR(IF(I119="LeaseUp",H119*D119*(1+GrowthMarketRent)^0*IF(0=0,(12-DowntimeNew)/12,1),IF(F119="",0,IF(F119&gt;=DATE(2027+0,4,30),G119*D119*(1+EscalatorInLease)^(0+M119),IF(F119&lt;DATE(2026+0,5,1),IF(I119="Vacate",H119*D119*(1+GrowthMarketRent)^0*IF(INT((DATE(2026+0,10,31)-F119)/365.25)=0,(12-DowntimeNew)/12,1),IF(I119="Option",G119*D119*1.025*(1+EscalatorInLease)^0,IF(I119="Market",Retention*G119*D119*(1+EscalatorInLease)^(0+M119)+(1-Retention)*H119*D119*(1+GrowthMarketRent)^0*IF(INT((DATE(2026+0,10,31)-F119)/365.25)=0,(12-DowntimeNew)/12,1),IF(I119="LeaseUp",H119*D119*(1+GrowthMarketRent)^0*IF(0=0,(12-DowntimeNew)/12,1),0)))),((F119-DATE(2026+0,5,1))/365.25)*G119*D119*(1+EscalatorInLease)^(0+M119)+((DATE(2027+0,4,30)-F119)/365.25)*IF(I119="Vacate",H119*D119*(1+GrowthMarketRent)^0*IF(INT((DATE(2026+0,10,31)-F119)/365.25)=0,(12-DowntimeNew)/12,1),IF(I119="Option",G119*D119*1.025*(1+EscalatorInLease)^0,IF(I119="Market",Retention*G119*D119*(1+EscalatorInLease)^(0+M119)+(1-Retention)*H119*D119*(1+GrowthMarketRent)^0*IF(INT((DATE(2026+0,10,31)-F119)/365.25)=0,(12-DowntimeNew)/12,1),IF(I119="LeaseUp",H119*D119*(1+GrowthMarketRent)^0*IF(0=0,(12-DowntimeNew)/12,1),0)))))))),0)</f>
        <v/>
      </c>
      <c r="O119" s="14">
        <f>IFERROR(IF(I119="LeaseUp",H119*D119*(1+GrowthMarketRent)^1*IF(1=0,(12-DowntimeNew)/12,1),IF(F119="",0,IF(F119&gt;=DATE(2027+1,4,30),G119*D119*(1+EscalatorInLease)^(1+M119),IF(F119&lt;DATE(2026+1,5,1),IF(I119="Vacate",H119*D119*(1+GrowthMarketRent)^1*IF(INT((DATE(2026+1,10,31)-F119)/365.25)=0,(12-DowntimeNew)/12,1),IF(I119="Option",G119*D119*1.025*(1+EscalatorInLease)^1,IF(I119="Market",Retention*G119*D119*(1+EscalatorInLease)^(1+M119)+(1-Retention)*H119*D119*(1+GrowthMarketRent)^1*IF(INT((DATE(2026+1,10,31)-F119)/365.25)=0,(12-DowntimeNew)/12,1),IF(I119="LeaseUp",H119*D119*(1+GrowthMarketRent)^1*IF(1=0,(12-DowntimeNew)/12,1),0)))),((F119-DATE(2026+1,5,1))/365.25)*G119*D119*(1+EscalatorInLease)^(1+M119)+((DATE(2027+1,4,30)-F119)/365.25)*IF(I119="Vacate",H119*D119*(1+GrowthMarketRent)^1*IF(INT((DATE(2026+1,10,31)-F119)/365.25)=0,(12-DowntimeNew)/12,1),IF(I119="Option",G119*D119*1.025*(1+EscalatorInLease)^1,IF(I119="Market",Retention*G119*D119*(1+EscalatorInLease)^(1+M119)+(1-Retention)*H119*D119*(1+GrowthMarketRent)^1*IF(INT((DATE(2026+1,10,31)-F119)/365.25)=0,(12-DowntimeNew)/12,1),IF(I119="LeaseUp",H119*D119*(1+GrowthMarketRent)^1*IF(1=0,(12-DowntimeNew)/12,1),0)))))))),0)</f>
        <v/>
      </c>
      <c r="P119" s="14">
        <f>IFERROR(IF(I119="LeaseUp",H119*D119*(1+GrowthMarketRent)^2*IF(2=0,(12-DowntimeNew)/12,1),IF(F119="",0,IF(F119&gt;=DATE(2027+2,4,30),G119*D119*(1+EscalatorInLease)^(2+M119),IF(F119&lt;DATE(2026+2,5,1),IF(I119="Vacate",H119*D119*(1+GrowthMarketRent)^2*IF(INT((DATE(2026+2,10,31)-F119)/365.25)=0,(12-DowntimeNew)/12,1),IF(I119="Option",G119*D119*1.025*(1+EscalatorInLease)^2,IF(I119="Market",Retention*G119*D119*(1+EscalatorInLease)^(2+M119)+(1-Retention)*H119*D119*(1+GrowthMarketRent)^2*IF(INT((DATE(2026+2,10,31)-F119)/365.25)=0,(12-DowntimeNew)/12,1),IF(I119="LeaseUp",H119*D119*(1+GrowthMarketRent)^2*IF(2=0,(12-DowntimeNew)/12,1),0)))),((F119-DATE(2026+2,5,1))/365.25)*G119*D119*(1+EscalatorInLease)^(2+M119)+((DATE(2027+2,4,30)-F119)/365.25)*IF(I119="Vacate",H119*D119*(1+GrowthMarketRent)^2*IF(INT((DATE(2026+2,10,31)-F119)/365.25)=0,(12-DowntimeNew)/12,1),IF(I119="Option",G119*D119*1.025*(1+EscalatorInLease)^2,IF(I119="Market",Retention*G119*D119*(1+EscalatorInLease)^(2+M119)+(1-Retention)*H119*D119*(1+GrowthMarketRent)^2*IF(INT((DATE(2026+2,10,31)-F119)/365.25)=0,(12-DowntimeNew)/12,1),IF(I119="LeaseUp",H119*D119*(1+GrowthMarketRent)^2*IF(2=0,(12-DowntimeNew)/12,1),0)))))))),0)</f>
        <v/>
      </c>
      <c r="Q119" s="14">
        <f>IFERROR(IF(I119="LeaseUp",H119*D119*(1+GrowthMarketRent)^3*IF(3=0,(12-DowntimeNew)/12,1),IF(F119="",0,IF(F119&gt;=DATE(2027+3,4,30),G119*D119*(1+EscalatorInLease)^(3+M119),IF(F119&lt;DATE(2026+3,5,1),IF(I119="Vacate",H119*D119*(1+GrowthMarketRent)^3*IF(INT((DATE(2026+3,10,31)-F119)/365.25)=0,(12-DowntimeNew)/12,1),IF(I119="Option",G119*D119*1.025*(1+EscalatorInLease)^3,IF(I119="Market",Retention*G119*D119*(1+EscalatorInLease)^(3+M119)+(1-Retention)*H119*D119*(1+GrowthMarketRent)^3*IF(INT((DATE(2026+3,10,31)-F119)/365.25)=0,(12-DowntimeNew)/12,1),IF(I119="LeaseUp",H119*D119*(1+GrowthMarketRent)^3*IF(3=0,(12-DowntimeNew)/12,1),0)))),((F119-DATE(2026+3,5,1))/365.25)*G119*D119*(1+EscalatorInLease)^(3+M119)+((DATE(2027+3,4,30)-F119)/365.25)*IF(I119="Vacate",H119*D119*(1+GrowthMarketRent)^3*IF(INT((DATE(2026+3,10,31)-F119)/365.25)=0,(12-DowntimeNew)/12,1),IF(I119="Option",G119*D119*1.025*(1+EscalatorInLease)^3,IF(I119="Market",Retention*G119*D119*(1+EscalatorInLease)^(3+M119)+(1-Retention)*H119*D119*(1+GrowthMarketRent)^3*IF(INT((DATE(2026+3,10,31)-F119)/365.25)=0,(12-DowntimeNew)/12,1),IF(I119="LeaseUp",H119*D119*(1+GrowthMarketRent)^3*IF(3=0,(12-DowntimeNew)/12,1),0)))))))),0)</f>
        <v/>
      </c>
      <c r="R119" s="14">
        <f>IFERROR(IF(I119="LeaseUp",H119*D119*(1+GrowthMarketRent)^4*IF(4=0,(12-DowntimeNew)/12,1),IF(F119="",0,IF(F119&gt;=DATE(2027+4,4,30),G119*D119*(1+EscalatorInLease)^(4+M119),IF(F119&lt;DATE(2026+4,5,1),IF(I119="Vacate",H119*D119*(1+GrowthMarketRent)^4*IF(INT((DATE(2026+4,10,31)-F119)/365.25)=0,(12-DowntimeNew)/12,1),IF(I119="Option",G119*D119*1.025*(1+EscalatorInLease)^4,IF(I119="Market",Retention*G119*D119*(1+EscalatorInLease)^(4+M119)+(1-Retention)*H119*D119*(1+GrowthMarketRent)^4*IF(INT((DATE(2026+4,10,31)-F119)/365.25)=0,(12-DowntimeNew)/12,1),IF(I119="LeaseUp",H119*D119*(1+GrowthMarketRent)^4*IF(4=0,(12-DowntimeNew)/12,1),0)))),((F119-DATE(2026+4,5,1))/365.25)*G119*D119*(1+EscalatorInLease)^(4+M119)+((DATE(2027+4,4,30)-F119)/365.25)*IF(I119="Vacate",H119*D119*(1+GrowthMarketRent)^4*IF(INT((DATE(2026+4,10,31)-F119)/365.25)=0,(12-DowntimeNew)/12,1),IF(I119="Option",G119*D119*1.025*(1+EscalatorInLease)^4,IF(I119="Market",Retention*G119*D119*(1+EscalatorInLease)^(4+M119)+(1-Retention)*H119*D119*(1+GrowthMarketRent)^4*IF(INT((DATE(2026+4,10,31)-F119)/365.25)=0,(12-DowntimeNew)/12,1),IF(I119="LeaseUp",H119*D119*(1+GrowthMarketRent)^4*IF(4=0,(12-DowntimeNew)/12,1),0)))))))),0)</f>
        <v/>
      </c>
      <c r="S119" s="14">
        <f>IFERROR(IF(I119="LeaseUp",H119*D119*(1+GrowthMarketRent)^5*IF(5=0,(12-DowntimeNew)/12,1),IF(F119="",0,IF(F119&gt;=DATE(2027+5,4,30),G119*D119*(1+EscalatorInLease)^(5+M119),IF(F119&lt;DATE(2026+5,5,1),IF(I119="Vacate",H119*D119*(1+GrowthMarketRent)^5*IF(INT((DATE(2026+5,10,31)-F119)/365.25)=0,(12-DowntimeNew)/12,1),IF(I119="Option",G119*D119*1.025*(1+EscalatorInLease)^5,IF(I119="Market",Retention*G119*D119*(1+EscalatorInLease)^(5+M119)+(1-Retention)*H119*D119*(1+GrowthMarketRent)^5*IF(INT((DATE(2026+5,10,31)-F119)/365.25)=0,(12-DowntimeNew)/12,1),IF(I119="LeaseUp",H119*D119*(1+GrowthMarketRent)^5*IF(5=0,(12-DowntimeNew)/12,1),0)))),((F119-DATE(2026+5,5,1))/365.25)*G119*D119*(1+EscalatorInLease)^(5+M119)+((DATE(2027+5,4,30)-F119)/365.25)*IF(I119="Vacate",H119*D119*(1+GrowthMarketRent)^5*IF(INT((DATE(2026+5,10,31)-F119)/365.25)=0,(12-DowntimeNew)/12,1),IF(I119="Option",G119*D119*1.025*(1+EscalatorInLease)^5,IF(I119="Market",Retention*G119*D119*(1+EscalatorInLease)^(5+M119)+(1-Retention)*H119*D119*(1+GrowthMarketRent)^5*IF(INT((DATE(2026+5,10,31)-F119)/365.25)=0,(12-DowntimeNew)/12,1),IF(I119="LeaseUp",H119*D119*(1+GrowthMarketRent)^5*IF(5=0,(12-DowntimeNew)/12,1),0)))))))),0)</f>
        <v/>
      </c>
      <c r="T119" s="14">
        <f>IFERROR(IF(I119="LeaseUp",H119*D119*(1+GrowthMarketRent)^6*IF(6=0,(12-DowntimeNew)/12,1),IF(F119="",0,IF(F119&gt;=DATE(2027+6,4,30),G119*D119*(1+EscalatorInLease)^(6+M119),IF(F119&lt;DATE(2026+6,5,1),IF(I119="Vacate",H119*D119*(1+GrowthMarketRent)^6*IF(INT((DATE(2026+6,10,31)-F119)/365.25)=0,(12-DowntimeNew)/12,1),IF(I119="Option",G119*D119*1.025*(1+EscalatorInLease)^6,IF(I119="Market",Retention*G119*D119*(1+EscalatorInLease)^(6+M119)+(1-Retention)*H119*D119*(1+GrowthMarketRent)^6*IF(INT((DATE(2026+6,10,31)-F119)/365.25)=0,(12-DowntimeNew)/12,1),IF(I119="LeaseUp",H119*D119*(1+GrowthMarketRent)^6*IF(6=0,(12-DowntimeNew)/12,1),0)))),((F119-DATE(2026+6,5,1))/365.25)*G119*D119*(1+EscalatorInLease)^(6+M119)+((DATE(2027+6,4,30)-F119)/365.25)*IF(I119="Vacate",H119*D119*(1+GrowthMarketRent)^6*IF(INT((DATE(2026+6,10,31)-F119)/365.25)=0,(12-DowntimeNew)/12,1),IF(I119="Option",G119*D119*1.025*(1+EscalatorInLease)^6,IF(I119="Market",Retention*G119*D119*(1+EscalatorInLease)^(6+M119)+(1-Retention)*H119*D119*(1+GrowthMarketRent)^6*IF(INT((DATE(2026+6,10,31)-F119)/365.25)=0,(12-DowntimeNew)/12,1),IF(I119="LeaseUp",H119*D119*(1+GrowthMarketRent)^6*IF(6=0,(12-DowntimeNew)/12,1),0)))))))),0)</f>
        <v/>
      </c>
      <c r="U119" s="14">
        <f>IFERROR(IF(I119="LeaseUp",H119*D119*(1+GrowthMarketRent)^7*IF(7=0,(12-DowntimeNew)/12,1),IF(F119="",0,IF(F119&gt;=DATE(2027+7,4,30),G119*D119*(1+EscalatorInLease)^(7+M119),IF(F119&lt;DATE(2026+7,5,1),IF(I119="Vacate",H119*D119*(1+GrowthMarketRent)^7*IF(INT((DATE(2026+7,10,31)-F119)/365.25)=0,(12-DowntimeNew)/12,1),IF(I119="Option",G119*D119*1.025*(1+EscalatorInLease)^7,IF(I119="Market",Retention*G119*D119*(1+EscalatorInLease)^(7+M119)+(1-Retention)*H119*D119*(1+GrowthMarketRent)^7*IF(INT((DATE(2026+7,10,31)-F119)/365.25)=0,(12-DowntimeNew)/12,1),IF(I119="LeaseUp",H119*D119*(1+GrowthMarketRent)^7*IF(7=0,(12-DowntimeNew)/12,1),0)))),((F119-DATE(2026+7,5,1))/365.25)*G119*D119*(1+EscalatorInLease)^(7+M119)+((DATE(2027+7,4,30)-F119)/365.25)*IF(I119="Vacate",H119*D119*(1+GrowthMarketRent)^7*IF(INT((DATE(2026+7,10,31)-F119)/365.25)=0,(12-DowntimeNew)/12,1),IF(I119="Option",G119*D119*1.025*(1+EscalatorInLease)^7,IF(I119="Market",Retention*G119*D119*(1+EscalatorInLease)^(7+M119)+(1-Retention)*H119*D119*(1+GrowthMarketRent)^7*IF(INT((DATE(2026+7,10,31)-F119)/365.25)=0,(12-DowntimeNew)/12,1),IF(I119="LeaseUp",H119*D119*(1+GrowthMarketRent)^7*IF(7=0,(12-DowntimeNew)/12,1),0)))))))),0)</f>
        <v/>
      </c>
      <c r="V119" s="14">
        <f>IFERROR(IF(I119="LeaseUp",H119*D119*(1+GrowthMarketRent)^8*IF(8=0,(12-DowntimeNew)/12,1),IF(F119="",0,IF(F119&gt;=DATE(2027+8,4,30),G119*D119*(1+EscalatorInLease)^(8+M119),IF(F119&lt;DATE(2026+8,5,1),IF(I119="Vacate",H119*D119*(1+GrowthMarketRent)^8*IF(INT((DATE(2026+8,10,31)-F119)/365.25)=0,(12-DowntimeNew)/12,1),IF(I119="Option",G119*D119*1.025*(1+EscalatorInLease)^8,IF(I119="Market",Retention*G119*D119*(1+EscalatorInLease)^(8+M119)+(1-Retention)*H119*D119*(1+GrowthMarketRent)^8*IF(INT((DATE(2026+8,10,31)-F119)/365.25)=0,(12-DowntimeNew)/12,1),IF(I119="LeaseUp",H119*D119*(1+GrowthMarketRent)^8*IF(8=0,(12-DowntimeNew)/12,1),0)))),((F119-DATE(2026+8,5,1))/365.25)*G119*D119*(1+EscalatorInLease)^(8+M119)+((DATE(2027+8,4,30)-F119)/365.25)*IF(I119="Vacate",H119*D119*(1+GrowthMarketRent)^8*IF(INT((DATE(2026+8,10,31)-F119)/365.25)=0,(12-DowntimeNew)/12,1),IF(I119="Option",G119*D119*1.025*(1+EscalatorInLease)^8,IF(I119="Market",Retention*G119*D119*(1+EscalatorInLease)^(8+M119)+(1-Retention)*H119*D119*(1+GrowthMarketRent)^8*IF(INT((DATE(2026+8,10,31)-F119)/365.25)=0,(12-DowntimeNew)/12,1),IF(I119="LeaseUp",H119*D119*(1+GrowthMarketRent)^8*IF(8=0,(12-DowntimeNew)/12,1),0)))))))),0)</f>
        <v/>
      </c>
      <c r="W119" s="14">
        <f>IFERROR(IF(I119="LeaseUp",H119*D119*(1+GrowthMarketRent)^9*IF(9=0,(12-DowntimeNew)/12,1),IF(F119="",0,IF(F119&gt;=DATE(2027+9,4,30),G119*D119*(1+EscalatorInLease)^(9+M119),IF(F119&lt;DATE(2026+9,5,1),IF(I119="Vacate",H119*D119*(1+GrowthMarketRent)^9*IF(INT((DATE(2026+9,10,31)-F119)/365.25)=0,(12-DowntimeNew)/12,1),IF(I119="Option",G119*D119*1.025*(1+EscalatorInLease)^9,IF(I119="Market",Retention*G119*D119*(1+EscalatorInLease)^(9+M119)+(1-Retention)*H119*D119*(1+GrowthMarketRent)^9*IF(INT((DATE(2026+9,10,31)-F119)/365.25)=0,(12-DowntimeNew)/12,1),IF(I119="LeaseUp",H119*D119*(1+GrowthMarketRent)^9*IF(9=0,(12-DowntimeNew)/12,1),0)))),((F119-DATE(2026+9,5,1))/365.25)*G119*D119*(1+EscalatorInLease)^(9+M119)+((DATE(2027+9,4,30)-F119)/365.25)*IF(I119="Vacate",H119*D119*(1+GrowthMarketRent)^9*IF(INT((DATE(2026+9,10,31)-F119)/365.25)=0,(12-DowntimeNew)/12,1),IF(I119="Option",G119*D119*1.025*(1+EscalatorInLease)^9,IF(I119="Market",Retention*G119*D119*(1+EscalatorInLease)^(9+M119)+(1-Retention)*H119*D119*(1+GrowthMarketRent)^9*IF(INT((DATE(2026+9,10,31)-F119)/365.25)=0,(12-DowntimeNew)/12,1),IF(I119="LeaseUp",H119*D119*(1+GrowthMarketRent)^9*IF(9=0,(12-DowntimeNew)/12,1),0)))))))),0)</f>
        <v/>
      </c>
      <c r="X119" s="14">
        <f>IFERROR(IF(I119="LeaseUp",H119*D119*(1+GrowthMarketRent)^10*IF(10=0,(12-DowntimeNew)/12,1),IF(F119="",0,IF(F119&gt;=DATE(2027+10,4,30),G119*D119*(1+EscalatorInLease)^(10+M119),IF(F119&lt;DATE(2026+10,5,1),IF(I119="Vacate",H119*D119*(1+GrowthMarketRent)^10*IF(INT((DATE(2026+10,10,31)-F119)/365.25)=0,(12-DowntimeNew)/12,1),IF(I119="Option",G119*D119*1.025*(1+EscalatorInLease)^10,IF(I119="Market",Retention*G119*D119*(1+EscalatorInLease)^(10+M119)+(1-Retention)*H119*D119*(1+GrowthMarketRent)^10*IF(INT((DATE(2026+10,10,31)-F119)/365.25)=0,(12-DowntimeNew)/12,1),IF(I119="LeaseUp",H119*D119*(1+GrowthMarketRent)^10*IF(10=0,(12-DowntimeNew)/12,1),0)))),((F119-DATE(2026+10,5,1))/365.25)*G119*D119*(1+EscalatorInLease)^(10+M119)+((DATE(2027+10,4,30)-F119)/365.25)*IF(I119="Vacate",H119*D119*(1+GrowthMarketRent)^10*IF(INT((DATE(2026+10,10,31)-F119)/365.25)=0,(12-DowntimeNew)/12,1),IF(I119="Option",G119*D119*1.025*(1+EscalatorInLease)^10,IF(I119="Market",Retention*G119*D119*(1+EscalatorInLease)^(10+M119)+(1-Retention)*H119*D119*(1+GrowthMarketRent)^10*IF(INT((DATE(2026+10,10,31)-F119)/365.25)=0,(12-DowntimeNew)/12,1),IF(I119="LeaseUp",H119*D119*(1+GrowthMarketRent)^10*IF(10=0,(12-DowntimeNew)/12,1),0)))))))),0)</f>
        <v/>
      </c>
      <c r="Y119" s="14">
        <f>IFERROR(IF(AND(I119="LeaseUp",0=0),(IF(I119="Vacate",TINew*D119,IF(I119="Market",Retention*TIRenewal*D119+(1-Retention)*TINew*D119,IF(I119="LeaseUp",TINew*D119,IF(I119="Option",TIRenewal*D119,0)))))+(IF(I119="Vacate",LCNew*H119*D119*(1+GrowthMarketRent)^0,IF(I119="Market",Retention*LCRenewal*H119*D119*(1+GrowthMarketRent)^0+(1-Retention)*LCNew*H119*D119*(1+GrowthMarketRent)^0,IF(I119="LeaseUp",LCNew*H119*D119*(1+GrowthMarketRent)^0,IF(I119="Option",LCRenewal*H119*D119*(1+GrowthMarketRent)^0,0))))),IF(F119="",0,IF(AND(F119&gt;=DATE(2026+0,5,1),F119&lt;=DATE(2027+0,4,30)),(IF(I119="Vacate",TINew*D119,IF(I119="Market",Retention*TIRenewal*D119+(1-Retention)*TINew*D119,IF(I119="LeaseUp",TINew*D119,IF(I119="Option",TIRenewal*D119,0)))))+(IF(I119="Vacate",LCNew*H119*D119*(1+GrowthMarketRent)^0,IF(I119="Market",Retention*LCRenewal*H119*D119*(1+GrowthMarketRent)^0+(1-Retention)*LCNew*H119*D119*(1+GrowthMarketRent)^0,IF(I119="LeaseUp",LCNew*H119*D119*(1+GrowthMarketRent)^0,IF(I119="Option",LCRenewal*H119*D119*(1+GrowthMarketRent)^0,0))))),0))),0)</f>
        <v/>
      </c>
      <c r="Z119" s="14">
        <f>IFERROR(IF(AND(I119="LeaseUp",1=0),(IF(I119="Vacate",TINew*D119,IF(I119="Market",Retention*TIRenewal*D119+(1-Retention)*TINew*D119,IF(I119="LeaseUp",TINew*D119,IF(I119="Option",TIRenewal*D119,0)))))+(IF(I119="Vacate",LCNew*H119*D119*(1+GrowthMarketRent)^1,IF(I119="Market",Retention*LCRenewal*H119*D119*(1+GrowthMarketRent)^1+(1-Retention)*LCNew*H119*D119*(1+GrowthMarketRent)^1,IF(I119="LeaseUp",LCNew*H119*D119*(1+GrowthMarketRent)^1,IF(I119="Option",LCRenewal*H119*D119*(1+GrowthMarketRent)^1,0))))),IF(F119="",0,IF(AND(F119&gt;=DATE(2026+1,5,1),F119&lt;=DATE(2027+1,4,30)),(IF(I119="Vacate",TINew*D119,IF(I119="Market",Retention*TIRenewal*D119+(1-Retention)*TINew*D119,IF(I119="LeaseUp",TINew*D119,IF(I119="Option",TIRenewal*D119,0)))))+(IF(I119="Vacate",LCNew*H119*D119*(1+GrowthMarketRent)^1,IF(I119="Market",Retention*LCRenewal*H119*D119*(1+GrowthMarketRent)^1+(1-Retention)*LCNew*H119*D119*(1+GrowthMarketRent)^1,IF(I119="LeaseUp",LCNew*H119*D119*(1+GrowthMarketRent)^1,IF(I119="Option",LCRenewal*H119*D119*(1+GrowthMarketRent)^1,0))))),0))),0)</f>
        <v/>
      </c>
      <c r="AA119" s="14">
        <f>IFERROR(IF(AND(I119="LeaseUp",2=0),(IF(I119="Vacate",TINew*D119,IF(I119="Market",Retention*TIRenewal*D119+(1-Retention)*TINew*D119,IF(I119="LeaseUp",TINew*D119,IF(I119="Option",TIRenewal*D119,0)))))+(IF(I119="Vacate",LCNew*H119*D119*(1+GrowthMarketRent)^2,IF(I119="Market",Retention*LCRenewal*H119*D119*(1+GrowthMarketRent)^2+(1-Retention)*LCNew*H119*D119*(1+GrowthMarketRent)^2,IF(I119="LeaseUp",LCNew*H119*D119*(1+GrowthMarketRent)^2,IF(I119="Option",LCRenewal*H119*D119*(1+GrowthMarketRent)^2,0))))),IF(F119="",0,IF(AND(F119&gt;=DATE(2026+2,5,1),F119&lt;=DATE(2027+2,4,30)),(IF(I119="Vacate",TINew*D119,IF(I119="Market",Retention*TIRenewal*D119+(1-Retention)*TINew*D119,IF(I119="LeaseUp",TINew*D119,IF(I119="Option",TIRenewal*D119,0)))))+(IF(I119="Vacate",LCNew*H119*D119*(1+GrowthMarketRent)^2,IF(I119="Market",Retention*LCRenewal*H119*D119*(1+GrowthMarketRent)^2+(1-Retention)*LCNew*H119*D119*(1+GrowthMarketRent)^2,IF(I119="LeaseUp",LCNew*H119*D119*(1+GrowthMarketRent)^2,IF(I119="Option",LCRenewal*H119*D119*(1+GrowthMarketRent)^2,0))))),0))),0)</f>
        <v/>
      </c>
      <c r="AB119" s="14">
        <f>IFERROR(IF(AND(I119="LeaseUp",3=0),(IF(I119="Vacate",TINew*D119,IF(I119="Market",Retention*TIRenewal*D119+(1-Retention)*TINew*D119,IF(I119="LeaseUp",TINew*D119,IF(I119="Option",TIRenewal*D119,0)))))+(IF(I119="Vacate",LCNew*H119*D119*(1+GrowthMarketRent)^3,IF(I119="Market",Retention*LCRenewal*H119*D119*(1+GrowthMarketRent)^3+(1-Retention)*LCNew*H119*D119*(1+GrowthMarketRent)^3,IF(I119="LeaseUp",LCNew*H119*D119*(1+GrowthMarketRent)^3,IF(I119="Option",LCRenewal*H119*D119*(1+GrowthMarketRent)^3,0))))),IF(F119="",0,IF(AND(F119&gt;=DATE(2026+3,5,1),F119&lt;=DATE(2027+3,4,30)),(IF(I119="Vacate",TINew*D119,IF(I119="Market",Retention*TIRenewal*D119+(1-Retention)*TINew*D119,IF(I119="LeaseUp",TINew*D119,IF(I119="Option",TIRenewal*D119,0)))))+(IF(I119="Vacate",LCNew*H119*D119*(1+GrowthMarketRent)^3,IF(I119="Market",Retention*LCRenewal*H119*D119*(1+GrowthMarketRent)^3+(1-Retention)*LCNew*H119*D119*(1+GrowthMarketRent)^3,IF(I119="LeaseUp",LCNew*H119*D119*(1+GrowthMarketRent)^3,IF(I119="Option",LCRenewal*H119*D119*(1+GrowthMarketRent)^3,0))))),0))),0)</f>
        <v/>
      </c>
      <c r="AC119" s="14">
        <f>IFERROR(IF(AND(I119="LeaseUp",4=0),(IF(I119="Vacate",TINew*D119,IF(I119="Market",Retention*TIRenewal*D119+(1-Retention)*TINew*D119,IF(I119="LeaseUp",TINew*D119,IF(I119="Option",TIRenewal*D119,0)))))+(IF(I119="Vacate",LCNew*H119*D119*(1+GrowthMarketRent)^4,IF(I119="Market",Retention*LCRenewal*H119*D119*(1+GrowthMarketRent)^4+(1-Retention)*LCNew*H119*D119*(1+GrowthMarketRent)^4,IF(I119="LeaseUp",LCNew*H119*D119*(1+GrowthMarketRent)^4,IF(I119="Option",LCRenewal*H119*D119*(1+GrowthMarketRent)^4,0))))),IF(F119="",0,IF(AND(F119&gt;=DATE(2026+4,5,1),F119&lt;=DATE(2027+4,4,30)),(IF(I119="Vacate",TINew*D119,IF(I119="Market",Retention*TIRenewal*D119+(1-Retention)*TINew*D119,IF(I119="LeaseUp",TINew*D119,IF(I119="Option",TIRenewal*D119,0)))))+(IF(I119="Vacate",LCNew*H119*D119*(1+GrowthMarketRent)^4,IF(I119="Market",Retention*LCRenewal*H119*D119*(1+GrowthMarketRent)^4+(1-Retention)*LCNew*H119*D119*(1+GrowthMarketRent)^4,IF(I119="LeaseUp",LCNew*H119*D119*(1+GrowthMarketRent)^4,IF(I119="Option",LCRenewal*H119*D119*(1+GrowthMarketRent)^4,0))))),0))),0)</f>
        <v/>
      </c>
      <c r="AD119" s="14">
        <f>IFERROR(IF(AND(I119="LeaseUp",5=0),(IF(I119="Vacate",TINew*D119,IF(I119="Market",Retention*TIRenewal*D119+(1-Retention)*TINew*D119,IF(I119="LeaseUp",TINew*D119,IF(I119="Option",TIRenewal*D119,0)))))+(IF(I119="Vacate",LCNew*H119*D119*(1+GrowthMarketRent)^5,IF(I119="Market",Retention*LCRenewal*H119*D119*(1+GrowthMarketRent)^5+(1-Retention)*LCNew*H119*D119*(1+GrowthMarketRent)^5,IF(I119="LeaseUp",LCNew*H119*D119*(1+GrowthMarketRent)^5,IF(I119="Option",LCRenewal*H119*D119*(1+GrowthMarketRent)^5,0))))),IF(F119="",0,IF(AND(F119&gt;=DATE(2026+5,5,1),F119&lt;=DATE(2027+5,4,30)),(IF(I119="Vacate",TINew*D119,IF(I119="Market",Retention*TIRenewal*D119+(1-Retention)*TINew*D119,IF(I119="LeaseUp",TINew*D119,IF(I119="Option",TIRenewal*D119,0)))))+(IF(I119="Vacate",LCNew*H119*D119*(1+GrowthMarketRent)^5,IF(I119="Market",Retention*LCRenewal*H119*D119*(1+GrowthMarketRent)^5+(1-Retention)*LCNew*H119*D119*(1+GrowthMarketRent)^5,IF(I119="LeaseUp",LCNew*H119*D119*(1+GrowthMarketRent)^5,IF(I119="Option",LCRenewal*H119*D119*(1+GrowthMarketRent)^5,0))))),0))),0)</f>
        <v/>
      </c>
      <c r="AE119" s="14">
        <f>IFERROR(IF(AND(I119="LeaseUp",6=0),(IF(I119="Vacate",TINew*D119,IF(I119="Market",Retention*TIRenewal*D119+(1-Retention)*TINew*D119,IF(I119="LeaseUp",TINew*D119,IF(I119="Option",TIRenewal*D119,0)))))+(IF(I119="Vacate",LCNew*H119*D119*(1+GrowthMarketRent)^6,IF(I119="Market",Retention*LCRenewal*H119*D119*(1+GrowthMarketRent)^6+(1-Retention)*LCNew*H119*D119*(1+GrowthMarketRent)^6,IF(I119="LeaseUp",LCNew*H119*D119*(1+GrowthMarketRent)^6,IF(I119="Option",LCRenewal*H119*D119*(1+GrowthMarketRent)^6,0))))),IF(F119="",0,IF(AND(F119&gt;=DATE(2026+6,5,1),F119&lt;=DATE(2027+6,4,30)),(IF(I119="Vacate",TINew*D119,IF(I119="Market",Retention*TIRenewal*D119+(1-Retention)*TINew*D119,IF(I119="LeaseUp",TINew*D119,IF(I119="Option",TIRenewal*D119,0)))))+(IF(I119="Vacate",LCNew*H119*D119*(1+GrowthMarketRent)^6,IF(I119="Market",Retention*LCRenewal*H119*D119*(1+GrowthMarketRent)^6+(1-Retention)*LCNew*H119*D119*(1+GrowthMarketRent)^6,IF(I119="LeaseUp",LCNew*H119*D119*(1+GrowthMarketRent)^6,IF(I119="Option",LCRenewal*H119*D119*(1+GrowthMarketRent)^6,0))))),0))),0)</f>
        <v/>
      </c>
      <c r="AF119" s="14">
        <f>IFERROR(IF(AND(I119="LeaseUp",7=0),(IF(I119="Vacate",TINew*D119,IF(I119="Market",Retention*TIRenewal*D119+(1-Retention)*TINew*D119,IF(I119="LeaseUp",TINew*D119,IF(I119="Option",TIRenewal*D119,0)))))+(IF(I119="Vacate",LCNew*H119*D119*(1+GrowthMarketRent)^7,IF(I119="Market",Retention*LCRenewal*H119*D119*(1+GrowthMarketRent)^7+(1-Retention)*LCNew*H119*D119*(1+GrowthMarketRent)^7,IF(I119="LeaseUp",LCNew*H119*D119*(1+GrowthMarketRent)^7,IF(I119="Option",LCRenewal*H119*D119*(1+GrowthMarketRent)^7,0))))),IF(F119="",0,IF(AND(F119&gt;=DATE(2026+7,5,1),F119&lt;=DATE(2027+7,4,30)),(IF(I119="Vacate",TINew*D119,IF(I119="Market",Retention*TIRenewal*D119+(1-Retention)*TINew*D119,IF(I119="LeaseUp",TINew*D119,IF(I119="Option",TIRenewal*D119,0)))))+(IF(I119="Vacate",LCNew*H119*D119*(1+GrowthMarketRent)^7,IF(I119="Market",Retention*LCRenewal*H119*D119*(1+GrowthMarketRent)^7+(1-Retention)*LCNew*H119*D119*(1+GrowthMarketRent)^7,IF(I119="LeaseUp",LCNew*H119*D119*(1+GrowthMarketRent)^7,IF(I119="Option",LCRenewal*H119*D119*(1+GrowthMarketRent)^7,0))))),0))),0)</f>
        <v/>
      </c>
      <c r="AG119" s="14">
        <f>IFERROR(IF(AND(I119="LeaseUp",8=0),(IF(I119="Vacate",TINew*D119,IF(I119="Market",Retention*TIRenewal*D119+(1-Retention)*TINew*D119,IF(I119="LeaseUp",TINew*D119,IF(I119="Option",TIRenewal*D119,0)))))+(IF(I119="Vacate",LCNew*H119*D119*(1+GrowthMarketRent)^8,IF(I119="Market",Retention*LCRenewal*H119*D119*(1+GrowthMarketRent)^8+(1-Retention)*LCNew*H119*D119*(1+GrowthMarketRent)^8,IF(I119="LeaseUp",LCNew*H119*D119*(1+GrowthMarketRent)^8,IF(I119="Option",LCRenewal*H119*D119*(1+GrowthMarketRent)^8,0))))),IF(F119="",0,IF(AND(F119&gt;=DATE(2026+8,5,1),F119&lt;=DATE(2027+8,4,30)),(IF(I119="Vacate",TINew*D119,IF(I119="Market",Retention*TIRenewal*D119+(1-Retention)*TINew*D119,IF(I119="LeaseUp",TINew*D119,IF(I119="Option",TIRenewal*D119,0)))))+(IF(I119="Vacate",LCNew*H119*D119*(1+GrowthMarketRent)^8,IF(I119="Market",Retention*LCRenewal*H119*D119*(1+GrowthMarketRent)^8+(1-Retention)*LCNew*H119*D119*(1+GrowthMarketRent)^8,IF(I119="LeaseUp",LCNew*H119*D119*(1+GrowthMarketRent)^8,IF(I119="Option",LCRenewal*H119*D119*(1+GrowthMarketRent)^8,0))))),0))),0)</f>
        <v/>
      </c>
      <c r="AH119" s="14">
        <f>IFERROR(IF(AND(I119="LeaseUp",9=0),(IF(I119="Vacate",TINew*D119,IF(I119="Market",Retention*TIRenewal*D119+(1-Retention)*TINew*D119,IF(I119="LeaseUp",TINew*D119,IF(I119="Option",TIRenewal*D119,0)))))+(IF(I119="Vacate",LCNew*H119*D119*(1+GrowthMarketRent)^9,IF(I119="Market",Retention*LCRenewal*H119*D119*(1+GrowthMarketRent)^9+(1-Retention)*LCNew*H119*D119*(1+GrowthMarketRent)^9,IF(I119="LeaseUp",LCNew*H119*D119*(1+GrowthMarketRent)^9,IF(I119="Option",LCRenewal*H119*D119*(1+GrowthMarketRent)^9,0))))),IF(F119="",0,IF(AND(F119&gt;=DATE(2026+9,5,1),F119&lt;=DATE(2027+9,4,30)),(IF(I119="Vacate",TINew*D119,IF(I119="Market",Retention*TIRenewal*D119+(1-Retention)*TINew*D119,IF(I119="LeaseUp",TINew*D119,IF(I119="Option",TIRenewal*D119,0)))))+(IF(I119="Vacate",LCNew*H119*D119*(1+GrowthMarketRent)^9,IF(I119="Market",Retention*LCRenewal*H119*D119*(1+GrowthMarketRent)^9+(1-Retention)*LCNew*H119*D119*(1+GrowthMarketRent)^9,IF(I119="LeaseUp",LCNew*H119*D119*(1+GrowthMarketRent)^9,IF(I119="Option",LCRenewal*H119*D119*(1+GrowthMarketRent)^9,0))))),0))),0)</f>
        <v/>
      </c>
      <c r="AI119" s="14">
        <f>IFERROR(IF(AND(I119="LeaseUp",10=0),(IF(I119="Vacate",TINew*D119,IF(I119="Market",Retention*TIRenewal*D119+(1-Retention)*TINew*D119,IF(I119="LeaseUp",TINew*D119,IF(I119="Option",TIRenewal*D119,0)))))+(IF(I119="Vacate",LCNew*H119*D119*(1+GrowthMarketRent)^10,IF(I119="Market",Retention*LCRenewal*H119*D119*(1+GrowthMarketRent)^10+(1-Retention)*LCNew*H119*D119*(1+GrowthMarketRent)^10,IF(I119="LeaseUp",LCNew*H119*D119*(1+GrowthMarketRent)^10,IF(I119="Option",LCRenewal*H119*D119*(1+GrowthMarketRent)^10,0))))),IF(F119="",0,IF(AND(F119&gt;=DATE(2026+10,5,1),F119&lt;=DATE(2027+10,4,30)),(IF(I119="Vacate",TINew*D119,IF(I119="Market",Retention*TIRenewal*D119+(1-Retention)*TINew*D119,IF(I119="LeaseUp",TINew*D119,IF(I119="Option",TIRenewal*D119,0)))))+(IF(I119="Vacate",LCNew*H119*D119*(1+GrowthMarketRent)^10,IF(I119="Market",Retention*LCRenewal*H119*D119*(1+GrowthMarketRent)^10+(1-Retention)*LCNew*H119*D119*(1+GrowthMarketRent)^10,IF(I119="LeaseUp",LCNew*H119*D119*(1+GrowthMarketRent)^10,IF(I119="Option",LCRenewal*H119*D119*(1+GrowthMarketRent)^10,0))))),0))),0)</f>
        <v/>
      </c>
    </row>
    <row r="120">
      <c r="A120" t="inlineStr">
        <is>
          <t>Roanoke</t>
        </is>
      </c>
      <c r="B120" t="inlineStr">
        <is>
          <t>100B</t>
        </is>
      </c>
      <c r="C120" t="inlineStr">
        <is>
          <t>VACANT</t>
        </is>
      </c>
      <c r="D120" s="32" t="n">
        <v>3050</v>
      </c>
      <c r="E120" s="33" t="n">
        <v>44958</v>
      </c>
      <c r="F120" s="33" t="n">
        <v>46235</v>
      </c>
      <c r="G120" s="34" t="n">
        <v>0</v>
      </c>
      <c r="H120" s="16">
        <f>VLOOKUP(A120,MLA!$A$5:$L$11,3,FALSE)</f>
        <v/>
      </c>
      <c r="I120" s="11" t="inlineStr">
        <is>
          <t>LeaseUp</t>
        </is>
      </c>
      <c r="J120" t="inlineStr">
        <is>
          <t>Shop</t>
        </is>
      </c>
      <c r="K120" t="inlineStr">
        <is>
          <t>Vacant</t>
        </is>
      </c>
      <c r="L120" t="inlineStr">
        <is>
          <t>Shop; future lease-up Oct-2026</t>
        </is>
      </c>
      <c r="M120" s="20">
        <f>IF(E120="",0,(AnalysisStart-E120)/365.25)</f>
        <v/>
      </c>
      <c r="N120" s="14">
        <f>IFERROR(IF(I120="LeaseUp",H120*D120*(1+GrowthMarketRent)^0*IF(0=0,(12-DowntimeNew)/12,1),IF(F120="",0,IF(F120&gt;=DATE(2027+0,4,30),G120*D120*(1+EscalatorInLease)^(0+M120),IF(F120&lt;DATE(2026+0,5,1),IF(I120="Vacate",H120*D120*(1+GrowthMarketRent)^0*IF(INT((DATE(2026+0,10,31)-F120)/365.25)=0,(12-DowntimeNew)/12,1),IF(I120="Option",G120*D120*1.025*(1+EscalatorInLease)^0,IF(I120="Market",Retention*G120*D120*(1+EscalatorInLease)^(0+M120)+(1-Retention)*H120*D120*(1+GrowthMarketRent)^0*IF(INT((DATE(2026+0,10,31)-F120)/365.25)=0,(12-DowntimeNew)/12,1),IF(I120="LeaseUp",H120*D120*(1+GrowthMarketRent)^0*IF(0=0,(12-DowntimeNew)/12,1),0)))),((F120-DATE(2026+0,5,1))/365.25)*G120*D120*(1+EscalatorInLease)^(0+M120)+((DATE(2027+0,4,30)-F120)/365.25)*IF(I120="Vacate",H120*D120*(1+GrowthMarketRent)^0*IF(INT((DATE(2026+0,10,31)-F120)/365.25)=0,(12-DowntimeNew)/12,1),IF(I120="Option",G120*D120*1.025*(1+EscalatorInLease)^0,IF(I120="Market",Retention*G120*D120*(1+EscalatorInLease)^(0+M120)+(1-Retention)*H120*D120*(1+GrowthMarketRent)^0*IF(INT((DATE(2026+0,10,31)-F120)/365.25)=0,(12-DowntimeNew)/12,1),IF(I120="LeaseUp",H120*D120*(1+GrowthMarketRent)^0*IF(0=0,(12-DowntimeNew)/12,1),0)))))))),0)</f>
        <v/>
      </c>
      <c r="O120" s="14">
        <f>IFERROR(IF(I120="LeaseUp",H120*D120*(1+GrowthMarketRent)^1*IF(1=0,(12-DowntimeNew)/12,1),IF(F120="",0,IF(F120&gt;=DATE(2027+1,4,30),G120*D120*(1+EscalatorInLease)^(1+M120),IF(F120&lt;DATE(2026+1,5,1),IF(I120="Vacate",H120*D120*(1+GrowthMarketRent)^1*IF(INT((DATE(2026+1,10,31)-F120)/365.25)=0,(12-DowntimeNew)/12,1),IF(I120="Option",G120*D120*1.025*(1+EscalatorInLease)^1,IF(I120="Market",Retention*G120*D120*(1+EscalatorInLease)^(1+M120)+(1-Retention)*H120*D120*(1+GrowthMarketRent)^1*IF(INT((DATE(2026+1,10,31)-F120)/365.25)=0,(12-DowntimeNew)/12,1),IF(I120="LeaseUp",H120*D120*(1+GrowthMarketRent)^1*IF(1=0,(12-DowntimeNew)/12,1),0)))),((F120-DATE(2026+1,5,1))/365.25)*G120*D120*(1+EscalatorInLease)^(1+M120)+((DATE(2027+1,4,30)-F120)/365.25)*IF(I120="Vacate",H120*D120*(1+GrowthMarketRent)^1*IF(INT((DATE(2026+1,10,31)-F120)/365.25)=0,(12-DowntimeNew)/12,1),IF(I120="Option",G120*D120*1.025*(1+EscalatorInLease)^1,IF(I120="Market",Retention*G120*D120*(1+EscalatorInLease)^(1+M120)+(1-Retention)*H120*D120*(1+GrowthMarketRent)^1*IF(INT((DATE(2026+1,10,31)-F120)/365.25)=0,(12-DowntimeNew)/12,1),IF(I120="LeaseUp",H120*D120*(1+GrowthMarketRent)^1*IF(1=0,(12-DowntimeNew)/12,1),0)))))))),0)</f>
        <v/>
      </c>
      <c r="P120" s="14">
        <f>IFERROR(IF(I120="LeaseUp",H120*D120*(1+GrowthMarketRent)^2*IF(2=0,(12-DowntimeNew)/12,1),IF(F120="",0,IF(F120&gt;=DATE(2027+2,4,30),G120*D120*(1+EscalatorInLease)^(2+M120),IF(F120&lt;DATE(2026+2,5,1),IF(I120="Vacate",H120*D120*(1+GrowthMarketRent)^2*IF(INT((DATE(2026+2,10,31)-F120)/365.25)=0,(12-DowntimeNew)/12,1),IF(I120="Option",G120*D120*1.025*(1+EscalatorInLease)^2,IF(I120="Market",Retention*G120*D120*(1+EscalatorInLease)^(2+M120)+(1-Retention)*H120*D120*(1+GrowthMarketRent)^2*IF(INT((DATE(2026+2,10,31)-F120)/365.25)=0,(12-DowntimeNew)/12,1),IF(I120="LeaseUp",H120*D120*(1+GrowthMarketRent)^2*IF(2=0,(12-DowntimeNew)/12,1),0)))),((F120-DATE(2026+2,5,1))/365.25)*G120*D120*(1+EscalatorInLease)^(2+M120)+((DATE(2027+2,4,30)-F120)/365.25)*IF(I120="Vacate",H120*D120*(1+GrowthMarketRent)^2*IF(INT((DATE(2026+2,10,31)-F120)/365.25)=0,(12-DowntimeNew)/12,1),IF(I120="Option",G120*D120*1.025*(1+EscalatorInLease)^2,IF(I120="Market",Retention*G120*D120*(1+EscalatorInLease)^(2+M120)+(1-Retention)*H120*D120*(1+GrowthMarketRent)^2*IF(INT((DATE(2026+2,10,31)-F120)/365.25)=0,(12-DowntimeNew)/12,1),IF(I120="LeaseUp",H120*D120*(1+GrowthMarketRent)^2*IF(2=0,(12-DowntimeNew)/12,1),0)))))))),0)</f>
        <v/>
      </c>
      <c r="Q120" s="14">
        <f>IFERROR(IF(I120="LeaseUp",H120*D120*(1+GrowthMarketRent)^3*IF(3=0,(12-DowntimeNew)/12,1),IF(F120="",0,IF(F120&gt;=DATE(2027+3,4,30),G120*D120*(1+EscalatorInLease)^(3+M120),IF(F120&lt;DATE(2026+3,5,1),IF(I120="Vacate",H120*D120*(1+GrowthMarketRent)^3*IF(INT((DATE(2026+3,10,31)-F120)/365.25)=0,(12-DowntimeNew)/12,1),IF(I120="Option",G120*D120*1.025*(1+EscalatorInLease)^3,IF(I120="Market",Retention*G120*D120*(1+EscalatorInLease)^(3+M120)+(1-Retention)*H120*D120*(1+GrowthMarketRent)^3*IF(INT((DATE(2026+3,10,31)-F120)/365.25)=0,(12-DowntimeNew)/12,1),IF(I120="LeaseUp",H120*D120*(1+GrowthMarketRent)^3*IF(3=0,(12-DowntimeNew)/12,1),0)))),((F120-DATE(2026+3,5,1))/365.25)*G120*D120*(1+EscalatorInLease)^(3+M120)+((DATE(2027+3,4,30)-F120)/365.25)*IF(I120="Vacate",H120*D120*(1+GrowthMarketRent)^3*IF(INT((DATE(2026+3,10,31)-F120)/365.25)=0,(12-DowntimeNew)/12,1),IF(I120="Option",G120*D120*1.025*(1+EscalatorInLease)^3,IF(I120="Market",Retention*G120*D120*(1+EscalatorInLease)^(3+M120)+(1-Retention)*H120*D120*(1+GrowthMarketRent)^3*IF(INT((DATE(2026+3,10,31)-F120)/365.25)=0,(12-DowntimeNew)/12,1),IF(I120="LeaseUp",H120*D120*(1+GrowthMarketRent)^3*IF(3=0,(12-DowntimeNew)/12,1),0)))))))),0)</f>
        <v/>
      </c>
      <c r="R120" s="14">
        <f>IFERROR(IF(I120="LeaseUp",H120*D120*(1+GrowthMarketRent)^4*IF(4=0,(12-DowntimeNew)/12,1),IF(F120="",0,IF(F120&gt;=DATE(2027+4,4,30),G120*D120*(1+EscalatorInLease)^(4+M120),IF(F120&lt;DATE(2026+4,5,1),IF(I120="Vacate",H120*D120*(1+GrowthMarketRent)^4*IF(INT((DATE(2026+4,10,31)-F120)/365.25)=0,(12-DowntimeNew)/12,1),IF(I120="Option",G120*D120*1.025*(1+EscalatorInLease)^4,IF(I120="Market",Retention*G120*D120*(1+EscalatorInLease)^(4+M120)+(1-Retention)*H120*D120*(1+GrowthMarketRent)^4*IF(INT((DATE(2026+4,10,31)-F120)/365.25)=0,(12-DowntimeNew)/12,1),IF(I120="LeaseUp",H120*D120*(1+GrowthMarketRent)^4*IF(4=0,(12-DowntimeNew)/12,1),0)))),((F120-DATE(2026+4,5,1))/365.25)*G120*D120*(1+EscalatorInLease)^(4+M120)+((DATE(2027+4,4,30)-F120)/365.25)*IF(I120="Vacate",H120*D120*(1+GrowthMarketRent)^4*IF(INT((DATE(2026+4,10,31)-F120)/365.25)=0,(12-DowntimeNew)/12,1),IF(I120="Option",G120*D120*1.025*(1+EscalatorInLease)^4,IF(I120="Market",Retention*G120*D120*(1+EscalatorInLease)^(4+M120)+(1-Retention)*H120*D120*(1+GrowthMarketRent)^4*IF(INT((DATE(2026+4,10,31)-F120)/365.25)=0,(12-DowntimeNew)/12,1),IF(I120="LeaseUp",H120*D120*(1+GrowthMarketRent)^4*IF(4=0,(12-DowntimeNew)/12,1),0)))))))),0)</f>
        <v/>
      </c>
      <c r="S120" s="14">
        <f>IFERROR(IF(I120="LeaseUp",H120*D120*(1+GrowthMarketRent)^5*IF(5=0,(12-DowntimeNew)/12,1),IF(F120="",0,IF(F120&gt;=DATE(2027+5,4,30),G120*D120*(1+EscalatorInLease)^(5+M120),IF(F120&lt;DATE(2026+5,5,1),IF(I120="Vacate",H120*D120*(1+GrowthMarketRent)^5*IF(INT((DATE(2026+5,10,31)-F120)/365.25)=0,(12-DowntimeNew)/12,1),IF(I120="Option",G120*D120*1.025*(1+EscalatorInLease)^5,IF(I120="Market",Retention*G120*D120*(1+EscalatorInLease)^(5+M120)+(1-Retention)*H120*D120*(1+GrowthMarketRent)^5*IF(INT((DATE(2026+5,10,31)-F120)/365.25)=0,(12-DowntimeNew)/12,1),IF(I120="LeaseUp",H120*D120*(1+GrowthMarketRent)^5*IF(5=0,(12-DowntimeNew)/12,1),0)))),((F120-DATE(2026+5,5,1))/365.25)*G120*D120*(1+EscalatorInLease)^(5+M120)+((DATE(2027+5,4,30)-F120)/365.25)*IF(I120="Vacate",H120*D120*(1+GrowthMarketRent)^5*IF(INT((DATE(2026+5,10,31)-F120)/365.25)=0,(12-DowntimeNew)/12,1),IF(I120="Option",G120*D120*1.025*(1+EscalatorInLease)^5,IF(I120="Market",Retention*G120*D120*(1+EscalatorInLease)^(5+M120)+(1-Retention)*H120*D120*(1+GrowthMarketRent)^5*IF(INT((DATE(2026+5,10,31)-F120)/365.25)=0,(12-DowntimeNew)/12,1),IF(I120="LeaseUp",H120*D120*(1+GrowthMarketRent)^5*IF(5=0,(12-DowntimeNew)/12,1),0)))))))),0)</f>
        <v/>
      </c>
      <c r="T120" s="14">
        <f>IFERROR(IF(I120="LeaseUp",H120*D120*(1+GrowthMarketRent)^6*IF(6=0,(12-DowntimeNew)/12,1),IF(F120="",0,IF(F120&gt;=DATE(2027+6,4,30),G120*D120*(1+EscalatorInLease)^(6+M120),IF(F120&lt;DATE(2026+6,5,1),IF(I120="Vacate",H120*D120*(1+GrowthMarketRent)^6*IF(INT((DATE(2026+6,10,31)-F120)/365.25)=0,(12-DowntimeNew)/12,1),IF(I120="Option",G120*D120*1.025*(1+EscalatorInLease)^6,IF(I120="Market",Retention*G120*D120*(1+EscalatorInLease)^(6+M120)+(1-Retention)*H120*D120*(1+GrowthMarketRent)^6*IF(INT((DATE(2026+6,10,31)-F120)/365.25)=0,(12-DowntimeNew)/12,1),IF(I120="LeaseUp",H120*D120*(1+GrowthMarketRent)^6*IF(6=0,(12-DowntimeNew)/12,1),0)))),((F120-DATE(2026+6,5,1))/365.25)*G120*D120*(1+EscalatorInLease)^(6+M120)+((DATE(2027+6,4,30)-F120)/365.25)*IF(I120="Vacate",H120*D120*(1+GrowthMarketRent)^6*IF(INT((DATE(2026+6,10,31)-F120)/365.25)=0,(12-DowntimeNew)/12,1),IF(I120="Option",G120*D120*1.025*(1+EscalatorInLease)^6,IF(I120="Market",Retention*G120*D120*(1+EscalatorInLease)^(6+M120)+(1-Retention)*H120*D120*(1+GrowthMarketRent)^6*IF(INT((DATE(2026+6,10,31)-F120)/365.25)=0,(12-DowntimeNew)/12,1),IF(I120="LeaseUp",H120*D120*(1+GrowthMarketRent)^6*IF(6=0,(12-DowntimeNew)/12,1),0)))))))),0)</f>
        <v/>
      </c>
      <c r="U120" s="14">
        <f>IFERROR(IF(I120="LeaseUp",H120*D120*(1+GrowthMarketRent)^7*IF(7=0,(12-DowntimeNew)/12,1),IF(F120="",0,IF(F120&gt;=DATE(2027+7,4,30),G120*D120*(1+EscalatorInLease)^(7+M120),IF(F120&lt;DATE(2026+7,5,1),IF(I120="Vacate",H120*D120*(1+GrowthMarketRent)^7*IF(INT((DATE(2026+7,10,31)-F120)/365.25)=0,(12-DowntimeNew)/12,1),IF(I120="Option",G120*D120*1.025*(1+EscalatorInLease)^7,IF(I120="Market",Retention*G120*D120*(1+EscalatorInLease)^(7+M120)+(1-Retention)*H120*D120*(1+GrowthMarketRent)^7*IF(INT((DATE(2026+7,10,31)-F120)/365.25)=0,(12-DowntimeNew)/12,1),IF(I120="LeaseUp",H120*D120*(1+GrowthMarketRent)^7*IF(7=0,(12-DowntimeNew)/12,1),0)))),((F120-DATE(2026+7,5,1))/365.25)*G120*D120*(1+EscalatorInLease)^(7+M120)+((DATE(2027+7,4,30)-F120)/365.25)*IF(I120="Vacate",H120*D120*(1+GrowthMarketRent)^7*IF(INT((DATE(2026+7,10,31)-F120)/365.25)=0,(12-DowntimeNew)/12,1),IF(I120="Option",G120*D120*1.025*(1+EscalatorInLease)^7,IF(I120="Market",Retention*G120*D120*(1+EscalatorInLease)^(7+M120)+(1-Retention)*H120*D120*(1+GrowthMarketRent)^7*IF(INT((DATE(2026+7,10,31)-F120)/365.25)=0,(12-DowntimeNew)/12,1),IF(I120="LeaseUp",H120*D120*(1+GrowthMarketRent)^7*IF(7=0,(12-DowntimeNew)/12,1),0)))))))),0)</f>
        <v/>
      </c>
      <c r="V120" s="14">
        <f>IFERROR(IF(I120="LeaseUp",H120*D120*(1+GrowthMarketRent)^8*IF(8=0,(12-DowntimeNew)/12,1),IF(F120="",0,IF(F120&gt;=DATE(2027+8,4,30),G120*D120*(1+EscalatorInLease)^(8+M120),IF(F120&lt;DATE(2026+8,5,1),IF(I120="Vacate",H120*D120*(1+GrowthMarketRent)^8*IF(INT((DATE(2026+8,10,31)-F120)/365.25)=0,(12-DowntimeNew)/12,1),IF(I120="Option",G120*D120*1.025*(1+EscalatorInLease)^8,IF(I120="Market",Retention*G120*D120*(1+EscalatorInLease)^(8+M120)+(1-Retention)*H120*D120*(1+GrowthMarketRent)^8*IF(INT((DATE(2026+8,10,31)-F120)/365.25)=0,(12-DowntimeNew)/12,1),IF(I120="LeaseUp",H120*D120*(1+GrowthMarketRent)^8*IF(8=0,(12-DowntimeNew)/12,1),0)))),((F120-DATE(2026+8,5,1))/365.25)*G120*D120*(1+EscalatorInLease)^(8+M120)+((DATE(2027+8,4,30)-F120)/365.25)*IF(I120="Vacate",H120*D120*(1+GrowthMarketRent)^8*IF(INT((DATE(2026+8,10,31)-F120)/365.25)=0,(12-DowntimeNew)/12,1),IF(I120="Option",G120*D120*1.025*(1+EscalatorInLease)^8,IF(I120="Market",Retention*G120*D120*(1+EscalatorInLease)^(8+M120)+(1-Retention)*H120*D120*(1+GrowthMarketRent)^8*IF(INT((DATE(2026+8,10,31)-F120)/365.25)=0,(12-DowntimeNew)/12,1),IF(I120="LeaseUp",H120*D120*(1+GrowthMarketRent)^8*IF(8=0,(12-DowntimeNew)/12,1),0)))))))),0)</f>
        <v/>
      </c>
      <c r="W120" s="14">
        <f>IFERROR(IF(I120="LeaseUp",H120*D120*(1+GrowthMarketRent)^9*IF(9=0,(12-DowntimeNew)/12,1),IF(F120="",0,IF(F120&gt;=DATE(2027+9,4,30),G120*D120*(1+EscalatorInLease)^(9+M120),IF(F120&lt;DATE(2026+9,5,1),IF(I120="Vacate",H120*D120*(1+GrowthMarketRent)^9*IF(INT((DATE(2026+9,10,31)-F120)/365.25)=0,(12-DowntimeNew)/12,1),IF(I120="Option",G120*D120*1.025*(1+EscalatorInLease)^9,IF(I120="Market",Retention*G120*D120*(1+EscalatorInLease)^(9+M120)+(1-Retention)*H120*D120*(1+GrowthMarketRent)^9*IF(INT((DATE(2026+9,10,31)-F120)/365.25)=0,(12-DowntimeNew)/12,1),IF(I120="LeaseUp",H120*D120*(1+GrowthMarketRent)^9*IF(9=0,(12-DowntimeNew)/12,1),0)))),((F120-DATE(2026+9,5,1))/365.25)*G120*D120*(1+EscalatorInLease)^(9+M120)+((DATE(2027+9,4,30)-F120)/365.25)*IF(I120="Vacate",H120*D120*(1+GrowthMarketRent)^9*IF(INT((DATE(2026+9,10,31)-F120)/365.25)=0,(12-DowntimeNew)/12,1),IF(I120="Option",G120*D120*1.025*(1+EscalatorInLease)^9,IF(I120="Market",Retention*G120*D120*(1+EscalatorInLease)^(9+M120)+(1-Retention)*H120*D120*(1+GrowthMarketRent)^9*IF(INT((DATE(2026+9,10,31)-F120)/365.25)=0,(12-DowntimeNew)/12,1),IF(I120="LeaseUp",H120*D120*(1+GrowthMarketRent)^9*IF(9=0,(12-DowntimeNew)/12,1),0)))))))),0)</f>
        <v/>
      </c>
      <c r="X120" s="14">
        <f>IFERROR(IF(I120="LeaseUp",H120*D120*(1+GrowthMarketRent)^10*IF(10=0,(12-DowntimeNew)/12,1),IF(F120="",0,IF(F120&gt;=DATE(2027+10,4,30),G120*D120*(1+EscalatorInLease)^(10+M120),IF(F120&lt;DATE(2026+10,5,1),IF(I120="Vacate",H120*D120*(1+GrowthMarketRent)^10*IF(INT((DATE(2026+10,10,31)-F120)/365.25)=0,(12-DowntimeNew)/12,1),IF(I120="Option",G120*D120*1.025*(1+EscalatorInLease)^10,IF(I120="Market",Retention*G120*D120*(1+EscalatorInLease)^(10+M120)+(1-Retention)*H120*D120*(1+GrowthMarketRent)^10*IF(INT((DATE(2026+10,10,31)-F120)/365.25)=0,(12-DowntimeNew)/12,1),IF(I120="LeaseUp",H120*D120*(1+GrowthMarketRent)^10*IF(10=0,(12-DowntimeNew)/12,1),0)))),((F120-DATE(2026+10,5,1))/365.25)*G120*D120*(1+EscalatorInLease)^(10+M120)+((DATE(2027+10,4,30)-F120)/365.25)*IF(I120="Vacate",H120*D120*(1+GrowthMarketRent)^10*IF(INT((DATE(2026+10,10,31)-F120)/365.25)=0,(12-DowntimeNew)/12,1),IF(I120="Option",G120*D120*1.025*(1+EscalatorInLease)^10,IF(I120="Market",Retention*G120*D120*(1+EscalatorInLease)^(10+M120)+(1-Retention)*H120*D120*(1+GrowthMarketRent)^10*IF(INT((DATE(2026+10,10,31)-F120)/365.25)=0,(12-DowntimeNew)/12,1),IF(I120="LeaseUp",H120*D120*(1+GrowthMarketRent)^10*IF(10=0,(12-DowntimeNew)/12,1),0)))))))),0)</f>
        <v/>
      </c>
      <c r="Y120" s="14">
        <f>IFERROR(IF(AND(I120="LeaseUp",0=0),(IF(I120="Vacate",TINew*D120,IF(I120="Market",Retention*TIRenewal*D120+(1-Retention)*TINew*D120,IF(I120="LeaseUp",TINew*D120,IF(I120="Option",TIRenewal*D120,0)))))+(IF(I120="Vacate",LCNew*H120*D120*(1+GrowthMarketRent)^0,IF(I120="Market",Retention*LCRenewal*H120*D120*(1+GrowthMarketRent)^0+(1-Retention)*LCNew*H120*D120*(1+GrowthMarketRent)^0,IF(I120="LeaseUp",LCNew*H120*D120*(1+GrowthMarketRent)^0,IF(I120="Option",LCRenewal*H120*D120*(1+GrowthMarketRent)^0,0))))),IF(F120="",0,IF(AND(F120&gt;=DATE(2026+0,5,1),F120&lt;=DATE(2027+0,4,30)),(IF(I120="Vacate",TINew*D120,IF(I120="Market",Retention*TIRenewal*D120+(1-Retention)*TINew*D120,IF(I120="LeaseUp",TINew*D120,IF(I120="Option",TIRenewal*D120,0)))))+(IF(I120="Vacate",LCNew*H120*D120*(1+GrowthMarketRent)^0,IF(I120="Market",Retention*LCRenewal*H120*D120*(1+GrowthMarketRent)^0+(1-Retention)*LCNew*H120*D120*(1+GrowthMarketRent)^0,IF(I120="LeaseUp",LCNew*H120*D120*(1+GrowthMarketRent)^0,IF(I120="Option",LCRenewal*H120*D120*(1+GrowthMarketRent)^0,0))))),0))),0)</f>
        <v/>
      </c>
      <c r="Z120" s="14">
        <f>IFERROR(IF(AND(I120="LeaseUp",1=0),(IF(I120="Vacate",TINew*D120,IF(I120="Market",Retention*TIRenewal*D120+(1-Retention)*TINew*D120,IF(I120="LeaseUp",TINew*D120,IF(I120="Option",TIRenewal*D120,0)))))+(IF(I120="Vacate",LCNew*H120*D120*(1+GrowthMarketRent)^1,IF(I120="Market",Retention*LCRenewal*H120*D120*(1+GrowthMarketRent)^1+(1-Retention)*LCNew*H120*D120*(1+GrowthMarketRent)^1,IF(I120="LeaseUp",LCNew*H120*D120*(1+GrowthMarketRent)^1,IF(I120="Option",LCRenewal*H120*D120*(1+GrowthMarketRent)^1,0))))),IF(F120="",0,IF(AND(F120&gt;=DATE(2026+1,5,1),F120&lt;=DATE(2027+1,4,30)),(IF(I120="Vacate",TINew*D120,IF(I120="Market",Retention*TIRenewal*D120+(1-Retention)*TINew*D120,IF(I120="LeaseUp",TINew*D120,IF(I120="Option",TIRenewal*D120,0)))))+(IF(I120="Vacate",LCNew*H120*D120*(1+GrowthMarketRent)^1,IF(I120="Market",Retention*LCRenewal*H120*D120*(1+GrowthMarketRent)^1+(1-Retention)*LCNew*H120*D120*(1+GrowthMarketRent)^1,IF(I120="LeaseUp",LCNew*H120*D120*(1+GrowthMarketRent)^1,IF(I120="Option",LCRenewal*H120*D120*(1+GrowthMarketRent)^1,0))))),0))),0)</f>
        <v/>
      </c>
      <c r="AA120" s="14">
        <f>IFERROR(IF(AND(I120="LeaseUp",2=0),(IF(I120="Vacate",TINew*D120,IF(I120="Market",Retention*TIRenewal*D120+(1-Retention)*TINew*D120,IF(I120="LeaseUp",TINew*D120,IF(I120="Option",TIRenewal*D120,0)))))+(IF(I120="Vacate",LCNew*H120*D120*(1+GrowthMarketRent)^2,IF(I120="Market",Retention*LCRenewal*H120*D120*(1+GrowthMarketRent)^2+(1-Retention)*LCNew*H120*D120*(1+GrowthMarketRent)^2,IF(I120="LeaseUp",LCNew*H120*D120*(1+GrowthMarketRent)^2,IF(I120="Option",LCRenewal*H120*D120*(1+GrowthMarketRent)^2,0))))),IF(F120="",0,IF(AND(F120&gt;=DATE(2026+2,5,1),F120&lt;=DATE(2027+2,4,30)),(IF(I120="Vacate",TINew*D120,IF(I120="Market",Retention*TIRenewal*D120+(1-Retention)*TINew*D120,IF(I120="LeaseUp",TINew*D120,IF(I120="Option",TIRenewal*D120,0)))))+(IF(I120="Vacate",LCNew*H120*D120*(1+GrowthMarketRent)^2,IF(I120="Market",Retention*LCRenewal*H120*D120*(1+GrowthMarketRent)^2+(1-Retention)*LCNew*H120*D120*(1+GrowthMarketRent)^2,IF(I120="LeaseUp",LCNew*H120*D120*(1+GrowthMarketRent)^2,IF(I120="Option",LCRenewal*H120*D120*(1+GrowthMarketRent)^2,0))))),0))),0)</f>
        <v/>
      </c>
      <c r="AB120" s="14">
        <f>IFERROR(IF(AND(I120="LeaseUp",3=0),(IF(I120="Vacate",TINew*D120,IF(I120="Market",Retention*TIRenewal*D120+(1-Retention)*TINew*D120,IF(I120="LeaseUp",TINew*D120,IF(I120="Option",TIRenewal*D120,0)))))+(IF(I120="Vacate",LCNew*H120*D120*(1+GrowthMarketRent)^3,IF(I120="Market",Retention*LCRenewal*H120*D120*(1+GrowthMarketRent)^3+(1-Retention)*LCNew*H120*D120*(1+GrowthMarketRent)^3,IF(I120="LeaseUp",LCNew*H120*D120*(1+GrowthMarketRent)^3,IF(I120="Option",LCRenewal*H120*D120*(1+GrowthMarketRent)^3,0))))),IF(F120="",0,IF(AND(F120&gt;=DATE(2026+3,5,1),F120&lt;=DATE(2027+3,4,30)),(IF(I120="Vacate",TINew*D120,IF(I120="Market",Retention*TIRenewal*D120+(1-Retention)*TINew*D120,IF(I120="LeaseUp",TINew*D120,IF(I120="Option",TIRenewal*D120,0)))))+(IF(I120="Vacate",LCNew*H120*D120*(1+GrowthMarketRent)^3,IF(I120="Market",Retention*LCRenewal*H120*D120*(1+GrowthMarketRent)^3+(1-Retention)*LCNew*H120*D120*(1+GrowthMarketRent)^3,IF(I120="LeaseUp",LCNew*H120*D120*(1+GrowthMarketRent)^3,IF(I120="Option",LCRenewal*H120*D120*(1+GrowthMarketRent)^3,0))))),0))),0)</f>
        <v/>
      </c>
      <c r="AC120" s="14">
        <f>IFERROR(IF(AND(I120="LeaseUp",4=0),(IF(I120="Vacate",TINew*D120,IF(I120="Market",Retention*TIRenewal*D120+(1-Retention)*TINew*D120,IF(I120="LeaseUp",TINew*D120,IF(I120="Option",TIRenewal*D120,0)))))+(IF(I120="Vacate",LCNew*H120*D120*(1+GrowthMarketRent)^4,IF(I120="Market",Retention*LCRenewal*H120*D120*(1+GrowthMarketRent)^4+(1-Retention)*LCNew*H120*D120*(1+GrowthMarketRent)^4,IF(I120="LeaseUp",LCNew*H120*D120*(1+GrowthMarketRent)^4,IF(I120="Option",LCRenewal*H120*D120*(1+GrowthMarketRent)^4,0))))),IF(F120="",0,IF(AND(F120&gt;=DATE(2026+4,5,1),F120&lt;=DATE(2027+4,4,30)),(IF(I120="Vacate",TINew*D120,IF(I120="Market",Retention*TIRenewal*D120+(1-Retention)*TINew*D120,IF(I120="LeaseUp",TINew*D120,IF(I120="Option",TIRenewal*D120,0)))))+(IF(I120="Vacate",LCNew*H120*D120*(1+GrowthMarketRent)^4,IF(I120="Market",Retention*LCRenewal*H120*D120*(1+GrowthMarketRent)^4+(1-Retention)*LCNew*H120*D120*(1+GrowthMarketRent)^4,IF(I120="LeaseUp",LCNew*H120*D120*(1+GrowthMarketRent)^4,IF(I120="Option",LCRenewal*H120*D120*(1+GrowthMarketRent)^4,0))))),0))),0)</f>
        <v/>
      </c>
      <c r="AD120" s="14">
        <f>IFERROR(IF(AND(I120="LeaseUp",5=0),(IF(I120="Vacate",TINew*D120,IF(I120="Market",Retention*TIRenewal*D120+(1-Retention)*TINew*D120,IF(I120="LeaseUp",TINew*D120,IF(I120="Option",TIRenewal*D120,0)))))+(IF(I120="Vacate",LCNew*H120*D120*(1+GrowthMarketRent)^5,IF(I120="Market",Retention*LCRenewal*H120*D120*(1+GrowthMarketRent)^5+(1-Retention)*LCNew*H120*D120*(1+GrowthMarketRent)^5,IF(I120="LeaseUp",LCNew*H120*D120*(1+GrowthMarketRent)^5,IF(I120="Option",LCRenewal*H120*D120*(1+GrowthMarketRent)^5,0))))),IF(F120="",0,IF(AND(F120&gt;=DATE(2026+5,5,1),F120&lt;=DATE(2027+5,4,30)),(IF(I120="Vacate",TINew*D120,IF(I120="Market",Retention*TIRenewal*D120+(1-Retention)*TINew*D120,IF(I120="LeaseUp",TINew*D120,IF(I120="Option",TIRenewal*D120,0)))))+(IF(I120="Vacate",LCNew*H120*D120*(1+GrowthMarketRent)^5,IF(I120="Market",Retention*LCRenewal*H120*D120*(1+GrowthMarketRent)^5+(1-Retention)*LCNew*H120*D120*(1+GrowthMarketRent)^5,IF(I120="LeaseUp",LCNew*H120*D120*(1+GrowthMarketRent)^5,IF(I120="Option",LCRenewal*H120*D120*(1+GrowthMarketRent)^5,0))))),0))),0)</f>
        <v/>
      </c>
      <c r="AE120" s="14">
        <f>IFERROR(IF(AND(I120="LeaseUp",6=0),(IF(I120="Vacate",TINew*D120,IF(I120="Market",Retention*TIRenewal*D120+(1-Retention)*TINew*D120,IF(I120="LeaseUp",TINew*D120,IF(I120="Option",TIRenewal*D120,0)))))+(IF(I120="Vacate",LCNew*H120*D120*(1+GrowthMarketRent)^6,IF(I120="Market",Retention*LCRenewal*H120*D120*(1+GrowthMarketRent)^6+(1-Retention)*LCNew*H120*D120*(1+GrowthMarketRent)^6,IF(I120="LeaseUp",LCNew*H120*D120*(1+GrowthMarketRent)^6,IF(I120="Option",LCRenewal*H120*D120*(1+GrowthMarketRent)^6,0))))),IF(F120="",0,IF(AND(F120&gt;=DATE(2026+6,5,1),F120&lt;=DATE(2027+6,4,30)),(IF(I120="Vacate",TINew*D120,IF(I120="Market",Retention*TIRenewal*D120+(1-Retention)*TINew*D120,IF(I120="LeaseUp",TINew*D120,IF(I120="Option",TIRenewal*D120,0)))))+(IF(I120="Vacate",LCNew*H120*D120*(1+GrowthMarketRent)^6,IF(I120="Market",Retention*LCRenewal*H120*D120*(1+GrowthMarketRent)^6+(1-Retention)*LCNew*H120*D120*(1+GrowthMarketRent)^6,IF(I120="LeaseUp",LCNew*H120*D120*(1+GrowthMarketRent)^6,IF(I120="Option",LCRenewal*H120*D120*(1+GrowthMarketRent)^6,0))))),0))),0)</f>
        <v/>
      </c>
      <c r="AF120" s="14">
        <f>IFERROR(IF(AND(I120="LeaseUp",7=0),(IF(I120="Vacate",TINew*D120,IF(I120="Market",Retention*TIRenewal*D120+(1-Retention)*TINew*D120,IF(I120="LeaseUp",TINew*D120,IF(I120="Option",TIRenewal*D120,0)))))+(IF(I120="Vacate",LCNew*H120*D120*(1+GrowthMarketRent)^7,IF(I120="Market",Retention*LCRenewal*H120*D120*(1+GrowthMarketRent)^7+(1-Retention)*LCNew*H120*D120*(1+GrowthMarketRent)^7,IF(I120="LeaseUp",LCNew*H120*D120*(1+GrowthMarketRent)^7,IF(I120="Option",LCRenewal*H120*D120*(1+GrowthMarketRent)^7,0))))),IF(F120="",0,IF(AND(F120&gt;=DATE(2026+7,5,1),F120&lt;=DATE(2027+7,4,30)),(IF(I120="Vacate",TINew*D120,IF(I120="Market",Retention*TIRenewal*D120+(1-Retention)*TINew*D120,IF(I120="LeaseUp",TINew*D120,IF(I120="Option",TIRenewal*D120,0)))))+(IF(I120="Vacate",LCNew*H120*D120*(1+GrowthMarketRent)^7,IF(I120="Market",Retention*LCRenewal*H120*D120*(1+GrowthMarketRent)^7+(1-Retention)*LCNew*H120*D120*(1+GrowthMarketRent)^7,IF(I120="LeaseUp",LCNew*H120*D120*(1+GrowthMarketRent)^7,IF(I120="Option",LCRenewal*H120*D120*(1+GrowthMarketRent)^7,0))))),0))),0)</f>
        <v/>
      </c>
      <c r="AG120" s="14">
        <f>IFERROR(IF(AND(I120="LeaseUp",8=0),(IF(I120="Vacate",TINew*D120,IF(I120="Market",Retention*TIRenewal*D120+(1-Retention)*TINew*D120,IF(I120="LeaseUp",TINew*D120,IF(I120="Option",TIRenewal*D120,0)))))+(IF(I120="Vacate",LCNew*H120*D120*(1+GrowthMarketRent)^8,IF(I120="Market",Retention*LCRenewal*H120*D120*(1+GrowthMarketRent)^8+(1-Retention)*LCNew*H120*D120*(1+GrowthMarketRent)^8,IF(I120="LeaseUp",LCNew*H120*D120*(1+GrowthMarketRent)^8,IF(I120="Option",LCRenewal*H120*D120*(1+GrowthMarketRent)^8,0))))),IF(F120="",0,IF(AND(F120&gt;=DATE(2026+8,5,1),F120&lt;=DATE(2027+8,4,30)),(IF(I120="Vacate",TINew*D120,IF(I120="Market",Retention*TIRenewal*D120+(1-Retention)*TINew*D120,IF(I120="LeaseUp",TINew*D120,IF(I120="Option",TIRenewal*D120,0)))))+(IF(I120="Vacate",LCNew*H120*D120*(1+GrowthMarketRent)^8,IF(I120="Market",Retention*LCRenewal*H120*D120*(1+GrowthMarketRent)^8+(1-Retention)*LCNew*H120*D120*(1+GrowthMarketRent)^8,IF(I120="LeaseUp",LCNew*H120*D120*(1+GrowthMarketRent)^8,IF(I120="Option",LCRenewal*H120*D120*(1+GrowthMarketRent)^8,0))))),0))),0)</f>
        <v/>
      </c>
      <c r="AH120" s="14">
        <f>IFERROR(IF(AND(I120="LeaseUp",9=0),(IF(I120="Vacate",TINew*D120,IF(I120="Market",Retention*TIRenewal*D120+(1-Retention)*TINew*D120,IF(I120="LeaseUp",TINew*D120,IF(I120="Option",TIRenewal*D120,0)))))+(IF(I120="Vacate",LCNew*H120*D120*(1+GrowthMarketRent)^9,IF(I120="Market",Retention*LCRenewal*H120*D120*(1+GrowthMarketRent)^9+(1-Retention)*LCNew*H120*D120*(1+GrowthMarketRent)^9,IF(I120="LeaseUp",LCNew*H120*D120*(1+GrowthMarketRent)^9,IF(I120="Option",LCRenewal*H120*D120*(1+GrowthMarketRent)^9,0))))),IF(F120="",0,IF(AND(F120&gt;=DATE(2026+9,5,1),F120&lt;=DATE(2027+9,4,30)),(IF(I120="Vacate",TINew*D120,IF(I120="Market",Retention*TIRenewal*D120+(1-Retention)*TINew*D120,IF(I120="LeaseUp",TINew*D120,IF(I120="Option",TIRenewal*D120,0)))))+(IF(I120="Vacate",LCNew*H120*D120*(1+GrowthMarketRent)^9,IF(I120="Market",Retention*LCRenewal*H120*D120*(1+GrowthMarketRent)^9+(1-Retention)*LCNew*H120*D120*(1+GrowthMarketRent)^9,IF(I120="LeaseUp",LCNew*H120*D120*(1+GrowthMarketRent)^9,IF(I120="Option",LCRenewal*H120*D120*(1+GrowthMarketRent)^9,0))))),0))),0)</f>
        <v/>
      </c>
      <c r="AI120" s="14">
        <f>IFERROR(IF(AND(I120="LeaseUp",10=0),(IF(I120="Vacate",TINew*D120,IF(I120="Market",Retention*TIRenewal*D120+(1-Retention)*TINew*D120,IF(I120="LeaseUp",TINew*D120,IF(I120="Option",TIRenewal*D120,0)))))+(IF(I120="Vacate",LCNew*H120*D120*(1+GrowthMarketRent)^10,IF(I120="Market",Retention*LCRenewal*H120*D120*(1+GrowthMarketRent)^10+(1-Retention)*LCNew*H120*D120*(1+GrowthMarketRent)^10,IF(I120="LeaseUp",LCNew*H120*D120*(1+GrowthMarketRent)^10,IF(I120="Option",LCRenewal*H120*D120*(1+GrowthMarketRent)^10,0))))),IF(F120="",0,IF(AND(F120&gt;=DATE(2026+10,5,1),F120&lt;=DATE(2027+10,4,30)),(IF(I120="Vacate",TINew*D120,IF(I120="Market",Retention*TIRenewal*D120+(1-Retention)*TINew*D120,IF(I120="LeaseUp",TINew*D120,IF(I120="Option",TIRenewal*D120,0)))))+(IF(I120="Vacate",LCNew*H120*D120*(1+GrowthMarketRent)^10,IF(I120="Market",Retention*LCRenewal*H120*D120*(1+GrowthMarketRent)^10+(1-Retention)*LCNew*H120*D120*(1+GrowthMarketRent)^10,IF(I120="LeaseUp",LCNew*H120*D120*(1+GrowthMarketRent)^10,IF(I120="Option",LCRenewal*H120*D120*(1+GrowthMarketRent)^10,0))))),0))),0)</f>
        <v/>
      </c>
    </row>
    <row r="121">
      <c r="A121" t="inlineStr">
        <is>
          <t>Roanoke</t>
        </is>
      </c>
      <c r="B121" t="inlineStr">
        <is>
          <t>104A</t>
        </is>
      </c>
      <c r="C121" t="inlineStr">
        <is>
          <t>Morrill Enterprises LLC</t>
        </is>
      </c>
      <c r="D121" s="32" t="n">
        <v>2600</v>
      </c>
      <c r="E121" s="33" t="n">
        <v>45809</v>
      </c>
      <c r="F121" s="33" t="n">
        <v>47058</v>
      </c>
      <c r="G121" s="34" t="n">
        <v>16</v>
      </c>
      <c r="H121" s="16">
        <f>VLOOKUP(A121,MLA!$A$5:$L$11,3,FALSE)</f>
        <v/>
      </c>
      <c r="I121" s="11" t="inlineStr">
        <is>
          <t>Option</t>
        </is>
      </c>
      <c r="J121" t="inlineStr">
        <is>
          <t>Shop</t>
        </is>
      </c>
      <c r="K121" t="inlineStr">
        <is>
          <t>Occupied</t>
        </is>
      </c>
      <c r="L121" t="inlineStr">
        <is>
          <t>Shop; Guarantor: Chad Morrill; Two 3yr options @ FMV</t>
        </is>
      </c>
      <c r="M121" s="20">
        <f>IF(E121="",0,(AnalysisStart-E121)/365.25)</f>
        <v/>
      </c>
      <c r="N121" s="14">
        <f>IFERROR(IF(I121="LeaseUp",H121*D121*(1+GrowthMarketRent)^0*IF(0=0,(12-DowntimeNew)/12,1),IF(F121="",0,IF(F121&gt;=DATE(2027+0,4,30),G121*D121*(1+EscalatorInLease)^(0+M121),IF(F121&lt;DATE(2026+0,5,1),IF(I121="Vacate",H121*D121*(1+GrowthMarketRent)^0*IF(INT((DATE(2026+0,10,31)-F121)/365.25)=0,(12-DowntimeNew)/12,1),IF(I121="Option",G121*D121*1.025*(1+EscalatorInLease)^0,IF(I121="Market",Retention*G121*D121*(1+EscalatorInLease)^(0+M121)+(1-Retention)*H121*D121*(1+GrowthMarketRent)^0*IF(INT((DATE(2026+0,10,31)-F121)/365.25)=0,(12-DowntimeNew)/12,1),IF(I121="LeaseUp",H121*D121*(1+GrowthMarketRent)^0*IF(0=0,(12-DowntimeNew)/12,1),0)))),((F121-DATE(2026+0,5,1))/365.25)*G121*D121*(1+EscalatorInLease)^(0+M121)+((DATE(2027+0,4,30)-F121)/365.25)*IF(I121="Vacate",H121*D121*(1+GrowthMarketRent)^0*IF(INT((DATE(2026+0,10,31)-F121)/365.25)=0,(12-DowntimeNew)/12,1),IF(I121="Option",G121*D121*1.025*(1+EscalatorInLease)^0,IF(I121="Market",Retention*G121*D121*(1+EscalatorInLease)^(0+M121)+(1-Retention)*H121*D121*(1+GrowthMarketRent)^0*IF(INT((DATE(2026+0,10,31)-F121)/365.25)=0,(12-DowntimeNew)/12,1),IF(I121="LeaseUp",H121*D121*(1+GrowthMarketRent)^0*IF(0=0,(12-DowntimeNew)/12,1),0)))))))),0)</f>
        <v/>
      </c>
      <c r="O121" s="14">
        <f>IFERROR(IF(I121="LeaseUp",H121*D121*(1+GrowthMarketRent)^1*IF(1=0,(12-DowntimeNew)/12,1),IF(F121="",0,IF(F121&gt;=DATE(2027+1,4,30),G121*D121*(1+EscalatorInLease)^(1+M121),IF(F121&lt;DATE(2026+1,5,1),IF(I121="Vacate",H121*D121*(1+GrowthMarketRent)^1*IF(INT((DATE(2026+1,10,31)-F121)/365.25)=0,(12-DowntimeNew)/12,1),IF(I121="Option",G121*D121*1.025*(1+EscalatorInLease)^1,IF(I121="Market",Retention*G121*D121*(1+EscalatorInLease)^(1+M121)+(1-Retention)*H121*D121*(1+GrowthMarketRent)^1*IF(INT((DATE(2026+1,10,31)-F121)/365.25)=0,(12-DowntimeNew)/12,1),IF(I121="LeaseUp",H121*D121*(1+GrowthMarketRent)^1*IF(1=0,(12-DowntimeNew)/12,1),0)))),((F121-DATE(2026+1,5,1))/365.25)*G121*D121*(1+EscalatorInLease)^(1+M121)+((DATE(2027+1,4,30)-F121)/365.25)*IF(I121="Vacate",H121*D121*(1+GrowthMarketRent)^1*IF(INT((DATE(2026+1,10,31)-F121)/365.25)=0,(12-DowntimeNew)/12,1),IF(I121="Option",G121*D121*1.025*(1+EscalatorInLease)^1,IF(I121="Market",Retention*G121*D121*(1+EscalatorInLease)^(1+M121)+(1-Retention)*H121*D121*(1+GrowthMarketRent)^1*IF(INT((DATE(2026+1,10,31)-F121)/365.25)=0,(12-DowntimeNew)/12,1),IF(I121="LeaseUp",H121*D121*(1+GrowthMarketRent)^1*IF(1=0,(12-DowntimeNew)/12,1),0)))))))),0)</f>
        <v/>
      </c>
      <c r="P121" s="14">
        <f>IFERROR(IF(I121="LeaseUp",H121*D121*(1+GrowthMarketRent)^2*IF(2=0,(12-DowntimeNew)/12,1),IF(F121="",0,IF(F121&gt;=DATE(2027+2,4,30),G121*D121*(1+EscalatorInLease)^(2+M121),IF(F121&lt;DATE(2026+2,5,1),IF(I121="Vacate",H121*D121*(1+GrowthMarketRent)^2*IF(INT((DATE(2026+2,10,31)-F121)/365.25)=0,(12-DowntimeNew)/12,1),IF(I121="Option",G121*D121*1.025*(1+EscalatorInLease)^2,IF(I121="Market",Retention*G121*D121*(1+EscalatorInLease)^(2+M121)+(1-Retention)*H121*D121*(1+GrowthMarketRent)^2*IF(INT((DATE(2026+2,10,31)-F121)/365.25)=0,(12-DowntimeNew)/12,1),IF(I121="LeaseUp",H121*D121*(1+GrowthMarketRent)^2*IF(2=0,(12-DowntimeNew)/12,1),0)))),((F121-DATE(2026+2,5,1))/365.25)*G121*D121*(1+EscalatorInLease)^(2+M121)+((DATE(2027+2,4,30)-F121)/365.25)*IF(I121="Vacate",H121*D121*(1+GrowthMarketRent)^2*IF(INT((DATE(2026+2,10,31)-F121)/365.25)=0,(12-DowntimeNew)/12,1),IF(I121="Option",G121*D121*1.025*(1+EscalatorInLease)^2,IF(I121="Market",Retention*G121*D121*(1+EscalatorInLease)^(2+M121)+(1-Retention)*H121*D121*(1+GrowthMarketRent)^2*IF(INT((DATE(2026+2,10,31)-F121)/365.25)=0,(12-DowntimeNew)/12,1),IF(I121="LeaseUp",H121*D121*(1+GrowthMarketRent)^2*IF(2=0,(12-DowntimeNew)/12,1),0)))))))),0)</f>
        <v/>
      </c>
      <c r="Q121" s="14">
        <f>IFERROR(IF(I121="LeaseUp",H121*D121*(1+GrowthMarketRent)^3*IF(3=0,(12-DowntimeNew)/12,1),IF(F121="",0,IF(F121&gt;=DATE(2027+3,4,30),G121*D121*(1+EscalatorInLease)^(3+M121),IF(F121&lt;DATE(2026+3,5,1),IF(I121="Vacate",H121*D121*(1+GrowthMarketRent)^3*IF(INT((DATE(2026+3,10,31)-F121)/365.25)=0,(12-DowntimeNew)/12,1),IF(I121="Option",G121*D121*1.025*(1+EscalatorInLease)^3,IF(I121="Market",Retention*G121*D121*(1+EscalatorInLease)^(3+M121)+(1-Retention)*H121*D121*(1+GrowthMarketRent)^3*IF(INT((DATE(2026+3,10,31)-F121)/365.25)=0,(12-DowntimeNew)/12,1),IF(I121="LeaseUp",H121*D121*(1+GrowthMarketRent)^3*IF(3=0,(12-DowntimeNew)/12,1),0)))),((F121-DATE(2026+3,5,1))/365.25)*G121*D121*(1+EscalatorInLease)^(3+M121)+((DATE(2027+3,4,30)-F121)/365.25)*IF(I121="Vacate",H121*D121*(1+GrowthMarketRent)^3*IF(INT((DATE(2026+3,10,31)-F121)/365.25)=0,(12-DowntimeNew)/12,1),IF(I121="Option",G121*D121*1.025*(1+EscalatorInLease)^3,IF(I121="Market",Retention*G121*D121*(1+EscalatorInLease)^(3+M121)+(1-Retention)*H121*D121*(1+GrowthMarketRent)^3*IF(INT((DATE(2026+3,10,31)-F121)/365.25)=0,(12-DowntimeNew)/12,1),IF(I121="LeaseUp",H121*D121*(1+GrowthMarketRent)^3*IF(3=0,(12-DowntimeNew)/12,1),0)))))))),0)</f>
        <v/>
      </c>
      <c r="R121" s="14">
        <f>IFERROR(IF(I121="LeaseUp",H121*D121*(1+GrowthMarketRent)^4*IF(4=0,(12-DowntimeNew)/12,1),IF(F121="",0,IF(F121&gt;=DATE(2027+4,4,30),G121*D121*(1+EscalatorInLease)^(4+M121),IF(F121&lt;DATE(2026+4,5,1),IF(I121="Vacate",H121*D121*(1+GrowthMarketRent)^4*IF(INT((DATE(2026+4,10,31)-F121)/365.25)=0,(12-DowntimeNew)/12,1),IF(I121="Option",G121*D121*1.025*(1+EscalatorInLease)^4,IF(I121="Market",Retention*G121*D121*(1+EscalatorInLease)^(4+M121)+(1-Retention)*H121*D121*(1+GrowthMarketRent)^4*IF(INT((DATE(2026+4,10,31)-F121)/365.25)=0,(12-DowntimeNew)/12,1),IF(I121="LeaseUp",H121*D121*(1+GrowthMarketRent)^4*IF(4=0,(12-DowntimeNew)/12,1),0)))),((F121-DATE(2026+4,5,1))/365.25)*G121*D121*(1+EscalatorInLease)^(4+M121)+((DATE(2027+4,4,30)-F121)/365.25)*IF(I121="Vacate",H121*D121*(1+GrowthMarketRent)^4*IF(INT((DATE(2026+4,10,31)-F121)/365.25)=0,(12-DowntimeNew)/12,1),IF(I121="Option",G121*D121*1.025*(1+EscalatorInLease)^4,IF(I121="Market",Retention*G121*D121*(1+EscalatorInLease)^(4+M121)+(1-Retention)*H121*D121*(1+GrowthMarketRent)^4*IF(INT((DATE(2026+4,10,31)-F121)/365.25)=0,(12-DowntimeNew)/12,1),IF(I121="LeaseUp",H121*D121*(1+GrowthMarketRent)^4*IF(4=0,(12-DowntimeNew)/12,1),0)))))))),0)</f>
        <v/>
      </c>
      <c r="S121" s="14">
        <f>IFERROR(IF(I121="LeaseUp",H121*D121*(1+GrowthMarketRent)^5*IF(5=0,(12-DowntimeNew)/12,1),IF(F121="",0,IF(F121&gt;=DATE(2027+5,4,30),G121*D121*(1+EscalatorInLease)^(5+M121),IF(F121&lt;DATE(2026+5,5,1),IF(I121="Vacate",H121*D121*(1+GrowthMarketRent)^5*IF(INT((DATE(2026+5,10,31)-F121)/365.25)=0,(12-DowntimeNew)/12,1),IF(I121="Option",G121*D121*1.025*(1+EscalatorInLease)^5,IF(I121="Market",Retention*G121*D121*(1+EscalatorInLease)^(5+M121)+(1-Retention)*H121*D121*(1+GrowthMarketRent)^5*IF(INT((DATE(2026+5,10,31)-F121)/365.25)=0,(12-DowntimeNew)/12,1),IF(I121="LeaseUp",H121*D121*(1+GrowthMarketRent)^5*IF(5=0,(12-DowntimeNew)/12,1),0)))),((F121-DATE(2026+5,5,1))/365.25)*G121*D121*(1+EscalatorInLease)^(5+M121)+((DATE(2027+5,4,30)-F121)/365.25)*IF(I121="Vacate",H121*D121*(1+GrowthMarketRent)^5*IF(INT((DATE(2026+5,10,31)-F121)/365.25)=0,(12-DowntimeNew)/12,1),IF(I121="Option",G121*D121*1.025*(1+EscalatorInLease)^5,IF(I121="Market",Retention*G121*D121*(1+EscalatorInLease)^(5+M121)+(1-Retention)*H121*D121*(1+GrowthMarketRent)^5*IF(INT((DATE(2026+5,10,31)-F121)/365.25)=0,(12-DowntimeNew)/12,1),IF(I121="LeaseUp",H121*D121*(1+GrowthMarketRent)^5*IF(5=0,(12-DowntimeNew)/12,1),0)))))))),0)</f>
        <v/>
      </c>
      <c r="T121" s="14">
        <f>IFERROR(IF(I121="LeaseUp",H121*D121*(1+GrowthMarketRent)^6*IF(6=0,(12-DowntimeNew)/12,1),IF(F121="",0,IF(F121&gt;=DATE(2027+6,4,30),G121*D121*(1+EscalatorInLease)^(6+M121),IF(F121&lt;DATE(2026+6,5,1),IF(I121="Vacate",H121*D121*(1+GrowthMarketRent)^6*IF(INT((DATE(2026+6,10,31)-F121)/365.25)=0,(12-DowntimeNew)/12,1),IF(I121="Option",G121*D121*1.025*(1+EscalatorInLease)^6,IF(I121="Market",Retention*G121*D121*(1+EscalatorInLease)^(6+M121)+(1-Retention)*H121*D121*(1+GrowthMarketRent)^6*IF(INT((DATE(2026+6,10,31)-F121)/365.25)=0,(12-DowntimeNew)/12,1),IF(I121="LeaseUp",H121*D121*(1+GrowthMarketRent)^6*IF(6=0,(12-DowntimeNew)/12,1),0)))),((F121-DATE(2026+6,5,1))/365.25)*G121*D121*(1+EscalatorInLease)^(6+M121)+((DATE(2027+6,4,30)-F121)/365.25)*IF(I121="Vacate",H121*D121*(1+GrowthMarketRent)^6*IF(INT((DATE(2026+6,10,31)-F121)/365.25)=0,(12-DowntimeNew)/12,1),IF(I121="Option",G121*D121*1.025*(1+EscalatorInLease)^6,IF(I121="Market",Retention*G121*D121*(1+EscalatorInLease)^(6+M121)+(1-Retention)*H121*D121*(1+GrowthMarketRent)^6*IF(INT((DATE(2026+6,10,31)-F121)/365.25)=0,(12-DowntimeNew)/12,1),IF(I121="LeaseUp",H121*D121*(1+GrowthMarketRent)^6*IF(6=0,(12-DowntimeNew)/12,1),0)))))))),0)</f>
        <v/>
      </c>
      <c r="U121" s="14">
        <f>IFERROR(IF(I121="LeaseUp",H121*D121*(1+GrowthMarketRent)^7*IF(7=0,(12-DowntimeNew)/12,1),IF(F121="",0,IF(F121&gt;=DATE(2027+7,4,30),G121*D121*(1+EscalatorInLease)^(7+M121),IF(F121&lt;DATE(2026+7,5,1),IF(I121="Vacate",H121*D121*(1+GrowthMarketRent)^7*IF(INT((DATE(2026+7,10,31)-F121)/365.25)=0,(12-DowntimeNew)/12,1),IF(I121="Option",G121*D121*1.025*(1+EscalatorInLease)^7,IF(I121="Market",Retention*G121*D121*(1+EscalatorInLease)^(7+M121)+(1-Retention)*H121*D121*(1+GrowthMarketRent)^7*IF(INT((DATE(2026+7,10,31)-F121)/365.25)=0,(12-DowntimeNew)/12,1),IF(I121="LeaseUp",H121*D121*(1+GrowthMarketRent)^7*IF(7=0,(12-DowntimeNew)/12,1),0)))),((F121-DATE(2026+7,5,1))/365.25)*G121*D121*(1+EscalatorInLease)^(7+M121)+((DATE(2027+7,4,30)-F121)/365.25)*IF(I121="Vacate",H121*D121*(1+GrowthMarketRent)^7*IF(INT((DATE(2026+7,10,31)-F121)/365.25)=0,(12-DowntimeNew)/12,1),IF(I121="Option",G121*D121*1.025*(1+EscalatorInLease)^7,IF(I121="Market",Retention*G121*D121*(1+EscalatorInLease)^(7+M121)+(1-Retention)*H121*D121*(1+GrowthMarketRent)^7*IF(INT((DATE(2026+7,10,31)-F121)/365.25)=0,(12-DowntimeNew)/12,1),IF(I121="LeaseUp",H121*D121*(1+GrowthMarketRent)^7*IF(7=0,(12-DowntimeNew)/12,1),0)))))))),0)</f>
        <v/>
      </c>
      <c r="V121" s="14">
        <f>IFERROR(IF(I121="LeaseUp",H121*D121*(1+GrowthMarketRent)^8*IF(8=0,(12-DowntimeNew)/12,1),IF(F121="",0,IF(F121&gt;=DATE(2027+8,4,30),G121*D121*(1+EscalatorInLease)^(8+M121),IF(F121&lt;DATE(2026+8,5,1),IF(I121="Vacate",H121*D121*(1+GrowthMarketRent)^8*IF(INT((DATE(2026+8,10,31)-F121)/365.25)=0,(12-DowntimeNew)/12,1),IF(I121="Option",G121*D121*1.025*(1+EscalatorInLease)^8,IF(I121="Market",Retention*G121*D121*(1+EscalatorInLease)^(8+M121)+(1-Retention)*H121*D121*(1+GrowthMarketRent)^8*IF(INT((DATE(2026+8,10,31)-F121)/365.25)=0,(12-DowntimeNew)/12,1),IF(I121="LeaseUp",H121*D121*(1+GrowthMarketRent)^8*IF(8=0,(12-DowntimeNew)/12,1),0)))),((F121-DATE(2026+8,5,1))/365.25)*G121*D121*(1+EscalatorInLease)^(8+M121)+((DATE(2027+8,4,30)-F121)/365.25)*IF(I121="Vacate",H121*D121*(1+GrowthMarketRent)^8*IF(INT((DATE(2026+8,10,31)-F121)/365.25)=0,(12-DowntimeNew)/12,1),IF(I121="Option",G121*D121*1.025*(1+EscalatorInLease)^8,IF(I121="Market",Retention*G121*D121*(1+EscalatorInLease)^(8+M121)+(1-Retention)*H121*D121*(1+GrowthMarketRent)^8*IF(INT((DATE(2026+8,10,31)-F121)/365.25)=0,(12-DowntimeNew)/12,1),IF(I121="LeaseUp",H121*D121*(1+GrowthMarketRent)^8*IF(8=0,(12-DowntimeNew)/12,1),0)))))))),0)</f>
        <v/>
      </c>
      <c r="W121" s="14">
        <f>IFERROR(IF(I121="LeaseUp",H121*D121*(1+GrowthMarketRent)^9*IF(9=0,(12-DowntimeNew)/12,1),IF(F121="",0,IF(F121&gt;=DATE(2027+9,4,30),G121*D121*(1+EscalatorInLease)^(9+M121),IF(F121&lt;DATE(2026+9,5,1),IF(I121="Vacate",H121*D121*(1+GrowthMarketRent)^9*IF(INT((DATE(2026+9,10,31)-F121)/365.25)=0,(12-DowntimeNew)/12,1),IF(I121="Option",G121*D121*1.025*(1+EscalatorInLease)^9,IF(I121="Market",Retention*G121*D121*(1+EscalatorInLease)^(9+M121)+(1-Retention)*H121*D121*(1+GrowthMarketRent)^9*IF(INT((DATE(2026+9,10,31)-F121)/365.25)=0,(12-DowntimeNew)/12,1),IF(I121="LeaseUp",H121*D121*(1+GrowthMarketRent)^9*IF(9=0,(12-DowntimeNew)/12,1),0)))),((F121-DATE(2026+9,5,1))/365.25)*G121*D121*(1+EscalatorInLease)^(9+M121)+((DATE(2027+9,4,30)-F121)/365.25)*IF(I121="Vacate",H121*D121*(1+GrowthMarketRent)^9*IF(INT((DATE(2026+9,10,31)-F121)/365.25)=0,(12-DowntimeNew)/12,1),IF(I121="Option",G121*D121*1.025*(1+EscalatorInLease)^9,IF(I121="Market",Retention*G121*D121*(1+EscalatorInLease)^(9+M121)+(1-Retention)*H121*D121*(1+GrowthMarketRent)^9*IF(INT((DATE(2026+9,10,31)-F121)/365.25)=0,(12-DowntimeNew)/12,1),IF(I121="LeaseUp",H121*D121*(1+GrowthMarketRent)^9*IF(9=0,(12-DowntimeNew)/12,1),0)))))))),0)</f>
        <v/>
      </c>
      <c r="X121" s="14">
        <f>IFERROR(IF(I121="LeaseUp",H121*D121*(1+GrowthMarketRent)^10*IF(10=0,(12-DowntimeNew)/12,1),IF(F121="",0,IF(F121&gt;=DATE(2027+10,4,30),G121*D121*(1+EscalatorInLease)^(10+M121),IF(F121&lt;DATE(2026+10,5,1),IF(I121="Vacate",H121*D121*(1+GrowthMarketRent)^10*IF(INT((DATE(2026+10,10,31)-F121)/365.25)=0,(12-DowntimeNew)/12,1),IF(I121="Option",G121*D121*1.025*(1+EscalatorInLease)^10,IF(I121="Market",Retention*G121*D121*(1+EscalatorInLease)^(10+M121)+(1-Retention)*H121*D121*(1+GrowthMarketRent)^10*IF(INT((DATE(2026+10,10,31)-F121)/365.25)=0,(12-DowntimeNew)/12,1),IF(I121="LeaseUp",H121*D121*(1+GrowthMarketRent)^10*IF(10=0,(12-DowntimeNew)/12,1),0)))),((F121-DATE(2026+10,5,1))/365.25)*G121*D121*(1+EscalatorInLease)^(10+M121)+((DATE(2027+10,4,30)-F121)/365.25)*IF(I121="Vacate",H121*D121*(1+GrowthMarketRent)^10*IF(INT((DATE(2026+10,10,31)-F121)/365.25)=0,(12-DowntimeNew)/12,1),IF(I121="Option",G121*D121*1.025*(1+EscalatorInLease)^10,IF(I121="Market",Retention*G121*D121*(1+EscalatorInLease)^(10+M121)+(1-Retention)*H121*D121*(1+GrowthMarketRent)^10*IF(INT((DATE(2026+10,10,31)-F121)/365.25)=0,(12-DowntimeNew)/12,1),IF(I121="LeaseUp",H121*D121*(1+GrowthMarketRent)^10*IF(10=0,(12-DowntimeNew)/12,1),0)))))))),0)</f>
        <v/>
      </c>
      <c r="Y121" s="14">
        <f>IFERROR(IF(AND(I121="LeaseUp",0=0),(IF(I121="Vacate",TINew*D121,IF(I121="Market",Retention*TIRenewal*D121+(1-Retention)*TINew*D121,IF(I121="LeaseUp",TINew*D121,IF(I121="Option",TIRenewal*D121,0)))))+(IF(I121="Vacate",LCNew*H121*D121*(1+GrowthMarketRent)^0,IF(I121="Market",Retention*LCRenewal*H121*D121*(1+GrowthMarketRent)^0+(1-Retention)*LCNew*H121*D121*(1+GrowthMarketRent)^0,IF(I121="LeaseUp",LCNew*H121*D121*(1+GrowthMarketRent)^0,IF(I121="Option",LCRenewal*H121*D121*(1+GrowthMarketRent)^0,0))))),IF(F121="",0,IF(AND(F121&gt;=DATE(2026+0,5,1),F121&lt;=DATE(2027+0,4,30)),(IF(I121="Vacate",TINew*D121,IF(I121="Market",Retention*TIRenewal*D121+(1-Retention)*TINew*D121,IF(I121="LeaseUp",TINew*D121,IF(I121="Option",TIRenewal*D121,0)))))+(IF(I121="Vacate",LCNew*H121*D121*(1+GrowthMarketRent)^0,IF(I121="Market",Retention*LCRenewal*H121*D121*(1+GrowthMarketRent)^0+(1-Retention)*LCNew*H121*D121*(1+GrowthMarketRent)^0,IF(I121="LeaseUp",LCNew*H121*D121*(1+GrowthMarketRent)^0,IF(I121="Option",LCRenewal*H121*D121*(1+GrowthMarketRent)^0,0))))),0))),0)</f>
        <v/>
      </c>
      <c r="Z121" s="14">
        <f>IFERROR(IF(AND(I121="LeaseUp",1=0),(IF(I121="Vacate",TINew*D121,IF(I121="Market",Retention*TIRenewal*D121+(1-Retention)*TINew*D121,IF(I121="LeaseUp",TINew*D121,IF(I121="Option",TIRenewal*D121,0)))))+(IF(I121="Vacate",LCNew*H121*D121*(1+GrowthMarketRent)^1,IF(I121="Market",Retention*LCRenewal*H121*D121*(1+GrowthMarketRent)^1+(1-Retention)*LCNew*H121*D121*(1+GrowthMarketRent)^1,IF(I121="LeaseUp",LCNew*H121*D121*(1+GrowthMarketRent)^1,IF(I121="Option",LCRenewal*H121*D121*(1+GrowthMarketRent)^1,0))))),IF(F121="",0,IF(AND(F121&gt;=DATE(2026+1,5,1),F121&lt;=DATE(2027+1,4,30)),(IF(I121="Vacate",TINew*D121,IF(I121="Market",Retention*TIRenewal*D121+(1-Retention)*TINew*D121,IF(I121="LeaseUp",TINew*D121,IF(I121="Option",TIRenewal*D121,0)))))+(IF(I121="Vacate",LCNew*H121*D121*(1+GrowthMarketRent)^1,IF(I121="Market",Retention*LCRenewal*H121*D121*(1+GrowthMarketRent)^1+(1-Retention)*LCNew*H121*D121*(1+GrowthMarketRent)^1,IF(I121="LeaseUp",LCNew*H121*D121*(1+GrowthMarketRent)^1,IF(I121="Option",LCRenewal*H121*D121*(1+GrowthMarketRent)^1,0))))),0))),0)</f>
        <v/>
      </c>
      <c r="AA121" s="14">
        <f>IFERROR(IF(AND(I121="LeaseUp",2=0),(IF(I121="Vacate",TINew*D121,IF(I121="Market",Retention*TIRenewal*D121+(1-Retention)*TINew*D121,IF(I121="LeaseUp",TINew*D121,IF(I121="Option",TIRenewal*D121,0)))))+(IF(I121="Vacate",LCNew*H121*D121*(1+GrowthMarketRent)^2,IF(I121="Market",Retention*LCRenewal*H121*D121*(1+GrowthMarketRent)^2+(1-Retention)*LCNew*H121*D121*(1+GrowthMarketRent)^2,IF(I121="LeaseUp",LCNew*H121*D121*(1+GrowthMarketRent)^2,IF(I121="Option",LCRenewal*H121*D121*(1+GrowthMarketRent)^2,0))))),IF(F121="",0,IF(AND(F121&gt;=DATE(2026+2,5,1),F121&lt;=DATE(2027+2,4,30)),(IF(I121="Vacate",TINew*D121,IF(I121="Market",Retention*TIRenewal*D121+(1-Retention)*TINew*D121,IF(I121="LeaseUp",TINew*D121,IF(I121="Option",TIRenewal*D121,0)))))+(IF(I121="Vacate",LCNew*H121*D121*(1+GrowthMarketRent)^2,IF(I121="Market",Retention*LCRenewal*H121*D121*(1+GrowthMarketRent)^2+(1-Retention)*LCNew*H121*D121*(1+GrowthMarketRent)^2,IF(I121="LeaseUp",LCNew*H121*D121*(1+GrowthMarketRent)^2,IF(I121="Option",LCRenewal*H121*D121*(1+GrowthMarketRent)^2,0))))),0))),0)</f>
        <v/>
      </c>
      <c r="AB121" s="14">
        <f>IFERROR(IF(AND(I121="LeaseUp",3=0),(IF(I121="Vacate",TINew*D121,IF(I121="Market",Retention*TIRenewal*D121+(1-Retention)*TINew*D121,IF(I121="LeaseUp",TINew*D121,IF(I121="Option",TIRenewal*D121,0)))))+(IF(I121="Vacate",LCNew*H121*D121*(1+GrowthMarketRent)^3,IF(I121="Market",Retention*LCRenewal*H121*D121*(1+GrowthMarketRent)^3+(1-Retention)*LCNew*H121*D121*(1+GrowthMarketRent)^3,IF(I121="LeaseUp",LCNew*H121*D121*(1+GrowthMarketRent)^3,IF(I121="Option",LCRenewal*H121*D121*(1+GrowthMarketRent)^3,0))))),IF(F121="",0,IF(AND(F121&gt;=DATE(2026+3,5,1),F121&lt;=DATE(2027+3,4,30)),(IF(I121="Vacate",TINew*D121,IF(I121="Market",Retention*TIRenewal*D121+(1-Retention)*TINew*D121,IF(I121="LeaseUp",TINew*D121,IF(I121="Option",TIRenewal*D121,0)))))+(IF(I121="Vacate",LCNew*H121*D121*(1+GrowthMarketRent)^3,IF(I121="Market",Retention*LCRenewal*H121*D121*(1+GrowthMarketRent)^3+(1-Retention)*LCNew*H121*D121*(1+GrowthMarketRent)^3,IF(I121="LeaseUp",LCNew*H121*D121*(1+GrowthMarketRent)^3,IF(I121="Option",LCRenewal*H121*D121*(1+GrowthMarketRent)^3,0))))),0))),0)</f>
        <v/>
      </c>
      <c r="AC121" s="14">
        <f>IFERROR(IF(AND(I121="LeaseUp",4=0),(IF(I121="Vacate",TINew*D121,IF(I121="Market",Retention*TIRenewal*D121+(1-Retention)*TINew*D121,IF(I121="LeaseUp",TINew*D121,IF(I121="Option",TIRenewal*D121,0)))))+(IF(I121="Vacate",LCNew*H121*D121*(1+GrowthMarketRent)^4,IF(I121="Market",Retention*LCRenewal*H121*D121*(1+GrowthMarketRent)^4+(1-Retention)*LCNew*H121*D121*(1+GrowthMarketRent)^4,IF(I121="LeaseUp",LCNew*H121*D121*(1+GrowthMarketRent)^4,IF(I121="Option",LCRenewal*H121*D121*(1+GrowthMarketRent)^4,0))))),IF(F121="",0,IF(AND(F121&gt;=DATE(2026+4,5,1),F121&lt;=DATE(2027+4,4,30)),(IF(I121="Vacate",TINew*D121,IF(I121="Market",Retention*TIRenewal*D121+(1-Retention)*TINew*D121,IF(I121="LeaseUp",TINew*D121,IF(I121="Option",TIRenewal*D121,0)))))+(IF(I121="Vacate",LCNew*H121*D121*(1+GrowthMarketRent)^4,IF(I121="Market",Retention*LCRenewal*H121*D121*(1+GrowthMarketRent)^4+(1-Retention)*LCNew*H121*D121*(1+GrowthMarketRent)^4,IF(I121="LeaseUp",LCNew*H121*D121*(1+GrowthMarketRent)^4,IF(I121="Option",LCRenewal*H121*D121*(1+GrowthMarketRent)^4,0))))),0))),0)</f>
        <v/>
      </c>
      <c r="AD121" s="14">
        <f>IFERROR(IF(AND(I121="LeaseUp",5=0),(IF(I121="Vacate",TINew*D121,IF(I121="Market",Retention*TIRenewal*D121+(1-Retention)*TINew*D121,IF(I121="LeaseUp",TINew*D121,IF(I121="Option",TIRenewal*D121,0)))))+(IF(I121="Vacate",LCNew*H121*D121*(1+GrowthMarketRent)^5,IF(I121="Market",Retention*LCRenewal*H121*D121*(1+GrowthMarketRent)^5+(1-Retention)*LCNew*H121*D121*(1+GrowthMarketRent)^5,IF(I121="LeaseUp",LCNew*H121*D121*(1+GrowthMarketRent)^5,IF(I121="Option",LCRenewal*H121*D121*(1+GrowthMarketRent)^5,0))))),IF(F121="",0,IF(AND(F121&gt;=DATE(2026+5,5,1),F121&lt;=DATE(2027+5,4,30)),(IF(I121="Vacate",TINew*D121,IF(I121="Market",Retention*TIRenewal*D121+(1-Retention)*TINew*D121,IF(I121="LeaseUp",TINew*D121,IF(I121="Option",TIRenewal*D121,0)))))+(IF(I121="Vacate",LCNew*H121*D121*(1+GrowthMarketRent)^5,IF(I121="Market",Retention*LCRenewal*H121*D121*(1+GrowthMarketRent)^5+(1-Retention)*LCNew*H121*D121*(1+GrowthMarketRent)^5,IF(I121="LeaseUp",LCNew*H121*D121*(1+GrowthMarketRent)^5,IF(I121="Option",LCRenewal*H121*D121*(1+GrowthMarketRent)^5,0))))),0))),0)</f>
        <v/>
      </c>
      <c r="AE121" s="14">
        <f>IFERROR(IF(AND(I121="LeaseUp",6=0),(IF(I121="Vacate",TINew*D121,IF(I121="Market",Retention*TIRenewal*D121+(1-Retention)*TINew*D121,IF(I121="LeaseUp",TINew*D121,IF(I121="Option",TIRenewal*D121,0)))))+(IF(I121="Vacate",LCNew*H121*D121*(1+GrowthMarketRent)^6,IF(I121="Market",Retention*LCRenewal*H121*D121*(1+GrowthMarketRent)^6+(1-Retention)*LCNew*H121*D121*(1+GrowthMarketRent)^6,IF(I121="LeaseUp",LCNew*H121*D121*(1+GrowthMarketRent)^6,IF(I121="Option",LCRenewal*H121*D121*(1+GrowthMarketRent)^6,0))))),IF(F121="",0,IF(AND(F121&gt;=DATE(2026+6,5,1),F121&lt;=DATE(2027+6,4,30)),(IF(I121="Vacate",TINew*D121,IF(I121="Market",Retention*TIRenewal*D121+(1-Retention)*TINew*D121,IF(I121="LeaseUp",TINew*D121,IF(I121="Option",TIRenewal*D121,0)))))+(IF(I121="Vacate",LCNew*H121*D121*(1+GrowthMarketRent)^6,IF(I121="Market",Retention*LCRenewal*H121*D121*(1+GrowthMarketRent)^6+(1-Retention)*LCNew*H121*D121*(1+GrowthMarketRent)^6,IF(I121="LeaseUp",LCNew*H121*D121*(1+GrowthMarketRent)^6,IF(I121="Option",LCRenewal*H121*D121*(1+GrowthMarketRent)^6,0))))),0))),0)</f>
        <v/>
      </c>
      <c r="AF121" s="14">
        <f>IFERROR(IF(AND(I121="LeaseUp",7=0),(IF(I121="Vacate",TINew*D121,IF(I121="Market",Retention*TIRenewal*D121+(1-Retention)*TINew*D121,IF(I121="LeaseUp",TINew*D121,IF(I121="Option",TIRenewal*D121,0)))))+(IF(I121="Vacate",LCNew*H121*D121*(1+GrowthMarketRent)^7,IF(I121="Market",Retention*LCRenewal*H121*D121*(1+GrowthMarketRent)^7+(1-Retention)*LCNew*H121*D121*(1+GrowthMarketRent)^7,IF(I121="LeaseUp",LCNew*H121*D121*(1+GrowthMarketRent)^7,IF(I121="Option",LCRenewal*H121*D121*(1+GrowthMarketRent)^7,0))))),IF(F121="",0,IF(AND(F121&gt;=DATE(2026+7,5,1),F121&lt;=DATE(2027+7,4,30)),(IF(I121="Vacate",TINew*D121,IF(I121="Market",Retention*TIRenewal*D121+(1-Retention)*TINew*D121,IF(I121="LeaseUp",TINew*D121,IF(I121="Option",TIRenewal*D121,0)))))+(IF(I121="Vacate",LCNew*H121*D121*(1+GrowthMarketRent)^7,IF(I121="Market",Retention*LCRenewal*H121*D121*(1+GrowthMarketRent)^7+(1-Retention)*LCNew*H121*D121*(1+GrowthMarketRent)^7,IF(I121="LeaseUp",LCNew*H121*D121*(1+GrowthMarketRent)^7,IF(I121="Option",LCRenewal*H121*D121*(1+GrowthMarketRent)^7,0))))),0))),0)</f>
        <v/>
      </c>
      <c r="AG121" s="14">
        <f>IFERROR(IF(AND(I121="LeaseUp",8=0),(IF(I121="Vacate",TINew*D121,IF(I121="Market",Retention*TIRenewal*D121+(1-Retention)*TINew*D121,IF(I121="LeaseUp",TINew*D121,IF(I121="Option",TIRenewal*D121,0)))))+(IF(I121="Vacate",LCNew*H121*D121*(1+GrowthMarketRent)^8,IF(I121="Market",Retention*LCRenewal*H121*D121*(1+GrowthMarketRent)^8+(1-Retention)*LCNew*H121*D121*(1+GrowthMarketRent)^8,IF(I121="LeaseUp",LCNew*H121*D121*(1+GrowthMarketRent)^8,IF(I121="Option",LCRenewal*H121*D121*(1+GrowthMarketRent)^8,0))))),IF(F121="",0,IF(AND(F121&gt;=DATE(2026+8,5,1),F121&lt;=DATE(2027+8,4,30)),(IF(I121="Vacate",TINew*D121,IF(I121="Market",Retention*TIRenewal*D121+(1-Retention)*TINew*D121,IF(I121="LeaseUp",TINew*D121,IF(I121="Option",TIRenewal*D121,0)))))+(IF(I121="Vacate",LCNew*H121*D121*(1+GrowthMarketRent)^8,IF(I121="Market",Retention*LCRenewal*H121*D121*(1+GrowthMarketRent)^8+(1-Retention)*LCNew*H121*D121*(1+GrowthMarketRent)^8,IF(I121="LeaseUp",LCNew*H121*D121*(1+GrowthMarketRent)^8,IF(I121="Option",LCRenewal*H121*D121*(1+GrowthMarketRent)^8,0))))),0))),0)</f>
        <v/>
      </c>
      <c r="AH121" s="14">
        <f>IFERROR(IF(AND(I121="LeaseUp",9=0),(IF(I121="Vacate",TINew*D121,IF(I121="Market",Retention*TIRenewal*D121+(1-Retention)*TINew*D121,IF(I121="LeaseUp",TINew*D121,IF(I121="Option",TIRenewal*D121,0)))))+(IF(I121="Vacate",LCNew*H121*D121*(1+GrowthMarketRent)^9,IF(I121="Market",Retention*LCRenewal*H121*D121*(1+GrowthMarketRent)^9+(1-Retention)*LCNew*H121*D121*(1+GrowthMarketRent)^9,IF(I121="LeaseUp",LCNew*H121*D121*(1+GrowthMarketRent)^9,IF(I121="Option",LCRenewal*H121*D121*(1+GrowthMarketRent)^9,0))))),IF(F121="",0,IF(AND(F121&gt;=DATE(2026+9,5,1),F121&lt;=DATE(2027+9,4,30)),(IF(I121="Vacate",TINew*D121,IF(I121="Market",Retention*TIRenewal*D121+(1-Retention)*TINew*D121,IF(I121="LeaseUp",TINew*D121,IF(I121="Option",TIRenewal*D121,0)))))+(IF(I121="Vacate",LCNew*H121*D121*(1+GrowthMarketRent)^9,IF(I121="Market",Retention*LCRenewal*H121*D121*(1+GrowthMarketRent)^9+(1-Retention)*LCNew*H121*D121*(1+GrowthMarketRent)^9,IF(I121="LeaseUp",LCNew*H121*D121*(1+GrowthMarketRent)^9,IF(I121="Option",LCRenewal*H121*D121*(1+GrowthMarketRent)^9,0))))),0))),0)</f>
        <v/>
      </c>
      <c r="AI121" s="14">
        <f>IFERROR(IF(AND(I121="LeaseUp",10=0),(IF(I121="Vacate",TINew*D121,IF(I121="Market",Retention*TIRenewal*D121+(1-Retention)*TINew*D121,IF(I121="LeaseUp",TINew*D121,IF(I121="Option",TIRenewal*D121,0)))))+(IF(I121="Vacate",LCNew*H121*D121*(1+GrowthMarketRent)^10,IF(I121="Market",Retention*LCRenewal*H121*D121*(1+GrowthMarketRent)^10+(1-Retention)*LCNew*H121*D121*(1+GrowthMarketRent)^10,IF(I121="LeaseUp",LCNew*H121*D121*(1+GrowthMarketRent)^10,IF(I121="Option",LCRenewal*H121*D121*(1+GrowthMarketRent)^10,0))))),IF(F121="",0,IF(AND(F121&gt;=DATE(2026+10,5,1),F121&lt;=DATE(2027+10,4,30)),(IF(I121="Vacate",TINew*D121,IF(I121="Market",Retention*TIRenewal*D121+(1-Retention)*TINew*D121,IF(I121="LeaseUp",TINew*D121,IF(I121="Option",TIRenewal*D121,0)))))+(IF(I121="Vacate",LCNew*H121*D121*(1+GrowthMarketRent)^10,IF(I121="Market",Retention*LCRenewal*H121*D121*(1+GrowthMarketRent)^10+(1-Retention)*LCNew*H121*D121*(1+GrowthMarketRent)^10,IF(I121="LeaseUp",LCNew*H121*D121*(1+GrowthMarketRent)^10,IF(I121="Option",LCRenewal*H121*D121*(1+GrowthMarketRent)^10,0))))),0))),0)</f>
        <v/>
      </c>
    </row>
    <row r="122">
      <c r="A122" t="inlineStr">
        <is>
          <t>Roanoke</t>
        </is>
      </c>
      <c r="B122" t="inlineStr">
        <is>
          <t>104B</t>
        </is>
      </c>
      <c r="C122" t="inlineStr">
        <is>
          <t>VACANT</t>
        </is>
      </c>
      <c r="D122" s="32" t="n">
        <v>3050</v>
      </c>
      <c r="E122" s="33" t="n">
        <v>45809</v>
      </c>
      <c r="F122" s="33" t="n">
        <v>47058</v>
      </c>
      <c r="G122" s="34" t="n">
        <v>0</v>
      </c>
      <c r="H122" s="16">
        <f>VLOOKUP(A122,MLA!$A$5:$L$11,3,FALSE)</f>
        <v/>
      </c>
      <c r="I122" s="11" t="inlineStr">
        <is>
          <t>LeaseUp</t>
        </is>
      </c>
      <c r="J122" t="inlineStr">
        <is>
          <t>Shop</t>
        </is>
      </c>
      <c r="K122" t="inlineStr">
        <is>
          <t>Vacant</t>
        </is>
      </c>
      <c r="L122" t="inlineStr">
        <is>
          <t>Shop; future lease-up Jun-2026</t>
        </is>
      </c>
      <c r="M122" s="20">
        <f>IF(E122="",0,(AnalysisStart-E122)/365.25)</f>
        <v/>
      </c>
      <c r="N122" s="14">
        <f>IFERROR(IF(I122="LeaseUp",H122*D122*(1+GrowthMarketRent)^0*IF(0=0,(12-DowntimeNew)/12,1),IF(F122="",0,IF(F122&gt;=DATE(2027+0,4,30),G122*D122*(1+EscalatorInLease)^(0+M122),IF(F122&lt;DATE(2026+0,5,1),IF(I122="Vacate",H122*D122*(1+GrowthMarketRent)^0*IF(INT((DATE(2026+0,10,31)-F122)/365.25)=0,(12-DowntimeNew)/12,1),IF(I122="Option",G122*D122*1.025*(1+EscalatorInLease)^0,IF(I122="Market",Retention*G122*D122*(1+EscalatorInLease)^(0+M122)+(1-Retention)*H122*D122*(1+GrowthMarketRent)^0*IF(INT((DATE(2026+0,10,31)-F122)/365.25)=0,(12-DowntimeNew)/12,1),IF(I122="LeaseUp",H122*D122*(1+GrowthMarketRent)^0*IF(0=0,(12-DowntimeNew)/12,1),0)))),((F122-DATE(2026+0,5,1))/365.25)*G122*D122*(1+EscalatorInLease)^(0+M122)+((DATE(2027+0,4,30)-F122)/365.25)*IF(I122="Vacate",H122*D122*(1+GrowthMarketRent)^0*IF(INT((DATE(2026+0,10,31)-F122)/365.25)=0,(12-DowntimeNew)/12,1),IF(I122="Option",G122*D122*1.025*(1+EscalatorInLease)^0,IF(I122="Market",Retention*G122*D122*(1+EscalatorInLease)^(0+M122)+(1-Retention)*H122*D122*(1+GrowthMarketRent)^0*IF(INT((DATE(2026+0,10,31)-F122)/365.25)=0,(12-DowntimeNew)/12,1),IF(I122="LeaseUp",H122*D122*(1+GrowthMarketRent)^0*IF(0=0,(12-DowntimeNew)/12,1),0)))))))),0)</f>
        <v/>
      </c>
      <c r="O122" s="14">
        <f>IFERROR(IF(I122="LeaseUp",H122*D122*(1+GrowthMarketRent)^1*IF(1=0,(12-DowntimeNew)/12,1),IF(F122="",0,IF(F122&gt;=DATE(2027+1,4,30),G122*D122*(1+EscalatorInLease)^(1+M122),IF(F122&lt;DATE(2026+1,5,1),IF(I122="Vacate",H122*D122*(1+GrowthMarketRent)^1*IF(INT((DATE(2026+1,10,31)-F122)/365.25)=0,(12-DowntimeNew)/12,1),IF(I122="Option",G122*D122*1.025*(1+EscalatorInLease)^1,IF(I122="Market",Retention*G122*D122*(1+EscalatorInLease)^(1+M122)+(1-Retention)*H122*D122*(1+GrowthMarketRent)^1*IF(INT((DATE(2026+1,10,31)-F122)/365.25)=0,(12-DowntimeNew)/12,1),IF(I122="LeaseUp",H122*D122*(1+GrowthMarketRent)^1*IF(1=0,(12-DowntimeNew)/12,1),0)))),((F122-DATE(2026+1,5,1))/365.25)*G122*D122*(1+EscalatorInLease)^(1+M122)+((DATE(2027+1,4,30)-F122)/365.25)*IF(I122="Vacate",H122*D122*(1+GrowthMarketRent)^1*IF(INT((DATE(2026+1,10,31)-F122)/365.25)=0,(12-DowntimeNew)/12,1),IF(I122="Option",G122*D122*1.025*(1+EscalatorInLease)^1,IF(I122="Market",Retention*G122*D122*(1+EscalatorInLease)^(1+M122)+(1-Retention)*H122*D122*(1+GrowthMarketRent)^1*IF(INT((DATE(2026+1,10,31)-F122)/365.25)=0,(12-DowntimeNew)/12,1),IF(I122="LeaseUp",H122*D122*(1+GrowthMarketRent)^1*IF(1=0,(12-DowntimeNew)/12,1),0)))))))),0)</f>
        <v/>
      </c>
      <c r="P122" s="14">
        <f>IFERROR(IF(I122="LeaseUp",H122*D122*(1+GrowthMarketRent)^2*IF(2=0,(12-DowntimeNew)/12,1),IF(F122="",0,IF(F122&gt;=DATE(2027+2,4,30),G122*D122*(1+EscalatorInLease)^(2+M122),IF(F122&lt;DATE(2026+2,5,1),IF(I122="Vacate",H122*D122*(1+GrowthMarketRent)^2*IF(INT((DATE(2026+2,10,31)-F122)/365.25)=0,(12-DowntimeNew)/12,1),IF(I122="Option",G122*D122*1.025*(1+EscalatorInLease)^2,IF(I122="Market",Retention*G122*D122*(1+EscalatorInLease)^(2+M122)+(1-Retention)*H122*D122*(1+GrowthMarketRent)^2*IF(INT((DATE(2026+2,10,31)-F122)/365.25)=0,(12-DowntimeNew)/12,1),IF(I122="LeaseUp",H122*D122*(1+GrowthMarketRent)^2*IF(2=0,(12-DowntimeNew)/12,1),0)))),((F122-DATE(2026+2,5,1))/365.25)*G122*D122*(1+EscalatorInLease)^(2+M122)+((DATE(2027+2,4,30)-F122)/365.25)*IF(I122="Vacate",H122*D122*(1+GrowthMarketRent)^2*IF(INT((DATE(2026+2,10,31)-F122)/365.25)=0,(12-DowntimeNew)/12,1),IF(I122="Option",G122*D122*1.025*(1+EscalatorInLease)^2,IF(I122="Market",Retention*G122*D122*(1+EscalatorInLease)^(2+M122)+(1-Retention)*H122*D122*(1+GrowthMarketRent)^2*IF(INT((DATE(2026+2,10,31)-F122)/365.25)=0,(12-DowntimeNew)/12,1),IF(I122="LeaseUp",H122*D122*(1+GrowthMarketRent)^2*IF(2=0,(12-DowntimeNew)/12,1),0)))))))),0)</f>
        <v/>
      </c>
      <c r="Q122" s="14">
        <f>IFERROR(IF(I122="LeaseUp",H122*D122*(1+GrowthMarketRent)^3*IF(3=0,(12-DowntimeNew)/12,1),IF(F122="",0,IF(F122&gt;=DATE(2027+3,4,30),G122*D122*(1+EscalatorInLease)^(3+M122),IF(F122&lt;DATE(2026+3,5,1),IF(I122="Vacate",H122*D122*(1+GrowthMarketRent)^3*IF(INT((DATE(2026+3,10,31)-F122)/365.25)=0,(12-DowntimeNew)/12,1),IF(I122="Option",G122*D122*1.025*(1+EscalatorInLease)^3,IF(I122="Market",Retention*G122*D122*(1+EscalatorInLease)^(3+M122)+(1-Retention)*H122*D122*(1+GrowthMarketRent)^3*IF(INT((DATE(2026+3,10,31)-F122)/365.25)=0,(12-DowntimeNew)/12,1),IF(I122="LeaseUp",H122*D122*(1+GrowthMarketRent)^3*IF(3=0,(12-DowntimeNew)/12,1),0)))),((F122-DATE(2026+3,5,1))/365.25)*G122*D122*(1+EscalatorInLease)^(3+M122)+((DATE(2027+3,4,30)-F122)/365.25)*IF(I122="Vacate",H122*D122*(1+GrowthMarketRent)^3*IF(INT((DATE(2026+3,10,31)-F122)/365.25)=0,(12-DowntimeNew)/12,1),IF(I122="Option",G122*D122*1.025*(1+EscalatorInLease)^3,IF(I122="Market",Retention*G122*D122*(1+EscalatorInLease)^(3+M122)+(1-Retention)*H122*D122*(1+GrowthMarketRent)^3*IF(INT((DATE(2026+3,10,31)-F122)/365.25)=0,(12-DowntimeNew)/12,1),IF(I122="LeaseUp",H122*D122*(1+GrowthMarketRent)^3*IF(3=0,(12-DowntimeNew)/12,1),0)))))))),0)</f>
        <v/>
      </c>
      <c r="R122" s="14">
        <f>IFERROR(IF(I122="LeaseUp",H122*D122*(1+GrowthMarketRent)^4*IF(4=0,(12-DowntimeNew)/12,1),IF(F122="",0,IF(F122&gt;=DATE(2027+4,4,30),G122*D122*(1+EscalatorInLease)^(4+M122),IF(F122&lt;DATE(2026+4,5,1),IF(I122="Vacate",H122*D122*(1+GrowthMarketRent)^4*IF(INT((DATE(2026+4,10,31)-F122)/365.25)=0,(12-DowntimeNew)/12,1),IF(I122="Option",G122*D122*1.025*(1+EscalatorInLease)^4,IF(I122="Market",Retention*G122*D122*(1+EscalatorInLease)^(4+M122)+(1-Retention)*H122*D122*(1+GrowthMarketRent)^4*IF(INT((DATE(2026+4,10,31)-F122)/365.25)=0,(12-DowntimeNew)/12,1),IF(I122="LeaseUp",H122*D122*(1+GrowthMarketRent)^4*IF(4=0,(12-DowntimeNew)/12,1),0)))),((F122-DATE(2026+4,5,1))/365.25)*G122*D122*(1+EscalatorInLease)^(4+M122)+((DATE(2027+4,4,30)-F122)/365.25)*IF(I122="Vacate",H122*D122*(1+GrowthMarketRent)^4*IF(INT((DATE(2026+4,10,31)-F122)/365.25)=0,(12-DowntimeNew)/12,1),IF(I122="Option",G122*D122*1.025*(1+EscalatorInLease)^4,IF(I122="Market",Retention*G122*D122*(1+EscalatorInLease)^(4+M122)+(1-Retention)*H122*D122*(1+GrowthMarketRent)^4*IF(INT((DATE(2026+4,10,31)-F122)/365.25)=0,(12-DowntimeNew)/12,1),IF(I122="LeaseUp",H122*D122*(1+GrowthMarketRent)^4*IF(4=0,(12-DowntimeNew)/12,1),0)))))))),0)</f>
        <v/>
      </c>
      <c r="S122" s="14">
        <f>IFERROR(IF(I122="LeaseUp",H122*D122*(1+GrowthMarketRent)^5*IF(5=0,(12-DowntimeNew)/12,1),IF(F122="",0,IF(F122&gt;=DATE(2027+5,4,30),G122*D122*(1+EscalatorInLease)^(5+M122),IF(F122&lt;DATE(2026+5,5,1),IF(I122="Vacate",H122*D122*(1+GrowthMarketRent)^5*IF(INT((DATE(2026+5,10,31)-F122)/365.25)=0,(12-DowntimeNew)/12,1),IF(I122="Option",G122*D122*1.025*(1+EscalatorInLease)^5,IF(I122="Market",Retention*G122*D122*(1+EscalatorInLease)^(5+M122)+(1-Retention)*H122*D122*(1+GrowthMarketRent)^5*IF(INT((DATE(2026+5,10,31)-F122)/365.25)=0,(12-DowntimeNew)/12,1),IF(I122="LeaseUp",H122*D122*(1+GrowthMarketRent)^5*IF(5=0,(12-DowntimeNew)/12,1),0)))),((F122-DATE(2026+5,5,1))/365.25)*G122*D122*(1+EscalatorInLease)^(5+M122)+((DATE(2027+5,4,30)-F122)/365.25)*IF(I122="Vacate",H122*D122*(1+GrowthMarketRent)^5*IF(INT((DATE(2026+5,10,31)-F122)/365.25)=0,(12-DowntimeNew)/12,1),IF(I122="Option",G122*D122*1.025*(1+EscalatorInLease)^5,IF(I122="Market",Retention*G122*D122*(1+EscalatorInLease)^(5+M122)+(1-Retention)*H122*D122*(1+GrowthMarketRent)^5*IF(INT((DATE(2026+5,10,31)-F122)/365.25)=0,(12-DowntimeNew)/12,1),IF(I122="LeaseUp",H122*D122*(1+GrowthMarketRent)^5*IF(5=0,(12-DowntimeNew)/12,1),0)))))))),0)</f>
        <v/>
      </c>
      <c r="T122" s="14">
        <f>IFERROR(IF(I122="LeaseUp",H122*D122*(1+GrowthMarketRent)^6*IF(6=0,(12-DowntimeNew)/12,1),IF(F122="",0,IF(F122&gt;=DATE(2027+6,4,30),G122*D122*(1+EscalatorInLease)^(6+M122),IF(F122&lt;DATE(2026+6,5,1),IF(I122="Vacate",H122*D122*(1+GrowthMarketRent)^6*IF(INT((DATE(2026+6,10,31)-F122)/365.25)=0,(12-DowntimeNew)/12,1),IF(I122="Option",G122*D122*1.025*(1+EscalatorInLease)^6,IF(I122="Market",Retention*G122*D122*(1+EscalatorInLease)^(6+M122)+(1-Retention)*H122*D122*(1+GrowthMarketRent)^6*IF(INT((DATE(2026+6,10,31)-F122)/365.25)=0,(12-DowntimeNew)/12,1),IF(I122="LeaseUp",H122*D122*(1+GrowthMarketRent)^6*IF(6=0,(12-DowntimeNew)/12,1),0)))),((F122-DATE(2026+6,5,1))/365.25)*G122*D122*(1+EscalatorInLease)^(6+M122)+((DATE(2027+6,4,30)-F122)/365.25)*IF(I122="Vacate",H122*D122*(1+GrowthMarketRent)^6*IF(INT((DATE(2026+6,10,31)-F122)/365.25)=0,(12-DowntimeNew)/12,1),IF(I122="Option",G122*D122*1.025*(1+EscalatorInLease)^6,IF(I122="Market",Retention*G122*D122*(1+EscalatorInLease)^(6+M122)+(1-Retention)*H122*D122*(1+GrowthMarketRent)^6*IF(INT((DATE(2026+6,10,31)-F122)/365.25)=0,(12-DowntimeNew)/12,1),IF(I122="LeaseUp",H122*D122*(1+GrowthMarketRent)^6*IF(6=0,(12-DowntimeNew)/12,1),0)))))))),0)</f>
        <v/>
      </c>
      <c r="U122" s="14">
        <f>IFERROR(IF(I122="LeaseUp",H122*D122*(1+GrowthMarketRent)^7*IF(7=0,(12-DowntimeNew)/12,1),IF(F122="",0,IF(F122&gt;=DATE(2027+7,4,30),G122*D122*(1+EscalatorInLease)^(7+M122),IF(F122&lt;DATE(2026+7,5,1),IF(I122="Vacate",H122*D122*(1+GrowthMarketRent)^7*IF(INT((DATE(2026+7,10,31)-F122)/365.25)=0,(12-DowntimeNew)/12,1),IF(I122="Option",G122*D122*1.025*(1+EscalatorInLease)^7,IF(I122="Market",Retention*G122*D122*(1+EscalatorInLease)^(7+M122)+(1-Retention)*H122*D122*(1+GrowthMarketRent)^7*IF(INT((DATE(2026+7,10,31)-F122)/365.25)=0,(12-DowntimeNew)/12,1),IF(I122="LeaseUp",H122*D122*(1+GrowthMarketRent)^7*IF(7=0,(12-DowntimeNew)/12,1),0)))),((F122-DATE(2026+7,5,1))/365.25)*G122*D122*(1+EscalatorInLease)^(7+M122)+((DATE(2027+7,4,30)-F122)/365.25)*IF(I122="Vacate",H122*D122*(1+GrowthMarketRent)^7*IF(INT((DATE(2026+7,10,31)-F122)/365.25)=0,(12-DowntimeNew)/12,1),IF(I122="Option",G122*D122*1.025*(1+EscalatorInLease)^7,IF(I122="Market",Retention*G122*D122*(1+EscalatorInLease)^(7+M122)+(1-Retention)*H122*D122*(1+GrowthMarketRent)^7*IF(INT((DATE(2026+7,10,31)-F122)/365.25)=0,(12-DowntimeNew)/12,1),IF(I122="LeaseUp",H122*D122*(1+GrowthMarketRent)^7*IF(7=0,(12-DowntimeNew)/12,1),0)))))))),0)</f>
        <v/>
      </c>
      <c r="V122" s="14">
        <f>IFERROR(IF(I122="LeaseUp",H122*D122*(1+GrowthMarketRent)^8*IF(8=0,(12-DowntimeNew)/12,1),IF(F122="",0,IF(F122&gt;=DATE(2027+8,4,30),G122*D122*(1+EscalatorInLease)^(8+M122),IF(F122&lt;DATE(2026+8,5,1),IF(I122="Vacate",H122*D122*(1+GrowthMarketRent)^8*IF(INT((DATE(2026+8,10,31)-F122)/365.25)=0,(12-DowntimeNew)/12,1),IF(I122="Option",G122*D122*1.025*(1+EscalatorInLease)^8,IF(I122="Market",Retention*G122*D122*(1+EscalatorInLease)^(8+M122)+(1-Retention)*H122*D122*(1+GrowthMarketRent)^8*IF(INT((DATE(2026+8,10,31)-F122)/365.25)=0,(12-DowntimeNew)/12,1),IF(I122="LeaseUp",H122*D122*(1+GrowthMarketRent)^8*IF(8=0,(12-DowntimeNew)/12,1),0)))),((F122-DATE(2026+8,5,1))/365.25)*G122*D122*(1+EscalatorInLease)^(8+M122)+((DATE(2027+8,4,30)-F122)/365.25)*IF(I122="Vacate",H122*D122*(1+GrowthMarketRent)^8*IF(INT((DATE(2026+8,10,31)-F122)/365.25)=0,(12-DowntimeNew)/12,1),IF(I122="Option",G122*D122*1.025*(1+EscalatorInLease)^8,IF(I122="Market",Retention*G122*D122*(1+EscalatorInLease)^(8+M122)+(1-Retention)*H122*D122*(1+GrowthMarketRent)^8*IF(INT((DATE(2026+8,10,31)-F122)/365.25)=0,(12-DowntimeNew)/12,1),IF(I122="LeaseUp",H122*D122*(1+GrowthMarketRent)^8*IF(8=0,(12-DowntimeNew)/12,1),0)))))))),0)</f>
        <v/>
      </c>
      <c r="W122" s="14">
        <f>IFERROR(IF(I122="LeaseUp",H122*D122*(1+GrowthMarketRent)^9*IF(9=0,(12-DowntimeNew)/12,1),IF(F122="",0,IF(F122&gt;=DATE(2027+9,4,30),G122*D122*(1+EscalatorInLease)^(9+M122),IF(F122&lt;DATE(2026+9,5,1),IF(I122="Vacate",H122*D122*(1+GrowthMarketRent)^9*IF(INT((DATE(2026+9,10,31)-F122)/365.25)=0,(12-DowntimeNew)/12,1),IF(I122="Option",G122*D122*1.025*(1+EscalatorInLease)^9,IF(I122="Market",Retention*G122*D122*(1+EscalatorInLease)^(9+M122)+(1-Retention)*H122*D122*(1+GrowthMarketRent)^9*IF(INT((DATE(2026+9,10,31)-F122)/365.25)=0,(12-DowntimeNew)/12,1),IF(I122="LeaseUp",H122*D122*(1+GrowthMarketRent)^9*IF(9=0,(12-DowntimeNew)/12,1),0)))),((F122-DATE(2026+9,5,1))/365.25)*G122*D122*(1+EscalatorInLease)^(9+M122)+((DATE(2027+9,4,30)-F122)/365.25)*IF(I122="Vacate",H122*D122*(1+GrowthMarketRent)^9*IF(INT((DATE(2026+9,10,31)-F122)/365.25)=0,(12-DowntimeNew)/12,1),IF(I122="Option",G122*D122*1.025*(1+EscalatorInLease)^9,IF(I122="Market",Retention*G122*D122*(1+EscalatorInLease)^(9+M122)+(1-Retention)*H122*D122*(1+GrowthMarketRent)^9*IF(INT((DATE(2026+9,10,31)-F122)/365.25)=0,(12-DowntimeNew)/12,1),IF(I122="LeaseUp",H122*D122*(1+GrowthMarketRent)^9*IF(9=0,(12-DowntimeNew)/12,1),0)))))))),0)</f>
        <v/>
      </c>
      <c r="X122" s="14">
        <f>IFERROR(IF(I122="LeaseUp",H122*D122*(1+GrowthMarketRent)^10*IF(10=0,(12-DowntimeNew)/12,1),IF(F122="",0,IF(F122&gt;=DATE(2027+10,4,30),G122*D122*(1+EscalatorInLease)^(10+M122),IF(F122&lt;DATE(2026+10,5,1),IF(I122="Vacate",H122*D122*(1+GrowthMarketRent)^10*IF(INT((DATE(2026+10,10,31)-F122)/365.25)=0,(12-DowntimeNew)/12,1),IF(I122="Option",G122*D122*1.025*(1+EscalatorInLease)^10,IF(I122="Market",Retention*G122*D122*(1+EscalatorInLease)^(10+M122)+(1-Retention)*H122*D122*(1+GrowthMarketRent)^10*IF(INT((DATE(2026+10,10,31)-F122)/365.25)=0,(12-DowntimeNew)/12,1),IF(I122="LeaseUp",H122*D122*(1+GrowthMarketRent)^10*IF(10=0,(12-DowntimeNew)/12,1),0)))),((F122-DATE(2026+10,5,1))/365.25)*G122*D122*(1+EscalatorInLease)^(10+M122)+((DATE(2027+10,4,30)-F122)/365.25)*IF(I122="Vacate",H122*D122*(1+GrowthMarketRent)^10*IF(INT((DATE(2026+10,10,31)-F122)/365.25)=0,(12-DowntimeNew)/12,1),IF(I122="Option",G122*D122*1.025*(1+EscalatorInLease)^10,IF(I122="Market",Retention*G122*D122*(1+EscalatorInLease)^(10+M122)+(1-Retention)*H122*D122*(1+GrowthMarketRent)^10*IF(INT((DATE(2026+10,10,31)-F122)/365.25)=0,(12-DowntimeNew)/12,1),IF(I122="LeaseUp",H122*D122*(1+GrowthMarketRent)^10*IF(10=0,(12-DowntimeNew)/12,1),0)))))))),0)</f>
        <v/>
      </c>
      <c r="Y122" s="14">
        <f>IFERROR(IF(AND(I122="LeaseUp",0=0),(IF(I122="Vacate",TINew*D122,IF(I122="Market",Retention*TIRenewal*D122+(1-Retention)*TINew*D122,IF(I122="LeaseUp",TINew*D122,IF(I122="Option",TIRenewal*D122,0)))))+(IF(I122="Vacate",LCNew*H122*D122*(1+GrowthMarketRent)^0,IF(I122="Market",Retention*LCRenewal*H122*D122*(1+GrowthMarketRent)^0+(1-Retention)*LCNew*H122*D122*(1+GrowthMarketRent)^0,IF(I122="LeaseUp",LCNew*H122*D122*(1+GrowthMarketRent)^0,IF(I122="Option",LCRenewal*H122*D122*(1+GrowthMarketRent)^0,0))))),IF(F122="",0,IF(AND(F122&gt;=DATE(2026+0,5,1),F122&lt;=DATE(2027+0,4,30)),(IF(I122="Vacate",TINew*D122,IF(I122="Market",Retention*TIRenewal*D122+(1-Retention)*TINew*D122,IF(I122="LeaseUp",TINew*D122,IF(I122="Option",TIRenewal*D122,0)))))+(IF(I122="Vacate",LCNew*H122*D122*(1+GrowthMarketRent)^0,IF(I122="Market",Retention*LCRenewal*H122*D122*(1+GrowthMarketRent)^0+(1-Retention)*LCNew*H122*D122*(1+GrowthMarketRent)^0,IF(I122="LeaseUp",LCNew*H122*D122*(1+GrowthMarketRent)^0,IF(I122="Option",LCRenewal*H122*D122*(1+GrowthMarketRent)^0,0))))),0))),0)</f>
        <v/>
      </c>
      <c r="Z122" s="14">
        <f>IFERROR(IF(AND(I122="LeaseUp",1=0),(IF(I122="Vacate",TINew*D122,IF(I122="Market",Retention*TIRenewal*D122+(1-Retention)*TINew*D122,IF(I122="LeaseUp",TINew*D122,IF(I122="Option",TIRenewal*D122,0)))))+(IF(I122="Vacate",LCNew*H122*D122*(1+GrowthMarketRent)^1,IF(I122="Market",Retention*LCRenewal*H122*D122*(1+GrowthMarketRent)^1+(1-Retention)*LCNew*H122*D122*(1+GrowthMarketRent)^1,IF(I122="LeaseUp",LCNew*H122*D122*(1+GrowthMarketRent)^1,IF(I122="Option",LCRenewal*H122*D122*(1+GrowthMarketRent)^1,0))))),IF(F122="",0,IF(AND(F122&gt;=DATE(2026+1,5,1),F122&lt;=DATE(2027+1,4,30)),(IF(I122="Vacate",TINew*D122,IF(I122="Market",Retention*TIRenewal*D122+(1-Retention)*TINew*D122,IF(I122="LeaseUp",TINew*D122,IF(I122="Option",TIRenewal*D122,0)))))+(IF(I122="Vacate",LCNew*H122*D122*(1+GrowthMarketRent)^1,IF(I122="Market",Retention*LCRenewal*H122*D122*(1+GrowthMarketRent)^1+(1-Retention)*LCNew*H122*D122*(1+GrowthMarketRent)^1,IF(I122="LeaseUp",LCNew*H122*D122*(1+GrowthMarketRent)^1,IF(I122="Option",LCRenewal*H122*D122*(1+GrowthMarketRent)^1,0))))),0))),0)</f>
        <v/>
      </c>
      <c r="AA122" s="14">
        <f>IFERROR(IF(AND(I122="LeaseUp",2=0),(IF(I122="Vacate",TINew*D122,IF(I122="Market",Retention*TIRenewal*D122+(1-Retention)*TINew*D122,IF(I122="LeaseUp",TINew*D122,IF(I122="Option",TIRenewal*D122,0)))))+(IF(I122="Vacate",LCNew*H122*D122*(1+GrowthMarketRent)^2,IF(I122="Market",Retention*LCRenewal*H122*D122*(1+GrowthMarketRent)^2+(1-Retention)*LCNew*H122*D122*(1+GrowthMarketRent)^2,IF(I122="LeaseUp",LCNew*H122*D122*(1+GrowthMarketRent)^2,IF(I122="Option",LCRenewal*H122*D122*(1+GrowthMarketRent)^2,0))))),IF(F122="",0,IF(AND(F122&gt;=DATE(2026+2,5,1),F122&lt;=DATE(2027+2,4,30)),(IF(I122="Vacate",TINew*D122,IF(I122="Market",Retention*TIRenewal*D122+(1-Retention)*TINew*D122,IF(I122="LeaseUp",TINew*D122,IF(I122="Option",TIRenewal*D122,0)))))+(IF(I122="Vacate",LCNew*H122*D122*(1+GrowthMarketRent)^2,IF(I122="Market",Retention*LCRenewal*H122*D122*(1+GrowthMarketRent)^2+(1-Retention)*LCNew*H122*D122*(1+GrowthMarketRent)^2,IF(I122="LeaseUp",LCNew*H122*D122*(1+GrowthMarketRent)^2,IF(I122="Option",LCRenewal*H122*D122*(1+GrowthMarketRent)^2,0))))),0))),0)</f>
        <v/>
      </c>
      <c r="AB122" s="14">
        <f>IFERROR(IF(AND(I122="LeaseUp",3=0),(IF(I122="Vacate",TINew*D122,IF(I122="Market",Retention*TIRenewal*D122+(1-Retention)*TINew*D122,IF(I122="LeaseUp",TINew*D122,IF(I122="Option",TIRenewal*D122,0)))))+(IF(I122="Vacate",LCNew*H122*D122*(1+GrowthMarketRent)^3,IF(I122="Market",Retention*LCRenewal*H122*D122*(1+GrowthMarketRent)^3+(1-Retention)*LCNew*H122*D122*(1+GrowthMarketRent)^3,IF(I122="LeaseUp",LCNew*H122*D122*(1+GrowthMarketRent)^3,IF(I122="Option",LCRenewal*H122*D122*(1+GrowthMarketRent)^3,0))))),IF(F122="",0,IF(AND(F122&gt;=DATE(2026+3,5,1),F122&lt;=DATE(2027+3,4,30)),(IF(I122="Vacate",TINew*D122,IF(I122="Market",Retention*TIRenewal*D122+(1-Retention)*TINew*D122,IF(I122="LeaseUp",TINew*D122,IF(I122="Option",TIRenewal*D122,0)))))+(IF(I122="Vacate",LCNew*H122*D122*(1+GrowthMarketRent)^3,IF(I122="Market",Retention*LCRenewal*H122*D122*(1+GrowthMarketRent)^3+(1-Retention)*LCNew*H122*D122*(1+GrowthMarketRent)^3,IF(I122="LeaseUp",LCNew*H122*D122*(1+GrowthMarketRent)^3,IF(I122="Option",LCRenewal*H122*D122*(1+GrowthMarketRent)^3,0))))),0))),0)</f>
        <v/>
      </c>
      <c r="AC122" s="14">
        <f>IFERROR(IF(AND(I122="LeaseUp",4=0),(IF(I122="Vacate",TINew*D122,IF(I122="Market",Retention*TIRenewal*D122+(1-Retention)*TINew*D122,IF(I122="LeaseUp",TINew*D122,IF(I122="Option",TIRenewal*D122,0)))))+(IF(I122="Vacate",LCNew*H122*D122*(1+GrowthMarketRent)^4,IF(I122="Market",Retention*LCRenewal*H122*D122*(1+GrowthMarketRent)^4+(1-Retention)*LCNew*H122*D122*(1+GrowthMarketRent)^4,IF(I122="LeaseUp",LCNew*H122*D122*(1+GrowthMarketRent)^4,IF(I122="Option",LCRenewal*H122*D122*(1+GrowthMarketRent)^4,0))))),IF(F122="",0,IF(AND(F122&gt;=DATE(2026+4,5,1),F122&lt;=DATE(2027+4,4,30)),(IF(I122="Vacate",TINew*D122,IF(I122="Market",Retention*TIRenewal*D122+(1-Retention)*TINew*D122,IF(I122="LeaseUp",TINew*D122,IF(I122="Option",TIRenewal*D122,0)))))+(IF(I122="Vacate",LCNew*H122*D122*(1+GrowthMarketRent)^4,IF(I122="Market",Retention*LCRenewal*H122*D122*(1+GrowthMarketRent)^4+(1-Retention)*LCNew*H122*D122*(1+GrowthMarketRent)^4,IF(I122="LeaseUp",LCNew*H122*D122*(1+GrowthMarketRent)^4,IF(I122="Option",LCRenewal*H122*D122*(1+GrowthMarketRent)^4,0))))),0))),0)</f>
        <v/>
      </c>
      <c r="AD122" s="14">
        <f>IFERROR(IF(AND(I122="LeaseUp",5=0),(IF(I122="Vacate",TINew*D122,IF(I122="Market",Retention*TIRenewal*D122+(1-Retention)*TINew*D122,IF(I122="LeaseUp",TINew*D122,IF(I122="Option",TIRenewal*D122,0)))))+(IF(I122="Vacate",LCNew*H122*D122*(1+GrowthMarketRent)^5,IF(I122="Market",Retention*LCRenewal*H122*D122*(1+GrowthMarketRent)^5+(1-Retention)*LCNew*H122*D122*(1+GrowthMarketRent)^5,IF(I122="LeaseUp",LCNew*H122*D122*(1+GrowthMarketRent)^5,IF(I122="Option",LCRenewal*H122*D122*(1+GrowthMarketRent)^5,0))))),IF(F122="",0,IF(AND(F122&gt;=DATE(2026+5,5,1),F122&lt;=DATE(2027+5,4,30)),(IF(I122="Vacate",TINew*D122,IF(I122="Market",Retention*TIRenewal*D122+(1-Retention)*TINew*D122,IF(I122="LeaseUp",TINew*D122,IF(I122="Option",TIRenewal*D122,0)))))+(IF(I122="Vacate",LCNew*H122*D122*(1+GrowthMarketRent)^5,IF(I122="Market",Retention*LCRenewal*H122*D122*(1+GrowthMarketRent)^5+(1-Retention)*LCNew*H122*D122*(1+GrowthMarketRent)^5,IF(I122="LeaseUp",LCNew*H122*D122*(1+GrowthMarketRent)^5,IF(I122="Option",LCRenewal*H122*D122*(1+GrowthMarketRent)^5,0))))),0))),0)</f>
        <v/>
      </c>
      <c r="AE122" s="14">
        <f>IFERROR(IF(AND(I122="LeaseUp",6=0),(IF(I122="Vacate",TINew*D122,IF(I122="Market",Retention*TIRenewal*D122+(1-Retention)*TINew*D122,IF(I122="LeaseUp",TINew*D122,IF(I122="Option",TIRenewal*D122,0)))))+(IF(I122="Vacate",LCNew*H122*D122*(1+GrowthMarketRent)^6,IF(I122="Market",Retention*LCRenewal*H122*D122*(1+GrowthMarketRent)^6+(1-Retention)*LCNew*H122*D122*(1+GrowthMarketRent)^6,IF(I122="LeaseUp",LCNew*H122*D122*(1+GrowthMarketRent)^6,IF(I122="Option",LCRenewal*H122*D122*(1+GrowthMarketRent)^6,0))))),IF(F122="",0,IF(AND(F122&gt;=DATE(2026+6,5,1),F122&lt;=DATE(2027+6,4,30)),(IF(I122="Vacate",TINew*D122,IF(I122="Market",Retention*TIRenewal*D122+(1-Retention)*TINew*D122,IF(I122="LeaseUp",TINew*D122,IF(I122="Option",TIRenewal*D122,0)))))+(IF(I122="Vacate",LCNew*H122*D122*(1+GrowthMarketRent)^6,IF(I122="Market",Retention*LCRenewal*H122*D122*(1+GrowthMarketRent)^6+(1-Retention)*LCNew*H122*D122*(1+GrowthMarketRent)^6,IF(I122="LeaseUp",LCNew*H122*D122*(1+GrowthMarketRent)^6,IF(I122="Option",LCRenewal*H122*D122*(1+GrowthMarketRent)^6,0))))),0))),0)</f>
        <v/>
      </c>
      <c r="AF122" s="14">
        <f>IFERROR(IF(AND(I122="LeaseUp",7=0),(IF(I122="Vacate",TINew*D122,IF(I122="Market",Retention*TIRenewal*D122+(1-Retention)*TINew*D122,IF(I122="LeaseUp",TINew*D122,IF(I122="Option",TIRenewal*D122,0)))))+(IF(I122="Vacate",LCNew*H122*D122*(1+GrowthMarketRent)^7,IF(I122="Market",Retention*LCRenewal*H122*D122*(1+GrowthMarketRent)^7+(1-Retention)*LCNew*H122*D122*(1+GrowthMarketRent)^7,IF(I122="LeaseUp",LCNew*H122*D122*(1+GrowthMarketRent)^7,IF(I122="Option",LCRenewal*H122*D122*(1+GrowthMarketRent)^7,0))))),IF(F122="",0,IF(AND(F122&gt;=DATE(2026+7,5,1),F122&lt;=DATE(2027+7,4,30)),(IF(I122="Vacate",TINew*D122,IF(I122="Market",Retention*TIRenewal*D122+(1-Retention)*TINew*D122,IF(I122="LeaseUp",TINew*D122,IF(I122="Option",TIRenewal*D122,0)))))+(IF(I122="Vacate",LCNew*H122*D122*(1+GrowthMarketRent)^7,IF(I122="Market",Retention*LCRenewal*H122*D122*(1+GrowthMarketRent)^7+(1-Retention)*LCNew*H122*D122*(1+GrowthMarketRent)^7,IF(I122="LeaseUp",LCNew*H122*D122*(1+GrowthMarketRent)^7,IF(I122="Option",LCRenewal*H122*D122*(1+GrowthMarketRent)^7,0))))),0))),0)</f>
        <v/>
      </c>
      <c r="AG122" s="14">
        <f>IFERROR(IF(AND(I122="LeaseUp",8=0),(IF(I122="Vacate",TINew*D122,IF(I122="Market",Retention*TIRenewal*D122+(1-Retention)*TINew*D122,IF(I122="LeaseUp",TINew*D122,IF(I122="Option",TIRenewal*D122,0)))))+(IF(I122="Vacate",LCNew*H122*D122*(1+GrowthMarketRent)^8,IF(I122="Market",Retention*LCRenewal*H122*D122*(1+GrowthMarketRent)^8+(1-Retention)*LCNew*H122*D122*(1+GrowthMarketRent)^8,IF(I122="LeaseUp",LCNew*H122*D122*(1+GrowthMarketRent)^8,IF(I122="Option",LCRenewal*H122*D122*(1+GrowthMarketRent)^8,0))))),IF(F122="",0,IF(AND(F122&gt;=DATE(2026+8,5,1),F122&lt;=DATE(2027+8,4,30)),(IF(I122="Vacate",TINew*D122,IF(I122="Market",Retention*TIRenewal*D122+(1-Retention)*TINew*D122,IF(I122="LeaseUp",TINew*D122,IF(I122="Option",TIRenewal*D122,0)))))+(IF(I122="Vacate",LCNew*H122*D122*(1+GrowthMarketRent)^8,IF(I122="Market",Retention*LCRenewal*H122*D122*(1+GrowthMarketRent)^8+(1-Retention)*LCNew*H122*D122*(1+GrowthMarketRent)^8,IF(I122="LeaseUp",LCNew*H122*D122*(1+GrowthMarketRent)^8,IF(I122="Option",LCRenewal*H122*D122*(1+GrowthMarketRent)^8,0))))),0))),0)</f>
        <v/>
      </c>
      <c r="AH122" s="14">
        <f>IFERROR(IF(AND(I122="LeaseUp",9=0),(IF(I122="Vacate",TINew*D122,IF(I122="Market",Retention*TIRenewal*D122+(1-Retention)*TINew*D122,IF(I122="LeaseUp",TINew*D122,IF(I122="Option",TIRenewal*D122,0)))))+(IF(I122="Vacate",LCNew*H122*D122*(1+GrowthMarketRent)^9,IF(I122="Market",Retention*LCRenewal*H122*D122*(1+GrowthMarketRent)^9+(1-Retention)*LCNew*H122*D122*(1+GrowthMarketRent)^9,IF(I122="LeaseUp",LCNew*H122*D122*(1+GrowthMarketRent)^9,IF(I122="Option",LCRenewal*H122*D122*(1+GrowthMarketRent)^9,0))))),IF(F122="",0,IF(AND(F122&gt;=DATE(2026+9,5,1),F122&lt;=DATE(2027+9,4,30)),(IF(I122="Vacate",TINew*D122,IF(I122="Market",Retention*TIRenewal*D122+(1-Retention)*TINew*D122,IF(I122="LeaseUp",TINew*D122,IF(I122="Option",TIRenewal*D122,0)))))+(IF(I122="Vacate",LCNew*H122*D122*(1+GrowthMarketRent)^9,IF(I122="Market",Retention*LCRenewal*H122*D122*(1+GrowthMarketRent)^9+(1-Retention)*LCNew*H122*D122*(1+GrowthMarketRent)^9,IF(I122="LeaseUp",LCNew*H122*D122*(1+GrowthMarketRent)^9,IF(I122="Option",LCRenewal*H122*D122*(1+GrowthMarketRent)^9,0))))),0))),0)</f>
        <v/>
      </c>
      <c r="AI122" s="14">
        <f>IFERROR(IF(AND(I122="LeaseUp",10=0),(IF(I122="Vacate",TINew*D122,IF(I122="Market",Retention*TIRenewal*D122+(1-Retention)*TINew*D122,IF(I122="LeaseUp",TINew*D122,IF(I122="Option",TIRenewal*D122,0)))))+(IF(I122="Vacate",LCNew*H122*D122*(1+GrowthMarketRent)^10,IF(I122="Market",Retention*LCRenewal*H122*D122*(1+GrowthMarketRent)^10+(1-Retention)*LCNew*H122*D122*(1+GrowthMarketRent)^10,IF(I122="LeaseUp",LCNew*H122*D122*(1+GrowthMarketRent)^10,IF(I122="Option",LCRenewal*H122*D122*(1+GrowthMarketRent)^10,0))))),IF(F122="",0,IF(AND(F122&gt;=DATE(2026+10,5,1),F122&lt;=DATE(2027+10,4,30)),(IF(I122="Vacate",TINew*D122,IF(I122="Market",Retention*TIRenewal*D122+(1-Retention)*TINew*D122,IF(I122="LeaseUp",TINew*D122,IF(I122="Option",TIRenewal*D122,0)))))+(IF(I122="Vacate",LCNew*H122*D122*(1+GrowthMarketRent)^10,IF(I122="Market",Retention*LCRenewal*H122*D122*(1+GrowthMarketRent)^10+(1-Retention)*LCNew*H122*D122*(1+GrowthMarketRent)^10,IF(I122="LeaseUp",LCNew*H122*D122*(1+GrowthMarketRent)^10,IF(I122="Option",LCRenewal*H122*D122*(1+GrowthMarketRent)^10,0))))),0))),0)</f>
        <v/>
      </c>
    </row>
    <row r="123">
      <c r="A123" t="inlineStr">
        <is>
          <t>Roanoke</t>
        </is>
      </c>
      <c r="B123" t="inlineStr">
        <is>
          <t>108A</t>
        </is>
      </c>
      <c r="C123" t="inlineStr">
        <is>
          <t>Upright Roofing and Construction LLC</t>
        </is>
      </c>
      <c r="D123" s="32" t="n">
        <v>2600</v>
      </c>
      <c r="E123" s="33" t="n">
        <v>45809</v>
      </c>
      <c r="F123" s="33" t="n">
        <v>47058</v>
      </c>
      <c r="G123" s="34" t="n">
        <v>16</v>
      </c>
      <c r="H123" s="16">
        <f>VLOOKUP(A123,MLA!$A$5:$L$11,3,FALSE)</f>
        <v/>
      </c>
      <c r="I123" s="11" t="inlineStr">
        <is>
          <t>Option</t>
        </is>
      </c>
      <c r="J123" t="inlineStr">
        <is>
          <t>Shop</t>
        </is>
      </c>
      <c r="K123" t="inlineStr">
        <is>
          <t>Occupied</t>
        </is>
      </c>
      <c r="L123" t="inlineStr">
        <is>
          <t>Shop; Guarantor: Ryan Robinson; Two 3yr options @ FMV</t>
        </is>
      </c>
      <c r="M123" s="20">
        <f>IF(E123="",0,(AnalysisStart-E123)/365.25)</f>
        <v/>
      </c>
      <c r="N123" s="14">
        <f>IFERROR(IF(I123="LeaseUp",H123*D123*(1+GrowthMarketRent)^0*IF(0=0,(12-DowntimeNew)/12,1),IF(F123="",0,IF(F123&gt;=DATE(2027+0,4,30),G123*D123*(1+EscalatorInLease)^(0+M123),IF(F123&lt;DATE(2026+0,5,1),IF(I123="Vacate",H123*D123*(1+GrowthMarketRent)^0*IF(INT((DATE(2026+0,10,31)-F123)/365.25)=0,(12-DowntimeNew)/12,1),IF(I123="Option",G123*D123*1.025*(1+EscalatorInLease)^0,IF(I123="Market",Retention*G123*D123*(1+EscalatorInLease)^(0+M123)+(1-Retention)*H123*D123*(1+GrowthMarketRent)^0*IF(INT((DATE(2026+0,10,31)-F123)/365.25)=0,(12-DowntimeNew)/12,1),IF(I123="LeaseUp",H123*D123*(1+GrowthMarketRent)^0*IF(0=0,(12-DowntimeNew)/12,1),0)))),((F123-DATE(2026+0,5,1))/365.25)*G123*D123*(1+EscalatorInLease)^(0+M123)+((DATE(2027+0,4,30)-F123)/365.25)*IF(I123="Vacate",H123*D123*(1+GrowthMarketRent)^0*IF(INT((DATE(2026+0,10,31)-F123)/365.25)=0,(12-DowntimeNew)/12,1),IF(I123="Option",G123*D123*1.025*(1+EscalatorInLease)^0,IF(I123="Market",Retention*G123*D123*(1+EscalatorInLease)^(0+M123)+(1-Retention)*H123*D123*(1+GrowthMarketRent)^0*IF(INT((DATE(2026+0,10,31)-F123)/365.25)=0,(12-DowntimeNew)/12,1),IF(I123="LeaseUp",H123*D123*(1+GrowthMarketRent)^0*IF(0=0,(12-DowntimeNew)/12,1),0)))))))),0)</f>
        <v/>
      </c>
      <c r="O123" s="14">
        <f>IFERROR(IF(I123="LeaseUp",H123*D123*(1+GrowthMarketRent)^1*IF(1=0,(12-DowntimeNew)/12,1),IF(F123="",0,IF(F123&gt;=DATE(2027+1,4,30),G123*D123*(1+EscalatorInLease)^(1+M123),IF(F123&lt;DATE(2026+1,5,1),IF(I123="Vacate",H123*D123*(1+GrowthMarketRent)^1*IF(INT((DATE(2026+1,10,31)-F123)/365.25)=0,(12-DowntimeNew)/12,1),IF(I123="Option",G123*D123*1.025*(1+EscalatorInLease)^1,IF(I123="Market",Retention*G123*D123*(1+EscalatorInLease)^(1+M123)+(1-Retention)*H123*D123*(1+GrowthMarketRent)^1*IF(INT((DATE(2026+1,10,31)-F123)/365.25)=0,(12-DowntimeNew)/12,1),IF(I123="LeaseUp",H123*D123*(1+GrowthMarketRent)^1*IF(1=0,(12-DowntimeNew)/12,1),0)))),((F123-DATE(2026+1,5,1))/365.25)*G123*D123*(1+EscalatorInLease)^(1+M123)+((DATE(2027+1,4,30)-F123)/365.25)*IF(I123="Vacate",H123*D123*(1+GrowthMarketRent)^1*IF(INT((DATE(2026+1,10,31)-F123)/365.25)=0,(12-DowntimeNew)/12,1),IF(I123="Option",G123*D123*1.025*(1+EscalatorInLease)^1,IF(I123="Market",Retention*G123*D123*(1+EscalatorInLease)^(1+M123)+(1-Retention)*H123*D123*(1+GrowthMarketRent)^1*IF(INT((DATE(2026+1,10,31)-F123)/365.25)=0,(12-DowntimeNew)/12,1),IF(I123="LeaseUp",H123*D123*(1+GrowthMarketRent)^1*IF(1=0,(12-DowntimeNew)/12,1),0)))))))),0)</f>
        <v/>
      </c>
      <c r="P123" s="14">
        <f>IFERROR(IF(I123="LeaseUp",H123*D123*(1+GrowthMarketRent)^2*IF(2=0,(12-DowntimeNew)/12,1),IF(F123="",0,IF(F123&gt;=DATE(2027+2,4,30),G123*D123*(1+EscalatorInLease)^(2+M123),IF(F123&lt;DATE(2026+2,5,1),IF(I123="Vacate",H123*D123*(1+GrowthMarketRent)^2*IF(INT((DATE(2026+2,10,31)-F123)/365.25)=0,(12-DowntimeNew)/12,1),IF(I123="Option",G123*D123*1.025*(1+EscalatorInLease)^2,IF(I123="Market",Retention*G123*D123*(1+EscalatorInLease)^(2+M123)+(1-Retention)*H123*D123*(1+GrowthMarketRent)^2*IF(INT((DATE(2026+2,10,31)-F123)/365.25)=0,(12-DowntimeNew)/12,1),IF(I123="LeaseUp",H123*D123*(1+GrowthMarketRent)^2*IF(2=0,(12-DowntimeNew)/12,1),0)))),((F123-DATE(2026+2,5,1))/365.25)*G123*D123*(1+EscalatorInLease)^(2+M123)+((DATE(2027+2,4,30)-F123)/365.25)*IF(I123="Vacate",H123*D123*(1+GrowthMarketRent)^2*IF(INT((DATE(2026+2,10,31)-F123)/365.25)=0,(12-DowntimeNew)/12,1),IF(I123="Option",G123*D123*1.025*(1+EscalatorInLease)^2,IF(I123="Market",Retention*G123*D123*(1+EscalatorInLease)^(2+M123)+(1-Retention)*H123*D123*(1+GrowthMarketRent)^2*IF(INT((DATE(2026+2,10,31)-F123)/365.25)=0,(12-DowntimeNew)/12,1),IF(I123="LeaseUp",H123*D123*(1+GrowthMarketRent)^2*IF(2=0,(12-DowntimeNew)/12,1),0)))))))),0)</f>
        <v/>
      </c>
      <c r="Q123" s="14">
        <f>IFERROR(IF(I123="LeaseUp",H123*D123*(1+GrowthMarketRent)^3*IF(3=0,(12-DowntimeNew)/12,1),IF(F123="",0,IF(F123&gt;=DATE(2027+3,4,30),G123*D123*(1+EscalatorInLease)^(3+M123),IF(F123&lt;DATE(2026+3,5,1),IF(I123="Vacate",H123*D123*(1+GrowthMarketRent)^3*IF(INT((DATE(2026+3,10,31)-F123)/365.25)=0,(12-DowntimeNew)/12,1),IF(I123="Option",G123*D123*1.025*(1+EscalatorInLease)^3,IF(I123="Market",Retention*G123*D123*(1+EscalatorInLease)^(3+M123)+(1-Retention)*H123*D123*(1+GrowthMarketRent)^3*IF(INT((DATE(2026+3,10,31)-F123)/365.25)=0,(12-DowntimeNew)/12,1),IF(I123="LeaseUp",H123*D123*(1+GrowthMarketRent)^3*IF(3=0,(12-DowntimeNew)/12,1),0)))),((F123-DATE(2026+3,5,1))/365.25)*G123*D123*(1+EscalatorInLease)^(3+M123)+((DATE(2027+3,4,30)-F123)/365.25)*IF(I123="Vacate",H123*D123*(1+GrowthMarketRent)^3*IF(INT((DATE(2026+3,10,31)-F123)/365.25)=0,(12-DowntimeNew)/12,1),IF(I123="Option",G123*D123*1.025*(1+EscalatorInLease)^3,IF(I123="Market",Retention*G123*D123*(1+EscalatorInLease)^(3+M123)+(1-Retention)*H123*D123*(1+GrowthMarketRent)^3*IF(INT((DATE(2026+3,10,31)-F123)/365.25)=0,(12-DowntimeNew)/12,1),IF(I123="LeaseUp",H123*D123*(1+GrowthMarketRent)^3*IF(3=0,(12-DowntimeNew)/12,1),0)))))))),0)</f>
        <v/>
      </c>
      <c r="R123" s="14">
        <f>IFERROR(IF(I123="LeaseUp",H123*D123*(1+GrowthMarketRent)^4*IF(4=0,(12-DowntimeNew)/12,1),IF(F123="",0,IF(F123&gt;=DATE(2027+4,4,30),G123*D123*(1+EscalatorInLease)^(4+M123),IF(F123&lt;DATE(2026+4,5,1),IF(I123="Vacate",H123*D123*(1+GrowthMarketRent)^4*IF(INT((DATE(2026+4,10,31)-F123)/365.25)=0,(12-DowntimeNew)/12,1),IF(I123="Option",G123*D123*1.025*(1+EscalatorInLease)^4,IF(I123="Market",Retention*G123*D123*(1+EscalatorInLease)^(4+M123)+(1-Retention)*H123*D123*(1+GrowthMarketRent)^4*IF(INT((DATE(2026+4,10,31)-F123)/365.25)=0,(12-DowntimeNew)/12,1),IF(I123="LeaseUp",H123*D123*(1+GrowthMarketRent)^4*IF(4=0,(12-DowntimeNew)/12,1),0)))),((F123-DATE(2026+4,5,1))/365.25)*G123*D123*(1+EscalatorInLease)^(4+M123)+((DATE(2027+4,4,30)-F123)/365.25)*IF(I123="Vacate",H123*D123*(1+GrowthMarketRent)^4*IF(INT((DATE(2026+4,10,31)-F123)/365.25)=0,(12-DowntimeNew)/12,1),IF(I123="Option",G123*D123*1.025*(1+EscalatorInLease)^4,IF(I123="Market",Retention*G123*D123*(1+EscalatorInLease)^(4+M123)+(1-Retention)*H123*D123*(1+GrowthMarketRent)^4*IF(INT((DATE(2026+4,10,31)-F123)/365.25)=0,(12-DowntimeNew)/12,1),IF(I123="LeaseUp",H123*D123*(1+GrowthMarketRent)^4*IF(4=0,(12-DowntimeNew)/12,1),0)))))))),0)</f>
        <v/>
      </c>
      <c r="S123" s="14">
        <f>IFERROR(IF(I123="LeaseUp",H123*D123*(1+GrowthMarketRent)^5*IF(5=0,(12-DowntimeNew)/12,1),IF(F123="",0,IF(F123&gt;=DATE(2027+5,4,30),G123*D123*(1+EscalatorInLease)^(5+M123),IF(F123&lt;DATE(2026+5,5,1),IF(I123="Vacate",H123*D123*(1+GrowthMarketRent)^5*IF(INT((DATE(2026+5,10,31)-F123)/365.25)=0,(12-DowntimeNew)/12,1),IF(I123="Option",G123*D123*1.025*(1+EscalatorInLease)^5,IF(I123="Market",Retention*G123*D123*(1+EscalatorInLease)^(5+M123)+(1-Retention)*H123*D123*(1+GrowthMarketRent)^5*IF(INT((DATE(2026+5,10,31)-F123)/365.25)=0,(12-DowntimeNew)/12,1),IF(I123="LeaseUp",H123*D123*(1+GrowthMarketRent)^5*IF(5=0,(12-DowntimeNew)/12,1),0)))),((F123-DATE(2026+5,5,1))/365.25)*G123*D123*(1+EscalatorInLease)^(5+M123)+((DATE(2027+5,4,30)-F123)/365.25)*IF(I123="Vacate",H123*D123*(1+GrowthMarketRent)^5*IF(INT((DATE(2026+5,10,31)-F123)/365.25)=0,(12-DowntimeNew)/12,1),IF(I123="Option",G123*D123*1.025*(1+EscalatorInLease)^5,IF(I123="Market",Retention*G123*D123*(1+EscalatorInLease)^(5+M123)+(1-Retention)*H123*D123*(1+GrowthMarketRent)^5*IF(INT((DATE(2026+5,10,31)-F123)/365.25)=0,(12-DowntimeNew)/12,1),IF(I123="LeaseUp",H123*D123*(1+GrowthMarketRent)^5*IF(5=0,(12-DowntimeNew)/12,1),0)))))))),0)</f>
        <v/>
      </c>
      <c r="T123" s="14">
        <f>IFERROR(IF(I123="LeaseUp",H123*D123*(1+GrowthMarketRent)^6*IF(6=0,(12-DowntimeNew)/12,1),IF(F123="",0,IF(F123&gt;=DATE(2027+6,4,30),G123*D123*(1+EscalatorInLease)^(6+M123),IF(F123&lt;DATE(2026+6,5,1),IF(I123="Vacate",H123*D123*(1+GrowthMarketRent)^6*IF(INT((DATE(2026+6,10,31)-F123)/365.25)=0,(12-DowntimeNew)/12,1),IF(I123="Option",G123*D123*1.025*(1+EscalatorInLease)^6,IF(I123="Market",Retention*G123*D123*(1+EscalatorInLease)^(6+M123)+(1-Retention)*H123*D123*(1+GrowthMarketRent)^6*IF(INT((DATE(2026+6,10,31)-F123)/365.25)=0,(12-DowntimeNew)/12,1),IF(I123="LeaseUp",H123*D123*(1+GrowthMarketRent)^6*IF(6=0,(12-DowntimeNew)/12,1),0)))),((F123-DATE(2026+6,5,1))/365.25)*G123*D123*(1+EscalatorInLease)^(6+M123)+((DATE(2027+6,4,30)-F123)/365.25)*IF(I123="Vacate",H123*D123*(1+GrowthMarketRent)^6*IF(INT((DATE(2026+6,10,31)-F123)/365.25)=0,(12-DowntimeNew)/12,1),IF(I123="Option",G123*D123*1.025*(1+EscalatorInLease)^6,IF(I123="Market",Retention*G123*D123*(1+EscalatorInLease)^(6+M123)+(1-Retention)*H123*D123*(1+GrowthMarketRent)^6*IF(INT((DATE(2026+6,10,31)-F123)/365.25)=0,(12-DowntimeNew)/12,1),IF(I123="LeaseUp",H123*D123*(1+GrowthMarketRent)^6*IF(6=0,(12-DowntimeNew)/12,1),0)))))))),0)</f>
        <v/>
      </c>
      <c r="U123" s="14">
        <f>IFERROR(IF(I123="LeaseUp",H123*D123*(1+GrowthMarketRent)^7*IF(7=0,(12-DowntimeNew)/12,1),IF(F123="",0,IF(F123&gt;=DATE(2027+7,4,30),G123*D123*(1+EscalatorInLease)^(7+M123),IF(F123&lt;DATE(2026+7,5,1),IF(I123="Vacate",H123*D123*(1+GrowthMarketRent)^7*IF(INT((DATE(2026+7,10,31)-F123)/365.25)=0,(12-DowntimeNew)/12,1),IF(I123="Option",G123*D123*1.025*(1+EscalatorInLease)^7,IF(I123="Market",Retention*G123*D123*(1+EscalatorInLease)^(7+M123)+(1-Retention)*H123*D123*(1+GrowthMarketRent)^7*IF(INT((DATE(2026+7,10,31)-F123)/365.25)=0,(12-DowntimeNew)/12,1),IF(I123="LeaseUp",H123*D123*(1+GrowthMarketRent)^7*IF(7=0,(12-DowntimeNew)/12,1),0)))),((F123-DATE(2026+7,5,1))/365.25)*G123*D123*(1+EscalatorInLease)^(7+M123)+((DATE(2027+7,4,30)-F123)/365.25)*IF(I123="Vacate",H123*D123*(1+GrowthMarketRent)^7*IF(INT((DATE(2026+7,10,31)-F123)/365.25)=0,(12-DowntimeNew)/12,1),IF(I123="Option",G123*D123*1.025*(1+EscalatorInLease)^7,IF(I123="Market",Retention*G123*D123*(1+EscalatorInLease)^(7+M123)+(1-Retention)*H123*D123*(1+GrowthMarketRent)^7*IF(INT((DATE(2026+7,10,31)-F123)/365.25)=0,(12-DowntimeNew)/12,1),IF(I123="LeaseUp",H123*D123*(1+GrowthMarketRent)^7*IF(7=0,(12-DowntimeNew)/12,1),0)))))))),0)</f>
        <v/>
      </c>
      <c r="V123" s="14">
        <f>IFERROR(IF(I123="LeaseUp",H123*D123*(1+GrowthMarketRent)^8*IF(8=0,(12-DowntimeNew)/12,1),IF(F123="",0,IF(F123&gt;=DATE(2027+8,4,30),G123*D123*(1+EscalatorInLease)^(8+M123),IF(F123&lt;DATE(2026+8,5,1),IF(I123="Vacate",H123*D123*(1+GrowthMarketRent)^8*IF(INT((DATE(2026+8,10,31)-F123)/365.25)=0,(12-DowntimeNew)/12,1),IF(I123="Option",G123*D123*1.025*(1+EscalatorInLease)^8,IF(I123="Market",Retention*G123*D123*(1+EscalatorInLease)^(8+M123)+(1-Retention)*H123*D123*(1+GrowthMarketRent)^8*IF(INT((DATE(2026+8,10,31)-F123)/365.25)=0,(12-DowntimeNew)/12,1),IF(I123="LeaseUp",H123*D123*(1+GrowthMarketRent)^8*IF(8=0,(12-DowntimeNew)/12,1),0)))),((F123-DATE(2026+8,5,1))/365.25)*G123*D123*(1+EscalatorInLease)^(8+M123)+((DATE(2027+8,4,30)-F123)/365.25)*IF(I123="Vacate",H123*D123*(1+GrowthMarketRent)^8*IF(INT((DATE(2026+8,10,31)-F123)/365.25)=0,(12-DowntimeNew)/12,1),IF(I123="Option",G123*D123*1.025*(1+EscalatorInLease)^8,IF(I123="Market",Retention*G123*D123*(1+EscalatorInLease)^(8+M123)+(1-Retention)*H123*D123*(1+GrowthMarketRent)^8*IF(INT((DATE(2026+8,10,31)-F123)/365.25)=0,(12-DowntimeNew)/12,1),IF(I123="LeaseUp",H123*D123*(1+GrowthMarketRent)^8*IF(8=0,(12-DowntimeNew)/12,1),0)))))))),0)</f>
        <v/>
      </c>
      <c r="W123" s="14">
        <f>IFERROR(IF(I123="LeaseUp",H123*D123*(1+GrowthMarketRent)^9*IF(9=0,(12-DowntimeNew)/12,1),IF(F123="",0,IF(F123&gt;=DATE(2027+9,4,30),G123*D123*(1+EscalatorInLease)^(9+M123),IF(F123&lt;DATE(2026+9,5,1),IF(I123="Vacate",H123*D123*(1+GrowthMarketRent)^9*IF(INT((DATE(2026+9,10,31)-F123)/365.25)=0,(12-DowntimeNew)/12,1),IF(I123="Option",G123*D123*1.025*(1+EscalatorInLease)^9,IF(I123="Market",Retention*G123*D123*(1+EscalatorInLease)^(9+M123)+(1-Retention)*H123*D123*(1+GrowthMarketRent)^9*IF(INT((DATE(2026+9,10,31)-F123)/365.25)=0,(12-DowntimeNew)/12,1),IF(I123="LeaseUp",H123*D123*(1+GrowthMarketRent)^9*IF(9=0,(12-DowntimeNew)/12,1),0)))),((F123-DATE(2026+9,5,1))/365.25)*G123*D123*(1+EscalatorInLease)^(9+M123)+((DATE(2027+9,4,30)-F123)/365.25)*IF(I123="Vacate",H123*D123*(1+GrowthMarketRent)^9*IF(INT((DATE(2026+9,10,31)-F123)/365.25)=0,(12-DowntimeNew)/12,1),IF(I123="Option",G123*D123*1.025*(1+EscalatorInLease)^9,IF(I123="Market",Retention*G123*D123*(1+EscalatorInLease)^(9+M123)+(1-Retention)*H123*D123*(1+GrowthMarketRent)^9*IF(INT((DATE(2026+9,10,31)-F123)/365.25)=0,(12-DowntimeNew)/12,1),IF(I123="LeaseUp",H123*D123*(1+GrowthMarketRent)^9*IF(9=0,(12-DowntimeNew)/12,1),0)))))))),0)</f>
        <v/>
      </c>
      <c r="X123" s="14">
        <f>IFERROR(IF(I123="LeaseUp",H123*D123*(1+GrowthMarketRent)^10*IF(10=0,(12-DowntimeNew)/12,1),IF(F123="",0,IF(F123&gt;=DATE(2027+10,4,30),G123*D123*(1+EscalatorInLease)^(10+M123),IF(F123&lt;DATE(2026+10,5,1),IF(I123="Vacate",H123*D123*(1+GrowthMarketRent)^10*IF(INT((DATE(2026+10,10,31)-F123)/365.25)=0,(12-DowntimeNew)/12,1),IF(I123="Option",G123*D123*1.025*(1+EscalatorInLease)^10,IF(I123="Market",Retention*G123*D123*(1+EscalatorInLease)^(10+M123)+(1-Retention)*H123*D123*(1+GrowthMarketRent)^10*IF(INT((DATE(2026+10,10,31)-F123)/365.25)=0,(12-DowntimeNew)/12,1),IF(I123="LeaseUp",H123*D123*(1+GrowthMarketRent)^10*IF(10=0,(12-DowntimeNew)/12,1),0)))),((F123-DATE(2026+10,5,1))/365.25)*G123*D123*(1+EscalatorInLease)^(10+M123)+((DATE(2027+10,4,30)-F123)/365.25)*IF(I123="Vacate",H123*D123*(1+GrowthMarketRent)^10*IF(INT((DATE(2026+10,10,31)-F123)/365.25)=0,(12-DowntimeNew)/12,1),IF(I123="Option",G123*D123*1.025*(1+EscalatorInLease)^10,IF(I123="Market",Retention*G123*D123*(1+EscalatorInLease)^(10+M123)+(1-Retention)*H123*D123*(1+GrowthMarketRent)^10*IF(INT((DATE(2026+10,10,31)-F123)/365.25)=0,(12-DowntimeNew)/12,1),IF(I123="LeaseUp",H123*D123*(1+GrowthMarketRent)^10*IF(10=0,(12-DowntimeNew)/12,1),0)))))))),0)</f>
        <v/>
      </c>
      <c r="Y123" s="14">
        <f>IFERROR(IF(AND(I123="LeaseUp",0=0),(IF(I123="Vacate",TINew*D123,IF(I123="Market",Retention*TIRenewal*D123+(1-Retention)*TINew*D123,IF(I123="LeaseUp",TINew*D123,IF(I123="Option",TIRenewal*D123,0)))))+(IF(I123="Vacate",LCNew*H123*D123*(1+GrowthMarketRent)^0,IF(I123="Market",Retention*LCRenewal*H123*D123*(1+GrowthMarketRent)^0+(1-Retention)*LCNew*H123*D123*(1+GrowthMarketRent)^0,IF(I123="LeaseUp",LCNew*H123*D123*(1+GrowthMarketRent)^0,IF(I123="Option",LCRenewal*H123*D123*(1+GrowthMarketRent)^0,0))))),IF(F123="",0,IF(AND(F123&gt;=DATE(2026+0,5,1),F123&lt;=DATE(2027+0,4,30)),(IF(I123="Vacate",TINew*D123,IF(I123="Market",Retention*TIRenewal*D123+(1-Retention)*TINew*D123,IF(I123="LeaseUp",TINew*D123,IF(I123="Option",TIRenewal*D123,0)))))+(IF(I123="Vacate",LCNew*H123*D123*(1+GrowthMarketRent)^0,IF(I123="Market",Retention*LCRenewal*H123*D123*(1+GrowthMarketRent)^0+(1-Retention)*LCNew*H123*D123*(1+GrowthMarketRent)^0,IF(I123="LeaseUp",LCNew*H123*D123*(1+GrowthMarketRent)^0,IF(I123="Option",LCRenewal*H123*D123*(1+GrowthMarketRent)^0,0))))),0))),0)</f>
        <v/>
      </c>
      <c r="Z123" s="14">
        <f>IFERROR(IF(AND(I123="LeaseUp",1=0),(IF(I123="Vacate",TINew*D123,IF(I123="Market",Retention*TIRenewal*D123+(1-Retention)*TINew*D123,IF(I123="LeaseUp",TINew*D123,IF(I123="Option",TIRenewal*D123,0)))))+(IF(I123="Vacate",LCNew*H123*D123*(1+GrowthMarketRent)^1,IF(I123="Market",Retention*LCRenewal*H123*D123*(1+GrowthMarketRent)^1+(1-Retention)*LCNew*H123*D123*(1+GrowthMarketRent)^1,IF(I123="LeaseUp",LCNew*H123*D123*(1+GrowthMarketRent)^1,IF(I123="Option",LCRenewal*H123*D123*(1+GrowthMarketRent)^1,0))))),IF(F123="",0,IF(AND(F123&gt;=DATE(2026+1,5,1),F123&lt;=DATE(2027+1,4,30)),(IF(I123="Vacate",TINew*D123,IF(I123="Market",Retention*TIRenewal*D123+(1-Retention)*TINew*D123,IF(I123="LeaseUp",TINew*D123,IF(I123="Option",TIRenewal*D123,0)))))+(IF(I123="Vacate",LCNew*H123*D123*(1+GrowthMarketRent)^1,IF(I123="Market",Retention*LCRenewal*H123*D123*(1+GrowthMarketRent)^1+(1-Retention)*LCNew*H123*D123*(1+GrowthMarketRent)^1,IF(I123="LeaseUp",LCNew*H123*D123*(1+GrowthMarketRent)^1,IF(I123="Option",LCRenewal*H123*D123*(1+GrowthMarketRent)^1,0))))),0))),0)</f>
        <v/>
      </c>
      <c r="AA123" s="14">
        <f>IFERROR(IF(AND(I123="LeaseUp",2=0),(IF(I123="Vacate",TINew*D123,IF(I123="Market",Retention*TIRenewal*D123+(1-Retention)*TINew*D123,IF(I123="LeaseUp",TINew*D123,IF(I123="Option",TIRenewal*D123,0)))))+(IF(I123="Vacate",LCNew*H123*D123*(1+GrowthMarketRent)^2,IF(I123="Market",Retention*LCRenewal*H123*D123*(1+GrowthMarketRent)^2+(1-Retention)*LCNew*H123*D123*(1+GrowthMarketRent)^2,IF(I123="LeaseUp",LCNew*H123*D123*(1+GrowthMarketRent)^2,IF(I123="Option",LCRenewal*H123*D123*(1+GrowthMarketRent)^2,0))))),IF(F123="",0,IF(AND(F123&gt;=DATE(2026+2,5,1),F123&lt;=DATE(2027+2,4,30)),(IF(I123="Vacate",TINew*D123,IF(I123="Market",Retention*TIRenewal*D123+(1-Retention)*TINew*D123,IF(I123="LeaseUp",TINew*D123,IF(I123="Option",TIRenewal*D123,0)))))+(IF(I123="Vacate",LCNew*H123*D123*(1+GrowthMarketRent)^2,IF(I123="Market",Retention*LCRenewal*H123*D123*(1+GrowthMarketRent)^2+(1-Retention)*LCNew*H123*D123*(1+GrowthMarketRent)^2,IF(I123="LeaseUp",LCNew*H123*D123*(1+GrowthMarketRent)^2,IF(I123="Option",LCRenewal*H123*D123*(1+GrowthMarketRent)^2,0))))),0))),0)</f>
        <v/>
      </c>
      <c r="AB123" s="14">
        <f>IFERROR(IF(AND(I123="LeaseUp",3=0),(IF(I123="Vacate",TINew*D123,IF(I123="Market",Retention*TIRenewal*D123+(1-Retention)*TINew*D123,IF(I123="LeaseUp",TINew*D123,IF(I123="Option",TIRenewal*D123,0)))))+(IF(I123="Vacate",LCNew*H123*D123*(1+GrowthMarketRent)^3,IF(I123="Market",Retention*LCRenewal*H123*D123*(1+GrowthMarketRent)^3+(1-Retention)*LCNew*H123*D123*(1+GrowthMarketRent)^3,IF(I123="LeaseUp",LCNew*H123*D123*(1+GrowthMarketRent)^3,IF(I123="Option",LCRenewal*H123*D123*(1+GrowthMarketRent)^3,0))))),IF(F123="",0,IF(AND(F123&gt;=DATE(2026+3,5,1),F123&lt;=DATE(2027+3,4,30)),(IF(I123="Vacate",TINew*D123,IF(I123="Market",Retention*TIRenewal*D123+(1-Retention)*TINew*D123,IF(I123="LeaseUp",TINew*D123,IF(I123="Option",TIRenewal*D123,0)))))+(IF(I123="Vacate",LCNew*H123*D123*(1+GrowthMarketRent)^3,IF(I123="Market",Retention*LCRenewal*H123*D123*(1+GrowthMarketRent)^3+(1-Retention)*LCNew*H123*D123*(1+GrowthMarketRent)^3,IF(I123="LeaseUp",LCNew*H123*D123*(1+GrowthMarketRent)^3,IF(I123="Option",LCRenewal*H123*D123*(1+GrowthMarketRent)^3,0))))),0))),0)</f>
        <v/>
      </c>
      <c r="AC123" s="14">
        <f>IFERROR(IF(AND(I123="LeaseUp",4=0),(IF(I123="Vacate",TINew*D123,IF(I123="Market",Retention*TIRenewal*D123+(1-Retention)*TINew*D123,IF(I123="LeaseUp",TINew*D123,IF(I123="Option",TIRenewal*D123,0)))))+(IF(I123="Vacate",LCNew*H123*D123*(1+GrowthMarketRent)^4,IF(I123="Market",Retention*LCRenewal*H123*D123*(1+GrowthMarketRent)^4+(1-Retention)*LCNew*H123*D123*(1+GrowthMarketRent)^4,IF(I123="LeaseUp",LCNew*H123*D123*(1+GrowthMarketRent)^4,IF(I123="Option",LCRenewal*H123*D123*(1+GrowthMarketRent)^4,0))))),IF(F123="",0,IF(AND(F123&gt;=DATE(2026+4,5,1),F123&lt;=DATE(2027+4,4,30)),(IF(I123="Vacate",TINew*D123,IF(I123="Market",Retention*TIRenewal*D123+(1-Retention)*TINew*D123,IF(I123="LeaseUp",TINew*D123,IF(I123="Option",TIRenewal*D123,0)))))+(IF(I123="Vacate",LCNew*H123*D123*(1+GrowthMarketRent)^4,IF(I123="Market",Retention*LCRenewal*H123*D123*(1+GrowthMarketRent)^4+(1-Retention)*LCNew*H123*D123*(1+GrowthMarketRent)^4,IF(I123="LeaseUp",LCNew*H123*D123*(1+GrowthMarketRent)^4,IF(I123="Option",LCRenewal*H123*D123*(1+GrowthMarketRent)^4,0))))),0))),0)</f>
        <v/>
      </c>
      <c r="AD123" s="14">
        <f>IFERROR(IF(AND(I123="LeaseUp",5=0),(IF(I123="Vacate",TINew*D123,IF(I123="Market",Retention*TIRenewal*D123+(1-Retention)*TINew*D123,IF(I123="LeaseUp",TINew*D123,IF(I123="Option",TIRenewal*D123,0)))))+(IF(I123="Vacate",LCNew*H123*D123*(1+GrowthMarketRent)^5,IF(I123="Market",Retention*LCRenewal*H123*D123*(1+GrowthMarketRent)^5+(1-Retention)*LCNew*H123*D123*(1+GrowthMarketRent)^5,IF(I123="LeaseUp",LCNew*H123*D123*(1+GrowthMarketRent)^5,IF(I123="Option",LCRenewal*H123*D123*(1+GrowthMarketRent)^5,0))))),IF(F123="",0,IF(AND(F123&gt;=DATE(2026+5,5,1),F123&lt;=DATE(2027+5,4,30)),(IF(I123="Vacate",TINew*D123,IF(I123="Market",Retention*TIRenewal*D123+(1-Retention)*TINew*D123,IF(I123="LeaseUp",TINew*D123,IF(I123="Option",TIRenewal*D123,0)))))+(IF(I123="Vacate",LCNew*H123*D123*(1+GrowthMarketRent)^5,IF(I123="Market",Retention*LCRenewal*H123*D123*(1+GrowthMarketRent)^5+(1-Retention)*LCNew*H123*D123*(1+GrowthMarketRent)^5,IF(I123="LeaseUp",LCNew*H123*D123*(1+GrowthMarketRent)^5,IF(I123="Option",LCRenewal*H123*D123*(1+GrowthMarketRent)^5,0))))),0))),0)</f>
        <v/>
      </c>
      <c r="AE123" s="14">
        <f>IFERROR(IF(AND(I123="LeaseUp",6=0),(IF(I123="Vacate",TINew*D123,IF(I123="Market",Retention*TIRenewal*D123+(1-Retention)*TINew*D123,IF(I123="LeaseUp",TINew*D123,IF(I123="Option",TIRenewal*D123,0)))))+(IF(I123="Vacate",LCNew*H123*D123*(1+GrowthMarketRent)^6,IF(I123="Market",Retention*LCRenewal*H123*D123*(1+GrowthMarketRent)^6+(1-Retention)*LCNew*H123*D123*(1+GrowthMarketRent)^6,IF(I123="LeaseUp",LCNew*H123*D123*(1+GrowthMarketRent)^6,IF(I123="Option",LCRenewal*H123*D123*(1+GrowthMarketRent)^6,0))))),IF(F123="",0,IF(AND(F123&gt;=DATE(2026+6,5,1),F123&lt;=DATE(2027+6,4,30)),(IF(I123="Vacate",TINew*D123,IF(I123="Market",Retention*TIRenewal*D123+(1-Retention)*TINew*D123,IF(I123="LeaseUp",TINew*D123,IF(I123="Option",TIRenewal*D123,0)))))+(IF(I123="Vacate",LCNew*H123*D123*(1+GrowthMarketRent)^6,IF(I123="Market",Retention*LCRenewal*H123*D123*(1+GrowthMarketRent)^6+(1-Retention)*LCNew*H123*D123*(1+GrowthMarketRent)^6,IF(I123="LeaseUp",LCNew*H123*D123*(1+GrowthMarketRent)^6,IF(I123="Option",LCRenewal*H123*D123*(1+GrowthMarketRent)^6,0))))),0))),0)</f>
        <v/>
      </c>
      <c r="AF123" s="14">
        <f>IFERROR(IF(AND(I123="LeaseUp",7=0),(IF(I123="Vacate",TINew*D123,IF(I123="Market",Retention*TIRenewal*D123+(1-Retention)*TINew*D123,IF(I123="LeaseUp",TINew*D123,IF(I123="Option",TIRenewal*D123,0)))))+(IF(I123="Vacate",LCNew*H123*D123*(1+GrowthMarketRent)^7,IF(I123="Market",Retention*LCRenewal*H123*D123*(1+GrowthMarketRent)^7+(1-Retention)*LCNew*H123*D123*(1+GrowthMarketRent)^7,IF(I123="LeaseUp",LCNew*H123*D123*(1+GrowthMarketRent)^7,IF(I123="Option",LCRenewal*H123*D123*(1+GrowthMarketRent)^7,0))))),IF(F123="",0,IF(AND(F123&gt;=DATE(2026+7,5,1),F123&lt;=DATE(2027+7,4,30)),(IF(I123="Vacate",TINew*D123,IF(I123="Market",Retention*TIRenewal*D123+(1-Retention)*TINew*D123,IF(I123="LeaseUp",TINew*D123,IF(I123="Option",TIRenewal*D123,0)))))+(IF(I123="Vacate",LCNew*H123*D123*(1+GrowthMarketRent)^7,IF(I123="Market",Retention*LCRenewal*H123*D123*(1+GrowthMarketRent)^7+(1-Retention)*LCNew*H123*D123*(1+GrowthMarketRent)^7,IF(I123="LeaseUp",LCNew*H123*D123*(1+GrowthMarketRent)^7,IF(I123="Option",LCRenewal*H123*D123*(1+GrowthMarketRent)^7,0))))),0))),0)</f>
        <v/>
      </c>
      <c r="AG123" s="14">
        <f>IFERROR(IF(AND(I123="LeaseUp",8=0),(IF(I123="Vacate",TINew*D123,IF(I123="Market",Retention*TIRenewal*D123+(1-Retention)*TINew*D123,IF(I123="LeaseUp",TINew*D123,IF(I123="Option",TIRenewal*D123,0)))))+(IF(I123="Vacate",LCNew*H123*D123*(1+GrowthMarketRent)^8,IF(I123="Market",Retention*LCRenewal*H123*D123*(1+GrowthMarketRent)^8+(1-Retention)*LCNew*H123*D123*(1+GrowthMarketRent)^8,IF(I123="LeaseUp",LCNew*H123*D123*(1+GrowthMarketRent)^8,IF(I123="Option",LCRenewal*H123*D123*(1+GrowthMarketRent)^8,0))))),IF(F123="",0,IF(AND(F123&gt;=DATE(2026+8,5,1),F123&lt;=DATE(2027+8,4,30)),(IF(I123="Vacate",TINew*D123,IF(I123="Market",Retention*TIRenewal*D123+(1-Retention)*TINew*D123,IF(I123="LeaseUp",TINew*D123,IF(I123="Option",TIRenewal*D123,0)))))+(IF(I123="Vacate",LCNew*H123*D123*(1+GrowthMarketRent)^8,IF(I123="Market",Retention*LCRenewal*H123*D123*(1+GrowthMarketRent)^8+(1-Retention)*LCNew*H123*D123*(1+GrowthMarketRent)^8,IF(I123="LeaseUp",LCNew*H123*D123*(1+GrowthMarketRent)^8,IF(I123="Option",LCRenewal*H123*D123*(1+GrowthMarketRent)^8,0))))),0))),0)</f>
        <v/>
      </c>
      <c r="AH123" s="14">
        <f>IFERROR(IF(AND(I123="LeaseUp",9=0),(IF(I123="Vacate",TINew*D123,IF(I123="Market",Retention*TIRenewal*D123+(1-Retention)*TINew*D123,IF(I123="LeaseUp",TINew*D123,IF(I123="Option",TIRenewal*D123,0)))))+(IF(I123="Vacate",LCNew*H123*D123*(1+GrowthMarketRent)^9,IF(I123="Market",Retention*LCRenewal*H123*D123*(1+GrowthMarketRent)^9+(1-Retention)*LCNew*H123*D123*(1+GrowthMarketRent)^9,IF(I123="LeaseUp",LCNew*H123*D123*(1+GrowthMarketRent)^9,IF(I123="Option",LCRenewal*H123*D123*(1+GrowthMarketRent)^9,0))))),IF(F123="",0,IF(AND(F123&gt;=DATE(2026+9,5,1),F123&lt;=DATE(2027+9,4,30)),(IF(I123="Vacate",TINew*D123,IF(I123="Market",Retention*TIRenewal*D123+(1-Retention)*TINew*D123,IF(I123="LeaseUp",TINew*D123,IF(I123="Option",TIRenewal*D123,0)))))+(IF(I123="Vacate",LCNew*H123*D123*(1+GrowthMarketRent)^9,IF(I123="Market",Retention*LCRenewal*H123*D123*(1+GrowthMarketRent)^9+(1-Retention)*LCNew*H123*D123*(1+GrowthMarketRent)^9,IF(I123="LeaseUp",LCNew*H123*D123*(1+GrowthMarketRent)^9,IF(I123="Option",LCRenewal*H123*D123*(1+GrowthMarketRent)^9,0))))),0))),0)</f>
        <v/>
      </c>
      <c r="AI123" s="14">
        <f>IFERROR(IF(AND(I123="LeaseUp",10=0),(IF(I123="Vacate",TINew*D123,IF(I123="Market",Retention*TIRenewal*D123+(1-Retention)*TINew*D123,IF(I123="LeaseUp",TINew*D123,IF(I123="Option",TIRenewal*D123,0)))))+(IF(I123="Vacate",LCNew*H123*D123*(1+GrowthMarketRent)^10,IF(I123="Market",Retention*LCRenewal*H123*D123*(1+GrowthMarketRent)^10+(1-Retention)*LCNew*H123*D123*(1+GrowthMarketRent)^10,IF(I123="LeaseUp",LCNew*H123*D123*(1+GrowthMarketRent)^10,IF(I123="Option",LCRenewal*H123*D123*(1+GrowthMarketRent)^10,0))))),IF(F123="",0,IF(AND(F123&gt;=DATE(2026+10,5,1),F123&lt;=DATE(2027+10,4,30)),(IF(I123="Vacate",TINew*D123,IF(I123="Market",Retention*TIRenewal*D123+(1-Retention)*TINew*D123,IF(I123="LeaseUp",TINew*D123,IF(I123="Option",TIRenewal*D123,0)))))+(IF(I123="Vacate",LCNew*H123*D123*(1+GrowthMarketRent)^10,IF(I123="Market",Retention*LCRenewal*H123*D123*(1+GrowthMarketRent)^10+(1-Retention)*LCNew*H123*D123*(1+GrowthMarketRent)^10,IF(I123="LeaseUp",LCNew*H123*D123*(1+GrowthMarketRent)^10,IF(I123="Option",LCRenewal*H123*D123*(1+GrowthMarketRent)^10,0))))),0))),0)</f>
        <v/>
      </c>
    </row>
    <row r="124">
      <c r="A124" t="inlineStr">
        <is>
          <t>Roanoke</t>
        </is>
      </c>
      <c r="B124" t="inlineStr">
        <is>
          <t>108B</t>
        </is>
      </c>
      <c r="C124" t="inlineStr">
        <is>
          <t>VACANT</t>
        </is>
      </c>
      <c r="D124" s="32" t="n">
        <v>3050</v>
      </c>
      <c r="E124" s="33" t="n">
        <v>44958</v>
      </c>
      <c r="F124" s="33" t="n">
        <v>46204</v>
      </c>
      <c r="G124" s="34" t="n">
        <v>0</v>
      </c>
      <c r="H124" s="16">
        <f>VLOOKUP(A124,MLA!$A$5:$L$11,3,FALSE)</f>
        <v/>
      </c>
      <c r="I124" s="11" t="inlineStr">
        <is>
          <t>LeaseUp</t>
        </is>
      </c>
      <c r="J124" t="inlineStr">
        <is>
          <t>Shop</t>
        </is>
      </c>
      <c r="K124" t="inlineStr">
        <is>
          <t>Vacant</t>
        </is>
      </c>
      <c r="L124" t="inlineStr">
        <is>
          <t>Shop; future lease-up Aug-2026</t>
        </is>
      </c>
      <c r="M124" s="20">
        <f>IF(E124="",0,(AnalysisStart-E124)/365.25)</f>
        <v/>
      </c>
      <c r="N124" s="14">
        <f>IFERROR(IF(I124="LeaseUp",H124*D124*(1+GrowthMarketRent)^0*IF(0=0,(12-DowntimeNew)/12,1),IF(F124="",0,IF(F124&gt;=DATE(2027+0,4,30),G124*D124*(1+EscalatorInLease)^(0+M124),IF(F124&lt;DATE(2026+0,5,1),IF(I124="Vacate",H124*D124*(1+GrowthMarketRent)^0*IF(INT((DATE(2026+0,10,31)-F124)/365.25)=0,(12-DowntimeNew)/12,1),IF(I124="Option",G124*D124*1.025*(1+EscalatorInLease)^0,IF(I124="Market",Retention*G124*D124*(1+EscalatorInLease)^(0+M124)+(1-Retention)*H124*D124*(1+GrowthMarketRent)^0*IF(INT((DATE(2026+0,10,31)-F124)/365.25)=0,(12-DowntimeNew)/12,1),IF(I124="LeaseUp",H124*D124*(1+GrowthMarketRent)^0*IF(0=0,(12-DowntimeNew)/12,1),0)))),((F124-DATE(2026+0,5,1))/365.25)*G124*D124*(1+EscalatorInLease)^(0+M124)+((DATE(2027+0,4,30)-F124)/365.25)*IF(I124="Vacate",H124*D124*(1+GrowthMarketRent)^0*IF(INT((DATE(2026+0,10,31)-F124)/365.25)=0,(12-DowntimeNew)/12,1),IF(I124="Option",G124*D124*1.025*(1+EscalatorInLease)^0,IF(I124="Market",Retention*G124*D124*(1+EscalatorInLease)^(0+M124)+(1-Retention)*H124*D124*(1+GrowthMarketRent)^0*IF(INT((DATE(2026+0,10,31)-F124)/365.25)=0,(12-DowntimeNew)/12,1),IF(I124="LeaseUp",H124*D124*(1+GrowthMarketRent)^0*IF(0=0,(12-DowntimeNew)/12,1),0)))))))),0)</f>
        <v/>
      </c>
      <c r="O124" s="14">
        <f>IFERROR(IF(I124="LeaseUp",H124*D124*(1+GrowthMarketRent)^1*IF(1=0,(12-DowntimeNew)/12,1),IF(F124="",0,IF(F124&gt;=DATE(2027+1,4,30),G124*D124*(1+EscalatorInLease)^(1+M124),IF(F124&lt;DATE(2026+1,5,1),IF(I124="Vacate",H124*D124*(1+GrowthMarketRent)^1*IF(INT((DATE(2026+1,10,31)-F124)/365.25)=0,(12-DowntimeNew)/12,1),IF(I124="Option",G124*D124*1.025*(1+EscalatorInLease)^1,IF(I124="Market",Retention*G124*D124*(1+EscalatorInLease)^(1+M124)+(1-Retention)*H124*D124*(1+GrowthMarketRent)^1*IF(INT((DATE(2026+1,10,31)-F124)/365.25)=0,(12-DowntimeNew)/12,1),IF(I124="LeaseUp",H124*D124*(1+GrowthMarketRent)^1*IF(1=0,(12-DowntimeNew)/12,1),0)))),((F124-DATE(2026+1,5,1))/365.25)*G124*D124*(1+EscalatorInLease)^(1+M124)+((DATE(2027+1,4,30)-F124)/365.25)*IF(I124="Vacate",H124*D124*(1+GrowthMarketRent)^1*IF(INT((DATE(2026+1,10,31)-F124)/365.25)=0,(12-DowntimeNew)/12,1),IF(I124="Option",G124*D124*1.025*(1+EscalatorInLease)^1,IF(I124="Market",Retention*G124*D124*(1+EscalatorInLease)^(1+M124)+(1-Retention)*H124*D124*(1+GrowthMarketRent)^1*IF(INT((DATE(2026+1,10,31)-F124)/365.25)=0,(12-DowntimeNew)/12,1),IF(I124="LeaseUp",H124*D124*(1+GrowthMarketRent)^1*IF(1=0,(12-DowntimeNew)/12,1),0)))))))),0)</f>
        <v/>
      </c>
      <c r="P124" s="14">
        <f>IFERROR(IF(I124="LeaseUp",H124*D124*(1+GrowthMarketRent)^2*IF(2=0,(12-DowntimeNew)/12,1),IF(F124="",0,IF(F124&gt;=DATE(2027+2,4,30),G124*D124*(1+EscalatorInLease)^(2+M124),IF(F124&lt;DATE(2026+2,5,1),IF(I124="Vacate",H124*D124*(1+GrowthMarketRent)^2*IF(INT((DATE(2026+2,10,31)-F124)/365.25)=0,(12-DowntimeNew)/12,1),IF(I124="Option",G124*D124*1.025*(1+EscalatorInLease)^2,IF(I124="Market",Retention*G124*D124*(1+EscalatorInLease)^(2+M124)+(1-Retention)*H124*D124*(1+GrowthMarketRent)^2*IF(INT((DATE(2026+2,10,31)-F124)/365.25)=0,(12-DowntimeNew)/12,1),IF(I124="LeaseUp",H124*D124*(1+GrowthMarketRent)^2*IF(2=0,(12-DowntimeNew)/12,1),0)))),((F124-DATE(2026+2,5,1))/365.25)*G124*D124*(1+EscalatorInLease)^(2+M124)+((DATE(2027+2,4,30)-F124)/365.25)*IF(I124="Vacate",H124*D124*(1+GrowthMarketRent)^2*IF(INT((DATE(2026+2,10,31)-F124)/365.25)=0,(12-DowntimeNew)/12,1),IF(I124="Option",G124*D124*1.025*(1+EscalatorInLease)^2,IF(I124="Market",Retention*G124*D124*(1+EscalatorInLease)^(2+M124)+(1-Retention)*H124*D124*(1+GrowthMarketRent)^2*IF(INT((DATE(2026+2,10,31)-F124)/365.25)=0,(12-DowntimeNew)/12,1),IF(I124="LeaseUp",H124*D124*(1+GrowthMarketRent)^2*IF(2=0,(12-DowntimeNew)/12,1),0)))))))),0)</f>
        <v/>
      </c>
      <c r="Q124" s="14">
        <f>IFERROR(IF(I124="LeaseUp",H124*D124*(1+GrowthMarketRent)^3*IF(3=0,(12-DowntimeNew)/12,1),IF(F124="",0,IF(F124&gt;=DATE(2027+3,4,30),G124*D124*(1+EscalatorInLease)^(3+M124),IF(F124&lt;DATE(2026+3,5,1),IF(I124="Vacate",H124*D124*(1+GrowthMarketRent)^3*IF(INT((DATE(2026+3,10,31)-F124)/365.25)=0,(12-DowntimeNew)/12,1),IF(I124="Option",G124*D124*1.025*(1+EscalatorInLease)^3,IF(I124="Market",Retention*G124*D124*(1+EscalatorInLease)^(3+M124)+(1-Retention)*H124*D124*(1+GrowthMarketRent)^3*IF(INT((DATE(2026+3,10,31)-F124)/365.25)=0,(12-DowntimeNew)/12,1),IF(I124="LeaseUp",H124*D124*(1+GrowthMarketRent)^3*IF(3=0,(12-DowntimeNew)/12,1),0)))),((F124-DATE(2026+3,5,1))/365.25)*G124*D124*(1+EscalatorInLease)^(3+M124)+((DATE(2027+3,4,30)-F124)/365.25)*IF(I124="Vacate",H124*D124*(1+GrowthMarketRent)^3*IF(INT((DATE(2026+3,10,31)-F124)/365.25)=0,(12-DowntimeNew)/12,1),IF(I124="Option",G124*D124*1.025*(1+EscalatorInLease)^3,IF(I124="Market",Retention*G124*D124*(1+EscalatorInLease)^(3+M124)+(1-Retention)*H124*D124*(1+GrowthMarketRent)^3*IF(INT((DATE(2026+3,10,31)-F124)/365.25)=0,(12-DowntimeNew)/12,1),IF(I124="LeaseUp",H124*D124*(1+GrowthMarketRent)^3*IF(3=0,(12-DowntimeNew)/12,1),0)))))))),0)</f>
        <v/>
      </c>
      <c r="R124" s="14">
        <f>IFERROR(IF(I124="LeaseUp",H124*D124*(1+GrowthMarketRent)^4*IF(4=0,(12-DowntimeNew)/12,1),IF(F124="",0,IF(F124&gt;=DATE(2027+4,4,30),G124*D124*(1+EscalatorInLease)^(4+M124),IF(F124&lt;DATE(2026+4,5,1),IF(I124="Vacate",H124*D124*(1+GrowthMarketRent)^4*IF(INT((DATE(2026+4,10,31)-F124)/365.25)=0,(12-DowntimeNew)/12,1),IF(I124="Option",G124*D124*1.025*(1+EscalatorInLease)^4,IF(I124="Market",Retention*G124*D124*(1+EscalatorInLease)^(4+M124)+(1-Retention)*H124*D124*(1+GrowthMarketRent)^4*IF(INT((DATE(2026+4,10,31)-F124)/365.25)=0,(12-DowntimeNew)/12,1),IF(I124="LeaseUp",H124*D124*(1+GrowthMarketRent)^4*IF(4=0,(12-DowntimeNew)/12,1),0)))),((F124-DATE(2026+4,5,1))/365.25)*G124*D124*(1+EscalatorInLease)^(4+M124)+((DATE(2027+4,4,30)-F124)/365.25)*IF(I124="Vacate",H124*D124*(1+GrowthMarketRent)^4*IF(INT((DATE(2026+4,10,31)-F124)/365.25)=0,(12-DowntimeNew)/12,1),IF(I124="Option",G124*D124*1.025*(1+EscalatorInLease)^4,IF(I124="Market",Retention*G124*D124*(1+EscalatorInLease)^(4+M124)+(1-Retention)*H124*D124*(1+GrowthMarketRent)^4*IF(INT((DATE(2026+4,10,31)-F124)/365.25)=0,(12-DowntimeNew)/12,1),IF(I124="LeaseUp",H124*D124*(1+GrowthMarketRent)^4*IF(4=0,(12-DowntimeNew)/12,1),0)))))))),0)</f>
        <v/>
      </c>
      <c r="S124" s="14">
        <f>IFERROR(IF(I124="LeaseUp",H124*D124*(1+GrowthMarketRent)^5*IF(5=0,(12-DowntimeNew)/12,1),IF(F124="",0,IF(F124&gt;=DATE(2027+5,4,30),G124*D124*(1+EscalatorInLease)^(5+M124),IF(F124&lt;DATE(2026+5,5,1),IF(I124="Vacate",H124*D124*(1+GrowthMarketRent)^5*IF(INT((DATE(2026+5,10,31)-F124)/365.25)=0,(12-DowntimeNew)/12,1),IF(I124="Option",G124*D124*1.025*(1+EscalatorInLease)^5,IF(I124="Market",Retention*G124*D124*(1+EscalatorInLease)^(5+M124)+(1-Retention)*H124*D124*(1+GrowthMarketRent)^5*IF(INT((DATE(2026+5,10,31)-F124)/365.25)=0,(12-DowntimeNew)/12,1),IF(I124="LeaseUp",H124*D124*(1+GrowthMarketRent)^5*IF(5=0,(12-DowntimeNew)/12,1),0)))),((F124-DATE(2026+5,5,1))/365.25)*G124*D124*(1+EscalatorInLease)^(5+M124)+((DATE(2027+5,4,30)-F124)/365.25)*IF(I124="Vacate",H124*D124*(1+GrowthMarketRent)^5*IF(INT((DATE(2026+5,10,31)-F124)/365.25)=0,(12-DowntimeNew)/12,1),IF(I124="Option",G124*D124*1.025*(1+EscalatorInLease)^5,IF(I124="Market",Retention*G124*D124*(1+EscalatorInLease)^(5+M124)+(1-Retention)*H124*D124*(1+GrowthMarketRent)^5*IF(INT((DATE(2026+5,10,31)-F124)/365.25)=0,(12-DowntimeNew)/12,1),IF(I124="LeaseUp",H124*D124*(1+GrowthMarketRent)^5*IF(5=0,(12-DowntimeNew)/12,1),0)))))))),0)</f>
        <v/>
      </c>
      <c r="T124" s="14">
        <f>IFERROR(IF(I124="LeaseUp",H124*D124*(1+GrowthMarketRent)^6*IF(6=0,(12-DowntimeNew)/12,1),IF(F124="",0,IF(F124&gt;=DATE(2027+6,4,30),G124*D124*(1+EscalatorInLease)^(6+M124),IF(F124&lt;DATE(2026+6,5,1),IF(I124="Vacate",H124*D124*(1+GrowthMarketRent)^6*IF(INT((DATE(2026+6,10,31)-F124)/365.25)=0,(12-DowntimeNew)/12,1),IF(I124="Option",G124*D124*1.025*(1+EscalatorInLease)^6,IF(I124="Market",Retention*G124*D124*(1+EscalatorInLease)^(6+M124)+(1-Retention)*H124*D124*(1+GrowthMarketRent)^6*IF(INT((DATE(2026+6,10,31)-F124)/365.25)=0,(12-DowntimeNew)/12,1),IF(I124="LeaseUp",H124*D124*(1+GrowthMarketRent)^6*IF(6=0,(12-DowntimeNew)/12,1),0)))),((F124-DATE(2026+6,5,1))/365.25)*G124*D124*(1+EscalatorInLease)^(6+M124)+((DATE(2027+6,4,30)-F124)/365.25)*IF(I124="Vacate",H124*D124*(1+GrowthMarketRent)^6*IF(INT((DATE(2026+6,10,31)-F124)/365.25)=0,(12-DowntimeNew)/12,1),IF(I124="Option",G124*D124*1.025*(1+EscalatorInLease)^6,IF(I124="Market",Retention*G124*D124*(1+EscalatorInLease)^(6+M124)+(1-Retention)*H124*D124*(1+GrowthMarketRent)^6*IF(INT((DATE(2026+6,10,31)-F124)/365.25)=0,(12-DowntimeNew)/12,1),IF(I124="LeaseUp",H124*D124*(1+GrowthMarketRent)^6*IF(6=0,(12-DowntimeNew)/12,1),0)))))))),0)</f>
        <v/>
      </c>
      <c r="U124" s="14">
        <f>IFERROR(IF(I124="LeaseUp",H124*D124*(1+GrowthMarketRent)^7*IF(7=0,(12-DowntimeNew)/12,1),IF(F124="",0,IF(F124&gt;=DATE(2027+7,4,30),G124*D124*(1+EscalatorInLease)^(7+M124),IF(F124&lt;DATE(2026+7,5,1),IF(I124="Vacate",H124*D124*(1+GrowthMarketRent)^7*IF(INT((DATE(2026+7,10,31)-F124)/365.25)=0,(12-DowntimeNew)/12,1),IF(I124="Option",G124*D124*1.025*(1+EscalatorInLease)^7,IF(I124="Market",Retention*G124*D124*(1+EscalatorInLease)^(7+M124)+(1-Retention)*H124*D124*(1+GrowthMarketRent)^7*IF(INT((DATE(2026+7,10,31)-F124)/365.25)=0,(12-DowntimeNew)/12,1),IF(I124="LeaseUp",H124*D124*(1+GrowthMarketRent)^7*IF(7=0,(12-DowntimeNew)/12,1),0)))),((F124-DATE(2026+7,5,1))/365.25)*G124*D124*(1+EscalatorInLease)^(7+M124)+((DATE(2027+7,4,30)-F124)/365.25)*IF(I124="Vacate",H124*D124*(1+GrowthMarketRent)^7*IF(INT((DATE(2026+7,10,31)-F124)/365.25)=0,(12-DowntimeNew)/12,1),IF(I124="Option",G124*D124*1.025*(1+EscalatorInLease)^7,IF(I124="Market",Retention*G124*D124*(1+EscalatorInLease)^(7+M124)+(1-Retention)*H124*D124*(1+GrowthMarketRent)^7*IF(INT((DATE(2026+7,10,31)-F124)/365.25)=0,(12-DowntimeNew)/12,1),IF(I124="LeaseUp",H124*D124*(1+GrowthMarketRent)^7*IF(7=0,(12-DowntimeNew)/12,1),0)))))))),0)</f>
        <v/>
      </c>
      <c r="V124" s="14">
        <f>IFERROR(IF(I124="LeaseUp",H124*D124*(1+GrowthMarketRent)^8*IF(8=0,(12-DowntimeNew)/12,1),IF(F124="",0,IF(F124&gt;=DATE(2027+8,4,30),G124*D124*(1+EscalatorInLease)^(8+M124),IF(F124&lt;DATE(2026+8,5,1),IF(I124="Vacate",H124*D124*(1+GrowthMarketRent)^8*IF(INT((DATE(2026+8,10,31)-F124)/365.25)=0,(12-DowntimeNew)/12,1),IF(I124="Option",G124*D124*1.025*(1+EscalatorInLease)^8,IF(I124="Market",Retention*G124*D124*(1+EscalatorInLease)^(8+M124)+(1-Retention)*H124*D124*(1+GrowthMarketRent)^8*IF(INT((DATE(2026+8,10,31)-F124)/365.25)=0,(12-DowntimeNew)/12,1),IF(I124="LeaseUp",H124*D124*(1+GrowthMarketRent)^8*IF(8=0,(12-DowntimeNew)/12,1),0)))),((F124-DATE(2026+8,5,1))/365.25)*G124*D124*(1+EscalatorInLease)^(8+M124)+((DATE(2027+8,4,30)-F124)/365.25)*IF(I124="Vacate",H124*D124*(1+GrowthMarketRent)^8*IF(INT((DATE(2026+8,10,31)-F124)/365.25)=0,(12-DowntimeNew)/12,1),IF(I124="Option",G124*D124*1.025*(1+EscalatorInLease)^8,IF(I124="Market",Retention*G124*D124*(1+EscalatorInLease)^(8+M124)+(1-Retention)*H124*D124*(1+GrowthMarketRent)^8*IF(INT((DATE(2026+8,10,31)-F124)/365.25)=0,(12-DowntimeNew)/12,1),IF(I124="LeaseUp",H124*D124*(1+GrowthMarketRent)^8*IF(8=0,(12-DowntimeNew)/12,1),0)))))))),0)</f>
        <v/>
      </c>
      <c r="W124" s="14">
        <f>IFERROR(IF(I124="LeaseUp",H124*D124*(1+GrowthMarketRent)^9*IF(9=0,(12-DowntimeNew)/12,1),IF(F124="",0,IF(F124&gt;=DATE(2027+9,4,30),G124*D124*(1+EscalatorInLease)^(9+M124),IF(F124&lt;DATE(2026+9,5,1),IF(I124="Vacate",H124*D124*(1+GrowthMarketRent)^9*IF(INT((DATE(2026+9,10,31)-F124)/365.25)=0,(12-DowntimeNew)/12,1),IF(I124="Option",G124*D124*1.025*(1+EscalatorInLease)^9,IF(I124="Market",Retention*G124*D124*(1+EscalatorInLease)^(9+M124)+(1-Retention)*H124*D124*(1+GrowthMarketRent)^9*IF(INT((DATE(2026+9,10,31)-F124)/365.25)=0,(12-DowntimeNew)/12,1),IF(I124="LeaseUp",H124*D124*(1+GrowthMarketRent)^9*IF(9=0,(12-DowntimeNew)/12,1),0)))),((F124-DATE(2026+9,5,1))/365.25)*G124*D124*(1+EscalatorInLease)^(9+M124)+((DATE(2027+9,4,30)-F124)/365.25)*IF(I124="Vacate",H124*D124*(1+GrowthMarketRent)^9*IF(INT((DATE(2026+9,10,31)-F124)/365.25)=0,(12-DowntimeNew)/12,1),IF(I124="Option",G124*D124*1.025*(1+EscalatorInLease)^9,IF(I124="Market",Retention*G124*D124*(1+EscalatorInLease)^(9+M124)+(1-Retention)*H124*D124*(1+GrowthMarketRent)^9*IF(INT((DATE(2026+9,10,31)-F124)/365.25)=0,(12-DowntimeNew)/12,1),IF(I124="LeaseUp",H124*D124*(1+GrowthMarketRent)^9*IF(9=0,(12-DowntimeNew)/12,1),0)))))))),0)</f>
        <v/>
      </c>
      <c r="X124" s="14">
        <f>IFERROR(IF(I124="LeaseUp",H124*D124*(1+GrowthMarketRent)^10*IF(10=0,(12-DowntimeNew)/12,1),IF(F124="",0,IF(F124&gt;=DATE(2027+10,4,30),G124*D124*(1+EscalatorInLease)^(10+M124),IF(F124&lt;DATE(2026+10,5,1),IF(I124="Vacate",H124*D124*(1+GrowthMarketRent)^10*IF(INT((DATE(2026+10,10,31)-F124)/365.25)=0,(12-DowntimeNew)/12,1),IF(I124="Option",G124*D124*1.025*(1+EscalatorInLease)^10,IF(I124="Market",Retention*G124*D124*(1+EscalatorInLease)^(10+M124)+(1-Retention)*H124*D124*(1+GrowthMarketRent)^10*IF(INT((DATE(2026+10,10,31)-F124)/365.25)=0,(12-DowntimeNew)/12,1),IF(I124="LeaseUp",H124*D124*(1+GrowthMarketRent)^10*IF(10=0,(12-DowntimeNew)/12,1),0)))),((F124-DATE(2026+10,5,1))/365.25)*G124*D124*(1+EscalatorInLease)^(10+M124)+((DATE(2027+10,4,30)-F124)/365.25)*IF(I124="Vacate",H124*D124*(1+GrowthMarketRent)^10*IF(INT((DATE(2026+10,10,31)-F124)/365.25)=0,(12-DowntimeNew)/12,1),IF(I124="Option",G124*D124*1.025*(1+EscalatorInLease)^10,IF(I124="Market",Retention*G124*D124*(1+EscalatorInLease)^(10+M124)+(1-Retention)*H124*D124*(1+GrowthMarketRent)^10*IF(INT((DATE(2026+10,10,31)-F124)/365.25)=0,(12-DowntimeNew)/12,1),IF(I124="LeaseUp",H124*D124*(1+GrowthMarketRent)^10*IF(10=0,(12-DowntimeNew)/12,1),0)))))))),0)</f>
        <v/>
      </c>
      <c r="Y124" s="14">
        <f>IFERROR(IF(AND(I124="LeaseUp",0=0),(IF(I124="Vacate",TINew*D124,IF(I124="Market",Retention*TIRenewal*D124+(1-Retention)*TINew*D124,IF(I124="LeaseUp",TINew*D124,IF(I124="Option",TIRenewal*D124,0)))))+(IF(I124="Vacate",LCNew*H124*D124*(1+GrowthMarketRent)^0,IF(I124="Market",Retention*LCRenewal*H124*D124*(1+GrowthMarketRent)^0+(1-Retention)*LCNew*H124*D124*(1+GrowthMarketRent)^0,IF(I124="LeaseUp",LCNew*H124*D124*(1+GrowthMarketRent)^0,IF(I124="Option",LCRenewal*H124*D124*(1+GrowthMarketRent)^0,0))))),IF(F124="",0,IF(AND(F124&gt;=DATE(2026+0,5,1),F124&lt;=DATE(2027+0,4,30)),(IF(I124="Vacate",TINew*D124,IF(I124="Market",Retention*TIRenewal*D124+(1-Retention)*TINew*D124,IF(I124="LeaseUp",TINew*D124,IF(I124="Option",TIRenewal*D124,0)))))+(IF(I124="Vacate",LCNew*H124*D124*(1+GrowthMarketRent)^0,IF(I124="Market",Retention*LCRenewal*H124*D124*(1+GrowthMarketRent)^0+(1-Retention)*LCNew*H124*D124*(1+GrowthMarketRent)^0,IF(I124="LeaseUp",LCNew*H124*D124*(1+GrowthMarketRent)^0,IF(I124="Option",LCRenewal*H124*D124*(1+GrowthMarketRent)^0,0))))),0))),0)</f>
        <v/>
      </c>
      <c r="Z124" s="14">
        <f>IFERROR(IF(AND(I124="LeaseUp",1=0),(IF(I124="Vacate",TINew*D124,IF(I124="Market",Retention*TIRenewal*D124+(1-Retention)*TINew*D124,IF(I124="LeaseUp",TINew*D124,IF(I124="Option",TIRenewal*D124,0)))))+(IF(I124="Vacate",LCNew*H124*D124*(1+GrowthMarketRent)^1,IF(I124="Market",Retention*LCRenewal*H124*D124*(1+GrowthMarketRent)^1+(1-Retention)*LCNew*H124*D124*(1+GrowthMarketRent)^1,IF(I124="LeaseUp",LCNew*H124*D124*(1+GrowthMarketRent)^1,IF(I124="Option",LCRenewal*H124*D124*(1+GrowthMarketRent)^1,0))))),IF(F124="",0,IF(AND(F124&gt;=DATE(2026+1,5,1),F124&lt;=DATE(2027+1,4,30)),(IF(I124="Vacate",TINew*D124,IF(I124="Market",Retention*TIRenewal*D124+(1-Retention)*TINew*D124,IF(I124="LeaseUp",TINew*D124,IF(I124="Option",TIRenewal*D124,0)))))+(IF(I124="Vacate",LCNew*H124*D124*(1+GrowthMarketRent)^1,IF(I124="Market",Retention*LCRenewal*H124*D124*(1+GrowthMarketRent)^1+(1-Retention)*LCNew*H124*D124*(1+GrowthMarketRent)^1,IF(I124="LeaseUp",LCNew*H124*D124*(1+GrowthMarketRent)^1,IF(I124="Option",LCRenewal*H124*D124*(1+GrowthMarketRent)^1,0))))),0))),0)</f>
        <v/>
      </c>
      <c r="AA124" s="14">
        <f>IFERROR(IF(AND(I124="LeaseUp",2=0),(IF(I124="Vacate",TINew*D124,IF(I124="Market",Retention*TIRenewal*D124+(1-Retention)*TINew*D124,IF(I124="LeaseUp",TINew*D124,IF(I124="Option",TIRenewal*D124,0)))))+(IF(I124="Vacate",LCNew*H124*D124*(1+GrowthMarketRent)^2,IF(I124="Market",Retention*LCRenewal*H124*D124*(1+GrowthMarketRent)^2+(1-Retention)*LCNew*H124*D124*(1+GrowthMarketRent)^2,IF(I124="LeaseUp",LCNew*H124*D124*(1+GrowthMarketRent)^2,IF(I124="Option",LCRenewal*H124*D124*(1+GrowthMarketRent)^2,0))))),IF(F124="",0,IF(AND(F124&gt;=DATE(2026+2,5,1),F124&lt;=DATE(2027+2,4,30)),(IF(I124="Vacate",TINew*D124,IF(I124="Market",Retention*TIRenewal*D124+(1-Retention)*TINew*D124,IF(I124="LeaseUp",TINew*D124,IF(I124="Option",TIRenewal*D124,0)))))+(IF(I124="Vacate",LCNew*H124*D124*(1+GrowthMarketRent)^2,IF(I124="Market",Retention*LCRenewal*H124*D124*(1+GrowthMarketRent)^2+(1-Retention)*LCNew*H124*D124*(1+GrowthMarketRent)^2,IF(I124="LeaseUp",LCNew*H124*D124*(1+GrowthMarketRent)^2,IF(I124="Option",LCRenewal*H124*D124*(1+GrowthMarketRent)^2,0))))),0))),0)</f>
        <v/>
      </c>
      <c r="AB124" s="14">
        <f>IFERROR(IF(AND(I124="LeaseUp",3=0),(IF(I124="Vacate",TINew*D124,IF(I124="Market",Retention*TIRenewal*D124+(1-Retention)*TINew*D124,IF(I124="LeaseUp",TINew*D124,IF(I124="Option",TIRenewal*D124,0)))))+(IF(I124="Vacate",LCNew*H124*D124*(1+GrowthMarketRent)^3,IF(I124="Market",Retention*LCRenewal*H124*D124*(1+GrowthMarketRent)^3+(1-Retention)*LCNew*H124*D124*(1+GrowthMarketRent)^3,IF(I124="LeaseUp",LCNew*H124*D124*(1+GrowthMarketRent)^3,IF(I124="Option",LCRenewal*H124*D124*(1+GrowthMarketRent)^3,0))))),IF(F124="",0,IF(AND(F124&gt;=DATE(2026+3,5,1),F124&lt;=DATE(2027+3,4,30)),(IF(I124="Vacate",TINew*D124,IF(I124="Market",Retention*TIRenewal*D124+(1-Retention)*TINew*D124,IF(I124="LeaseUp",TINew*D124,IF(I124="Option",TIRenewal*D124,0)))))+(IF(I124="Vacate",LCNew*H124*D124*(1+GrowthMarketRent)^3,IF(I124="Market",Retention*LCRenewal*H124*D124*(1+GrowthMarketRent)^3+(1-Retention)*LCNew*H124*D124*(1+GrowthMarketRent)^3,IF(I124="LeaseUp",LCNew*H124*D124*(1+GrowthMarketRent)^3,IF(I124="Option",LCRenewal*H124*D124*(1+GrowthMarketRent)^3,0))))),0))),0)</f>
        <v/>
      </c>
      <c r="AC124" s="14">
        <f>IFERROR(IF(AND(I124="LeaseUp",4=0),(IF(I124="Vacate",TINew*D124,IF(I124="Market",Retention*TIRenewal*D124+(1-Retention)*TINew*D124,IF(I124="LeaseUp",TINew*D124,IF(I124="Option",TIRenewal*D124,0)))))+(IF(I124="Vacate",LCNew*H124*D124*(1+GrowthMarketRent)^4,IF(I124="Market",Retention*LCRenewal*H124*D124*(1+GrowthMarketRent)^4+(1-Retention)*LCNew*H124*D124*(1+GrowthMarketRent)^4,IF(I124="LeaseUp",LCNew*H124*D124*(1+GrowthMarketRent)^4,IF(I124="Option",LCRenewal*H124*D124*(1+GrowthMarketRent)^4,0))))),IF(F124="",0,IF(AND(F124&gt;=DATE(2026+4,5,1),F124&lt;=DATE(2027+4,4,30)),(IF(I124="Vacate",TINew*D124,IF(I124="Market",Retention*TIRenewal*D124+(1-Retention)*TINew*D124,IF(I124="LeaseUp",TINew*D124,IF(I124="Option",TIRenewal*D124,0)))))+(IF(I124="Vacate",LCNew*H124*D124*(1+GrowthMarketRent)^4,IF(I124="Market",Retention*LCRenewal*H124*D124*(1+GrowthMarketRent)^4+(1-Retention)*LCNew*H124*D124*(1+GrowthMarketRent)^4,IF(I124="LeaseUp",LCNew*H124*D124*(1+GrowthMarketRent)^4,IF(I124="Option",LCRenewal*H124*D124*(1+GrowthMarketRent)^4,0))))),0))),0)</f>
        <v/>
      </c>
      <c r="AD124" s="14">
        <f>IFERROR(IF(AND(I124="LeaseUp",5=0),(IF(I124="Vacate",TINew*D124,IF(I124="Market",Retention*TIRenewal*D124+(1-Retention)*TINew*D124,IF(I124="LeaseUp",TINew*D124,IF(I124="Option",TIRenewal*D124,0)))))+(IF(I124="Vacate",LCNew*H124*D124*(1+GrowthMarketRent)^5,IF(I124="Market",Retention*LCRenewal*H124*D124*(1+GrowthMarketRent)^5+(1-Retention)*LCNew*H124*D124*(1+GrowthMarketRent)^5,IF(I124="LeaseUp",LCNew*H124*D124*(1+GrowthMarketRent)^5,IF(I124="Option",LCRenewal*H124*D124*(1+GrowthMarketRent)^5,0))))),IF(F124="",0,IF(AND(F124&gt;=DATE(2026+5,5,1),F124&lt;=DATE(2027+5,4,30)),(IF(I124="Vacate",TINew*D124,IF(I124="Market",Retention*TIRenewal*D124+(1-Retention)*TINew*D124,IF(I124="LeaseUp",TINew*D124,IF(I124="Option",TIRenewal*D124,0)))))+(IF(I124="Vacate",LCNew*H124*D124*(1+GrowthMarketRent)^5,IF(I124="Market",Retention*LCRenewal*H124*D124*(1+GrowthMarketRent)^5+(1-Retention)*LCNew*H124*D124*(1+GrowthMarketRent)^5,IF(I124="LeaseUp",LCNew*H124*D124*(1+GrowthMarketRent)^5,IF(I124="Option",LCRenewal*H124*D124*(1+GrowthMarketRent)^5,0))))),0))),0)</f>
        <v/>
      </c>
      <c r="AE124" s="14">
        <f>IFERROR(IF(AND(I124="LeaseUp",6=0),(IF(I124="Vacate",TINew*D124,IF(I124="Market",Retention*TIRenewal*D124+(1-Retention)*TINew*D124,IF(I124="LeaseUp",TINew*D124,IF(I124="Option",TIRenewal*D124,0)))))+(IF(I124="Vacate",LCNew*H124*D124*(1+GrowthMarketRent)^6,IF(I124="Market",Retention*LCRenewal*H124*D124*(1+GrowthMarketRent)^6+(1-Retention)*LCNew*H124*D124*(1+GrowthMarketRent)^6,IF(I124="LeaseUp",LCNew*H124*D124*(1+GrowthMarketRent)^6,IF(I124="Option",LCRenewal*H124*D124*(1+GrowthMarketRent)^6,0))))),IF(F124="",0,IF(AND(F124&gt;=DATE(2026+6,5,1),F124&lt;=DATE(2027+6,4,30)),(IF(I124="Vacate",TINew*D124,IF(I124="Market",Retention*TIRenewal*D124+(1-Retention)*TINew*D124,IF(I124="LeaseUp",TINew*D124,IF(I124="Option",TIRenewal*D124,0)))))+(IF(I124="Vacate",LCNew*H124*D124*(1+GrowthMarketRent)^6,IF(I124="Market",Retention*LCRenewal*H124*D124*(1+GrowthMarketRent)^6+(1-Retention)*LCNew*H124*D124*(1+GrowthMarketRent)^6,IF(I124="LeaseUp",LCNew*H124*D124*(1+GrowthMarketRent)^6,IF(I124="Option",LCRenewal*H124*D124*(1+GrowthMarketRent)^6,0))))),0))),0)</f>
        <v/>
      </c>
      <c r="AF124" s="14">
        <f>IFERROR(IF(AND(I124="LeaseUp",7=0),(IF(I124="Vacate",TINew*D124,IF(I124="Market",Retention*TIRenewal*D124+(1-Retention)*TINew*D124,IF(I124="LeaseUp",TINew*D124,IF(I124="Option",TIRenewal*D124,0)))))+(IF(I124="Vacate",LCNew*H124*D124*(1+GrowthMarketRent)^7,IF(I124="Market",Retention*LCRenewal*H124*D124*(1+GrowthMarketRent)^7+(1-Retention)*LCNew*H124*D124*(1+GrowthMarketRent)^7,IF(I124="LeaseUp",LCNew*H124*D124*(1+GrowthMarketRent)^7,IF(I124="Option",LCRenewal*H124*D124*(1+GrowthMarketRent)^7,0))))),IF(F124="",0,IF(AND(F124&gt;=DATE(2026+7,5,1),F124&lt;=DATE(2027+7,4,30)),(IF(I124="Vacate",TINew*D124,IF(I124="Market",Retention*TIRenewal*D124+(1-Retention)*TINew*D124,IF(I124="LeaseUp",TINew*D124,IF(I124="Option",TIRenewal*D124,0)))))+(IF(I124="Vacate",LCNew*H124*D124*(1+GrowthMarketRent)^7,IF(I124="Market",Retention*LCRenewal*H124*D124*(1+GrowthMarketRent)^7+(1-Retention)*LCNew*H124*D124*(1+GrowthMarketRent)^7,IF(I124="LeaseUp",LCNew*H124*D124*(1+GrowthMarketRent)^7,IF(I124="Option",LCRenewal*H124*D124*(1+GrowthMarketRent)^7,0))))),0))),0)</f>
        <v/>
      </c>
      <c r="AG124" s="14">
        <f>IFERROR(IF(AND(I124="LeaseUp",8=0),(IF(I124="Vacate",TINew*D124,IF(I124="Market",Retention*TIRenewal*D124+(1-Retention)*TINew*D124,IF(I124="LeaseUp",TINew*D124,IF(I124="Option",TIRenewal*D124,0)))))+(IF(I124="Vacate",LCNew*H124*D124*(1+GrowthMarketRent)^8,IF(I124="Market",Retention*LCRenewal*H124*D124*(1+GrowthMarketRent)^8+(1-Retention)*LCNew*H124*D124*(1+GrowthMarketRent)^8,IF(I124="LeaseUp",LCNew*H124*D124*(1+GrowthMarketRent)^8,IF(I124="Option",LCRenewal*H124*D124*(1+GrowthMarketRent)^8,0))))),IF(F124="",0,IF(AND(F124&gt;=DATE(2026+8,5,1),F124&lt;=DATE(2027+8,4,30)),(IF(I124="Vacate",TINew*D124,IF(I124="Market",Retention*TIRenewal*D124+(1-Retention)*TINew*D124,IF(I124="LeaseUp",TINew*D124,IF(I124="Option",TIRenewal*D124,0)))))+(IF(I124="Vacate",LCNew*H124*D124*(1+GrowthMarketRent)^8,IF(I124="Market",Retention*LCRenewal*H124*D124*(1+GrowthMarketRent)^8+(1-Retention)*LCNew*H124*D124*(1+GrowthMarketRent)^8,IF(I124="LeaseUp",LCNew*H124*D124*(1+GrowthMarketRent)^8,IF(I124="Option",LCRenewal*H124*D124*(1+GrowthMarketRent)^8,0))))),0))),0)</f>
        <v/>
      </c>
      <c r="AH124" s="14">
        <f>IFERROR(IF(AND(I124="LeaseUp",9=0),(IF(I124="Vacate",TINew*D124,IF(I124="Market",Retention*TIRenewal*D124+(1-Retention)*TINew*D124,IF(I124="LeaseUp",TINew*D124,IF(I124="Option",TIRenewal*D124,0)))))+(IF(I124="Vacate",LCNew*H124*D124*(1+GrowthMarketRent)^9,IF(I124="Market",Retention*LCRenewal*H124*D124*(1+GrowthMarketRent)^9+(1-Retention)*LCNew*H124*D124*(1+GrowthMarketRent)^9,IF(I124="LeaseUp",LCNew*H124*D124*(1+GrowthMarketRent)^9,IF(I124="Option",LCRenewal*H124*D124*(1+GrowthMarketRent)^9,0))))),IF(F124="",0,IF(AND(F124&gt;=DATE(2026+9,5,1),F124&lt;=DATE(2027+9,4,30)),(IF(I124="Vacate",TINew*D124,IF(I124="Market",Retention*TIRenewal*D124+(1-Retention)*TINew*D124,IF(I124="LeaseUp",TINew*D124,IF(I124="Option",TIRenewal*D124,0)))))+(IF(I124="Vacate",LCNew*H124*D124*(1+GrowthMarketRent)^9,IF(I124="Market",Retention*LCRenewal*H124*D124*(1+GrowthMarketRent)^9+(1-Retention)*LCNew*H124*D124*(1+GrowthMarketRent)^9,IF(I124="LeaseUp",LCNew*H124*D124*(1+GrowthMarketRent)^9,IF(I124="Option",LCRenewal*H124*D124*(1+GrowthMarketRent)^9,0))))),0))),0)</f>
        <v/>
      </c>
      <c r="AI124" s="14">
        <f>IFERROR(IF(AND(I124="LeaseUp",10=0),(IF(I124="Vacate",TINew*D124,IF(I124="Market",Retention*TIRenewal*D124+(1-Retention)*TINew*D124,IF(I124="LeaseUp",TINew*D124,IF(I124="Option",TIRenewal*D124,0)))))+(IF(I124="Vacate",LCNew*H124*D124*(1+GrowthMarketRent)^10,IF(I124="Market",Retention*LCRenewal*H124*D124*(1+GrowthMarketRent)^10+(1-Retention)*LCNew*H124*D124*(1+GrowthMarketRent)^10,IF(I124="LeaseUp",LCNew*H124*D124*(1+GrowthMarketRent)^10,IF(I124="Option",LCRenewal*H124*D124*(1+GrowthMarketRent)^10,0))))),IF(F124="",0,IF(AND(F124&gt;=DATE(2026+10,5,1),F124&lt;=DATE(2027+10,4,30)),(IF(I124="Vacate",TINew*D124,IF(I124="Market",Retention*TIRenewal*D124+(1-Retention)*TINew*D124,IF(I124="LeaseUp",TINew*D124,IF(I124="Option",TIRenewal*D124,0)))))+(IF(I124="Vacate",LCNew*H124*D124*(1+GrowthMarketRent)^10,IF(I124="Market",Retention*LCRenewal*H124*D124*(1+GrowthMarketRent)^10+(1-Retention)*LCNew*H124*D124*(1+GrowthMarketRent)^10,IF(I124="LeaseUp",LCNew*H124*D124*(1+GrowthMarketRent)^10,IF(I124="Option",LCRenewal*H124*D124*(1+GrowthMarketRent)^10,0))))),0))),0)</f>
        <v/>
      </c>
    </row>
    <row r="125">
      <c r="A125" t="inlineStr">
        <is>
          <t>Roanoke</t>
        </is>
      </c>
      <c r="B125" t="inlineStr">
        <is>
          <t>112A</t>
        </is>
      </c>
      <c r="C125" t="inlineStr">
        <is>
          <t>Capitan Boot Company LLC</t>
        </is>
      </c>
      <c r="D125" s="32" t="n">
        <v>2600</v>
      </c>
      <c r="E125" s="33" t="n">
        <v>45809</v>
      </c>
      <c r="F125" s="33" t="n">
        <v>47058</v>
      </c>
      <c r="G125" s="34" t="n">
        <v>18</v>
      </c>
      <c r="H125" s="16">
        <f>VLOOKUP(A125,MLA!$A$5:$L$11,3,FALSE)</f>
        <v/>
      </c>
      <c r="I125" s="11" t="inlineStr">
        <is>
          <t>Option</t>
        </is>
      </c>
      <c r="J125" t="inlineStr">
        <is>
          <t>Shop</t>
        </is>
      </c>
      <c r="K125" t="inlineStr">
        <is>
          <t>Occupied</t>
        </is>
      </c>
      <c r="L125" t="inlineStr">
        <is>
          <t>Shop; Guarantor: Joseph Marciante; Two 3yr options @ FMV</t>
        </is>
      </c>
      <c r="M125" s="20">
        <f>IF(E125="",0,(AnalysisStart-E125)/365.25)</f>
        <v/>
      </c>
      <c r="N125" s="14">
        <f>IFERROR(IF(I125="LeaseUp",H125*D125*(1+GrowthMarketRent)^0*IF(0=0,(12-DowntimeNew)/12,1),IF(F125="",0,IF(F125&gt;=DATE(2027+0,4,30),G125*D125*(1+EscalatorInLease)^(0+M125),IF(F125&lt;DATE(2026+0,5,1),IF(I125="Vacate",H125*D125*(1+GrowthMarketRent)^0*IF(INT((DATE(2026+0,10,31)-F125)/365.25)=0,(12-DowntimeNew)/12,1),IF(I125="Option",G125*D125*1.025*(1+EscalatorInLease)^0,IF(I125="Market",Retention*G125*D125*(1+EscalatorInLease)^(0+M125)+(1-Retention)*H125*D125*(1+GrowthMarketRent)^0*IF(INT((DATE(2026+0,10,31)-F125)/365.25)=0,(12-DowntimeNew)/12,1),IF(I125="LeaseUp",H125*D125*(1+GrowthMarketRent)^0*IF(0=0,(12-DowntimeNew)/12,1),0)))),((F125-DATE(2026+0,5,1))/365.25)*G125*D125*(1+EscalatorInLease)^(0+M125)+((DATE(2027+0,4,30)-F125)/365.25)*IF(I125="Vacate",H125*D125*(1+GrowthMarketRent)^0*IF(INT((DATE(2026+0,10,31)-F125)/365.25)=0,(12-DowntimeNew)/12,1),IF(I125="Option",G125*D125*1.025*(1+EscalatorInLease)^0,IF(I125="Market",Retention*G125*D125*(1+EscalatorInLease)^(0+M125)+(1-Retention)*H125*D125*(1+GrowthMarketRent)^0*IF(INT((DATE(2026+0,10,31)-F125)/365.25)=0,(12-DowntimeNew)/12,1),IF(I125="LeaseUp",H125*D125*(1+GrowthMarketRent)^0*IF(0=0,(12-DowntimeNew)/12,1),0)))))))),0)</f>
        <v/>
      </c>
      <c r="O125" s="14">
        <f>IFERROR(IF(I125="LeaseUp",H125*D125*(1+GrowthMarketRent)^1*IF(1=0,(12-DowntimeNew)/12,1),IF(F125="",0,IF(F125&gt;=DATE(2027+1,4,30),G125*D125*(1+EscalatorInLease)^(1+M125),IF(F125&lt;DATE(2026+1,5,1),IF(I125="Vacate",H125*D125*(1+GrowthMarketRent)^1*IF(INT((DATE(2026+1,10,31)-F125)/365.25)=0,(12-DowntimeNew)/12,1),IF(I125="Option",G125*D125*1.025*(1+EscalatorInLease)^1,IF(I125="Market",Retention*G125*D125*(1+EscalatorInLease)^(1+M125)+(1-Retention)*H125*D125*(1+GrowthMarketRent)^1*IF(INT((DATE(2026+1,10,31)-F125)/365.25)=0,(12-DowntimeNew)/12,1),IF(I125="LeaseUp",H125*D125*(1+GrowthMarketRent)^1*IF(1=0,(12-DowntimeNew)/12,1),0)))),((F125-DATE(2026+1,5,1))/365.25)*G125*D125*(1+EscalatorInLease)^(1+M125)+((DATE(2027+1,4,30)-F125)/365.25)*IF(I125="Vacate",H125*D125*(1+GrowthMarketRent)^1*IF(INT((DATE(2026+1,10,31)-F125)/365.25)=0,(12-DowntimeNew)/12,1),IF(I125="Option",G125*D125*1.025*(1+EscalatorInLease)^1,IF(I125="Market",Retention*G125*D125*(1+EscalatorInLease)^(1+M125)+(1-Retention)*H125*D125*(1+GrowthMarketRent)^1*IF(INT((DATE(2026+1,10,31)-F125)/365.25)=0,(12-DowntimeNew)/12,1),IF(I125="LeaseUp",H125*D125*(1+GrowthMarketRent)^1*IF(1=0,(12-DowntimeNew)/12,1),0)))))))),0)</f>
        <v/>
      </c>
      <c r="P125" s="14">
        <f>IFERROR(IF(I125="LeaseUp",H125*D125*(1+GrowthMarketRent)^2*IF(2=0,(12-DowntimeNew)/12,1),IF(F125="",0,IF(F125&gt;=DATE(2027+2,4,30),G125*D125*(1+EscalatorInLease)^(2+M125),IF(F125&lt;DATE(2026+2,5,1),IF(I125="Vacate",H125*D125*(1+GrowthMarketRent)^2*IF(INT((DATE(2026+2,10,31)-F125)/365.25)=0,(12-DowntimeNew)/12,1),IF(I125="Option",G125*D125*1.025*(1+EscalatorInLease)^2,IF(I125="Market",Retention*G125*D125*(1+EscalatorInLease)^(2+M125)+(1-Retention)*H125*D125*(1+GrowthMarketRent)^2*IF(INT((DATE(2026+2,10,31)-F125)/365.25)=0,(12-DowntimeNew)/12,1),IF(I125="LeaseUp",H125*D125*(1+GrowthMarketRent)^2*IF(2=0,(12-DowntimeNew)/12,1),0)))),((F125-DATE(2026+2,5,1))/365.25)*G125*D125*(1+EscalatorInLease)^(2+M125)+((DATE(2027+2,4,30)-F125)/365.25)*IF(I125="Vacate",H125*D125*(1+GrowthMarketRent)^2*IF(INT((DATE(2026+2,10,31)-F125)/365.25)=0,(12-DowntimeNew)/12,1),IF(I125="Option",G125*D125*1.025*(1+EscalatorInLease)^2,IF(I125="Market",Retention*G125*D125*(1+EscalatorInLease)^(2+M125)+(1-Retention)*H125*D125*(1+GrowthMarketRent)^2*IF(INT((DATE(2026+2,10,31)-F125)/365.25)=0,(12-DowntimeNew)/12,1),IF(I125="LeaseUp",H125*D125*(1+GrowthMarketRent)^2*IF(2=0,(12-DowntimeNew)/12,1),0)))))))),0)</f>
        <v/>
      </c>
      <c r="Q125" s="14">
        <f>IFERROR(IF(I125="LeaseUp",H125*D125*(1+GrowthMarketRent)^3*IF(3=0,(12-DowntimeNew)/12,1),IF(F125="",0,IF(F125&gt;=DATE(2027+3,4,30),G125*D125*(1+EscalatorInLease)^(3+M125),IF(F125&lt;DATE(2026+3,5,1),IF(I125="Vacate",H125*D125*(1+GrowthMarketRent)^3*IF(INT((DATE(2026+3,10,31)-F125)/365.25)=0,(12-DowntimeNew)/12,1),IF(I125="Option",G125*D125*1.025*(1+EscalatorInLease)^3,IF(I125="Market",Retention*G125*D125*(1+EscalatorInLease)^(3+M125)+(1-Retention)*H125*D125*(1+GrowthMarketRent)^3*IF(INT((DATE(2026+3,10,31)-F125)/365.25)=0,(12-DowntimeNew)/12,1),IF(I125="LeaseUp",H125*D125*(1+GrowthMarketRent)^3*IF(3=0,(12-DowntimeNew)/12,1),0)))),((F125-DATE(2026+3,5,1))/365.25)*G125*D125*(1+EscalatorInLease)^(3+M125)+((DATE(2027+3,4,30)-F125)/365.25)*IF(I125="Vacate",H125*D125*(1+GrowthMarketRent)^3*IF(INT((DATE(2026+3,10,31)-F125)/365.25)=0,(12-DowntimeNew)/12,1),IF(I125="Option",G125*D125*1.025*(1+EscalatorInLease)^3,IF(I125="Market",Retention*G125*D125*(1+EscalatorInLease)^(3+M125)+(1-Retention)*H125*D125*(1+GrowthMarketRent)^3*IF(INT((DATE(2026+3,10,31)-F125)/365.25)=0,(12-DowntimeNew)/12,1),IF(I125="LeaseUp",H125*D125*(1+GrowthMarketRent)^3*IF(3=0,(12-DowntimeNew)/12,1),0)))))))),0)</f>
        <v/>
      </c>
      <c r="R125" s="14">
        <f>IFERROR(IF(I125="LeaseUp",H125*D125*(1+GrowthMarketRent)^4*IF(4=0,(12-DowntimeNew)/12,1),IF(F125="",0,IF(F125&gt;=DATE(2027+4,4,30),G125*D125*(1+EscalatorInLease)^(4+M125),IF(F125&lt;DATE(2026+4,5,1),IF(I125="Vacate",H125*D125*(1+GrowthMarketRent)^4*IF(INT((DATE(2026+4,10,31)-F125)/365.25)=0,(12-DowntimeNew)/12,1),IF(I125="Option",G125*D125*1.025*(1+EscalatorInLease)^4,IF(I125="Market",Retention*G125*D125*(1+EscalatorInLease)^(4+M125)+(1-Retention)*H125*D125*(1+GrowthMarketRent)^4*IF(INT((DATE(2026+4,10,31)-F125)/365.25)=0,(12-DowntimeNew)/12,1),IF(I125="LeaseUp",H125*D125*(1+GrowthMarketRent)^4*IF(4=0,(12-DowntimeNew)/12,1),0)))),((F125-DATE(2026+4,5,1))/365.25)*G125*D125*(1+EscalatorInLease)^(4+M125)+((DATE(2027+4,4,30)-F125)/365.25)*IF(I125="Vacate",H125*D125*(1+GrowthMarketRent)^4*IF(INT((DATE(2026+4,10,31)-F125)/365.25)=0,(12-DowntimeNew)/12,1),IF(I125="Option",G125*D125*1.025*(1+EscalatorInLease)^4,IF(I125="Market",Retention*G125*D125*(1+EscalatorInLease)^(4+M125)+(1-Retention)*H125*D125*(1+GrowthMarketRent)^4*IF(INT((DATE(2026+4,10,31)-F125)/365.25)=0,(12-DowntimeNew)/12,1),IF(I125="LeaseUp",H125*D125*(1+GrowthMarketRent)^4*IF(4=0,(12-DowntimeNew)/12,1),0)))))))),0)</f>
        <v/>
      </c>
      <c r="S125" s="14">
        <f>IFERROR(IF(I125="LeaseUp",H125*D125*(1+GrowthMarketRent)^5*IF(5=0,(12-DowntimeNew)/12,1),IF(F125="",0,IF(F125&gt;=DATE(2027+5,4,30),G125*D125*(1+EscalatorInLease)^(5+M125),IF(F125&lt;DATE(2026+5,5,1),IF(I125="Vacate",H125*D125*(1+GrowthMarketRent)^5*IF(INT((DATE(2026+5,10,31)-F125)/365.25)=0,(12-DowntimeNew)/12,1),IF(I125="Option",G125*D125*1.025*(1+EscalatorInLease)^5,IF(I125="Market",Retention*G125*D125*(1+EscalatorInLease)^(5+M125)+(1-Retention)*H125*D125*(1+GrowthMarketRent)^5*IF(INT((DATE(2026+5,10,31)-F125)/365.25)=0,(12-DowntimeNew)/12,1),IF(I125="LeaseUp",H125*D125*(1+GrowthMarketRent)^5*IF(5=0,(12-DowntimeNew)/12,1),0)))),((F125-DATE(2026+5,5,1))/365.25)*G125*D125*(1+EscalatorInLease)^(5+M125)+((DATE(2027+5,4,30)-F125)/365.25)*IF(I125="Vacate",H125*D125*(1+GrowthMarketRent)^5*IF(INT((DATE(2026+5,10,31)-F125)/365.25)=0,(12-DowntimeNew)/12,1),IF(I125="Option",G125*D125*1.025*(1+EscalatorInLease)^5,IF(I125="Market",Retention*G125*D125*(1+EscalatorInLease)^(5+M125)+(1-Retention)*H125*D125*(1+GrowthMarketRent)^5*IF(INT((DATE(2026+5,10,31)-F125)/365.25)=0,(12-DowntimeNew)/12,1),IF(I125="LeaseUp",H125*D125*(1+GrowthMarketRent)^5*IF(5=0,(12-DowntimeNew)/12,1),0)))))))),0)</f>
        <v/>
      </c>
      <c r="T125" s="14">
        <f>IFERROR(IF(I125="LeaseUp",H125*D125*(1+GrowthMarketRent)^6*IF(6=0,(12-DowntimeNew)/12,1),IF(F125="",0,IF(F125&gt;=DATE(2027+6,4,30),G125*D125*(1+EscalatorInLease)^(6+M125),IF(F125&lt;DATE(2026+6,5,1),IF(I125="Vacate",H125*D125*(1+GrowthMarketRent)^6*IF(INT((DATE(2026+6,10,31)-F125)/365.25)=0,(12-DowntimeNew)/12,1),IF(I125="Option",G125*D125*1.025*(1+EscalatorInLease)^6,IF(I125="Market",Retention*G125*D125*(1+EscalatorInLease)^(6+M125)+(1-Retention)*H125*D125*(1+GrowthMarketRent)^6*IF(INT((DATE(2026+6,10,31)-F125)/365.25)=0,(12-DowntimeNew)/12,1),IF(I125="LeaseUp",H125*D125*(1+GrowthMarketRent)^6*IF(6=0,(12-DowntimeNew)/12,1),0)))),((F125-DATE(2026+6,5,1))/365.25)*G125*D125*(1+EscalatorInLease)^(6+M125)+((DATE(2027+6,4,30)-F125)/365.25)*IF(I125="Vacate",H125*D125*(1+GrowthMarketRent)^6*IF(INT((DATE(2026+6,10,31)-F125)/365.25)=0,(12-DowntimeNew)/12,1),IF(I125="Option",G125*D125*1.025*(1+EscalatorInLease)^6,IF(I125="Market",Retention*G125*D125*(1+EscalatorInLease)^(6+M125)+(1-Retention)*H125*D125*(1+GrowthMarketRent)^6*IF(INT((DATE(2026+6,10,31)-F125)/365.25)=0,(12-DowntimeNew)/12,1),IF(I125="LeaseUp",H125*D125*(1+GrowthMarketRent)^6*IF(6=0,(12-DowntimeNew)/12,1),0)))))))),0)</f>
        <v/>
      </c>
      <c r="U125" s="14">
        <f>IFERROR(IF(I125="LeaseUp",H125*D125*(1+GrowthMarketRent)^7*IF(7=0,(12-DowntimeNew)/12,1),IF(F125="",0,IF(F125&gt;=DATE(2027+7,4,30),G125*D125*(1+EscalatorInLease)^(7+M125),IF(F125&lt;DATE(2026+7,5,1),IF(I125="Vacate",H125*D125*(1+GrowthMarketRent)^7*IF(INT((DATE(2026+7,10,31)-F125)/365.25)=0,(12-DowntimeNew)/12,1),IF(I125="Option",G125*D125*1.025*(1+EscalatorInLease)^7,IF(I125="Market",Retention*G125*D125*(1+EscalatorInLease)^(7+M125)+(1-Retention)*H125*D125*(1+GrowthMarketRent)^7*IF(INT((DATE(2026+7,10,31)-F125)/365.25)=0,(12-DowntimeNew)/12,1),IF(I125="LeaseUp",H125*D125*(1+GrowthMarketRent)^7*IF(7=0,(12-DowntimeNew)/12,1),0)))),((F125-DATE(2026+7,5,1))/365.25)*G125*D125*(1+EscalatorInLease)^(7+M125)+((DATE(2027+7,4,30)-F125)/365.25)*IF(I125="Vacate",H125*D125*(1+GrowthMarketRent)^7*IF(INT((DATE(2026+7,10,31)-F125)/365.25)=0,(12-DowntimeNew)/12,1),IF(I125="Option",G125*D125*1.025*(1+EscalatorInLease)^7,IF(I125="Market",Retention*G125*D125*(1+EscalatorInLease)^(7+M125)+(1-Retention)*H125*D125*(1+GrowthMarketRent)^7*IF(INT((DATE(2026+7,10,31)-F125)/365.25)=0,(12-DowntimeNew)/12,1),IF(I125="LeaseUp",H125*D125*(1+GrowthMarketRent)^7*IF(7=0,(12-DowntimeNew)/12,1),0)))))))),0)</f>
        <v/>
      </c>
      <c r="V125" s="14">
        <f>IFERROR(IF(I125="LeaseUp",H125*D125*(1+GrowthMarketRent)^8*IF(8=0,(12-DowntimeNew)/12,1),IF(F125="",0,IF(F125&gt;=DATE(2027+8,4,30),G125*D125*(1+EscalatorInLease)^(8+M125),IF(F125&lt;DATE(2026+8,5,1),IF(I125="Vacate",H125*D125*(1+GrowthMarketRent)^8*IF(INT((DATE(2026+8,10,31)-F125)/365.25)=0,(12-DowntimeNew)/12,1),IF(I125="Option",G125*D125*1.025*(1+EscalatorInLease)^8,IF(I125="Market",Retention*G125*D125*(1+EscalatorInLease)^(8+M125)+(1-Retention)*H125*D125*(1+GrowthMarketRent)^8*IF(INT((DATE(2026+8,10,31)-F125)/365.25)=0,(12-DowntimeNew)/12,1),IF(I125="LeaseUp",H125*D125*(1+GrowthMarketRent)^8*IF(8=0,(12-DowntimeNew)/12,1),0)))),((F125-DATE(2026+8,5,1))/365.25)*G125*D125*(1+EscalatorInLease)^(8+M125)+((DATE(2027+8,4,30)-F125)/365.25)*IF(I125="Vacate",H125*D125*(1+GrowthMarketRent)^8*IF(INT((DATE(2026+8,10,31)-F125)/365.25)=0,(12-DowntimeNew)/12,1),IF(I125="Option",G125*D125*1.025*(1+EscalatorInLease)^8,IF(I125="Market",Retention*G125*D125*(1+EscalatorInLease)^(8+M125)+(1-Retention)*H125*D125*(1+GrowthMarketRent)^8*IF(INT((DATE(2026+8,10,31)-F125)/365.25)=0,(12-DowntimeNew)/12,1),IF(I125="LeaseUp",H125*D125*(1+GrowthMarketRent)^8*IF(8=0,(12-DowntimeNew)/12,1),0)))))))),0)</f>
        <v/>
      </c>
      <c r="W125" s="14">
        <f>IFERROR(IF(I125="LeaseUp",H125*D125*(1+GrowthMarketRent)^9*IF(9=0,(12-DowntimeNew)/12,1),IF(F125="",0,IF(F125&gt;=DATE(2027+9,4,30),G125*D125*(1+EscalatorInLease)^(9+M125),IF(F125&lt;DATE(2026+9,5,1),IF(I125="Vacate",H125*D125*(1+GrowthMarketRent)^9*IF(INT((DATE(2026+9,10,31)-F125)/365.25)=0,(12-DowntimeNew)/12,1),IF(I125="Option",G125*D125*1.025*(1+EscalatorInLease)^9,IF(I125="Market",Retention*G125*D125*(1+EscalatorInLease)^(9+M125)+(1-Retention)*H125*D125*(1+GrowthMarketRent)^9*IF(INT((DATE(2026+9,10,31)-F125)/365.25)=0,(12-DowntimeNew)/12,1),IF(I125="LeaseUp",H125*D125*(1+GrowthMarketRent)^9*IF(9=0,(12-DowntimeNew)/12,1),0)))),((F125-DATE(2026+9,5,1))/365.25)*G125*D125*(1+EscalatorInLease)^(9+M125)+((DATE(2027+9,4,30)-F125)/365.25)*IF(I125="Vacate",H125*D125*(1+GrowthMarketRent)^9*IF(INT((DATE(2026+9,10,31)-F125)/365.25)=0,(12-DowntimeNew)/12,1),IF(I125="Option",G125*D125*1.025*(1+EscalatorInLease)^9,IF(I125="Market",Retention*G125*D125*(1+EscalatorInLease)^(9+M125)+(1-Retention)*H125*D125*(1+GrowthMarketRent)^9*IF(INT((DATE(2026+9,10,31)-F125)/365.25)=0,(12-DowntimeNew)/12,1),IF(I125="LeaseUp",H125*D125*(1+GrowthMarketRent)^9*IF(9=0,(12-DowntimeNew)/12,1),0)))))))),0)</f>
        <v/>
      </c>
      <c r="X125" s="14">
        <f>IFERROR(IF(I125="LeaseUp",H125*D125*(1+GrowthMarketRent)^10*IF(10=0,(12-DowntimeNew)/12,1),IF(F125="",0,IF(F125&gt;=DATE(2027+10,4,30),G125*D125*(1+EscalatorInLease)^(10+M125),IF(F125&lt;DATE(2026+10,5,1),IF(I125="Vacate",H125*D125*(1+GrowthMarketRent)^10*IF(INT((DATE(2026+10,10,31)-F125)/365.25)=0,(12-DowntimeNew)/12,1),IF(I125="Option",G125*D125*1.025*(1+EscalatorInLease)^10,IF(I125="Market",Retention*G125*D125*(1+EscalatorInLease)^(10+M125)+(1-Retention)*H125*D125*(1+GrowthMarketRent)^10*IF(INT((DATE(2026+10,10,31)-F125)/365.25)=0,(12-DowntimeNew)/12,1),IF(I125="LeaseUp",H125*D125*(1+GrowthMarketRent)^10*IF(10=0,(12-DowntimeNew)/12,1),0)))),((F125-DATE(2026+10,5,1))/365.25)*G125*D125*(1+EscalatorInLease)^(10+M125)+((DATE(2027+10,4,30)-F125)/365.25)*IF(I125="Vacate",H125*D125*(1+GrowthMarketRent)^10*IF(INT((DATE(2026+10,10,31)-F125)/365.25)=0,(12-DowntimeNew)/12,1),IF(I125="Option",G125*D125*1.025*(1+EscalatorInLease)^10,IF(I125="Market",Retention*G125*D125*(1+EscalatorInLease)^(10+M125)+(1-Retention)*H125*D125*(1+GrowthMarketRent)^10*IF(INT((DATE(2026+10,10,31)-F125)/365.25)=0,(12-DowntimeNew)/12,1),IF(I125="LeaseUp",H125*D125*(1+GrowthMarketRent)^10*IF(10=0,(12-DowntimeNew)/12,1),0)))))))),0)</f>
        <v/>
      </c>
      <c r="Y125" s="14">
        <f>IFERROR(IF(AND(I125="LeaseUp",0=0),(IF(I125="Vacate",TINew*D125,IF(I125="Market",Retention*TIRenewal*D125+(1-Retention)*TINew*D125,IF(I125="LeaseUp",TINew*D125,IF(I125="Option",TIRenewal*D125,0)))))+(IF(I125="Vacate",LCNew*H125*D125*(1+GrowthMarketRent)^0,IF(I125="Market",Retention*LCRenewal*H125*D125*(1+GrowthMarketRent)^0+(1-Retention)*LCNew*H125*D125*(1+GrowthMarketRent)^0,IF(I125="LeaseUp",LCNew*H125*D125*(1+GrowthMarketRent)^0,IF(I125="Option",LCRenewal*H125*D125*(1+GrowthMarketRent)^0,0))))),IF(F125="",0,IF(AND(F125&gt;=DATE(2026+0,5,1),F125&lt;=DATE(2027+0,4,30)),(IF(I125="Vacate",TINew*D125,IF(I125="Market",Retention*TIRenewal*D125+(1-Retention)*TINew*D125,IF(I125="LeaseUp",TINew*D125,IF(I125="Option",TIRenewal*D125,0)))))+(IF(I125="Vacate",LCNew*H125*D125*(1+GrowthMarketRent)^0,IF(I125="Market",Retention*LCRenewal*H125*D125*(1+GrowthMarketRent)^0+(1-Retention)*LCNew*H125*D125*(1+GrowthMarketRent)^0,IF(I125="LeaseUp",LCNew*H125*D125*(1+GrowthMarketRent)^0,IF(I125="Option",LCRenewal*H125*D125*(1+GrowthMarketRent)^0,0))))),0))),0)</f>
        <v/>
      </c>
      <c r="Z125" s="14">
        <f>IFERROR(IF(AND(I125="LeaseUp",1=0),(IF(I125="Vacate",TINew*D125,IF(I125="Market",Retention*TIRenewal*D125+(1-Retention)*TINew*D125,IF(I125="LeaseUp",TINew*D125,IF(I125="Option",TIRenewal*D125,0)))))+(IF(I125="Vacate",LCNew*H125*D125*(1+GrowthMarketRent)^1,IF(I125="Market",Retention*LCRenewal*H125*D125*(1+GrowthMarketRent)^1+(1-Retention)*LCNew*H125*D125*(1+GrowthMarketRent)^1,IF(I125="LeaseUp",LCNew*H125*D125*(1+GrowthMarketRent)^1,IF(I125="Option",LCRenewal*H125*D125*(1+GrowthMarketRent)^1,0))))),IF(F125="",0,IF(AND(F125&gt;=DATE(2026+1,5,1),F125&lt;=DATE(2027+1,4,30)),(IF(I125="Vacate",TINew*D125,IF(I125="Market",Retention*TIRenewal*D125+(1-Retention)*TINew*D125,IF(I125="LeaseUp",TINew*D125,IF(I125="Option",TIRenewal*D125,0)))))+(IF(I125="Vacate",LCNew*H125*D125*(1+GrowthMarketRent)^1,IF(I125="Market",Retention*LCRenewal*H125*D125*(1+GrowthMarketRent)^1+(1-Retention)*LCNew*H125*D125*(1+GrowthMarketRent)^1,IF(I125="LeaseUp",LCNew*H125*D125*(1+GrowthMarketRent)^1,IF(I125="Option",LCRenewal*H125*D125*(1+GrowthMarketRent)^1,0))))),0))),0)</f>
        <v/>
      </c>
      <c r="AA125" s="14">
        <f>IFERROR(IF(AND(I125="LeaseUp",2=0),(IF(I125="Vacate",TINew*D125,IF(I125="Market",Retention*TIRenewal*D125+(1-Retention)*TINew*D125,IF(I125="LeaseUp",TINew*D125,IF(I125="Option",TIRenewal*D125,0)))))+(IF(I125="Vacate",LCNew*H125*D125*(1+GrowthMarketRent)^2,IF(I125="Market",Retention*LCRenewal*H125*D125*(1+GrowthMarketRent)^2+(1-Retention)*LCNew*H125*D125*(1+GrowthMarketRent)^2,IF(I125="LeaseUp",LCNew*H125*D125*(1+GrowthMarketRent)^2,IF(I125="Option",LCRenewal*H125*D125*(1+GrowthMarketRent)^2,0))))),IF(F125="",0,IF(AND(F125&gt;=DATE(2026+2,5,1),F125&lt;=DATE(2027+2,4,30)),(IF(I125="Vacate",TINew*D125,IF(I125="Market",Retention*TIRenewal*D125+(1-Retention)*TINew*D125,IF(I125="LeaseUp",TINew*D125,IF(I125="Option",TIRenewal*D125,0)))))+(IF(I125="Vacate",LCNew*H125*D125*(1+GrowthMarketRent)^2,IF(I125="Market",Retention*LCRenewal*H125*D125*(1+GrowthMarketRent)^2+(1-Retention)*LCNew*H125*D125*(1+GrowthMarketRent)^2,IF(I125="LeaseUp",LCNew*H125*D125*(1+GrowthMarketRent)^2,IF(I125="Option",LCRenewal*H125*D125*(1+GrowthMarketRent)^2,0))))),0))),0)</f>
        <v/>
      </c>
      <c r="AB125" s="14">
        <f>IFERROR(IF(AND(I125="LeaseUp",3=0),(IF(I125="Vacate",TINew*D125,IF(I125="Market",Retention*TIRenewal*D125+(1-Retention)*TINew*D125,IF(I125="LeaseUp",TINew*D125,IF(I125="Option",TIRenewal*D125,0)))))+(IF(I125="Vacate",LCNew*H125*D125*(1+GrowthMarketRent)^3,IF(I125="Market",Retention*LCRenewal*H125*D125*(1+GrowthMarketRent)^3+(1-Retention)*LCNew*H125*D125*(1+GrowthMarketRent)^3,IF(I125="LeaseUp",LCNew*H125*D125*(1+GrowthMarketRent)^3,IF(I125="Option",LCRenewal*H125*D125*(1+GrowthMarketRent)^3,0))))),IF(F125="",0,IF(AND(F125&gt;=DATE(2026+3,5,1),F125&lt;=DATE(2027+3,4,30)),(IF(I125="Vacate",TINew*D125,IF(I125="Market",Retention*TIRenewal*D125+(1-Retention)*TINew*D125,IF(I125="LeaseUp",TINew*D125,IF(I125="Option",TIRenewal*D125,0)))))+(IF(I125="Vacate",LCNew*H125*D125*(1+GrowthMarketRent)^3,IF(I125="Market",Retention*LCRenewal*H125*D125*(1+GrowthMarketRent)^3+(1-Retention)*LCNew*H125*D125*(1+GrowthMarketRent)^3,IF(I125="LeaseUp",LCNew*H125*D125*(1+GrowthMarketRent)^3,IF(I125="Option",LCRenewal*H125*D125*(1+GrowthMarketRent)^3,0))))),0))),0)</f>
        <v/>
      </c>
      <c r="AC125" s="14">
        <f>IFERROR(IF(AND(I125="LeaseUp",4=0),(IF(I125="Vacate",TINew*D125,IF(I125="Market",Retention*TIRenewal*D125+(1-Retention)*TINew*D125,IF(I125="LeaseUp",TINew*D125,IF(I125="Option",TIRenewal*D125,0)))))+(IF(I125="Vacate",LCNew*H125*D125*(1+GrowthMarketRent)^4,IF(I125="Market",Retention*LCRenewal*H125*D125*(1+GrowthMarketRent)^4+(1-Retention)*LCNew*H125*D125*(1+GrowthMarketRent)^4,IF(I125="LeaseUp",LCNew*H125*D125*(1+GrowthMarketRent)^4,IF(I125="Option",LCRenewal*H125*D125*(1+GrowthMarketRent)^4,0))))),IF(F125="",0,IF(AND(F125&gt;=DATE(2026+4,5,1),F125&lt;=DATE(2027+4,4,30)),(IF(I125="Vacate",TINew*D125,IF(I125="Market",Retention*TIRenewal*D125+(1-Retention)*TINew*D125,IF(I125="LeaseUp",TINew*D125,IF(I125="Option",TIRenewal*D125,0)))))+(IF(I125="Vacate",LCNew*H125*D125*(1+GrowthMarketRent)^4,IF(I125="Market",Retention*LCRenewal*H125*D125*(1+GrowthMarketRent)^4+(1-Retention)*LCNew*H125*D125*(1+GrowthMarketRent)^4,IF(I125="LeaseUp",LCNew*H125*D125*(1+GrowthMarketRent)^4,IF(I125="Option",LCRenewal*H125*D125*(1+GrowthMarketRent)^4,0))))),0))),0)</f>
        <v/>
      </c>
      <c r="AD125" s="14">
        <f>IFERROR(IF(AND(I125="LeaseUp",5=0),(IF(I125="Vacate",TINew*D125,IF(I125="Market",Retention*TIRenewal*D125+(1-Retention)*TINew*D125,IF(I125="LeaseUp",TINew*D125,IF(I125="Option",TIRenewal*D125,0)))))+(IF(I125="Vacate",LCNew*H125*D125*(1+GrowthMarketRent)^5,IF(I125="Market",Retention*LCRenewal*H125*D125*(1+GrowthMarketRent)^5+(1-Retention)*LCNew*H125*D125*(1+GrowthMarketRent)^5,IF(I125="LeaseUp",LCNew*H125*D125*(1+GrowthMarketRent)^5,IF(I125="Option",LCRenewal*H125*D125*(1+GrowthMarketRent)^5,0))))),IF(F125="",0,IF(AND(F125&gt;=DATE(2026+5,5,1),F125&lt;=DATE(2027+5,4,30)),(IF(I125="Vacate",TINew*D125,IF(I125="Market",Retention*TIRenewal*D125+(1-Retention)*TINew*D125,IF(I125="LeaseUp",TINew*D125,IF(I125="Option",TIRenewal*D125,0)))))+(IF(I125="Vacate",LCNew*H125*D125*(1+GrowthMarketRent)^5,IF(I125="Market",Retention*LCRenewal*H125*D125*(1+GrowthMarketRent)^5+(1-Retention)*LCNew*H125*D125*(1+GrowthMarketRent)^5,IF(I125="LeaseUp",LCNew*H125*D125*(1+GrowthMarketRent)^5,IF(I125="Option",LCRenewal*H125*D125*(1+GrowthMarketRent)^5,0))))),0))),0)</f>
        <v/>
      </c>
      <c r="AE125" s="14">
        <f>IFERROR(IF(AND(I125="LeaseUp",6=0),(IF(I125="Vacate",TINew*D125,IF(I125="Market",Retention*TIRenewal*D125+(1-Retention)*TINew*D125,IF(I125="LeaseUp",TINew*D125,IF(I125="Option",TIRenewal*D125,0)))))+(IF(I125="Vacate",LCNew*H125*D125*(1+GrowthMarketRent)^6,IF(I125="Market",Retention*LCRenewal*H125*D125*(1+GrowthMarketRent)^6+(1-Retention)*LCNew*H125*D125*(1+GrowthMarketRent)^6,IF(I125="LeaseUp",LCNew*H125*D125*(1+GrowthMarketRent)^6,IF(I125="Option",LCRenewal*H125*D125*(1+GrowthMarketRent)^6,0))))),IF(F125="",0,IF(AND(F125&gt;=DATE(2026+6,5,1),F125&lt;=DATE(2027+6,4,30)),(IF(I125="Vacate",TINew*D125,IF(I125="Market",Retention*TIRenewal*D125+(1-Retention)*TINew*D125,IF(I125="LeaseUp",TINew*D125,IF(I125="Option",TIRenewal*D125,0)))))+(IF(I125="Vacate",LCNew*H125*D125*(1+GrowthMarketRent)^6,IF(I125="Market",Retention*LCRenewal*H125*D125*(1+GrowthMarketRent)^6+(1-Retention)*LCNew*H125*D125*(1+GrowthMarketRent)^6,IF(I125="LeaseUp",LCNew*H125*D125*(1+GrowthMarketRent)^6,IF(I125="Option",LCRenewal*H125*D125*(1+GrowthMarketRent)^6,0))))),0))),0)</f>
        <v/>
      </c>
      <c r="AF125" s="14">
        <f>IFERROR(IF(AND(I125="LeaseUp",7=0),(IF(I125="Vacate",TINew*D125,IF(I125="Market",Retention*TIRenewal*D125+(1-Retention)*TINew*D125,IF(I125="LeaseUp",TINew*D125,IF(I125="Option",TIRenewal*D125,0)))))+(IF(I125="Vacate",LCNew*H125*D125*(1+GrowthMarketRent)^7,IF(I125="Market",Retention*LCRenewal*H125*D125*(1+GrowthMarketRent)^7+(1-Retention)*LCNew*H125*D125*(1+GrowthMarketRent)^7,IF(I125="LeaseUp",LCNew*H125*D125*(1+GrowthMarketRent)^7,IF(I125="Option",LCRenewal*H125*D125*(1+GrowthMarketRent)^7,0))))),IF(F125="",0,IF(AND(F125&gt;=DATE(2026+7,5,1),F125&lt;=DATE(2027+7,4,30)),(IF(I125="Vacate",TINew*D125,IF(I125="Market",Retention*TIRenewal*D125+(1-Retention)*TINew*D125,IF(I125="LeaseUp",TINew*D125,IF(I125="Option",TIRenewal*D125,0)))))+(IF(I125="Vacate",LCNew*H125*D125*(1+GrowthMarketRent)^7,IF(I125="Market",Retention*LCRenewal*H125*D125*(1+GrowthMarketRent)^7+(1-Retention)*LCNew*H125*D125*(1+GrowthMarketRent)^7,IF(I125="LeaseUp",LCNew*H125*D125*(1+GrowthMarketRent)^7,IF(I125="Option",LCRenewal*H125*D125*(1+GrowthMarketRent)^7,0))))),0))),0)</f>
        <v/>
      </c>
      <c r="AG125" s="14">
        <f>IFERROR(IF(AND(I125="LeaseUp",8=0),(IF(I125="Vacate",TINew*D125,IF(I125="Market",Retention*TIRenewal*D125+(1-Retention)*TINew*D125,IF(I125="LeaseUp",TINew*D125,IF(I125="Option",TIRenewal*D125,0)))))+(IF(I125="Vacate",LCNew*H125*D125*(1+GrowthMarketRent)^8,IF(I125="Market",Retention*LCRenewal*H125*D125*(1+GrowthMarketRent)^8+(1-Retention)*LCNew*H125*D125*(1+GrowthMarketRent)^8,IF(I125="LeaseUp",LCNew*H125*D125*(1+GrowthMarketRent)^8,IF(I125="Option",LCRenewal*H125*D125*(1+GrowthMarketRent)^8,0))))),IF(F125="",0,IF(AND(F125&gt;=DATE(2026+8,5,1),F125&lt;=DATE(2027+8,4,30)),(IF(I125="Vacate",TINew*D125,IF(I125="Market",Retention*TIRenewal*D125+(1-Retention)*TINew*D125,IF(I125="LeaseUp",TINew*D125,IF(I125="Option",TIRenewal*D125,0)))))+(IF(I125="Vacate",LCNew*H125*D125*(1+GrowthMarketRent)^8,IF(I125="Market",Retention*LCRenewal*H125*D125*(1+GrowthMarketRent)^8+(1-Retention)*LCNew*H125*D125*(1+GrowthMarketRent)^8,IF(I125="LeaseUp",LCNew*H125*D125*(1+GrowthMarketRent)^8,IF(I125="Option",LCRenewal*H125*D125*(1+GrowthMarketRent)^8,0))))),0))),0)</f>
        <v/>
      </c>
      <c r="AH125" s="14">
        <f>IFERROR(IF(AND(I125="LeaseUp",9=0),(IF(I125="Vacate",TINew*D125,IF(I125="Market",Retention*TIRenewal*D125+(1-Retention)*TINew*D125,IF(I125="LeaseUp",TINew*D125,IF(I125="Option",TIRenewal*D125,0)))))+(IF(I125="Vacate",LCNew*H125*D125*(1+GrowthMarketRent)^9,IF(I125="Market",Retention*LCRenewal*H125*D125*(1+GrowthMarketRent)^9+(1-Retention)*LCNew*H125*D125*(1+GrowthMarketRent)^9,IF(I125="LeaseUp",LCNew*H125*D125*(1+GrowthMarketRent)^9,IF(I125="Option",LCRenewal*H125*D125*(1+GrowthMarketRent)^9,0))))),IF(F125="",0,IF(AND(F125&gt;=DATE(2026+9,5,1),F125&lt;=DATE(2027+9,4,30)),(IF(I125="Vacate",TINew*D125,IF(I125="Market",Retention*TIRenewal*D125+(1-Retention)*TINew*D125,IF(I125="LeaseUp",TINew*D125,IF(I125="Option",TIRenewal*D125,0)))))+(IF(I125="Vacate",LCNew*H125*D125*(1+GrowthMarketRent)^9,IF(I125="Market",Retention*LCRenewal*H125*D125*(1+GrowthMarketRent)^9+(1-Retention)*LCNew*H125*D125*(1+GrowthMarketRent)^9,IF(I125="LeaseUp",LCNew*H125*D125*(1+GrowthMarketRent)^9,IF(I125="Option",LCRenewal*H125*D125*(1+GrowthMarketRent)^9,0))))),0))),0)</f>
        <v/>
      </c>
      <c r="AI125" s="14">
        <f>IFERROR(IF(AND(I125="LeaseUp",10=0),(IF(I125="Vacate",TINew*D125,IF(I125="Market",Retention*TIRenewal*D125+(1-Retention)*TINew*D125,IF(I125="LeaseUp",TINew*D125,IF(I125="Option",TIRenewal*D125,0)))))+(IF(I125="Vacate",LCNew*H125*D125*(1+GrowthMarketRent)^10,IF(I125="Market",Retention*LCRenewal*H125*D125*(1+GrowthMarketRent)^10+(1-Retention)*LCNew*H125*D125*(1+GrowthMarketRent)^10,IF(I125="LeaseUp",LCNew*H125*D125*(1+GrowthMarketRent)^10,IF(I125="Option",LCRenewal*H125*D125*(1+GrowthMarketRent)^10,0))))),IF(F125="",0,IF(AND(F125&gt;=DATE(2026+10,5,1),F125&lt;=DATE(2027+10,4,30)),(IF(I125="Vacate",TINew*D125,IF(I125="Market",Retention*TIRenewal*D125+(1-Retention)*TINew*D125,IF(I125="LeaseUp",TINew*D125,IF(I125="Option",TIRenewal*D125,0)))))+(IF(I125="Vacate",LCNew*H125*D125*(1+GrowthMarketRent)^10,IF(I125="Market",Retention*LCRenewal*H125*D125*(1+GrowthMarketRent)^10+(1-Retention)*LCNew*H125*D125*(1+GrowthMarketRent)^10,IF(I125="LeaseUp",LCNew*H125*D125*(1+GrowthMarketRent)^10,IF(I125="Option",LCRenewal*H125*D125*(1+GrowthMarketRent)^10,0))))),0))),0)</f>
        <v/>
      </c>
    </row>
    <row r="126">
      <c r="A126" t="inlineStr">
        <is>
          <t>Roanoke</t>
        </is>
      </c>
      <c r="B126" t="inlineStr">
        <is>
          <t>112B</t>
        </is>
      </c>
      <c r="C126" t="inlineStr">
        <is>
          <t>VACANT</t>
        </is>
      </c>
      <c r="D126" s="32" t="n">
        <v>3050</v>
      </c>
      <c r="E126" s="33" t="n">
        <v>44958</v>
      </c>
      <c r="F126" s="33" t="n">
        <v>46204</v>
      </c>
      <c r="G126" s="34" t="n">
        <v>0</v>
      </c>
      <c r="H126" s="16">
        <f>VLOOKUP(A126,MLA!$A$5:$L$11,3,FALSE)</f>
        <v/>
      </c>
      <c r="I126" s="11" t="inlineStr">
        <is>
          <t>LeaseUp</t>
        </is>
      </c>
      <c r="J126" t="inlineStr">
        <is>
          <t>Shop</t>
        </is>
      </c>
      <c r="K126" t="inlineStr">
        <is>
          <t>Vacant</t>
        </is>
      </c>
      <c r="L126" t="inlineStr">
        <is>
          <t>Shop; future lease-up Jul-2026</t>
        </is>
      </c>
      <c r="M126" s="20">
        <f>IF(E126="",0,(AnalysisStart-E126)/365.25)</f>
        <v/>
      </c>
      <c r="N126" s="14">
        <f>IFERROR(IF(I126="LeaseUp",H126*D126*(1+GrowthMarketRent)^0*IF(0=0,(12-DowntimeNew)/12,1),IF(F126="",0,IF(F126&gt;=DATE(2027+0,4,30),G126*D126*(1+EscalatorInLease)^(0+M126),IF(F126&lt;DATE(2026+0,5,1),IF(I126="Vacate",H126*D126*(1+GrowthMarketRent)^0*IF(INT((DATE(2026+0,10,31)-F126)/365.25)=0,(12-DowntimeNew)/12,1),IF(I126="Option",G126*D126*1.025*(1+EscalatorInLease)^0,IF(I126="Market",Retention*G126*D126*(1+EscalatorInLease)^(0+M126)+(1-Retention)*H126*D126*(1+GrowthMarketRent)^0*IF(INT((DATE(2026+0,10,31)-F126)/365.25)=0,(12-DowntimeNew)/12,1),IF(I126="LeaseUp",H126*D126*(1+GrowthMarketRent)^0*IF(0=0,(12-DowntimeNew)/12,1),0)))),((F126-DATE(2026+0,5,1))/365.25)*G126*D126*(1+EscalatorInLease)^(0+M126)+((DATE(2027+0,4,30)-F126)/365.25)*IF(I126="Vacate",H126*D126*(1+GrowthMarketRent)^0*IF(INT((DATE(2026+0,10,31)-F126)/365.25)=0,(12-DowntimeNew)/12,1),IF(I126="Option",G126*D126*1.025*(1+EscalatorInLease)^0,IF(I126="Market",Retention*G126*D126*(1+EscalatorInLease)^(0+M126)+(1-Retention)*H126*D126*(1+GrowthMarketRent)^0*IF(INT((DATE(2026+0,10,31)-F126)/365.25)=0,(12-DowntimeNew)/12,1),IF(I126="LeaseUp",H126*D126*(1+GrowthMarketRent)^0*IF(0=0,(12-DowntimeNew)/12,1),0)))))))),0)</f>
        <v/>
      </c>
      <c r="O126" s="14">
        <f>IFERROR(IF(I126="LeaseUp",H126*D126*(1+GrowthMarketRent)^1*IF(1=0,(12-DowntimeNew)/12,1),IF(F126="",0,IF(F126&gt;=DATE(2027+1,4,30),G126*D126*(1+EscalatorInLease)^(1+M126),IF(F126&lt;DATE(2026+1,5,1),IF(I126="Vacate",H126*D126*(1+GrowthMarketRent)^1*IF(INT((DATE(2026+1,10,31)-F126)/365.25)=0,(12-DowntimeNew)/12,1),IF(I126="Option",G126*D126*1.025*(1+EscalatorInLease)^1,IF(I126="Market",Retention*G126*D126*(1+EscalatorInLease)^(1+M126)+(1-Retention)*H126*D126*(1+GrowthMarketRent)^1*IF(INT((DATE(2026+1,10,31)-F126)/365.25)=0,(12-DowntimeNew)/12,1),IF(I126="LeaseUp",H126*D126*(1+GrowthMarketRent)^1*IF(1=0,(12-DowntimeNew)/12,1),0)))),((F126-DATE(2026+1,5,1))/365.25)*G126*D126*(1+EscalatorInLease)^(1+M126)+((DATE(2027+1,4,30)-F126)/365.25)*IF(I126="Vacate",H126*D126*(1+GrowthMarketRent)^1*IF(INT((DATE(2026+1,10,31)-F126)/365.25)=0,(12-DowntimeNew)/12,1),IF(I126="Option",G126*D126*1.025*(1+EscalatorInLease)^1,IF(I126="Market",Retention*G126*D126*(1+EscalatorInLease)^(1+M126)+(1-Retention)*H126*D126*(1+GrowthMarketRent)^1*IF(INT((DATE(2026+1,10,31)-F126)/365.25)=0,(12-DowntimeNew)/12,1),IF(I126="LeaseUp",H126*D126*(1+GrowthMarketRent)^1*IF(1=0,(12-DowntimeNew)/12,1),0)))))))),0)</f>
        <v/>
      </c>
      <c r="P126" s="14">
        <f>IFERROR(IF(I126="LeaseUp",H126*D126*(1+GrowthMarketRent)^2*IF(2=0,(12-DowntimeNew)/12,1),IF(F126="",0,IF(F126&gt;=DATE(2027+2,4,30),G126*D126*(1+EscalatorInLease)^(2+M126),IF(F126&lt;DATE(2026+2,5,1),IF(I126="Vacate",H126*D126*(1+GrowthMarketRent)^2*IF(INT((DATE(2026+2,10,31)-F126)/365.25)=0,(12-DowntimeNew)/12,1),IF(I126="Option",G126*D126*1.025*(1+EscalatorInLease)^2,IF(I126="Market",Retention*G126*D126*(1+EscalatorInLease)^(2+M126)+(1-Retention)*H126*D126*(1+GrowthMarketRent)^2*IF(INT((DATE(2026+2,10,31)-F126)/365.25)=0,(12-DowntimeNew)/12,1),IF(I126="LeaseUp",H126*D126*(1+GrowthMarketRent)^2*IF(2=0,(12-DowntimeNew)/12,1),0)))),((F126-DATE(2026+2,5,1))/365.25)*G126*D126*(1+EscalatorInLease)^(2+M126)+((DATE(2027+2,4,30)-F126)/365.25)*IF(I126="Vacate",H126*D126*(1+GrowthMarketRent)^2*IF(INT((DATE(2026+2,10,31)-F126)/365.25)=0,(12-DowntimeNew)/12,1),IF(I126="Option",G126*D126*1.025*(1+EscalatorInLease)^2,IF(I126="Market",Retention*G126*D126*(1+EscalatorInLease)^(2+M126)+(1-Retention)*H126*D126*(1+GrowthMarketRent)^2*IF(INT((DATE(2026+2,10,31)-F126)/365.25)=0,(12-DowntimeNew)/12,1),IF(I126="LeaseUp",H126*D126*(1+GrowthMarketRent)^2*IF(2=0,(12-DowntimeNew)/12,1),0)))))))),0)</f>
        <v/>
      </c>
      <c r="Q126" s="14">
        <f>IFERROR(IF(I126="LeaseUp",H126*D126*(1+GrowthMarketRent)^3*IF(3=0,(12-DowntimeNew)/12,1),IF(F126="",0,IF(F126&gt;=DATE(2027+3,4,30),G126*D126*(1+EscalatorInLease)^(3+M126),IF(F126&lt;DATE(2026+3,5,1),IF(I126="Vacate",H126*D126*(1+GrowthMarketRent)^3*IF(INT((DATE(2026+3,10,31)-F126)/365.25)=0,(12-DowntimeNew)/12,1),IF(I126="Option",G126*D126*1.025*(1+EscalatorInLease)^3,IF(I126="Market",Retention*G126*D126*(1+EscalatorInLease)^(3+M126)+(1-Retention)*H126*D126*(1+GrowthMarketRent)^3*IF(INT((DATE(2026+3,10,31)-F126)/365.25)=0,(12-DowntimeNew)/12,1),IF(I126="LeaseUp",H126*D126*(1+GrowthMarketRent)^3*IF(3=0,(12-DowntimeNew)/12,1),0)))),((F126-DATE(2026+3,5,1))/365.25)*G126*D126*(1+EscalatorInLease)^(3+M126)+((DATE(2027+3,4,30)-F126)/365.25)*IF(I126="Vacate",H126*D126*(1+GrowthMarketRent)^3*IF(INT((DATE(2026+3,10,31)-F126)/365.25)=0,(12-DowntimeNew)/12,1),IF(I126="Option",G126*D126*1.025*(1+EscalatorInLease)^3,IF(I126="Market",Retention*G126*D126*(1+EscalatorInLease)^(3+M126)+(1-Retention)*H126*D126*(1+GrowthMarketRent)^3*IF(INT((DATE(2026+3,10,31)-F126)/365.25)=0,(12-DowntimeNew)/12,1),IF(I126="LeaseUp",H126*D126*(1+GrowthMarketRent)^3*IF(3=0,(12-DowntimeNew)/12,1),0)))))))),0)</f>
        <v/>
      </c>
      <c r="R126" s="14">
        <f>IFERROR(IF(I126="LeaseUp",H126*D126*(1+GrowthMarketRent)^4*IF(4=0,(12-DowntimeNew)/12,1),IF(F126="",0,IF(F126&gt;=DATE(2027+4,4,30),G126*D126*(1+EscalatorInLease)^(4+M126),IF(F126&lt;DATE(2026+4,5,1),IF(I126="Vacate",H126*D126*(1+GrowthMarketRent)^4*IF(INT((DATE(2026+4,10,31)-F126)/365.25)=0,(12-DowntimeNew)/12,1),IF(I126="Option",G126*D126*1.025*(1+EscalatorInLease)^4,IF(I126="Market",Retention*G126*D126*(1+EscalatorInLease)^(4+M126)+(1-Retention)*H126*D126*(1+GrowthMarketRent)^4*IF(INT((DATE(2026+4,10,31)-F126)/365.25)=0,(12-DowntimeNew)/12,1),IF(I126="LeaseUp",H126*D126*(1+GrowthMarketRent)^4*IF(4=0,(12-DowntimeNew)/12,1),0)))),((F126-DATE(2026+4,5,1))/365.25)*G126*D126*(1+EscalatorInLease)^(4+M126)+((DATE(2027+4,4,30)-F126)/365.25)*IF(I126="Vacate",H126*D126*(1+GrowthMarketRent)^4*IF(INT((DATE(2026+4,10,31)-F126)/365.25)=0,(12-DowntimeNew)/12,1),IF(I126="Option",G126*D126*1.025*(1+EscalatorInLease)^4,IF(I126="Market",Retention*G126*D126*(1+EscalatorInLease)^(4+M126)+(1-Retention)*H126*D126*(1+GrowthMarketRent)^4*IF(INT((DATE(2026+4,10,31)-F126)/365.25)=0,(12-DowntimeNew)/12,1),IF(I126="LeaseUp",H126*D126*(1+GrowthMarketRent)^4*IF(4=0,(12-DowntimeNew)/12,1),0)))))))),0)</f>
        <v/>
      </c>
      <c r="S126" s="14">
        <f>IFERROR(IF(I126="LeaseUp",H126*D126*(1+GrowthMarketRent)^5*IF(5=0,(12-DowntimeNew)/12,1),IF(F126="",0,IF(F126&gt;=DATE(2027+5,4,30),G126*D126*(1+EscalatorInLease)^(5+M126),IF(F126&lt;DATE(2026+5,5,1),IF(I126="Vacate",H126*D126*(1+GrowthMarketRent)^5*IF(INT((DATE(2026+5,10,31)-F126)/365.25)=0,(12-DowntimeNew)/12,1),IF(I126="Option",G126*D126*1.025*(1+EscalatorInLease)^5,IF(I126="Market",Retention*G126*D126*(1+EscalatorInLease)^(5+M126)+(1-Retention)*H126*D126*(1+GrowthMarketRent)^5*IF(INT((DATE(2026+5,10,31)-F126)/365.25)=0,(12-DowntimeNew)/12,1),IF(I126="LeaseUp",H126*D126*(1+GrowthMarketRent)^5*IF(5=0,(12-DowntimeNew)/12,1),0)))),((F126-DATE(2026+5,5,1))/365.25)*G126*D126*(1+EscalatorInLease)^(5+M126)+((DATE(2027+5,4,30)-F126)/365.25)*IF(I126="Vacate",H126*D126*(1+GrowthMarketRent)^5*IF(INT((DATE(2026+5,10,31)-F126)/365.25)=0,(12-DowntimeNew)/12,1),IF(I126="Option",G126*D126*1.025*(1+EscalatorInLease)^5,IF(I126="Market",Retention*G126*D126*(1+EscalatorInLease)^(5+M126)+(1-Retention)*H126*D126*(1+GrowthMarketRent)^5*IF(INT((DATE(2026+5,10,31)-F126)/365.25)=0,(12-DowntimeNew)/12,1),IF(I126="LeaseUp",H126*D126*(1+GrowthMarketRent)^5*IF(5=0,(12-DowntimeNew)/12,1),0)))))))),0)</f>
        <v/>
      </c>
      <c r="T126" s="14">
        <f>IFERROR(IF(I126="LeaseUp",H126*D126*(1+GrowthMarketRent)^6*IF(6=0,(12-DowntimeNew)/12,1),IF(F126="",0,IF(F126&gt;=DATE(2027+6,4,30),G126*D126*(1+EscalatorInLease)^(6+M126),IF(F126&lt;DATE(2026+6,5,1),IF(I126="Vacate",H126*D126*(1+GrowthMarketRent)^6*IF(INT((DATE(2026+6,10,31)-F126)/365.25)=0,(12-DowntimeNew)/12,1),IF(I126="Option",G126*D126*1.025*(1+EscalatorInLease)^6,IF(I126="Market",Retention*G126*D126*(1+EscalatorInLease)^(6+M126)+(1-Retention)*H126*D126*(1+GrowthMarketRent)^6*IF(INT((DATE(2026+6,10,31)-F126)/365.25)=0,(12-DowntimeNew)/12,1),IF(I126="LeaseUp",H126*D126*(1+GrowthMarketRent)^6*IF(6=0,(12-DowntimeNew)/12,1),0)))),((F126-DATE(2026+6,5,1))/365.25)*G126*D126*(1+EscalatorInLease)^(6+M126)+((DATE(2027+6,4,30)-F126)/365.25)*IF(I126="Vacate",H126*D126*(1+GrowthMarketRent)^6*IF(INT((DATE(2026+6,10,31)-F126)/365.25)=0,(12-DowntimeNew)/12,1),IF(I126="Option",G126*D126*1.025*(1+EscalatorInLease)^6,IF(I126="Market",Retention*G126*D126*(1+EscalatorInLease)^(6+M126)+(1-Retention)*H126*D126*(1+GrowthMarketRent)^6*IF(INT((DATE(2026+6,10,31)-F126)/365.25)=0,(12-DowntimeNew)/12,1),IF(I126="LeaseUp",H126*D126*(1+GrowthMarketRent)^6*IF(6=0,(12-DowntimeNew)/12,1),0)))))))),0)</f>
        <v/>
      </c>
      <c r="U126" s="14">
        <f>IFERROR(IF(I126="LeaseUp",H126*D126*(1+GrowthMarketRent)^7*IF(7=0,(12-DowntimeNew)/12,1),IF(F126="",0,IF(F126&gt;=DATE(2027+7,4,30),G126*D126*(1+EscalatorInLease)^(7+M126),IF(F126&lt;DATE(2026+7,5,1),IF(I126="Vacate",H126*D126*(1+GrowthMarketRent)^7*IF(INT((DATE(2026+7,10,31)-F126)/365.25)=0,(12-DowntimeNew)/12,1),IF(I126="Option",G126*D126*1.025*(1+EscalatorInLease)^7,IF(I126="Market",Retention*G126*D126*(1+EscalatorInLease)^(7+M126)+(1-Retention)*H126*D126*(1+GrowthMarketRent)^7*IF(INT((DATE(2026+7,10,31)-F126)/365.25)=0,(12-DowntimeNew)/12,1),IF(I126="LeaseUp",H126*D126*(1+GrowthMarketRent)^7*IF(7=0,(12-DowntimeNew)/12,1),0)))),((F126-DATE(2026+7,5,1))/365.25)*G126*D126*(1+EscalatorInLease)^(7+M126)+((DATE(2027+7,4,30)-F126)/365.25)*IF(I126="Vacate",H126*D126*(1+GrowthMarketRent)^7*IF(INT((DATE(2026+7,10,31)-F126)/365.25)=0,(12-DowntimeNew)/12,1),IF(I126="Option",G126*D126*1.025*(1+EscalatorInLease)^7,IF(I126="Market",Retention*G126*D126*(1+EscalatorInLease)^(7+M126)+(1-Retention)*H126*D126*(1+GrowthMarketRent)^7*IF(INT((DATE(2026+7,10,31)-F126)/365.25)=0,(12-DowntimeNew)/12,1),IF(I126="LeaseUp",H126*D126*(1+GrowthMarketRent)^7*IF(7=0,(12-DowntimeNew)/12,1),0)))))))),0)</f>
        <v/>
      </c>
      <c r="V126" s="14">
        <f>IFERROR(IF(I126="LeaseUp",H126*D126*(1+GrowthMarketRent)^8*IF(8=0,(12-DowntimeNew)/12,1),IF(F126="",0,IF(F126&gt;=DATE(2027+8,4,30),G126*D126*(1+EscalatorInLease)^(8+M126),IF(F126&lt;DATE(2026+8,5,1),IF(I126="Vacate",H126*D126*(1+GrowthMarketRent)^8*IF(INT((DATE(2026+8,10,31)-F126)/365.25)=0,(12-DowntimeNew)/12,1),IF(I126="Option",G126*D126*1.025*(1+EscalatorInLease)^8,IF(I126="Market",Retention*G126*D126*(1+EscalatorInLease)^(8+M126)+(1-Retention)*H126*D126*(1+GrowthMarketRent)^8*IF(INT((DATE(2026+8,10,31)-F126)/365.25)=0,(12-DowntimeNew)/12,1),IF(I126="LeaseUp",H126*D126*(1+GrowthMarketRent)^8*IF(8=0,(12-DowntimeNew)/12,1),0)))),((F126-DATE(2026+8,5,1))/365.25)*G126*D126*(1+EscalatorInLease)^(8+M126)+((DATE(2027+8,4,30)-F126)/365.25)*IF(I126="Vacate",H126*D126*(1+GrowthMarketRent)^8*IF(INT((DATE(2026+8,10,31)-F126)/365.25)=0,(12-DowntimeNew)/12,1),IF(I126="Option",G126*D126*1.025*(1+EscalatorInLease)^8,IF(I126="Market",Retention*G126*D126*(1+EscalatorInLease)^(8+M126)+(1-Retention)*H126*D126*(1+GrowthMarketRent)^8*IF(INT((DATE(2026+8,10,31)-F126)/365.25)=0,(12-DowntimeNew)/12,1),IF(I126="LeaseUp",H126*D126*(1+GrowthMarketRent)^8*IF(8=0,(12-DowntimeNew)/12,1),0)))))))),0)</f>
        <v/>
      </c>
      <c r="W126" s="14">
        <f>IFERROR(IF(I126="LeaseUp",H126*D126*(1+GrowthMarketRent)^9*IF(9=0,(12-DowntimeNew)/12,1),IF(F126="",0,IF(F126&gt;=DATE(2027+9,4,30),G126*D126*(1+EscalatorInLease)^(9+M126),IF(F126&lt;DATE(2026+9,5,1),IF(I126="Vacate",H126*D126*(1+GrowthMarketRent)^9*IF(INT((DATE(2026+9,10,31)-F126)/365.25)=0,(12-DowntimeNew)/12,1),IF(I126="Option",G126*D126*1.025*(1+EscalatorInLease)^9,IF(I126="Market",Retention*G126*D126*(1+EscalatorInLease)^(9+M126)+(1-Retention)*H126*D126*(1+GrowthMarketRent)^9*IF(INT((DATE(2026+9,10,31)-F126)/365.25)=0,(12-DowntimeNew)/12,1),IF(I126="LeaseUp",H126*D126*(1+GrowthMarketRent)^9*IF(9=0,(12-DowntimeNew)/12,1),0)))),((F126-DATE(2026+9,5,1))/365.25)*G126*D126*(1+EscalatorInLease)^(9+M126)+((DATE(2027+9,4,30)-F126)/365.25)*IF(I126="Vacate",H126*D126*(1+GrowthMarketRent)^9*IF(INT((DATE(2026+9,10,31)-F126)/365.25)=0,(12-DowntimeNew)/12,1),IF(I126="Option",G126*D126*1.025*(1+EscalatorInLease)^9,IF(I126="Market",Retention*G126*D126*(1+EscalatorInLease)^(9+M126)+(1-Retention)*H126*D126*(1+GrowthMarketRent)^9*IF(INT((DATE(2026+9,10,31)-F126)/365.25)=0,(12-DowntimeNew)/12,1),IF(I126="LeaseUp",H126*D126*(1+GrowthMarketRent)^9*IF(9=0,(12-DowntimeNew)/12,1),0)))))))),0)</f>
        <v/>
      </c>
      <c r="X126" s="14">
        <f>IFERROR(IF(I126="LeaseUp",H126*D126*(1+GrowthMarketRent)^10*IF(10=0,(12-DowntimeNew)/12,1),IF(F126="",0,IF(F126&gt;=DATE(2027+10,4,30),G126*D126*(1+EscalatorInLease)^(10+M126),IF(F126&lt;DATE(2026+10,5,1),IF(I126="Vacate",H126*D126*(1+GrowthMarketRent)^10*IF(INT((DATE(2026+10,10,31)-F126)/365.25)=0,(12-DowntimeNew)/12,1),IF(I126="Option",G126*D126*1.025*(1+EscalatorInLease)^10,IF(I126="Market",Retention*G126*D126*(1+EscalatorInLease)^(10+M126)+(1-Retention)*H126*D126*(1+GrowthMarketRent)^10*IF(INT((DATE(2026+10,10,31)-F126)/365.25)=0,(12-DowntimeNew)/12,1),IF(I126="LeaseUp",H126*D126*(1+GrowthMarketRent)^10*IF(10=0,(12-DowntimeNew)/12,1),0)))),((F126-DATE(2026+10,5,1))/365.25)*G126*D126*(1+EscalatorInLease)^(10+M126)+((DATE(2027+10,4,30)-F126)/365.25)*IF(I126="Vacate",H126*D126*(1+GrowthMarketRent)^10*IF(INT((DATE(2026+10,10,31)-F126)/365.25)=0,(12-DowntimeNew)/12,1),IF(I126="Option",G126*D126*1.025*(1+EscalatorInLease)^10,IF(I126="Market",Retention*G126*D126*(1+EscalatorInLease)^(10+M126)+(1-Retention)*H126*D126*(1+GrowthMarketRent)^10*IF(INT((DATE(2026+10,10,31)-F126)/365.25)=0,(12-DowntimeNew)/12,1),IF(I126="LeaseUp",H126*D126*(1+GrowthMarketRent)^10*IF(10=0,(12-DowntimeNew)/12,1),0)))))))),0)</f>
        <v/>
      </c>
      <c r="Y126" s="14">
        <f>IFERROR(IF(AND(I126="LeaseUp",0=0),(IF(I126="Vacate",TINew*D126,IF(I126="Market",Retention*TIRenewal*D126+(1-Retention)*TINew*D126,IF(I126="LeaseUp",TINew*D126,IF(I126="Option",TIRenewal*D126,0)))))+(IF(I126="Vacate",LCNew*H126*D126*(1+GrowthMarketRent)^0,IF(I126="Market",Retention*LCRenewal*H126*D126*(1+GrowthMarketRent)^0+(1-Retention)*LCNew*H126*D126*(1+GrowthMarketRent)^0,IF(I126="LeaseUp",LCNew*H126*D126*(1+GrowthMarketRent)^0,IF(I126="Option",LCRenewal*H126*D126*(1+GrowthMarketRent)^0,0))))),IF(F126="",0,IF(AND(F126&gt;=DATE(2026+0,5,1),F126&lt;=DATE(2027+0,4,30)),(IF(I126="Vacate",TINew*D126,IF(I126="Market",Retention*TIRenewal*D126+(1-Retention)*TINew*D126,IF(I126="LeaseUp",TINew*D126,IF(I126="Option",TIRenewal*D126,0)))))+(IF(I126="Vacate",LCNew*H126*D126*(1+GrowthMarketRent)^0,IF(I126="Market",Retention*LCRenewal*H126*D126*(1+GrowthMarketRent)^0+(1-Retention)*LCNew*H126*D126*(1+GrowthMarketRent)^0,IF(I126="LeaseUp",LCNew*H126*D126*(1+GrowthMarketRent)^0,IF(I126="Option",LCRenewal*H126*D126*(1+GrowthMarketRent)^0,0))))),0))),0)</f>
        <v/>
      </c>
      <c r="Z126" s="14">
        <f>IFERROR(IF(AND(I126="LeaseUp",1=0),(IF(I126="Vacate",TINew*D126,IF(I126="Market",Retention*TIRenewal*D126+(1-Retention)*TINew*D126,IF(I126="LeaseUp",TINew*D126,IF(I126="Option",TIRenewal*D126,0)))))+(IF(I126="Vacate",LCNew*H126*D126*(1+GrowthMarketRent)^1,IF(I126="Market",Retention*LCRenewal*H126*D126*(1+GrowthMarketRent)^1+(1-Retention)*LCNew*H126*D126*(1+GrowthMarketRent)^1,IF(I126="LeaseUp",LCNew*H126*D126*(1+GrowthMarketRent)^1,IF(I126="Option",LCRenewal*H126*D126*(1+GrowthMarketRent)^1,0))))),IF(F126="",0,IF(AND(F126&gt;=DATE(2026+1,5,1),F126&lt;=DATE(2027+1,4,30)),(IF(I126="Vacate",TINew*D126,IF(I126="Market",Retention*TIRenewal*D126+(1-Retention)*TINew*D126,IF(I126="LeaseUp",TINew*D126,IF(I126="Option",TIRenewal*D126,0)))))+(IF(I126="Vacate",LCNew*H126*D126*(1+GrowthMarketRent)^1,IF(I126="Market",Retention*LCRenewal*H126*D126*(1+GrowthMarketRent)^1+(1-Retention)*LCNew*H126*D126*(1+GrowthMarketRent)^1,IF(I126="LeaseUp",LCNew*H126*D126*(1+GrowthMarketRent)^1,IF(I126="Option",LCRenewal*H126*D126*(1+GrowthMarketRent)^1,0))))),0))),0)</f>
        <v/>
      </c>
      <c r="AA126" s="14">
        <f>IFERROR(IF(AND(I126="LeaseUp",2=0),(IF(I126="Vacate",TINew*D126,IF(I126="Market",Retention*TIRenewal*D126+(1-Retention)*TINew*D126,IF(I126="LeaseUp",TINew*D126,IF(I126="Option",TIRenewal*D126,0)))))+(IF(I126="Vacate",LCNew*H126*D126*(1+GrowthMarketRent)^2,IF(I126="Market",Retention*LCRenewal*H126*D126*(1+GrowthMarketRent)^2+(1-Retention)*LCNew*H126*D126*(1+GrowthMarketRent)^2,IF(I126="LeaseUp",LCNew*H126*D126*(1+GrowthMarketRent)^2,IF(I126="Option",LCRenewal*H126*D126*(1+GrowthMarketRent)^2,0))))),IF(F126="",0,IF(AND(F126&gt;=DATE(2026+2,5,1),F126&lt;=DATE(2027+2,4,30)),(IF(I126="Vacate",TINew*D126,IF(I126="Market",Retention*TIRenewal*D126+(1-Retention)*TINew*D126,IF(I126="LeaseUp",TINew*D126,IF(I126="Option",TIRenewal*D126,0)))))+(IF(I126="Vacate",LCNew*H126*D126*(1+GrowthMarketRent)^2,IF(I126="Market",Retention*LCRenewal*H126*D126*(1+GrowthMarketRent)^2+(1-Retention)*LCNew*H126*D126*(1+GrowthMarketRent)^2,IF(I126="LeaseUp",LCNew*H126*D126*(1+GrowthMarketRent)^2,IF(I126="Option",LCRenewal*H126*D126*(1+GrowthMarketRent)^2,0))))),0))),0)</f>
        <v/>
      </c>
      <c r="AB126" s="14">
        <f>IFERROR(IF(AND(I126="LeaseUp",3=0),(IF(I126="Vacate",TINew*D126,IF(I126="Market",Retention*TIRenewal*D126+(1-Retention)*TINew*D126,IF(I126="LeaseUp",TINew*D126,IF(I126="Option",TIRenewal*D126,0)))))+(IF(I126="Vacate",LCNew*H126*D126*(1+GrowthMarketRent)^3,IF(I126="Market",Retention*LCRenewal*H126*D126*(1+GrowthMarketRent)^3+(1-Retention)*LCNew*H126*D126*(1+GrowthMarketRent)^3,IF(I126="LeaseUp",LCNew*H126*D126*(1+GrowthMarketRent)^3,IF(I126="Option",LCRenewal*H126*D126*(1+GrowthMarketRent)^3,0))))),IF(F126="",0,IF(AND(F126&gt;=DATE(2026+3,5,1),F126&lt;=DATE(2027+3,4,30)),(IF(I126="Vacate",TINew*D126,IF(I126="Market",Retention*TIRenewal*D126+(1-Retention)*TINew*D126,IF(I126="LeaseUp",TINew*D126,IF(I126="Option",TIRenewal*D126,0)))))+(IF(I126="Vacate",LCNew*H126*D126*(1+GrowthMarketRent)^3,IF(I126="Market",Retention*LCRenewal*H126*D126*(1+GrowthMarketRent)^3+(1-Retention)*LCNew*H126*D126*(1+GrowthMarketRent)^3,IF(I126="LeaseUp",LCNew*H126*D126*(1+GrowthMarketRent)^3,IF(I126="Option",LCRenewal*H126*D126*(1+GrowthMarketRent)^3,0))))),0))),0)</f>
        <v/>
      </c>
      <c r="AC126" s="14">
        <f>IFERROR(IF(AND(I126="LeaseUp",4=0),(IF(I126="Vacate",TINew*D126,IF(I126="Market",Retention*TIRenewal*D126+(1-Retention)*TINew*D126,IF(I126="LeaseUp",TINew*D126,IF(I126="Option",TIRenewal*D126,0)))))+(IF(I126="Vacate",LCNew*H126*D126*(1+GrowthMarketRent)^4,IF(I126="Market",Retention*LCRenewal*H126*D126*(1+GrowthMarketRent)^4+(1-Retention)*LCNew*H126*D126*(1+GrowthMarketRent)^4,IF(I126="LeaseUp",LCNew*H126*D126*(1+GrowthMarketRent)^4,IF(I126="Option",LCRenewal*H126*D126*(1+GrowthMarketRent)^4,0))))),IF(F126="",0,IF(AND(F126&gt;=DATE(2026+4,5,1),F126&lt;=DATE(2027+4,4,30)),(IF(I126="Vacate",TINew*D126,IF(I126="Market",Retention*TIRenewal*D126+(1-Retention)*TINew*D126,IF(I126="LeaseUp",TINew*D126,IF(I126="Option",TIRenewal*D126,0)))))+(IF(I126="Vacate",LCNew*H126*D126*(1+GrowthMarketRent)^4,IF(I126="Market",Retention*LCRenewal*H126*D126*(1+GrowthMarketRent)^4+(1-Retention)*LCNew*H126*D126*(1+GrowthMarketRent)^4,IF(I126="LeaseUp",LCNew*H126*D126*(1+GrowthMarketRent)^4,IF(I126="Option",LCRenewal*H126*D126*(1+GrowthMarketRent)^4,0))))),0))),0)</f>
        <v/>
      </c>
      <c r="AD126" s="14">
        <f>IFERROR(IF(AND(I126="LeaseUp",5=0),(IF(I126="Vacate",TINew*D126,IF(I126="Market",Retention*TIRenewal*D126+(1-Retention)*TINew*D126,IF(I126="LeaseUp",TINew*D126,IF(I126="Option",TIRenewal*D126,0)))))+(IF(I126="Vacate",LCNew*H126*D126*(1+GrowthMarketRent)^5,IF(I126="Market",Retention*LCRenewal*H126*D126*(1+GrowthMarketRent)^5+(1-Retention)*LCNew*H126*D126*(1+GrowthMarketRent)^5,IF(I126="LeaseUp",LCNew*H126*D126*(1+GrowthMarketRent)^5,IF(I126="Option",LCRenewal*H126*D126*(1+GrowthMarketRent)^5,0))))),IF(F126="",0,IF(AND(F126&gt;=DATE(2026+5,5,1),F126&lt;=DATE(2027+5,4,30)),(IF(I126="Vacate",TINew*D126,IF(I126="Market",Retention*TIRenewal*D126+(1-Retention)*TINew*D126,IF(I126="LeaseUp",TINew*D126,IF(I126="Option",TIRenewal*D126,0)))))+(IF(I126="Vacate",LCNew*H126*D126*(1+GrowthMarketRent)^5,IF(I126="Market",Retention*LCRenewal*H126*D126*(1+GrowthMarketRent)^5+(1-Retention)*LCNew*H126*D126*(1+GrowthMarketRent)^5,IF(I126="LeaseUp",LCNew*H126*D126*(1+GrowthMarketRent)^5,IF(I126="Option",LCRenewal*H126*D126*(1+GrowthMarketRent)^5,0))))),0))),0)</f>
        <v/>
      </c>
      <c r="AE126" s="14">
        <f>IFERROR(IF(AND(I126="LeaseUp",6=0),(IF(I126="Vacate",TINew*D126,IF(I126="Market",Retention*TIRenewal*D126+(1-Retention)*TINew*D126,IF(I126="LeaseUp",TINew*D126,IF(I126="Option",TIRenewal*D126,0)))))+(IF(I126="Vacate",LCNew*H126*D126*(1+GrowthMarketRent)^6,IF(I126="Market",Retention*LCRenewal*H126*D126*(1+GrowthMarketRent)^6+(1-Retention)*LCNew*H126*D126*(1+GrowthMarketRent)^6,IF(I126="LeaseUp",LCNew*H126*D126*(1+GrowthMarketRent)^6,IF(I126="Option",LCRenewal*H126*D126*(1+GrowthMarketRent)^6,0))))),IF(F126="",0,IF(AND(F126&gt;=DATE(2026+6,5,1),F126&lt;=DATE(2027+6,4,30)),(IF(I126="Vacate",TINew*D126,IF(I126="Market",Retention*TIRenewal*D126+(1-Retention)*TINew*D126,IF(I126="LeaseUp",TINew*D126,IF(I126="Option",TIRenewal*D126,0)))))+(IF(I126="Vacate",LCNew*H126*D126*(1+GrowthMarketRent)^6,IF(I126="Market",Retention*LCRenewal*H126*D126*(1+GrowthMarketRent)^6+(1-Retention)*LCNew*H126*D126*(1+GrowthMarketRent)^6,IF(I126="LeaseUp",LCNew*H126*D126*(1+GrowthMarketRent)^6,IF(I126="Option",LCRenewal*H126*D126*(1+GrowthMarketRent)^6,0))))),0))),0)</f>
        <v/>
      </c>
      <c r="AF126" s="14">
        <f>IFERROR(IF(AND(I126="LeaseUp",7=0),(IF(I126="Vacate",TINew*D126,IF(I126="Market",Retention*TIRenewal*D126+(1-Retention)*TINew*D126,IF(I126="LeaseUp",TINew*D126,IF(I126="Option",TIRenewal*D126,0)))))+(IF(I126="Vacate",LCNew*H126*D126*(1+GrowthMarketRent)^7,IF(I126="Market",Retention*LCRenewal*H126*D126*(1+GrowthMarketRent)^7+(1-Retention)*LCNew*H126*D126*(1+GrowthMarketRent)^7,IF(I126="LeaseUp",LCNew*H126*D126*(1+GrowthMarketRent)^7,IF(I126="Option",LCRenewal*H126*D126*(1+GrowthMarketRent)^7,0))))),IF(F126="",0,IF(AND(F126&gt;=DATE(2026+7,5,1),F126&lt;=DATE(2027+7,4,30)),(IF(I126="Vacate",TINew*D126,IF(I126="Market",Retention*TIRenewal*D126+(1-Retention)*TINew*D126,IF(I126="LeaseUp",TINew*D126,IF(I126="Option",TIRenewal*D126,0)))))+(IF(I126="Vacate",LCNew*H126*D126*(1+GrowthMarketRent)^7,IF(I126="Market",Retention*LCRenewal*H126*D126*(1+GrowthMarketRent)^7+(1-Retention)*LCNew*H126*D126*(1+GrowthMarketRent)^7,IF(I126="LeaseUp",LCNew*H126*D126*(1+GrowthMarketRent)^7,IF(I126="Option",LCRenewal*H126*D126*(1+GrowthMarketRent)^7,0))))),0))),0)</f>
        <v/>
      </c>
      <c r="AG126" s="14">
        <f>IFERROR(IF(AND(I126="LeaseUp",8=0),(IF(I126="Vacate",TINew*D126,IF(I126="Market",Retention*TIRenewal*D126+(1-Retention)*TINew*D126,IF(I126="LeaseUp",TINew*D126,IF(I126="Option",TIRenewal*D126,0)))))+(IF(I126="Vacate",LCNew*H126*D126*(1+GrowthMarketRent)^8,IF(I126="Market",Retention*LCRenewal*H126*D126*(1+GrowthMarketRent)^8+(1-Retention)*LCNew*H126*D126*(1+GrowthMarketRent)^8,IF(I126="LeaseUp",LCNew*H126*D126*(1+GrowthMarketRent)^8,IF(I126="Option",LCRenewal*H126*D126*(1+GrowthMarketRent)^8,0))))),IF(F126="",0,IF(AND(F126&gt;=DATE(2026+8,5,1),F126&lt;=DATE(2027+8,4,30)),(IF(I126="Vacate",TINew*D126,IF(I126="Market",Retention*TIRenewal*D126+(1-Retention)*TINew*D126,IF(I126="LeaseUp",TINew*D126,IF(I126="Option",TIRenewal*D126,0)))))+(IF(I126="Vacate",LCNew*H126*D126*(1+GrowthMarketRent)^8,IF(I126="Market",Retention*LCRenewal*H126*D126*(1+GrowthMarketRent)^8+(1-Retention)*LCNew*H126*D126*(1+GrowthMarketRent)^8,IF(I126="LeaseUp",LCNew*H126*D126*(1+GrowthMarketRent)^8,IF(I126="Option",LCRenewal*H126*D126*(1+GrowthMarketRent)^8,0))))),0))),0)</f>
        <v/>
      </c>
      <c r="AH126" s="14">
        <f>IFERROR(IF(AND(I126="LeaseUp",9=0),(IF(I126="Vacate",TINew*D126,IF(I126="Market",Retention*TIRenewal*D126+(1-Retention)*TINew*D126,IF(I126="LeaseUp",TINew*D126,IF(I126="Option",TIRenewal*D126,0)))))+(IF(I126="Vacate",LCNew*H126*D126*(1+GrowthMarketRent)^9,IF(I126="Market",Retention*LCRenewal*H126*D126*(1+GrowthMarketRent)^9+(1-Retention)*LCNew*H126*D126*(1+GrowthMarketRent)^9,IF(I126="LeaseUp",LCNew*H126*D126*(1+GrowthMarketRent)^9,IF(I126="Option",LCRenewal*H126*D126*(1+GrowthMarketRent)^9,0))))),IF(F126="",0,IF(AND(F126&gt;=DATE(2026+9,5,1),F126&lt;=DATE(2027+9,4,30)),(IF(I126="Vacate",TINew*D126,IF(I126="Market",Retention*TIRenewal*D126+(1-Retention)*TINew*D126,IF(I126="LeaseUp",TINew*D126,IF(I126="Option",TIRenewal*D126,0)))))+(IF(I126="Vacate",LCNew*H126*D126*(1+GrowthMarketRent)^9,IF(I126="Market",Retention*LCRenewal*H126*D126*(1+GrowthMarketRent)^9+(1-Retention)*LCNew*H126*D126*(1+GrowthMarketRent)^9,IF(I126="LeaseUp",LCNew*H126*D126*(1+GrowthMarketRent)^9,IF(I126="Option",LCRenewal*H126*D126*(1+GrowthMarketRent)^9,0))))),0))),0)</f>
        <v/>
      </c>
      <c r="AI126" s="14">
        <f>IFERROR(IF(AND(I126="LeaseUp",10=0),(IF(I126="Vacate",TINew*D126,IF(I126="Market",Retention*TIRenewal*D126+(1-Retention)*TINew*D126,IF(I126="LeaseUp",TINew*D126,IF(I126="Option",TIRenewal*D126,0)))))+(IF(I126="Vacate",LCNew*H126*D126*(1+GrowthMarketRent)^10,IF(I126="Market",Retention*LCRenewal*H126*D126*(1+GrowthMarketRent)^10+(1-Retention)*LCNew*H126*D126*(1+GrowthMarketRent)^10,IF(I126="LeaseUp",LCNew*H126*D126*(1+GrowthMarketRent)^10,IF(I126="Option",LCRenewal*H126*D126*(1+GrowthMarketRent)^10,0))))),IF(F126="",0,IF(AND(F126&gt;=DATE(2026+10,5,1),F126&lt;=DATE(2027+10,4,30)),(IF(I126="Vacate",TINew*D126,IF(I126="Market",Retention*TIRenewal*D126+(1-Retention)*TINew*D126,IF(I126="LeaseUp",TINew*D126,IF(I126="Option",TIRenewal*D126,0)))))+(IF(I126="Vacate",LCNew*H126*D126*(1+GrowthMarketRent)^10,IF(I126="Market",Retention*LCRenewal*H126*D126*(1+GrowthMarketRent)^10+(1-Retention)*LCNew*H126*D126*(1+GrowthMarketRent)^10,IF(I126="LeaseUp",LCNew*H126*D126*(1+GrowthMarketRent)^10,IF(I126="Option",LCRenewal*H126*D126*(1+GrowthMarketRent)^10,0))))),0))),0)</f>
        <v/>
      </c>
    </row>
    <row r="127">
      <c r="A127" t="inlineStr">
        <is>
          <t>Roanoke</t>
        </is>
      </c>
      <c r="B127" t="inlineStr">
        <is>
          <t>116A</t>
        </is>
      </c>
      <c r="C127" t="inlineStr">
        <is>
          <t>Texas Upholstery and Trim LLC</t>
        </is>
      </c>
      <c r="D127" s="32" t="n">
        <v>2600</v>
      </c>
      <c r="E127" s="33" t="n">
        <v>45931</v>
      </c>
      <c r="F127" s="33" t="n">
        <v>47178</v>
      </c>
      <c r="G127" s="34" t="n">
        <v>18</v>
      </c>
      <c r="H127" s="16">
        <f>VLOOKUP(A127,MLA!$A$5:$L$11,3,FALSE)</f>
        <v/>
      </c>
      <c r="I127" s="11" t="inlineStr">
        <is>
          <t>Option</t>
        </is>
      </c>
      <c r="J127" t="inlineStr">
        <is>
          <t>Shop</t>
        </is>
      </c>
      <c r="K127" t="inlineStr">
        <is>
          <t>Occupied</t>
        </is>
      </c>
      <c r="L127" t="inlineStr">
        <is>
          <t>Shop; Guarantor: P. Valentino Gomez; Two 3yr options @ FMV</t>
        </is>
      </c>
      <c r="M127" s="20">
        <f>IF(E127="",0,(AnalysisStart-E127)/365.25)</f>
        <v/>
      </c>
      <c r="N127" s="14">
        <f>IFERROR(IF(I127="LeaseUp",H127*D127*(1+GrowthMarketRent)^0*IF(0=0,(12-DowntimeNew)/12,1),IF(F127="",0,IF(F127&gt;=DATE(2027+0,4,30),G127*D127*(1+EscalatorInLease)^(0+M127),IF(F127&lt;DATE(2026+0,5,1),IF(I127="Vacate",H127*D127*(1+GrowthMarketRent)^0*IF(INT((DATE(2026+0,10,31)-F127)/365.25)=0,(12-DowntimeNew)/12,1),IF(I127="Option",G127*D127*1.025*(1+EscalatorInLease)^0,IF(I127="Market",Retention*G127*D127*(1+EscalatorInLease)^(0+M127)+(1-Retention)*H127*D127*(1+GrowthMarketRent)^0*IF(INT((DATE(2026+0,10,31)-F127)/365.25)=0,(12-DowntimeNew)/12,1),IF(I127="LeaseUp",H127*D127*(1+GrowthMarketRent)^0*IF(0=0,(12-DowntimeNew)/12,1),0)))),((F127-DATE(2026+0,5,1))/365.25)*G127*D127*(1+EscalatorInLease)^(0+M127)+((DATE(2027+0,4,30)-F127)/365.25)*IF(I127="Vacate",H127*D127*(1+GrowthMarketRent)^0*IF(INT((DATE(2026+0,10,31)-F127)/365.25)=0,(12-DowntimeNew)/12,1),IF(I127="Option",G127*D127*1.025*(1+EscalatorInLease)^0,IF(I127="Market",Retention*G127*D127*(1+EscalatorInLease)^(0+M127)+(1-Retention)*H127*D127*(1+GrowthMarketRent)^0*IF(INT((DATE(2026+0,10,31)-F127)/365.25)=0,(12-DowntimeNew)/12,1),IF(I127="LeaseUp",H127*D127*(1+GrowthMarketRent)^0*IF(0=0,(12-DowntimeNew)/12,1),0)))))))),0)</f>
        <v/>
      </c>
      <c r="O127" s="14">
        <f>IFERROR(IF(I127="LeaseUp",H127*D127*(1+GrowthMarketRent)^1*IF(1=0,(12-DowntimeNew)/12,1),IF(F127="",0,IF(F127&gt;=DATE(2027+1,4,30),G127*D127*(1+EscalatorInLease)^(1+M127),IF(F127&lt;DATE(2026+1,5,1),IF(I127="Vacate",H127*D127*(1+GrowthMarketRent)^1*IF(INT((DATE(2026+1,10,31)-F127)/365.25)=0,(12-DowntimeNew)/12,1),IF(I127="Option",G127*D127*1.025*(1+EscalatorInLease)^1,IF(I127="Market",Retention*G127*D127*(1+EscalatorInLease)^(1+M127)+(1-Retention)*H127*D127*(1+GrowthMarketRent)^1*IF(INT((DATE(2026+1,10,31)-F127)/365.25)=0,(12-DowntimeNew)/12,1),IF(I127="LeaseUp",H127*D127*(1+GrowthMarketRent)^1*IF(1=0,(12-DowntimeNew)/12,1),0)))),((F127-DATE(2026+1,5,1))/365.25)*G127*D127*(1+EscalatorInLease)^(1+M127)+((DATE(2027+1,4,30)-F127)/365.25)*IF(I127="Vacate",H127*D127*(1+GrowthMarketRent)^1*IF(INT((DATE(2026+1,10,31)-F127)/365.25)=0,(12-DowntimeNew)/12,1),IF(I127="Option",G127*D127*1.025*(1+EscalatorInLease)^1,IF(I127="Market",Retention*G127*D127*(1+EscalatorInLease)^(1+M127)+(1-Retention)*H127*D127*(1+GrowthMarketRent)^1*IF(INT((DATE(2026+1,10,31)-F127)/365.25)=0,(12-DowntimeNew)/12,1),IF(I127="LeaseUp",H127*D127*(1+GrowthMarketRent)^1*IF(1=0,(12-DowntimeNew)/12,1),0)))))))),0)</f>
        <v/>
      </c>
      <c r="P127" s="14">
        <f>IFERROR(IF(I127="LeaseUp",H127*D127*(1+GrowthMarketRent)^2*IF(2=0,(12-DowntimeNew)/12,1),IF(F127="",0,IF(F127&gt;=DATE(2027+2,4,30),G127*D127*(1+EscalatorInLease)^(2+M127),IF(F127&lt;DATE(2026+2,5,1),IF(I127="Vacate",H127*D127*(1+GrowthMarketRent)^2*IF(INT((DATE(2026+2,10,31)-F127)/365.25)=0,(12-DowntimeNew)/12,1),IF(I127="Option",G127*D127*1.025*(1+EscalatorInLease)^2,IF(I127="Market",Retention*G127*D127*(1+EscalatorInLease)^(2+M127)+(1-Retention)*H127*D127*(1+GrowthMarketRent)^2*IF(INT((DATE(2026+2,10,31)-F127)/365.25)=0,(12-DowntimeNew)/12,1),IF(I127="LeaseUp",H127*D127*(1+GrowthMarketRent)^2*IF(2=0,(12-DowntimeNew)/12,1),0)))),((F127-DATE(2026+2,5,1))/365.25)*G127*D127*(1+EscalatorInLease)^(2+M127)+((DATE(2027+2,4,30)-F127)/365.25)*IF(I127="Vacate",H127*D127*(1+GrowthMarketRent)^2*IF(INT((DATE(2026+2,10,31)-F127)/365.25)=0,(12-DowntimeNew)/12,1),IF(I127="Option",G127*D127*1.025*(1+EscalatorInLease)^2,IF(I127="Market",Retention*G127*D127*(1+EscalatorInLease)^(2+M127)+(1-Retention)*H127*D127*(1+GrowthMarketRent)^2*IF(INT((DATE(2026+2,10,31)-F127)/365.25)=0,(12-DowntimeNew)/12,1),IF(I127="LeaseUp",H127*D127*(1+GrowthMarketRent)^2*IF(2=0,(12-DowntimeNew)/12,1),0)))))))),0)</f>
        <v/>
      </c>
      <c r="Q127" s="14">
        <f>IFERROR(IF(I127="LeaseUp",H127*D127*(1+GrowthMarketRent)^3*IF(3=0,(12-DowntimeNew)/12,1),IF(F127="",0,IF(F127&gt;=DATE(2027+3,4,30),G127*D127*(1+EscalatorInLease)^(3+M127),IF(F127&lt;DATE(2026+3,5,1),IF(I127="Vacate",H127*D127*(1+GrowthMarketRent)^3*IF(INT((DATE(2026+3,10,31)-F127)/365.25)=0,(12-DowntimeNew)/12,1),IF(I127="Option",G127*D127*1.025*(1+EscalatorInLease)^3,IF(I127="Market",Retention*G127*D127*(1+EscalatorInLease)^(3+M127)+(1-Retention)*H127*D127*(1+GrowthMarketRent)^3*IF(INT((DATE(2026+3,10,31)-F127)/365.25)=0,(12-DowntimeNew)/12,1),IF(I127="LeaseUp",H127*D127*(1+GrowthMarketRent)^3*IF(3=0,(12-DowntimeNew)/12,1),0)))),((F127-DATE(2026+3,5,1))/365.25)*G127*D127*(1+EscalatorInLease)^(3+M127)+((DATE(2027+3,4,30)-F127)/365.25)*IF(I127="Vacate",H127*D127*(1+GrowthMarketRent)^3*IF(INT((DATE(2026+3,10,31)-F127)/365.25)=0,(12-DowntimeNew)/12,1),IF(I127="Option",G127*D127*1.025*(1+EscalatorInLease)^3,IF(I127="Market",Retention*G127*D127*(1+EscalatorInLease)^(3+M127)+(1-Retention)*H127*D127*(1+GrowthMarketRent)^3*IF(INT((DATE(2026+3,10,31)-F127)/365.25)=0,(12-DowntimeNew)/12,1),IF(I127="LeaseUp",H127*D127*(1+GrowthMarketRent)^3*IF(3=0,(12-DowntimeNew)/12,1),0)))))))),0)</f>
        <v/>
      </c>
      <c r="R127" s="14">
        <f>IFERROR(IF(I127="LeaseUp",H127*D127*(1+GrowthMarketRent)^4*IF(4=0,(12-DowntimeNew)/12,1),IF(F127="",0,IF(F127&gt;=DATE(2027+4,4,30),G127*D127*(1+EscalatorInLease)^(4+M127),IF(F127&lt;DATE(2026+4,5,1),IF(I127="Vacate",H127*D127*(1+GrowthMarketRent)^4*IF(INT((DATE(2026+4,10,31)-F127)/365.25)=0,(12-DowntimeNew)/12,1),IF(I127="Option",G127*D127*1.025*(1+EscalatorInLease)^4,IF(I127="Market",Retention*G127*D127*(1+EscalatorInLease)^(4+M127)+(1-Retention)*H127*D127*(1+GrowthMarketRent)^4*IF(INT((DATE(2026+4,10,31)-F127)/365.25)=0,(12-DowntimeNew)/12,1),IF(I127="LeaseUp",H127*D127*(1+GrowthMarketRent)^4*IF(4=0,(12-DowntimeNew)/12,1),0)))),((F127-DATE(2026+4,5,1))/365.25)*G127*D127*(1+EscalatorInLease)^(4+M127)+((DATE(2027+4,4,30)-F127)/365.25)*IF(I127="Vacate",H127*D127*(1+GrowthMarketRent)^4*IF(INT((DATE(2026+4,10,31)-F127)/365.25)=0,(12-DowntimeNew)/12,1),IF(I127="Option",G127*D127*1.025*(1+EscalatorInLease)^4,IF(I127="Market",Retention*G127*D127*(1+EscalatorInLease)^(4+M127)+(1-Retention)*H127*D127*(1+GrowthMarketRent)^4*IF(INT((DATE(2026+4,10,31)-F127)/365.25)=0,(12-DowntimeNew)/12,1),IF(I127="LeaseUp",H127*D127*(1+GrowthMarketRent)^4*IF(4=0,(12-DowntimeNew)/12,1),0)))))))),0)</f>
        <v/>
      </c>
      <c r="S127" s="14">
        <f>IFERROR(IF(I127="LeaseUp",H127*D127*(1+GrowthMarketRent)^5*IF(5=0,(12-DowntimeNew)/12,1),IF(F127="",0,IF(F127&gt;=DATE(2027+5,4,30),G127*D127*(1+EscalatorInLease)^(5+M127),IF(F127&lt;DATE(2026+5,5,1),IF(I127="Vacate",H127*D127*(1+GrowthMarketRent)^5*IF(INT((DATE(2026+5,10,31)-F127)/365.25)=0,(12-DowntimeNew)/12,1),IF(I127="Option",G127*D127*1.025*(1+EscalatorInLease)^5,IF(I127="Market",Retention*G127*D127*(1+EscalatorInLease)^(5+M127)+(1-Retention)*H127*D127*(1+GrowthMarketRent)^5*IF(INT((DATE(2026+5,10,31)-F127)/365.25)=0,(12-DowntimeNew)/12,1),IF(I127="LeaseUp",H127*D127*(1+GrowthMarketRent)^5*IF(5=0,(12-DowntimeNew)/12,1),0)))),((F127-DATE(2026+5,5,1))/365.25)*G127*D127*(1+EscalatorInLease)^(5+M127)+((DATE(2027+5,4,30)-F127)/365.25)*IF(I127="Vacate",H127*D127*(1+GrowthMarketRent)^5*IF(INT((DATE(2026+5,10,31)-F127)/365.25)=0,(12-DowntimeNew)/12,1),IF(I127="Option",G127*D127*1.025*(1+EscalatorInLease)^5,IF(I127="Market",Retention*G127*D127*(1+EscalatorInLease)^(5+M127)+(1-Retention)*H127*D127*(1+GrowthMarketRent)^5*IF(INT((DATE(2026+5,10,31)-F127)/365.25)=0,(12-DowntimeNew)/12,1),IF(I127="LeaseUp",H127*D127*(1+GrowthMarketRent)^5*IF(5=0,(12-DowntimeNew)/12,1),0)))))))),0)</f>
        <v/>
      </c>
      <c r="T127" s="14">
        <f>IFERROR(IF(I127="LeaseUp",H127*D127*(1+GrowthMarketRent)^6*IF(6=0,(12-DowntimeNew)/12,1),IF(F127="",0,IF(F127&gt;=DATE(2027+6,4,30),G127*D127*(1+EscalatorInLease)^(6+M127),IF(F127&lt;DATE(2026+6,5,1),IF(I127="Vacate",H127*D127*(1+GrowthMarketRent)^6*IF(INT((DATE(2026+6,10,31)-F127)/365.25)=0,(12-DowntimeNew)/12,1),IF(I127="Option",G127*D127*1.025*(1+EscalatorInLease)^6,IF(I127="Market",Retention*G127*D127*(1+EscalatorInLease)^(6+M127)+(1-Retention)*H127*D127*(1+GrowthMarketRent)^6*IF(INT((DATE(2026+6,10,31)-F127)/365.25)=0,(12-DowntimeNew)/12,1),IF(I127="LeaseUp",H127*D127*(1+GrowthMarketRent)^6*IF(6=0,(12-DowntimeNew)/12,1),0)))),((F127-DATE(2026+6,5,1))/365.25)*G127*D127*(1+EscalatorInLease)^(6+M127)+((DATE(2027+6,4,30)-F127)/365.25)*IF(I127="Vacate",H127*D127*(1+GrowthMarketRent)^6*IF(INT((DATE(2026+6,10,31)-F127)/365.25)=0,(12-DowntimeNew)/12,1),IF(I127="Option",G127*D127*1.025*(1+EscalatorInLease)^6,IF(I127="Market",Retention*G127*D127*(1+EscalatorInLease)^(6+M127)+(1-Retention)*H127*D127*(1+GrowthMarketRent)^6*IF(INT((DATE(2026+6,10,31)-F127)/365.25)=0,(12-DowntimeNew)/12,1),IF(I127="LeaseUp",H127*D127*(1+GrowthMarketRent)^6*IF(6=0,(12-DowntimeNew)/12,1),0)))))))),0)</f>
        <v/>
      </c>
      <c r="U127" s="14">
        <f>IFERROR(IF(I127="LeaseUp",H127*D127*(1+GrowthMarketRent)^7*IF(7=0,(12-DowntimeNew)/12,1),IF(F127="",0,IF(F127&gt;=DATE(2027+7,4,30),G127*D127*(1+EscalatorInLease)^(7+M127),IF(F127&lt;DATE(2026+7,5,1),IF(I127="Vacate",H127*D127*(1+GrowthMarketRent)^7*IF(INT((DATE(2026+7,10,31)-F127)/365.25)=0,(12-DowntimeNew)/12,1),IF(I127="Option",G127*D127*1.025*(1+EscalatorInLease)^7,IF(I127="Market",Retention*G127*D127*(1+EscalatorInLease)^(7+M127)+(1-Retention)*H127*D127*(1+GrowthMarketRent)^7*IF(INT((DATE(2026+7,10,31)-F127)/365.25)=0,(12-DowntimeNew)/12,1),IF(I127="LeaseUp",H127*D127*(1+GrowthMarketRent)^7*IF(7=0,(12-DowntimeNew)/12,1),0)))),((F127-DATE(2026+7,5,1))/365.25)*G127*D127*(1+EscalatorInLease)^(7+M127)+((DATE(2027+7,4,30)-F127)/365.25)*IF(I127="Vacate",H127*D127*(1+GrowthMarketRent)^7*IF(INT((DATE(2026+7,10,31)-F127)/365.25)=0,(12-DowntimeNew)/12,1),IF(I127="Option",G127*D127*1.025*(1+EscalatorInLease)^7,IF(I127="Market",Retention*G127*D127*(1+EscalatorInLease)^(7+M127)+(1-Retention)*H127*D127*(1+GrowthMarketRent)^7*IF(INT((DATE(2026+7,10,31)-F127)/365.25)=0,(12-DowntimeNew)/12,1),IF(I127="LeaseUp",H127*D127*(1+GrowthMarketRent)^7*IF(7=0,(12-DowntimeNew)/12,1),0)))))))),0)</f>
        <v/>
      </c>
      <c r="V127" s="14">
        <f>IFERROR(IF(I127="LeaseUp",H127*D127*(1+GrowthMarketRent)^8*IF(8=0,(12-DowntimeNew)/12,1),IF(F127="",0,IF(F127&gt;=DATE(2027+8,4,30),G127*D127*(1+EscalatorInLease)^(8+M127),IF(F127&lt;DATE(2026+8,5,1),IF(I127="Vacate",H127*D127*(1+GrowthMarketRent)^8*IF(INT((DATE(2026+8,10,31)-F127)/365.25)=0,(12-DowntimeNew)/12,1),IF(I127="Option",G127*D127*1.025*(1+EscalatorInLease)^8,IF(I127="Market",Retention*G127*D127*(1+EscalatorInLease)^(8+M127)+(1-Retention)*H127*D127*(1+GrowthMarketRent)^8*IF(INT((DATE(2026+8,10,31)-F127)/365.25)=0,(12-DowntimeNew)/12,1),IF(I127="LeaseUp",H127*D127*(1+GrowthMarketRent)^8*IF(8=0,(12-DowntimeNew)/12,1),0)))),((F127-DATE(2026+8,5,1))/365.25)*G127*D127*(1+EscalatorInLease)^(8+M127)+((DATE(2027+8,4,30)-F127)/365.25)*IF(I127="Vacate",H127*D127*(1+GrowthMarketRent)^8*IF(INT((DATE(2026+8,10,31)-F127)/365.25)=0,(12-DowntimeNew)/12,1),IF(I127="Option",G127*D127*1.025*(1+EscalatorInLease)^8,IF(I127="Market",Retention*G127*D127*(1+EscalatorInLease)^(8+M127)+(1-Retention)*H127*D127*(1+GrowthMarketRent)^8*IF(INT((DATE(2026+8,10,31)-F127)/365.25)=0,(12-DowntimeNew)/12,1),IF(I127="LeaseUp",H127*D127*(1+GrowthMarketRent)^8*IF(8=0,(12-DowntimeNew)/12,1),0)))))))),0)</f>
        <v/>
      </c>
      <c r="W127" s="14">
        <f>IFERROR(IF(I127="LeaseUp",H127*D127*(1+GrowthMarketRent)^9*IF(9=0,(12-DowntimeNew)/12,1),IF(F127="",0,IF(F127&gt;=DATE(2027+9,4,30),G127*D127*(1+EscalatorInLease)^(9+M127),IF(F127&lt;DATE(2026+9,5,1),IF(I127="Vacate",H127*D127*(1+GrowthMarketRent)^9*IF(INT((DATE(2026+9,10,31)-F127)/365.25)=0,(12-DowntimeNew)/12,1),IF(I127="Option",G127*D127*1.025*(1+EscalatorInLease)^9,IF(I127="Market",Retention*G127*D127*(1+EscalatorInLease)^(9+M127)+(1-Retention)*H127*D127*(1+GrowthMarketRent)^9*IF(INT((DATE(2026+9,10,31)-F127)/365.25)=0,(12-DowntimeNew)/12,1),IF(I127="LeaseUp",H127*D127*(1+GrowthMarketRent)^9*IF(9=0,(12-DowntimeNew)/12,1),0)))),((F127-DATE(2026+9,5,1))/365.25)*G127*D127*(1+EscalatorInLease)^(9+M127)+((DATE(2027+9,4,30)-F127)/365.25)*IF(I127="Vacate",H127*D127*(1+GrowthMarketRent)^9*IF(INT((DATE(2026+9,10,31)-F127)/365.25)=0,(12-DowntimeNew)/12,1),IF(I127="Option",G127*D127*1.025*(1+EscalatorInLease)^9,IF(I127="Market",Retention*G127*D127*(1+EscalatorInLease)^(9+M127)+(1-Retention)*H127*D127*(1+GrowthMarketRent)^9*IF(INT((DATE(2026+9,10,31)-F127)/365.25)=0,(12-DowntimeNew)/12,1),IF(I127="LeaseUp",H127*D127*(1+GrowthMarketRent)^9*IF(9=0,(12-DowntimeNew)/12,1),0)))))))),0)</f>
        <v/>
      </c>
      <c r="X127" s="14">
        <f>IFERROR(IF(I127="LeaseUp",H127*D127*(1+GrowthMarketRent)^10*IF(10=0,(12-DowntimeNew)/12,1),IF(F127="",0,IF(F127&gt;=DATE(2027+10,4,30),G127*D127*(1+EscalatorInLease)^(10+M127),IF(F127&lt;DATE(2026+10,5,1),IF(I127="Vacate",H127*D127*(1+GrowthMarketRent)^10*IF(INT((DATE(2026+10,10,31)-F127)/365.25)=0,(12-DowntimeNew)/12,1),IF(I127="Option",G127*D127*1.025*(1+EscalatorInLease)^10,IF(I127="Market",Retention*G127*D127*(1+EscalatorInLease)^(10+M127)+(1-Retention)*H127*D127*(1+GrowthMarketRent)^10*IF(INT((DATE(2026+10,10,31)-F127)/365.25)=0,(12-DowntimeNew)/12,1),IF(I127="LeaseUp",H127*D127*(1+GrowthMarketRent)^10*IF(10=0,(12-DowntimeNew)/12,1),0)))),((F127-DATE(2026+10,5,1))/365.25)*G127*D127*(1+EscalatorInLease)^(10+M127)+((DATE(2027+10,4,30)-F127)/365.25)*IF(I127="Vacate",H127*D127*(1+GrowthMarketRent)^10*IF(INT((DATE(2026+10,10,31)-F127)/365.25)=0,(12-DowntimeNew)/12,1),IF(I127="Option",G127*D127*1.025*(1+EscalatorInLease)^10,IF(I127="Market",Retention*G127*D127*(1+EscalatorInLease)^(10+M127)+(1-Retention)*H127*D127*(1+GrowthMarketRent)^10*IF(INT((DATE(2026+10,10,31)-F127)/365.25)=0,(12-DowntimeNew)/12,1),IF(I127="LeaseUp",H127*D127*(1+GrowthMarketRent)^10*IF(10=0,(12-DowntimeNew)/12,1),0)))))))),0)</f>
        <v/>
      </c>
      <c r="Y127" s="14">
        <f>IFERROR(IF(AND(I127="LeaseUp",0=0),(IF(I127="Vacate",TINew*D127,IF(I127="Market",Retention*TIRenewal*D127+(1-Retention)*TINew*D127,IF(I127="LeaseUp",TINew*D127,IF(I127="Option",TIRenewal*D127,0)))))+(IF(I127="Vacate",LCNew*H127*D127*(1+GrowthMarketRent)^0,IF(I127="Market",Retention*LCRenewal*H127*D127*(1+GrowthMarketRent)^0+(1-Retention)*LCNew*H127*D127*(1+GrowthMarketRent)^0,IF(I127="LeaseUp",LCNew*H127*D127*(1+GrowthMarketRent)^0,IF(I127="Option",LCRenewal*H127*D127*(1+GrowthMarketRent)^0,0))))),IF(F127="",0,IF(AND(F127&gt;=DATE(2026+0,5,1),F127&lt;=DATE(2027+0,4,30)),(IF(I127="Vacate",TINew*D127,IF(I127="Market",Retention*TIRenewal*D127+(1-Retention)*TINew*D127,IF(I127="LeaseUp",TINew*D127,IF(I127="Option",TIRenewal*D127,0)))))+(IF(I127="Vacate",LCNew*H127*D127*(1+GrowthMarketRent)^0,IF(I127="Market",Retention*LCRenewal*H127*D127*(1+GrowthMarketRent)^0+(1-Retention)*LCNew*H127*D127*(1+GrowthMarketRent)^0,IF(I127="LeaseUp",LCNew*H127*D127*(1+GrowthMarketRent)^0,IF(I127="Option",LCRenewal*H127*D127*(1+GrowthMarketRent)^0,0))))),0))),0)</f>
        <v/>
      </c>
      <c r="Z127" s="14">
        <f>IFERROR(IF(AND(I127="LeaseUp",1=0),(IF(I127="Vacate",TINew*D127,IF(I127="Market",Retention*TIRenewal*D127+(1-Retention)*TINew*D127,IF(I127="LeaseUp",TINew*D127,IF(I127="Option",TIRenewal*D127,0)))))+(IF(I127="Vacate",LCNew*H127*D127*(1+GrowthMarketRent)^1,IF(I127="Market",Retention*LCRenewal*H127*D127*(1+GrowthMarketRent)^1+(1-Retention)*LCNew*H127*D127*(1+GrowthMarketRent)^1,IF(I127="LeaseUp",LCNew*H127*D127*(1+GrowthMarketRent)^1,IF(I127="Option",LCRenewal*H127*D127*(1+GrowthMarketRent)^1,0))))),IF(F127="",0,IF(AND(F127&gt;=DATE(2026+1,5,1),F127&lt;=DATE(2027+1,4,30)),(IF(I127="Vacate",TINew*D127,IF(I127="Market",Retention*TIRenewal*D127+(1-Retention)*TINew*D127,IF(I127="LeaseUp",TINew*D127,IF(I127="Option",TIRenewal*D127,0)))))+(IF(I127="Vacate",LCNew*H127*D127*(1+GrowthMarketRent)^1,IF(I127="Market",Retention*LCRenewal*H127*D127*(1+GrowthMarketRent)^1+(1-Retention)*LCNew*H127*D127*(1+GrowthMarketRent)^1,IF(I127="LeaseUp",LCNew*H127*D127*(1+GrowthMarketRent)^1,IF(I127="Option",LCRenewal*H127*D127*(1+GrowthMarketRent)^1,0))))),0))),0)</f>
        <v/>
      </c>
      <c r="AA127" s="14">
        <f>IFERROR(IF(AND(I127="LeaseUp",2=0),(IF(I127="Vacate",TINew*D127,IF(I127="Market",Retention*TIRenewal*D127+(1-Retention)*TINew*D127,IF(I127="LeaseUp",TINew*D127,IF(I127="Option",TIRenewal*D127,0)))))+(IF(I127="Vacate",LCNew*H127*D127*(1+GrowthMarketRent)^2,IF(I127="Market",Retention*LCRenewal*H127*D127*(1+GrowthMarketRent)^2+(1-Retention)*LCNew*H127*D127*(1+GrowthMarketRent)^2,IF(I127="LeaseUp",LCNew*H127*D127*(1+GrowthMarketRent)^2,IF(I127="Option",LCRenewal*H127*D127*(1+GrowthMarketRent)^2,0))))),IF(F127="",0,IF(AND(F127&gt;=DATE(2026+2,5,1),F127&lt;=DATE(2027+2,4,30)),(IF(I127="Vacate",TINew*D127,IF(I127="Market",Retention*TIRenewal*D127+(1-Retention)*TINew*D127,IF(I127="LeaseUp",TINew*D127,IF(I127="Option",TIRenewal*D127,0)))))+(IF(I127="Vacate",LCNew*H127*D127*(1+GrowthMarketRent)^2,IF(I127="Market",Retention*LCRenewal*H127*D127*(1+GrowthMarketRent)^2+(1-Retention)*LCNew*H127*D127*(1+GrowthMarketRent)^2,IF(I127="LeaseUp",LCNew*H127*D127*(1+GrowthMarketRent)^2,IF(I127="Option",LCRenewal*H127*D127*(1+GrowthMarketRent)^2,0))))),0))),0)</f>
        <v/>
      </c>
      <c r="AB127" s="14">
        <f>IFERROR(IF(AND(I127="LeaseUp",3=0),(IF(I127="Vacate",TINew*D127,IF(I127="Market",Retention*TIRenewal*D127+(1-Retention)*TINew*D127,IF(I127="LeaseUp",TINew*D127,IF(I127="Option",TIRenewal*D127,0)))))+(IF(I127="Vacate",LCNew*H127*D127*(1+GrowthMarketRent)^3,IF(I127="Market",Retention*LCRenewal*H127*D127*(1+GrowthMarketRent)^3+(1-Retention)*LCNew*H127*D127*(1+GrowthMarketRent)^3,IF(I127="LeaseUp",LCNew*H127*D127*(1+GrowthMarketRent)^3,IF(I127="Option",LCRenewal*H127*D127*(1+GrowthMarketRent)^3,0))))),IF(F127="",0,IF(AND(F127&gt;=DATE(2026+3,5,1),F127&lt;=DATE(2027+3,4,30)),(IF(I127="Vacate",TINew*D127,IF(I127="Market",Retention*TIRenewal*D127+(1-Retention)*TINew*D127,IF(I127="LeaseUp",TINew*D127,IF(I127="Option",TIRenewal*D127,0)))))+(IF(I127="Vacate",LCNew*H127*D127*(1+GrowthMarketRent)^3,IF(I127="Market",Retention*LCRenewal*H127*D127*(1+GrowthMarketRent)^3+(1-Retention)*LCNew*H127*D127*(1+GrowthMarketRent)^3,IF(I127="LeaseUp",LCNew*H127*D127*(1+GrowthMarketRent)^3,IF(I127="Option",LCRenewal*H127*D127*(1+GrowthMarketRent)^3,0))))),0))),0)</f>
        <v/>
      </c>
      <c r="AC127" s="14">
        <f>IFERROR(IF(AND(I127="LeaseUp",4=0),(IF(I127="Vacate",TINew*D127,IF(I127="Market",Retention*TIRenewal*D127+(1-Retention)*TINew*D127,IF(I127="LeaseUp",TINew*D127,IF(I127="Option",TIRenewal*D127,0)))))+(IF(I127="Vacate",LCNew*H127*D127*(1+GrowthMarketRent)^4,IF(I127="Market",Retention*LCRenewal*H127*D127*(1+GrowthMarketRent)^4+(1-Retention)*LCNew*H127*D127*(1+GrowthMarketRent)^4,IF(I127="LeaseUp",LCNew*H127*D127*(1+GrowthMarketRent)^4,IF(I127="Option",LCRenewal*H127*D127*(1+GrowthMarketRent)^4,0))))),IF(F127="",0,IF(AND(F127&gt;=DATE(2026+4,5,1),F127&lt;=DATE(2027+4,4,30)),(IF(I127="Vacate",TINew*D127,IF(I127="Market",Retention*TIRenewal*D127+(1-Retention)*TINew*D127,IF(I127="LeaseUp",TINew*D127,IF(I127="Option",TIRenewal*D127,0)))))+(IF(I127="Vacate",LCNew*H127*D127*(1+GrowthMarketRent)^4,IF(I127="Market",Retention*LCRenewal*H127*D127*(1+GrowthMarketRent)^4+(1-Retention)*LCNew*H127*D127*(1+GrowthMarketRent)^4,IF(I127="LeaseUp",LCNew*H127*D127*(1+GrowthMarketRent)^4,IF(I127="Option",LCRenewal*H127*D127*(1+GrowthMarketRent)^4,0))))),0))),0)</f>
        <v/>
      </c>
      <c r="AD127" s="14">
        <f>IFERROR(IF(AND(I127="LeaseUp",5=0),(IF(I127="Vacate",TINew*D127,IF(I127="Market",Retention*TIRenewal*D127+(1-Retention)*TINew*D127,IF(I127="LeaseUp",TINew*D127,IF(I127="Option",TIRenewal*D127,0)))))+(IF(I127="Vacate",LCNew*H127*D127*(1+GrowthMarketRent)^5,IF(I127="Market",Retention*LCRenewal*H127*D127*(1+GrowthMarketRent)^5+(1-Retention)*LCNew*H127*D127*(1+GrowthMarketRent)^5,IF(I127="LeaseUp",LCNew*H127*D127*(1+GrowthMarketRent)^5,IF(I127="Option",LCRenewal*H127*D127*(1+GrowthMarketRent)^5,0))))),IF(F127="",0,IF(AND(F127&gt;=DATE(2026+5,5,1),F127&lt;=DATE(2027+5,4,30)),(IF(I127="Vacate",TINew*D127,IF(I127="Market",Retention*TIRenewal*D127+(1-Retention)*TINew*D127,IF(I127="LeaseUp",TINew*D127,IF(I127="Option",TIRenewal*D127,0)))))+(IF(I127="Vacate",LCNew*H127*D127*(1+GrowthMarketRent)^5,IF(I127="Market",Retention*LCRenewal*H127*D127*(1+GrowthMarketRent)^5+(1-Retention)*LCNew*H127*D127*(1+GrowthMarketRent)^5,IF(I127="LeaseUp",LCNew*H127*D127*(1+GrowthMarketRent)^5,IF(I127="Option",LCRenewal*H127*D127*(1+GrowthMarketRent)^5,0))))),0))),0)</f>
        <v/>
      </c>
      <c r="AE127" s="14">
        <f>IFERROR(IF(AND(I127="LeaseUp",6=0),(IF(I127="Vacate",TINew*D127,IF(I127="Market",Retention*TIRenewal*D127+(1-Retention)*TINew*D127,IF(I127="LeaseUp",TINew*D127,IF(I127="Option",TIRenewal*D127,0)))))+(IF(I127="Vacate",LCNew*H127*D127*(1+GrowthMarketRent)^6,IF(I127="Market",Retention*LCRenewal*H127*D127*(1+GrowthMarketRent)^6+(1-Retention)*LCNew*H127*D127*(1+GrowthMarketRent)^6,IF(I127="LeaseUp",LCNew*H127*D127*(1+GrowthMarketRent)^6,IF(I127="Option",LCRenewal*H127*D127*(1+GrowthMarketRent)^6,0))))),IF(F127="",0,IF(AND(F127&gt;=DATE(2026+6,5,1),F127&lt;=DATE(2027+6,4,30)),(IF(I127="Vacate",TINew*D127,IF(I127="Market",Retention*TIRenewal*D127+(1-Retention)*TINew*D127,IF(I127="LeaseUp",TINew*D127,IF(I127="Option",TIRenewal*D127,0)))))+(IF(I127="Vacate",LCNew*H127*D127*(1+GrowthMarketRent)^6,IF(I127="Market",Retention*LCRenewal*H127*D127*(1+GrowthMarketRent)^6+(1-Retention)*LCNew*H127*D127*(1+GrowthMarketRent)^6,IF(I127="LeaseUp",LCNew*H127*D127*(1+GrowthMarketRent)^6,IF(I127="Option",LCRenewal*H127*D127*(1+GrowthMarketRent)^6,0))))),0))),0)</f>
        <v/>
      </c>
      <c r="AF127" s="14">
        <f>IFERROR(IF(AND(I127="LeaseUp",7=0),(IF(I127="Vacate",TINew*D127,IF(I127="Market",Retention*TIRenewal*D127+(1-Retention)*TINew*D127,IF(I127="LeaseUp",TINew*D127,IF(I127="Option",TIRenewal*D127,0)))))+(IF(I127="Vacate",LCNew*H127*D127*(1+GrowthMarketRent)^7,IF(I127="Market",Retention*LCRenewal*H127*D127*(1+GrowthMarketRent)^7+(1-Retention)*LCNew*H127*D127*(1+GrowthMarketRent)^7,IF(I127="LeaseUp",LCNew*H127*D127*(1+GrowthMarketRent)^7,IF(I127="Option",LCRenewal*H127*D127*(1+GrowthMarketRent)^7,0))))),IF(F127="",0,IF(AND(F127&gt;=DATE(2026+7,5,1),F127&lt;=DATE(2027+7,4,30)),(IF(I127="Vacate",TINew*D127,IF(I127="Market",Retention*TIRenewal*D127+(1-Retention)*TINew*D127,IF(I127="LeaseUp",TINew*D127,IF(I127="Option",TIRenewal*D127,0)))))+(IF(I127="Vacate",LCNew*H127*D127*(1+GrowthMarketRent)^7,IF(I127="Market",Retention*LCRenewal*H127*D127*(1+GrowthMarketRent)^7+(1-Retention)*LCNew*H127*D127*(1+GrowthMarketRent)^7,IF(I127="LeaseUp",LCNew*H127*D127*(1+GrowthMarketRent)^7,IF(I127="Option",LCRenewal*H127*D127*(1+GrowthMarketRent)^7,0))))),0))),0)</f>
        <v/>
      </c>
      <c r="AG127" s="14">
        <f>IFERROR(IF(AND(I127="LeaseUp",8=0),(IF(I127="Vacate",TINew*D127,IF(I127="Market",Retention*TIRenewal*D127+(1-Retention)*TINew*D127,IF(I127="LeaseUp",TINew*D127,IF(I127="Option",TIRenewal*D127,0)))))+(IF(I127="Vacate",LCNew*H127*D127*(1+GrowthMarketRent)^8,IF(I127="Market",Retention*LCRenewal*H127*D127*(1+GrowthMarketRent)^8+(1-Retention)*LCNew*H127*D127*(1+GrowthMarketRent)^8,IF(I127="LeaseUp",LCNew*H127*D127*(1+GrowthMarketRent)^8,IF(I127="Option",LCRenewal*H127*D127*(1+GrowthMarketRent)^8,0))))),IF(F127="",0,IF(AND(F127&gt;=DATE(2026+8,5,1),F127&lt;=DATE(2027+8,4,30)),(IF(I127="Vacate",TINew*D127,IF(I127="Market",Retention*TIRenewal*D127+(1-Retention)*TINew*D127,IF(I127="LeaseUp",TINew*D127,IF(I127="Option",TIRenewal*D127,0)))))+(IF(I127="Vacate",LCNew*H127*D127*(1+GrowthMarketRent)^8,IF(I127="Market",Retention*LCRenewal*H127*D127*(1+GrowthMarketRent)^8+(1-Retention)*LCNew*H127*D127*(1+GrowthMarketRent)^8,IF(I127="LeaseUp",LCNew*H127*D127*(1+GrowthMarketRent)^8,IF(I127="Option",LCRenewal*H127*D127*(1+GrowthMarketRent)^8,0))))),0))),0)</f>
        <v/>
      </c>
      <c r="AH127" s="14">
        <f>IFERROR(IF(AND(I127="LeaseUp",9=0),(IF(I127="Vacate",TINew*D127,IF(I127="Market",Retention*TIRenewal*D127+(1-Retention)*TINew*D127,IF(I127="LeaseUp",TINew*D127,IF(I127="Option",TIRenewal*D127,0)))))+(IF(I127="Vacate",LCNew*H127*D127*(1+GrowthMarketRent)^9,IF(I127="Market",Retention*LCRenewal*H127*D127*(1+GrowthMarketRent)^9+(1-Retention)*LCNew*H127*D127*(1+GrowthMarketRent)^9,IF(I127="LeaseUp",LCNew*H127*D127*(1+GrowthMarketRent)^9,IF(I127="Option",LCRenewal*H127*D127*(1+GrowthMarketRent)^9,0))))),IF(F127="",0,IF(AND(F127&gt;=DATE(2026+9,5,1),F127&lt;=DATE(2027+9,4,30)),(IF(I127="Vacate",TINew*D127,IF(I127="Market",Retention*TIRenewal*D127+(1-Retention)*TINew*D127,IF(I127="LeaseUp",TINew*D127,IF(I127="Option",TIRenewal*D127,0)))))+(IF(I127="Vacate",LCNew*H127*D127*(1+GrowthMarketRent)^9,IF(I127="Market",Retention*LCRenewal*H127*D127*(1+GrowthMarketRent)^9+(1-Retention)*LCNew*H127*D127*(1+GrowthMarketRent)^9,IF(I127="LeaseUp",LCNew*H127*D127*(1+GrowthMarketRent)^9,IF(I127="Option",LCRenewal*H127*D127*(1+GrowthMarketRent)^9,0))))),0))),0)</f>
        <v/>
      </c>
      <c r="AI127" s="14">
        <f>IFERROR(IF(AND(I127="LeaseUp",10=0),(IF(I127="Vacate",TINew*D127,IF(I127="Market",Retention*TIRenewal*D127+(1-Retention)*TINew*D127,IF(I127="LeaseUp",TINew*D127,IF(I127="Option",TIRenewal*D127,0)))))+(IF(I127="Vacate",LCNew*H127*D127*(1+GrowthMarketRent)^10,IF(I127="Market",Retention*LCRenewal*H127*D127*(1+GrowthMarketRent)^10+(1-Retention)*LCNew*H127*D127*(1+GrowthMarketRent)^10,IF(I127="LeaseUp",LCNew*H127*D127*(1+GrowthMarketRent)^10,IF(I127="Option",LCRenewal*H127*D127*(1+GrowthMarketRent)^10,0))))),IF(F127="",0,IF(AND(F127&gt;=DATE(2026+10,5,1),F127&lt;=DATE(2027+10,4,30)),(IF(I127="Vacate",TINew*D127,IF(I127="Market",Retention*TIRenewal*D127+(1-Retention)*TINew*D127,IF(I127="LeaseUp",TINew*D127,IF(I127="Option",TIRenewal*D127,0)))))+(IF(I127="Vacate",LCNew*H127*D127*(1+GrowthMarketRent)^10,IF(I127="Market",Retention*LCRenewal*H127*D127*(1+GrowthMarketRent)^10+(1-Retention)*LCNew*H127*D127*(1+GrowthMarketRent)^10,IF(I127="LeaseUp",LCNew*H127*D127*(1+GrowthMarketRent)^10,IF(I127="Option",LCRenewal*H127*D127*(1+GrowthMarketRent)^10,0))))),0))),0)</f>
        <v/>
      </c>
    </row>
    <row r="128">
      <c r="A128" t="inlineStr">
        <is>
          <t>Roanoke</t>
        </is>
      </c>
      <c r="B128" t="inlineStr">
        <is>
          <t>116B</t>
        </is>
      </c>
      <c r="C128" t="inlineStr">
        <is>
          <t>VACANT</t>
        </is>
      </c>
      <c r="D128" s="32" t="n">
        <v>3050</v>
      </c>
      <c r="E128" s="33" t="n">
        <v>45078</v>
      </c>
      <c r="F128" s="33" t="n">
        <v>46327</v>
      </c>
      <c r="G128" s="34" t="n">
        <v>0</v>
      </c>
      <c r="H128" s="16">
        <f>VLOOKUP(A128,MLA!$A$5:$L$11,3,FALSE)</f>
        <v/>
      </c>
      <c r="I128" s="11" t="inlineStr">
        <is>
          <t>LeaseUp</t>
        </is>
      </c>
      <c r="J128" t="inlineStr">
        <is>
          <t>Shop</t>
        </is>
      </c>
      <c r="K128" t="inlineStr">
        <is>
          <t>Vacant</t>
        </is>
      </c>
      <c r="L128" t="inlineStr">
        <is>
          <t>Shop; future lease-up Sep-2026</t>
        </is>
      </c>
      <c r="M128" s="20">
        <f>IF(E128="",0,(AnalysisStart-E128)/365.25)</f>
        <v/>
      </c>
      <c r="N128" s="14">
        <f>IFERROR(IF(I128="LeaseUp",H128*D128*(1+GrowthMarketRent)^0*IF(0=0,(12-DowntimeNew)/12,1),IF(F128="",0,IF(F128&gt;=DATE(2027+0,4,30),G128*D128*(1+EscalatorInLease)^(0+M128),IF(F128&lt;DATE(2026+0,5,1),IF(I128="Vacate",H128*D128*(1+GrowthMarketRent)^0*IF(INT((DATE(2026+0,10,31)-F128)/365.25)=0,(12-DowntimeNew)/12,1),IF(I128="Option",G128*D128*1.025*(1+EscalatorInLease)^0,IF(I128="Market",Retention*G128*D128*(1+EscalatorInLease)^(0+M128)+(1-Retention)*H128*D128*(1+GrowthMarketRent)^0*IF(INT((DATE(2026+0,10,31)-F128)/365.25)=0,(12-DowntimeNew)/12,1),IF(I128="LeaseUp",H128*D128*(1+GrowthMarketRent)^0*IF(0=0,(12-DowntimeNew)/12,1),0)))),((F128-DATE(2026+0,5,1))/365.25)*G128*D128*(1+EscalatorInLease)^(0+M128)+((DATE(2027+0,4,30)-F128)/365.25)*IF(I128="Vacate",H128*D128*(1+GrowthMarketRent)^0*IF(INT((DATE(2026+0,10,31)-F128)/365.25)=0,(12-DowntimeNew)/12,1),IF(I128="Option",G128*D128*1.025*(1+EscalatorInLease)^0,IF(I128="Market",Retention*G128*D128*(1+EscalatorInLease)^(0+M128)+(1-Retention)*H128*D128*(1+GrowthMarketRent)^0*IF(INT((DATE(2026+0,10,31)-F128)/365.25)=0,(12-DowntimeNew)/12,1),IF(I128="LeaseUp",H128*D128*(1+GrowthMarketRent)^0*IF(0=0,(12-DowntimeNew)/12,1),0)))))))),0)</f>
        <v/>
      </c>
      <c r="O128" s="14">
        <f>IFERROR(IF(I128="LeaseUp",H128*D128*(1+GrowthMarketRent)^1*IF(1=0,(12-DowntimeNew)/12,1),IF(F128="",0,IF(F128&gt;=DATE(2027+1,4,30),G128*D128*(1+EscalatorInLease)^(1+M128),IF(F128&lt;DATE(2026+1,5,1),IF(I128="Vacate",H128*D128*(1+GrowthMarketRent)^1*IF(INT((DATE(2026+1,10,31)-F128)/365.25)=0,(12-DowntimeNew)/12,1),IF(I128="Option",G128*D128*1.025*(1+EscalatorInLease)^1,IF(I128="Market",Retention*G128*D128*(1+EscalatorInLease)^(1+M128)+(1-Retention)*H128*D128*(1+GrowthMarketRent)^1*IF(INT((DATE(2026+1,10,31)-F128)/365.25)=0,(12-DowntimeNew)/12,1),IF(I128="LeaseUp",H128*D128*(1+GrowthMarketRent)^1*IF(1=0,(12-DowntimeNew)/12,1),0)))),((F128-DATE(2026+1,5,1))/365.25)*G128*D128*(1+EscalatorInLease)^(1+M128)+((DATE(2027+1,4,30)-F128)/365.25)*IF(I128="Vacate",H128*D128*(1+GrowthMarketRent)^1*IF(INT((DATE(2026+1,10,31)-F128)/365.25)=0,(12-DowntimeNew)/12,1),IF(I128="Option",G128*D128*1.025*(1+EscalatorInLease)^1,IF(I128="Market",Retention*G128*D128*(1+EscalatorInLease)^(1+M128)+(1-Retention)*H128*D128*(1+GrowthMarketRent)^1*IF(INT((DATE(2026+1,10,31)-F128)/365.25)=0,(12-DowntimeNew)/12,1),IF(I128="LeaseUp",H128*D128*(1+GrowthMarketRent)^1*IF(1=0,(12-DowntimeNew)/12,1),0)))))))),0)</f>
        <v/>
      </c>
      <c r="P128" s="14">
        <f>IFERROR(IF(I128="LeaseUp",H128*D128*(1+GrowthMarketRent)^2*IF(2=0,(12-DowntimeNew)/12,1),IF(F128="",0,IF(F128&gt;=DATE(2027+2,4,30),G128*D128*(1+EscalatorInLease)^(2+M128),IF(F128&lt;DATE(2026+2,5,1),IF(I128="Vacate",H128*D128*(1+GrowthMarketRent)^2*IF(INT((DATE(2026+2,10,31)-F128)/365.25)=0,(12-DowntimeNew)/12,1),IF(I128="Option",G128*D128*1.025*(1+EscalatorInLease)^2,IF(I128="Market",Retention*G128*D128*(1+EscalatorInLease)^(2+M128)+(1-Retention)*H128*D128*(1+GrowthMarketRent)^2*IF(INT((DATE(2026+2,10,31)-F128)/365.25)=0,(12-DowntimeNew)/12,1),IF(I128="LeaseUp",H128*D128*(1+GrowthMarketRent)^2*IF(2=0,(12-DowntimeNew)/12,1),0)))),((F128-DATE(2026+2,5,1))/365.25)*G128*D128*(1+EscalatorInLease)^(2+M128)+((DATE(2027+2,4,30)-F128)/365.25)*IF(I128="Vacate",H128*D128*(1+GrowthMarketRent)^2*IF(INT((DATE(2026+2,10,31)-F128)/365.25)=0,(12-DowntimeNew)/12,1),IF(I128="Option",G128*D128*1.025*(1+EscalatorInLease)^2,IF(I128="Market",Retention*G128*D128*(1+EscalatorInLease)^(2+M128)+(1-Retention)*H128*D128*(1+GrowthMarketRent)^2*IF(INT((DATE(2026+2,10,31)-F128)/365.25)=0,(12-DowntimeNew)/12,1),IF(I128="LeaseUp",H128*D128*(1+GrowthMarketRent)^2*IF(2=0,(12-DowntimeNew)/12,1),0)))))))),0)</f>
        <v/>
      </c>
      <c r="Q128" s="14">
        <f>IFERROR(IF(I128="LeaseUp",H128*D128*(1+GrowthMarketRent)^3*IF(3=0,(12-DowntimeNew)/12,1),IF(F128="",0,IF(F128&gt;=DATE(2027+3,4,30),G128*D128*(1+EscalatorInLease)^(3+M128),IF(F128&lt;DATE(2026+3,5,1),IF(I128="Vacate",H128*D128*(1+GrowthMarketRent)^3*IF(INT((DATE(2026+3,10,31)-F128)/365.25)=0,(12-DowntimeNew)/12,1),IF(I128="Option",G128*D128*1.025*(1+EscalatorInLease)^3,IF(I128="Market",Retention*G128*D128*(1+EscalatorInLease)^(3+M128)+(1-Retention)*H128*D128*(1+GrowthMarketRent)^3*IF(INT((DATE(2026+3,10,31)-F128)/365.25)=0,(12-DowntimeNew)/12,1),IF(I128="LeaseUp",H128*D128*(1+GrowthMarketRent)^3*IF(3=0,(12-DowntimeNew)/12,1),0)))),((F128-DATE(2026+3,5,1))/365.25)*G128*D128*(1+EscalatorInLease)^(3+M128)+((DATE(2027+3,4,30)-F128)/365.25)*IF(I128="Vacate",H128*D128*(1+GrowthMarketRent)^3*IF(INT((DATE(2026+3,10,31)-F128)/365.25)=0,(12-DowntimeNew)/12,1),IF(I128="Option",G128*D128*1.025*(1+EscalatorInLease)^3,IF(I128="Market",Retention*G128*D128*(1+EscalatorInLease)^(3+M128)+(1-Retention)*H128*D128*(1+GrowthMarketRent)^3*IF(INT((DATE(2026+3,10,31)-F128)/365.25)=0,(12-DowntimeNew)/12,1),IF(I128="LeaseUp",H128*D128*(1+GrowthMarketRent)^3*IF(3=0,(12-DowntimeNew)/12,1),0)))))))),0)</f>
        <v/>
      </c>
      <c r="R128" s="14">
        <f>IFERROR(IF(I128="LeaseUp",H128*D128*(1+GrowthMarketRent)^4*IF(4=0,(12-DowntimeNew)/12,1),IF(F128="",0,IF(F128&gt;=DATE(2027+4,4,30),G128*D128*(1+EscalatorInLease)^(4+M128),IF(F128&lt;DATE(2026+4,5,1),IF(I128="Vacate",H128*D128*(1+GrowthMarketRent)^4*IF(INT((DATE(2026+4,10,31)-F128)/365.25)=0,(12-DowntimeNew)/12,1),IF(I128="Option",G128*D128*1.025*(1+EscalatorInLease)^4,IF(I128="Market",Retention*G128*D128*(1+EscalatorInLease)^(4+M128)+(1-Retention)*H128*D128*(1+GrowthMarketRent)^4*IF(INT((DATE(2026+4,10,31)-F128)/365.25)=0,(12-DowntimeNew)/12,1),IF(I128="LeaseUp",H128*D128*(1+GrowthMarketRent)^4*IF(4=0,(12-DowntimeNew)/12,1),0)))),((F128-DATE(2026+4,5,1))/365.25)*G128*D128*(1+EscalatorInLease)^(4+M128)+((DATE(2027+4,4,30)-F128)/365.25)*IF(I128="Vacate",H128*D128*(1+GrowthMarketRent)^4*IF(INT((DATE(2026+4,10,31)-F128)/365.25)=0,(12-DowntimeNew)/12,1),IF(I128="Option",G128*D128*1.025*(1+EscalatorInLease)^4,IF(I128="Market",Retention*G128*D128*(1+EscalatorInLease)^(4+M128)+(1-Retention)*H128*D128*(1+GrowthMarketRent)^4*IF(INT((DATE(2026+4,10,31)-F128)/365.25)=0,(12-DowntimeNew)/12,1),IF(I128="LeaseUp",H128*D128*(1+GrowthMarketRent)^4*IF(4=0,(12-DowntimeNew)/12,1),0)))))))),0)</f>
        <v/>
      </c>
      <c r="S128" s="14">
        <f>IFERROR(IF(I128="LeaseUp",H128*D128*(1+GrowthMarketRent)^5*IF(5=0,(12-DowntimeNew)/12,1),IF(F128="",0,IF(F128&gt;=DATE(2027+5,4,30),G128*D128*(1+EscalatorInLease)^(5+M128),IF(F128&lt;DATE(2026+5,5,1),IF(I128="Vacate",H128*D128*(1+GrowthMarketRent)^5*IF(INT((DATE(2026+5,10,31)-F128)/365.25)=0,(12-DowntimeNew)/12,1),IF(I128="Option",G128*D128*1.025*(1+EscalatorInLease)^5,IF(I128="Market",Retention*G128*D128*(1+EscalatorInLease)^(5+M128)+(1-Retention)*H128*D128*(1+GrowthMarketRent)^5*IF(INT((DATE(2026+5,10,31)-F128)/365.25)=0,(12-DowntimeNew)/12,1),IF(I128="LeaseUp",H128*D128*(1+GrowthMarketRent)^5*IF(5=0,(12-DowntimeNew)/12,1),0)))),((F128-DATE(2026+5,5,1))/365.25)*G128*D128*(1+EscalatorInLease)^(5+M128)+((DATE(2027+5,4,30)-F128)/365.25)*IF(I128="Vacate",H128*D128*(1+GrowthMarketRent)^5*IF(INT((DATE(2026+5,10,31)-F128)/365.25)=0,(12-DowntimeNew)/12,1),IF(I128="Option",G128*D128*1.025*(1+EscalatorInLease)^5,IF(I128="Market",Retention*G128*D128*(1+EscalatorInLease)^(5+M128)+(1-Retention)*H128*D128*(1+GrowthMarketRent)^5*IF(INT((DATE(2026+5,10,31)-F128)/365.25)=0,(12-DowntimeNew)/12,1),IF(I128="LeaseUp",H128*D128*(1+GrowthMarketRent)^5*IF(5=0,(12-DowntimeNew)/12,1),0)))))))),0)</f>
        <v/>
      </c>
      <c r="T128" s="14">
        <f>IFERROR(IF(I128="LeaseUp",H128*D128*(1+GrowthMarketRent)^6*IF(6=0,(12-DowntimeNew)/12,1),IF(F128="",0,IF(F128&gt;=DATE(2027+6,4,30),G128*D128*(1+EscalatorInLease)^(6+M128),IF(F128&lt;DATE(2026+6,5,1),IF(I128="Vacate",H128*D128*(1+GrowthMarketRent)^6*IF(INT((DATE(2026+6,10,31)-F128)/365.25)=0,(12-DowntimeNew)/12,1),IF(I128="Option",G128*D128*1.025*(1+EscalatorInLease)^6,IF(I128="Market",Retention*G128*D128*(1+EscalatorInLease)^(6+M128)+(1-Retention)*H128*D128*(1+GrowthMarketRent)^6*IF(INT((DATE(2026+6,10,31)-F128)/365.25)=0,(12-DowntimeNew)/12,1),IF(I128="LeaseUp",H128*D128*(1+GrowthMarketRent)^6*IF(6=0,(12-DowntimeNew)/12,1),0)))),((F128-DATE(2026+6,5,1))/365.25)*G128*D128*(1+EscalatorInLease)^(6+M128)+((DATE(2027+6,4,30)-F128)/365.25)*IF(I128="Vacate",H128*D128*(1+GrowthMarketRent)^6*IF(INT((DATE(2026+6,10,31)-F128)/365.25)=0,(12-DowntimeNew)/12,1),IF(I128="Option",G128*D128*1.025*(1+EscalatorInLease)^6,IF(I128="Market",Retention*G128*D128*(1+EscalatorInLease)^(6+M128)+(1-Retention)*H128*D128*(1+GrowthMarketRent)^6*IF(INT((DATE(2026+6,10,31)-F128)/365.25)=0,(12-DowntimeNew)/12,1),IF(I128="LeaseUp",H128*D128*(1+GrowthMarketRent)^6*IF(6=0,(12-DowntimeNew)/12,1),0)))))))),0)</f>
        <v/>
      </c>
      <c r="U128" s="14">
        <f>IFERROR(IF(I128="LeaseUp",H128*D128*(1+GrowthMarketRent)^7*IF(7=0,(12-DowntimeNew)/12,1),IF(F128="",0,IF(F128&gt;=DATE(2027+7,4,30),G128*D128*(1+EscalatorInLease)^(7+M128),IF(F128&lt;DATE(2026+7,5,1),IF(I128="Vacate",H128*D128*(1+GrowthMarketRent)^7*IF(INT((DATE(2026+7,10,31)-F128)/365.25)=0,(12-DowntimeNew)/12,1),IF(I128="Option",G128*D128*1.025*(1+EscalatorInLease)^7,IF(I128="Market",Retention*G128*D128*(1+EscalatorInLease)^(7+M128)+(1-Retention)*H128*D128*(1+GrowthMarketRent)^7*IF(INT((DATE(2026+7,10,31)-F128)/365.25)=0,(12-DowntimeNew)/12,1),IF(I128="LeaseUp",H128*D128*(1+GrowthMarketRent)^7*IF(7=0,(12-DowntimeNew)/12,1),0)))),((F128-DATE(2026+7,5,1))/365.25)*G128*D128*(1+EscalatorInLease)^(7+M128)+((DATE(2027+7,4,30)-F128)/365.25)*IF(I128="Vacate",H128*D128*(1+GrowthMarketRent)^7*IF(INT((DATE(2026+7,10,31)-F128)/365.25)=0,(12-DowntimeNew)/12,1),IF(I128="Option",G128*D128*1.025*(1+EscalatorInLease)^7,IF(I128="Market",Retention*G128*D128*(1+EscalatorInLease)^(7+M128)+(1-Retention)*H128*D128*(1+GrowthMarketRent)^7*IF(INT((DATE(2026+7,10,31)-F128)/365.25)=0,(12-DowntimeNew)/12,1),IF(I128="LeaseUp",H128*D128*(1+GrowthMarketRent)^7*IF(7=0,(12-DowntimeNew)/12,1),0)))))))),0)</f>
        <v/>
      </c>
      <c r="V128" s="14">
        <f>IFERROR(IF(I128="LeaseUp",H128*D128*(1+GrowthMarketRent)^8*IF(8=0,(12-DowntimeNew)/12,1),IF(F128="",0,IF(F128&gt;=DATE(2027+8,4,30),G128*D128*(1+EscalatorInLease)^(8+M128),IF(F128&lt;DATE(2026+8,5,1),IF(I128="Vacate",H128*D128*(1+GrowthMarketRent)^8*IF(INT((DATE(2026+8,10,31)-F128)/365.25)=0,(12-DowntimeNew)/12,1),IF(I128="Option",G128*D128*1.025*(1+EscalatorInLease)^8,IF(I128="Market",Retention*G128*D128*(1+EscalatorInLease)^(8+M128)+(1-Retention)*H128*D128*(1+GrowthMarketRent)^8*IF(INT((DATE(2026+8,10,31)-F128)/365.25)=0,(12-DowntimeNew)/12,1),IF(I128="LeaseUp",H128*D128*(1+GrowthMarketRent)^8*IF(8=0,(12-DowntimeNew)/12,1),0)))),((F128-DATE(2026+8,5,1))/365.25)*G128*D128*(1+EscalatorInLease)^(8+M128)+((DATE(2027+8,4,30)-F128)/365.25)*IF(I128="Vacate",H128*D128*(1+GrowthMarketRent)^8*IF(INT((DATE(2026+8,10,31)-F128)/365.25)=0,(12-DowntimeNew)/12,1),IF(I128="Option",G128*D128*1.025*(1+EscalatorInLease)^8,IF(I128="Market",Retention*G128*D128*(1+EscalatorInLease)^(8+M128)+(1-Retention)*H128*D128*(1+GrowthMarketRent)^8*IF(INT((DATE(2026+8,10,31)-F128)/365.25)=0,(12-DowntimeNew)/12,1),IF(I128="LeaseUp",H128*D128*(1+GrowthMarketRent)^8*IF(8=0,(12-DowntimeNew)/12,1),0)))))))),0)</f>
        <v/>
      </c>
      <c r="W128" s="14">
        <f>IFERROR(IF(I128="LeaseUp",H128*D128*(1+GrowthMarketRent)^9*IF(9=0,(12-DowntimeNew)/12,1),IF(F128="",0,IF(F128&gt;=DATE(2027+9,4,30),G128*D128*(1+EscalatorInLease)^(9+M128),IF(F128&lt;DATE(2026+9,5,1),IF(I128="Vacate",H128*D128*(1+GrowthMarketRent)^9*IF(INT((DATE(2026+9,10,31)-F128)/365.25)=0,(12-DowntimeNew)/12,1),IF(I128="Option",G128*D128*1.025*(1+EscalatorInLease)^9,IF(I128="Market",Retention*G128*D128*(1+EscalatorInLease)^(9+M128)+(1-Retention)*H128*D128*(1+GrowthMarketRent)^9*IF(INT((DATE(2026+9,10,31)-F128)/365.25)=0,(12-DowntimeNew)/12,1),IF(I128="LeaseUp",H128*D128*(1+GrowthMarketRent)^9*IF(9=0,(12-DowntimeNew)/12,1),0)))),((F128-DATE(2026+9,5,1))/365.25)*G128*D128*(1+EscalatorInLease)^(9+M128)+((DATE(2027+9,4,30)-F128)/365.25)*IF(I128="Vacate",H128*D128*(1+GrowthMarketRent)^9*IF(INT((DATE(2026+9,10,31)-F128)/365.25)=0,(12-DowntimeNew)/12,1),IF(I128="Option",G128*D128*1.025*(1+EscalatorInLease)^9,IF(I128="Market",Retention*G128*D128*(1+EscalatorInLease)^(9+M128)+(1-Retention)*H128*D128*(1+GrowthMarketRent)^9*IF(INT((DATE(2026+9,10,31)-F128)/365.25)=0,(12-DowntimeNew)/12,1),IF(I128="LeaseUp",H128*D128*(1+GrowthMarketRent)^9*IF(9=0,(12-DowntimeNew)/12,1),0)))))))),0)</f>
        <v/>
      </c>
      <c r="X128" s="14">
        <f>IFERROR(IF(I128="LeaseUp",H128*D128*(1+GrowthMarketRent)^10*IF(10=0,(12-DowntimeNew)/12,1),IF(F128="",0,IF(F128&gt;=DATE(2027+10,4,30),G128*D128*(1+EscalatorInLease)^(10+M128),IF(F128&lt;DATE(2026+10,5,1),IF(I128="Vacate",H128*D128*(1+GrowthMarketRent)^10*IF(INT((DATE(2026+10,10,31)-F128)/365.25)=0,(12-DowntimeNew)/12,1),IF(I128="Option",G128*D128*1.025*(1+EscalatorInLease)^10,IF(I128="Market",Retention*G128*D128*(1+EscalatorInLease)^(10+M128)+(1-Retention)*H128*D128*(1+GrowthMarketRent)^10*IF(INT((DATE(2026+10,10,31)-F128)/365.25)=0,(12-DowntimeNew)/12,1),IF(I128="LeaseUp",H128*D128*(1+GrowthMarketRent)^10*IF(10=0,(12-DowntimeNew)/12,1),0)))),((F128-DATE(2026+10,5,1))/365.25)*G128*D128*(1+EscalatorInLease)^(10+M128)+((DATE(2027+10,4,30)-F128)/365.25)*IF(I128="Vacate",H128*D128*(1+GrowthMarketRent)^10*IF(INT((DATE(2026+10,10,31)-F128)/365.25)=0,(12-DowntimeNew)/12,1),IF(I128="Option",G128*D128*1.025*(1+EscalatorInLease)^10,IF(I128="Market",Retention*G128*D128*(1+EscalatorInLease)^(10+M128)+(1-Retention)*H128*D128*(1+GrowthMarketRent)^10*IF(INT((DATE(2026+10,10,31)-F128)/365.25)=0,(12-DowntimeNew)/12,1),IF(I128="LeaseUp",H128*D128*(1+GrowthMarketRent)^10*IF(10=0,(12-DowntimeNew)/12,1),0)))))))),0)</f>
        <v/>
      </c>
      <c r="Y128" s="14">
        <f>IFERROR(IF(AND(I128="LeaseUp",0=0),(IF(I128="Vacate",TINew*D128,IF(I128="Market",Retention*TIRenewal*D128+(1-Retention)*TINew*D128,IF(I128="LeaseUp",TINew*D128,IF(I128="Option",TIRenewal*D128,0)))))+(IF(I128="Vacate",LCNew*H128*D128*(1+GrowthMarketRent)^0,IF(I128="Market",Retention*LCRenewal*H128*D128*(1+GrowthMarketRent)^0+(1-Retention)*LCNew*H128*D128*(1+GrowthMarketRent)^0,IF(I128="LeaseUp",LCNew*H128*D128*(1+GrowthMarketRent)^0,IF(I128="Option",LCRenewal*H128*D128*(1+GrowthMarketRent)^0,0))))),IF(F128="",0,IF(AND(F128&gt;=DATE(2026+0,5,1),F128&lt;=DATE(2027+0,4,30)),(IF(I128="Vacate",TINew*D128,IF(I128="Market",Retention*TIRenewal*D128+(1-Retention)*TINew*D128,IF(I128="LeaseUp",TINew*D128,IF(I128="Option",TIRenewal*D128,0)))))+(IF(I128="Vacate",LCNew*H128*D128*(1+GrowthMarketRent)^0,IF(I128="Market",Retention*LCRenewal*H128*D128*(1+GrowthMarketRent)^0+(1-Retention)*LCNew*H128*D128*(1+GrowthMarketRent)^0,IF(I128="LeaseUp",LCNew*H128*D128*(1+GrowthMarketRent)^0,IF(I128="Option",LCRenewal*H128*D128*(1+GrowthMarketRent)^0,0))))),0))),0)</f>
        <v/>
      </c>
      <c r="Z128" s="14">
        <f>IFERROR(IF(AND(I128="LeaseUp",1=0),(IF(I128="Vacate",TINew*D128,IF(I128="Market",Retention*TIRenewal*D128+(1-Retention)*TINew*D128,IF(I128="LeaseUp",TINew*D128,IF(I128="Option",TIRenewal*D128,0)))))+(IF(I128="Vacate",LCNew*H128*D128*(1+GrowthMarketRent)^1,IF(I128="Market",Retention*LCRenewal*H128*D128*(1+GrowthMarketRent)^1+(1-Retention)*LCNew*H128*D128*(1+GrowthMarketRent)^1,IF(I128="LeaseUp",LCNew*H128*D128*(1+GrowthMarketRent)^1,IF(I128="Option",LCRenewal*H128*D128*(1+GrowthMarketRent)^1,0))))),IF(F128="",0,IF(AND(F128&gt;=DATE(2026+1,5,1),F128&lt;=DATE(2027+1,4,30)),(IF(I128="Vacate",TINew*D128,IF(I128="Market",Retention*TIRenewal*D128+(1-Retention)*TINew*D128,IF(I128="LeaseUp",TINew*D128,IF(I128="Option",TIRenewal*D128,0)))))+(IF(I128="Vacate",LCNew*H128*D128*(1+GrowthMarketRent)^1,IF(I128="Market",Retention*LCRenewal*H128*D128*(1+GrowthMarketRent)^1+(1-Retention)*LCNew*H128*D128*(1+GrowthMarketRent)^1,IF(I128="LeaseUp",LCNew*H128*D128*(1+GrowthMarketRent)^1,IF(I128="Option",LCRenewal*H128*D128*(1+GrowthMarketRent)^1,0))))),0))),0)</f>
        <v/>
      </c>
      <c r="AA128" s="14">
        <f>IFERROR(IF(AND(I128="LeaseUp",2=0),(IF(I128="Vacate",TINew*D128,IF(I128="Market",Retention*TIRenewal*D128+(1-Retention)*TINew*D128,IF(I128="LeaseUp",TINew*D128,IF(I128="Option",TIRenewal*D128,0)))))+(IF(I128="Vacate",LCNew*H128*D128*(1+GrowthMarketRent)^2,IF(I128="Market",Retention*LCRenewal*H128*D128*(1+GrowthMarketRent)^2+(1-Retention)*LCNew*H128*D128*(1+GrowthMarketRent)^2,IF(I128="LeaseUp",LCNew*H128*D128*(1+GrowthMarketRent)^2,IF(I128="Option",LCRenewal*H128*D128*(1+GrowthMarketRent)^2,0))))),IF(F128="",0,IF(AND(F128&gt;=DATE(2026+2,5,1),F128&lt;=DATE(2027+2,4,30)),(IF(I128="Vacate",TINew*D128,IF(I128="Market",Retention*TIRenewal*D128+(1-Retention)*TINew*D128,IF(I128="LeaseUp",TINew*D128,IF(I128="Option",TIRenewal*D128,0)))))+(IF(I128="Vacate",LCNew*H128*D128*(1+GrowthMarketRent)^2,IF(I128="Market",Retention*LCRenewal*H128*D128*(1+GrowthMarketRent)^2+(1-Retention)*LCNew*H128*D128*(1+GrowthMarketRent)^2,IF(I128="LeaseUp",LCNew*H128*D128*(1+GrowthMarketRent)^2,IF(I128="Option",LCRenewal*H128*D128*(1+GrowthMarketRent)^2,0))))),0))),0)</f>
        <v/>
      </c>
      <c r="AB128" s="14">
        <f>IFERROR(IF(AND(I128="LeaseUp",3=0),(IF(I128="Vacate",TINew*D128,IF(I128="Market",Retention*TIRenewal*D128+(1-Retention)*TINew*D128,IF(I128="LeaseUp",TINew*D128,IF(I128="Option",TIRenewal*D128,0)))))+(IF(I128="Vacate",LCNew*H128*D128*(1+GrowthMarketRent)^3,IF(I128="Market",Retention*LCRenewal*H128*D128*(1+GrowthMarketRent)^3+(1-Retention)*LCNew*H128*D128*(1+GrowthMarketRent)^3,IF(I128="LeaseUp",LCNew*H128*D128*(1+GrowthMarketRent)^3,IF(I128="Option",LCRenewal*H128*D128*(1+GrowthMarketRent)^3,0))))),IF(F128="",0,IF(AND(F128&gt;=DATE(2026+3,5,1),F128&lt;=DATE(2027+3,4,30)),(IF(I128="Vacate",TINew*D128,IF(I128="Market",Retention*TIRenewal*D128+(1-Retention)*TINew*D128,IF(I128="LeaseUp",TINew*D128,IF(I128="Option",TIRenewal*D128,0)))))+(IF(I128="Vacate",LCNew*H128*D128*(1+GrowthMarketRent)^3,IF(I128="Market",Retention*LCRenewal*H128*D128*(1+GrowthMarketRent)^3+(1-Retention)*LCNew*H128*D128*(1+GrowthMarketRent)^3,IF(I128="LeaseUp",LCNew*H128*D128*(1+GrowthMarketRent)^3,IF(I128="Option",LCRenewal*H128*D128*(1+GrowthMarketRent)^3,0))))),0))),0)</f>
        <v/>
      </c>
      <c r="AC128" s="14">
        <f>IFERROR(IF(AND(I128="LeaseUp",4=0),(IF(I128="Vacate",TINew*D128,IF(I128="Market",Retention*TIRenewal*D128+(1-Retention)*TINew*D128,IF(I128="LeaseUp",TINew*D128,IF(I128="Option",TIRenewal*D128,0)))))+(IF(I128="Vacate",LCNew*H128*D128*(1+GrowthMarketRent)^4,IF(I128="Market",Retention*LCRenewal*H128*D128*(1+GrowthMarketRent)^4+(1-Retention)*LCNew*H128*D128*(1+GrowthMarketRent)^4,IF(I128="LeaseUp",LCNew*H128*D128*(1+GrowthMarketRent)^4,IF(I128="Option",LCRenewal*H128*D128*(1+GrowthMarketRent)^4,0))))),IF(F128="",0,IF(AND(F128&gt;=DATE(2026+4,5,1),F128&lt;=DATE(2027+4,4,30)),(IF(I128="Vacate",TINew*D128,IF(I128="Market",Retention*TIRenewal*D128+(1-Retention)*TINew*D128,IF(I128="LeaseUp",TINew*D128,IF(I128="Option",TIRenewal*D128,0)))))+(IF(I128="Vacate",LCNew*H128*D128*(1+GrowthMarketRent)^4,IF(I128="Market",Retention*LCRenewal*H128*D128*(1+GrowthMarketRent)^4+(1-Retention)*LCNew*H128*D128*(1+GrowthMarketRent)^4,IF(I128="LeaseUp",LCNew*H128*D128*(1+GrowthMarketRent)^4,IF(I128="Option",LCRenewal*H128*D128*(1+GrowthMarketRent)^4,0))))),0))),0)</f>
        <v/>
      </c>
      <c r="AD128" s="14">
        <f>IFERROR(IF(AND(I128="LeaseUp",5=0),(IF(I128="Vacate",TINew*D128,IF(I128="Market",Retention*TIRenewal*D128+(1-Retention)*TINew*D128,IF(I128="LeaseUp",TINew*D128,IF(I128="Option",TIRenewal*D128,0)))))+(IF(I128="Vacate",LCNew*H128*D128*(1+GrowthMarketRent)^5,IF(I128="Market",Retention*LCRenewal*H128*D128*(1+GrowthMarketRent)^5+(1-Retention)*LCNew*H128*D128*(1+GrowthMarketRent)^5,IF(I128="LeaseUp",LCNew*H128*D128*(1+GrowthMarketRent)^5,IF(I128="Option",LCRenewal*H128*D128*(1+GrowthMarketRent)^5,0))))),IF(F128="",0,IF(AND(F128&gt;=DATE(2026+5,5,1),F128&lt;=DATE(2027+5,4,30)),(IF(I128="Vacate",TINew*D128,IF(I128="Market",Retention*TIRenewal*D128+(1-Retention)*TINew*D128,IF(I128="LeaseUp",TINew*D128,IF(I128="Option",TIRenewal*D128,0)))))+(IF(I128="Vacate",LCNew*H128*D128*(1+GrowthMarketRent)^5,IF(I128="Market",Retention*LCRenewal*H128*D128*(1+GrowthMarketRent)^5+(1-Retention)*LCNew*H128*D128*(1+GrowthMarketRent)^5,IF(I128="LeaseUp",LCNew*H128*D128*(1+GrowthMarketRent)^5,IF(I128="Option",LCRenewal*H128*D128*(1+GrowthMarketRent)^5,0))))),0))),0)</f>
        <v/>
      </c>
      <c r="AE128" s="14">
        <f>IFERROR(IF(AND(I128="LeaseUp",6=0),(IF(I128="Vacate",TINew*D128,IF(I128="Market",Retention*TIRenewal*D128+(1-Retention)*TINew*D128,IF(I128="LeaseUp",TINew*D128,IF(I128="Option",TIRenewal*D128,0)))))+(IF(I128="Vacate",LCNew*H128*D128*(1+GrowthMarketRent)^6,IF(I128="Market",Retention*LCRenewal*H128*D128*(1+GrowthMarketRent)^6+(1-Retention)*LCNew*H128*D128*(1+GrowthMarketRent)^6,IF(I128="LeaseUp",LCNew*H128*D128*(1+GrowthMarketRent)^6,IF(I128="Option",LCRenewal*H128*D128*(1+GrowthMarketRent)^6,0))))),IF(F128="",0,IF(AND(F128&gt;=DATE(2026+6,5,1),F128&lt;=DATE(2027+6,4,30)),(IF(I128="Vacate",TINew*D128,IF(I128="Market",Retention*TIRenewal*D128+(1-Retention)*TINew*D128,IF(I128="LeaseUp",TINew*D128,IF(I128="Option",TIRenewal*D128,0)))))+(IF(I128="Vacate",LCNew*H128*D128*(1+GrowthMarketRent)^6,IF(I128="Market",Retention*LCRenewal*H128*D128*(1+GrowthMarketRent)^6+(1-Retention)*LCNew*H128*D128*(1+GrowthMarketRent)^6,IF(I128="LeaseUp",LCNew*H128*D128*(1+GrowthMarketRent)^6,IF(I128="Option",LCRenewal*H128*D128*(1+GrowthMarketRent)^6,0))))),0))),0)</f>
        <v/>
      </c>
      <c r="AF128" s="14">
        <f>IFERROR(IF(AND(I128="LeaseUp",7=0),(IF(I128="Vacate",TINew*D128,IF(I128="Market",Retention*TIRenewal*D128+(1-Retention)*TINew*D128,IF(I128="LeaseUp",TINew*D128,IF(I128="Option",TIRenewal*D128,0)))))+(IF(I128="Vacate",LCNew*H128*D128*(1+GrowthMarketRent)^7,IF(I128="Market",Retention*LCRenewal*H128*D128*(1+GrowthMarketRent)^7+(1-Retention)*LCNew*H128*D128*(1+GrowthMarketRent)^7,IF(I128="LeaseUp",LCNew*H128*D128*(1+GrowthMarketRent)^7,IF(I128="Option",LCRenewal*H128*D128*(1+GrowthMarketRent)^7,0))))),IF(F128="",0,IF(AND(F128&gt;=DATE(2026+7,5,1),F128&lt;=DATE(2027+7,4,30)),(IF(I128="Vacate",TINew*D128,IF(I128="Market",Retention*TIRenewal*D128+(1-Retention)*TINew*D128,IF(I128="LeaseUp",TINew*D128,IF(I128="Option",TIRenewal*D128,0)))))+(IF(I128="Vacate",LCNew*H128*D128*(1+GrowthMarketRent)^7,IF(I128="Market",Retention*LCRenewal*H128*D128*(1+GrowthMarketRent)^7+(1-Retention)*LCNew*H128*D128*(1+GrowthMarketRent)^7,IF(I128="LeaseUp",LCNew*H128*D128*(1+GrowthMarketRent)^7,IF(I128="Option",LCRenewal*H128*D128*(1+GrowthMarketRent)^7,0))))),0))),0)</f>
        <v/>
      </c>
      <c r="AG128" s="14">
        <f>IFERROR(IF(AND(I128="LeaseUp",8=0),(IF(I128="Vacate",TINew*D128,IF(I128="Market",Retention*TIRenewal*D128+(1-Retention)*TINew*D128,IF(I128="LeaseUp",TINew*D128,IF(I128="Option",TIRenewal*D128,0)))))+(IF(I128="Vacate",LCNew*H128*D128*(1+GrowthMarketRent)^8,IF(I128="Market",Retention*LCRenewal*H128*D128*(1+GrowthMarketRent)^8+(1-Retention)*LCNew*H128*D128*(1+GrowthMarketRent)^8,IF(I128="LeaseUp",LCNew*H128*D128*(1+GrowthMarketRent)^8,IF(I128="Option",LCRenewal*H128*D128*(1+GrowthMarketRent)^8,0))))),IF(F128="",0,IF(AND(F128&gt;=DATE(2026+8,5,1),F128&lt;=DATE(2027+8,4,30)),(IF(I128="Vacate",TINew*D128,IF(I128="Market",Retention*TIRenewal*D128+(1-Retention)*TINew*D128,IF(I128="LeaseUp",TINew*D128,IF(I128="Option",TIRenewal*D128,0)))))+(IF(I128="Vacate",LCNew*H128*D128*(1+GrowthMarketRent)^8,IF(I128="Market",Retention*LCRenewal*H128*D128*(1+GrowthMarketRent)^8+(1-Retention)*LCNew*H128*D128*(1+GrowthMarketRent)^8,IF(I128="LeaseUp",LCNew*H128*D128*(1+GrowthMarketRent)^8,IF(I128="Option",LCRenewal*H128*D128*(1+GrowthMarketRent)^8,0))))),0))),0)</f>
        <v/>
      </c>
      <c r="AH128" s="14">
        <f>IFERROR(IF(AND(I128="LeaseUp",9=0),(IF(I128="Vacate",TINew*D128,IF(I128="Market",Retention*TIRenewal*D128+(1-Retention)*TINew*D128,IF(I128="LeaseUp",TINew*D128,IF(I128="Option",TIRenewal*D128,0)))))+(IF(I128="Vacate",LCNew*H128*D128*(1+GrowthMarketRent)^9,IF(I128="Market",Retention*LCRenewal*H128*D128*(1+GrowthMarketRent)^9+(1-Retention)*LCNew*H128*D128*(1+GrowthMarketRent)^9,IF(I128="LeaseUp",LCNew*H128*D128*(1+GrowthMarketRent)^9,IF(I128="Option",LCRenewal*H128*D128*(1+GrowthMarketRent)^9,0))))),IF(F128="",0,IF(AND(F128&gt;=DATE(2026+9,5,1),F128&lt;=DATE(2027+9,4,30)),(IF(I128="Vacate",TINew*D128,IF(I128="Market",Retention*TIRenewal*D128+(1-Retention)*TINew*D128,IF(I128="LeaseUp",TINew*D128,IF(I128="Option",TIRenewal*D128,0)))))+(IF(I128="Vacate",LCNew*H128*D128*(1+GrowthMarketRent)^9,IF(I128="Market",Retention*LCRenewal*H128*D128*(1+GrowthMarketRent)^9+(1-Retention)*LCNew*H128*D128*(1+GrowthMarketRent)^9,IF(I128="LeaseUp",LCNew*H128*D128*(1+GrowthMarketRent)^9,IF(I128="Option",LCRenewal*H128*D128*(1+GrowthMarketRent)^9,0))))),0))),0)</f>
        <v/>
      </c>
      <c r="AI128" s="14">
        <f>IFERROR(IF(AND(I128="LeaseUp",10=0),(IF(I128="Vacate",TINew*D128,IF(I128="Market",Retention*TIRenewal*D128+(1-Retention)*TINew*D128,IF(I128="LeaseUp",TINew*D128,IF(I128="Option",TIRenewal*D128,0)))))+(IF(I128="Vacate",LCNew*H128*D128*(1+GrowthMarketRent)^10,IF(I128="Market",Retention*LCRenewal*H128*D128*(1+GrowthMarketRent)^10+(1-Retention)*LCNew*H128*D128*(1+GrowthMarketRent)^10,IF(I128="LeaseUp",LCNew*H128*D128*(1+GrowthMarketRent)^10,IF(I128="Option",LCRenewal*H128*D128*(1+GrowthMarketRent)^10,0))))),IF(F128="",0,IF(AND(F128&gt;=DATE(2026+10,5,1),F128&lt;=DATE(2027+10,4,30)),(IF(I128="Vacate",TINew*D128,IF(I128="Market",Retention*TIRenewal*D128+(1-Retention)*TINew*D128,IF(I128="LeaseUp",TINew*D128,IF(I128="Option",TIRenewal*D128,0)))))+(IF(I128="Vacate",LCNew*H128*D128*(1+GrowthMarketRent)^10,IF(I128="Market",Retention*LCRenewal*H128*D128*(1+GrowthMarketRent)^10+(1-Retention)*LCNew*H128*D128*(1+GrowthMarketRent)^10,IF(I128="LeaseUp",LCNew*H128*D128*(1+GrowthMarketRent)^10,IF(I128="Option",LCRenewal*H128*D128*(1+GrowthMarketRent)^10,0))))),0))),0)</f>
        <v/>
      </c>
    </row>
    <row r="129">
      <c r="A129" t="inlineStr">
        <is>
          <t>Roanoke</t>
        </is>
      </c>
      <c r="B129" t="inlineStr">
        <is>
          <t>120A</t>
        </is>
      </c>
      <c r="C129" t="inlineStr">
        <is>
          <t>Mark Ettinger, MD</t>
        </is>
      </c>
      <c r="D129" s="32" t="n">
        <v>2600</v>
      </c>
      <c r="E129" s="33" t="n">
        <v>45870</v>
      </c>
      <c r="F129" s="33" t="n">
        <v>47150</v>
      </c>
      <c r="G129" s="34" t="n">
        <v>18</v>
      </c>
      <c r="H129" s="16">
        <f>VLOOKUP(A129,MLA!$A$5:$L$11,3,FALSE)</f>
        <v/>
      </c>
      <c r="I129" s="11" t="inlineStr">
        <is>
          <t>Option</t>
        </is>
      </c>
      <c r="J129" t="inlineStr">
        <is>
          <t>Shop</t>
        </is>
      </c>
      <c r="K129" t="inlineStr">
        <is>
          <t>Occupied</t>
        </is>
      </c>
      <c r="L129" t="inlineStr">
        <is>
          <t>Shop; Guarantor: Mark Ettinger MD; Two 3yr options @ FMV</t>
        </is>
      </c>
      <c r="M129" s="20">
        <f>IF(E129="",0,(AnalysisStart-E129)/365.25)</f>
        <v/>
      </c>
      <c r="N129" s="14">
        <f>IFERROR(IF(I129="LeaseUp",H129*D129*(1+GrowthMarketRent)^0*IF(0=0,(12-DowntimeNew)/12,1),IF(F129="",0,IF(F129&gt;=DATE(2027+0,4,30),G129*D129*(1+EscalatorInLease)^(0+M129),IF(F129&lt;DATE(2026+0,5,1),IF(I129="Vacate",H129*D129*(1+GrowthMarketRent)^0*IF(INT((DATE(2026+0,10,31)-F129)/365.25)=0,(12-DowntimeNew)/12,1),IF(I129="Option",G129*D129*1.025*(1+EscalatorInLease)^0,IF(I129="Market",Retention*G129*D129*(1+EscalatorInLease)^(0+M129)+(1-Retention)*H129*D129*(1+GrowthMarketRent)^0*IF(INT((DATE(2026+0,10,31)-F129)/365.25)=0,(12-DowntimeNew)/12,1),IF(I129="LeaseUp",H129*D129*(1+GrowthMarketRent)^0*IF(0=0,(12-DowntimeNew)/12,1),0)))),((F129-DATE(2026+0,5,1))/365.25)*G129*D129*(1+EscalatorInLease)^(0+M129)+((DATE(2027+0,4,30)-F129)/365.25)*IF(I129="Vacate",H129*D129*(1+GrowthMarketRent)^0*IF(INT((DATE(2026+0,10,31)-F129)/365.25)=0,(12-DowntimeNew)/12,1),IF(I129="Option",G129*D129*1.025*(1+EscalatorInLease)^0,IF(I129="Market",Retention*G129*D129*(1+EscalatorInLease)^(0+M129)+(1-Retention)*H129*D129*(1+GrowthMarketRent)^0*IF(INT((DATE(2026+0,10,31)-F129)/365.25)=0,(12-DowntimeNew)/12,1),IF(I129="LeaseUp",H129*D129*(1+GrowthMarketRent)^0*IF(0=0,(12-DowntimeNew)/12,1),0)))))))),0)</f>
        <v/>
      </c>
      <c r="O129" s="14">
        <f>IFERROR(IF(I129="LeaseUp",H129*D129*(1+GrowthMarketRent)^1*IF(1=0,(12-DowntimeNew)/12,1),IF(F129="",0,IF(F129&gt;=DATE(2027+1,4,30),G129*D129*(1+EscalatorInLease)^(1+M129),IF(F129&lt;DATE(2026+1,5,1),IF(I129="Vacate",H129*D129*(1+GrowthMarketRent)^1*IF(INT((DATE(2026+1,10,31)-F129)/365.25)=0,(12-DowntimeNew)/12,1),IF(I129="Option",G129*D129*1.025*(1+EscalatorInLease)^1,IF(I129="Market",Retention*G129*D129*(1+EscalatorInLease)^(1+M129)+(1-Retention)*H129*D129*(1+GrowthMarketRent)^1*IF(INT((DATE(2026+1,10,31)-F129)/365.25)=0,(12-DowntimeNew)/12,1),IF(I129="LeaseUp",H129*D129*(1+GrowthMarketRent)^1*IF(1=0,(12-DowntimeNew)/12,1),0)))),((F129-DATE(2026+1,5,1))/365.25)*G129*D129*(1+EscalatorInLease)^(1+M129)+((DATE(2027+1,4,30)-F129)/365.25)*IF(I129="Vacate",H129*D129*(1+GrowthMarketRent)^1*IF(INT((DATE(2026+1,10,31)-F129)/365.25)=0,(12-DowntimeNew)/12,1),IF(I129="Option",G129*D129*1.025*(1+EscalatorInLease)^1,IF(I129="Market",Retention*G129*D129*(1+EscalatorInLease)^(1+M129)+(1-Retention)*H129*D129*(1+GrowthMarketRent)^1*IF(INT((DATE(2026+1,10,31)-F129)/365.25)=0,(12-DowntimeNew)/12,1),IF(I129="LeaseUp",H129*D129*(1+GrowthMarketRent)^1*IF(1=0,(12-DowntimeNew)/12,1),0)))))))),0)</f>
        <v/>
      </c>
      <c r="P129" s="14">
        <f>IFERROR(IF(I129="LeaseUp",H129*D129*(1+GrowthMarketRent)^2*IF(2=0,(12-DowntimeNew)/12,1),IF(F129="",0,IF(F129&gt;=DATE(2027+2,4,30),G129*D129*(1+EscalatorInLease)^(2+M129),IF(F129&lt;DATE(2026+2,5,1),IF(I129="Vacate",H129*D129*(1+GrowthMarketRent)^2*IF(INT((DATE(2026+2,10,31)-F129)/365.25)=0,(12-DowntimeNew)/12,1),IF(I129="Option",G129*D129*1.025*(1+EscalatorInLease)^2,IF(I129="Market",Retention*G129*D129*(1+EscalatorInLease)^(2+M129)+(1-Retention)*H129*D129*(1+GrowthMarketRent)^2*IF(INT((DATE(2026+2,10,31)-F129)/365.25)=0,(12-DowntimeNew)/12,1),IF(I129="LeaseUp",H129*D129*(1+GrowthMarketRent)^2*IF(2=0,(12-DowntimeNew)/12,1),0)))),((F129-DATE(2026+2,5,1))/365.25)*G129*D129*(1+EscalatorInLease)^(2+M129)+((DATE(2027+2,4,30)-F129)/365.25)*IF(I129="Vacate",H129*D129*(1+GrowthMarketRent)^2*IF(INT((DATE(2026+2,10,31)-F129)/365.25)=0,(12-DowntimeNew)/12,1),IF(I129="Option",G129*D129*1.025*(1+EscalatorInLease)^2,IF(I129="Market",Retention*G129*D129*(1+EscalatorInLease)^(2+M129)+(1-Retention)*H129*D129*(1+GrowthMarketRent)^2*IF(INT((DATE(2026+2,10,31)-F129)/365.25)=0,(12-DowntimeNew)/12,1),IF(I129="LeaseUp",H129*D129*(1+GrowthMarketRent)^2*IF(2=0,(12-DowntimeNew)/12,1),0)))))))),0)</f>
        <v/>
      </c>
      <c r="Q129" s="14">
        <f>IFERROR(IF(I129="LeaseUp",H129*D129*(1+GrowthMarketRent)^3*IF(3=0,(12-DowntimeNew)/12,1),IF(F129="",0,IF(F129&gt;=DATE(2027+3,4,30),G129*D129*(1+EscalatorInLease)^(3+M129),IF(F129&lt;DATE(2026+3,5,1),IF(I129="Vacate",H129*D129*(1+GrowthMarketRent)^3*IF(INT((DATE(2026+3,10,31)-F129)/365.25)=0,(12-DowntimeNew)/12,1),IF(I129="Option",G129*D129*1.025*(1+EscalatorInLease)^3,IF(I129="Market",Retention*G129*D129*(1+EscalatorInLease)^(3+M129)+(1-Retention)*H129*D129*(1+GrowthMarketRent)^3*IF(INT((DATE(2026+3,10,31)-F129)/365.25)=0,(12-DowntimeNew)/12,1),IF(I129="LeaseUp",H129*D129*(1+GrowthMarketRent)^3*IF(3=0,(12-DowntimeNew)/12,1),0)))),((F129-DATE(2026+3,5,1))/365.25)*G129*D129*(1+EscalatorInLease)^(3+M129)+((DATE(2027+3,4,30)-F129)/365.25)*IF(I129="Vacate",H129*D129*(1+GrowthMarketRent)^3*IF(INT((DATE(2026+3,10,31)-F129)/365.25)=0,(12-DowntimeNew)/12,1),IF(I129="Option",G129*D129*1.025*(1+EscalatorInLease)^3,IF(I129="Market",Retention*G129*D129*(1+EscalatorInLease)^(3+M129)+(1-Retention)*H129*D129*(1+GrowthMarketRent)^3*IF(INT((DATE(2026+3,10,31)-F129)/365.25)=0,(12-DowntimeNew)/12,1),IF(I129="LeaseUp",H129*D129*(1+GrowthMarketRent)^3*IF(3=0,(12-DowntimeNew)/12,1),0)))))))),0)</f>
        <v/>
      </c>
      <c r="R129" s="14">
        <f>IFERROR(IF(I129="LeaseUp",H129*D129*(1+GrowthMarketRent)^4*IF(4=0,(12-DowntimeNew)/12,1),IF(F129="",0,IF(F129&gt;=DATE(2027+4,4,30),G129*D129*(1+EscalatorInLease)^(4+M129),IF(F129&lt;DATE(2026+4,5,1),IF(I129="Vacate",H129*D129*(1+GrowthMarketRent)^4*IF(INT((DATE(2026+4,10,31)-F129)/365.25)=0,(12-DowntimeNew)/12,1),IF(I129="Option",G129*D129*1.025*(1+EscalatorInLease)^4,IF(I129="Market",Retention*G129*D129*(1+EscalatorInLease)^(4+M129)+(1-Retention)*H129*D129*(1+GrowthMarketRent)^4*IF(INT((DATE(2026+4,10,31)-F129)/365.25)=0,(12-DowntimeNew)/12,1),IF(I129="LeaseUp",H129*D129*(1+GrowthMarketRent)^4*IF(4=0,(12-DowntimeNew)/12,1),0)))),((F129-DATE(2026+4,5,1))/365.25)*G129*D129*(1+EscalatorInLease)^(4+M129)+((DATE(2027+4,4,30)-F129)/365.25)*IF(I129="Vacate",H129*D129*(1+GrowthMarketRent)^4*IF(INT((DATE(2026+4,10,31)-F129)/365.25)=0,(12-DowntimeNew)/12,1),IF(I129="Option",G129*D129*1.025*(1+EscalatorInLease)^4,IF(I129="Market",Retention*G129*D129*(1+EscalatorInLease)^(4+M129)+(1-Retention)*H129*D129*(1+GrowthMarketRent)^4*IF(INT((DATE(2026+4,10,31)-F129)/365.25)=0,(12-DowntimeNew)/12,1),IF(I129="LeaseUp",H129*D129*(1+GrowthMarketRent)^4*IF(4=0,(12-DowntimeNew)/12,1),0)))))))),0)</f>
        <v/>
      </c>
      <c r="S129" s="14">
        <f>IFERROR(IF(I129="LeaseUp",H129*D129*(1+GrowthMarketRent)^5*IF(5=0,(12-DowntimeNew)/12,1),IF(F129="",0,IF(F129&gt;=DATE(2027+5,4,30),G129*D129*(1+EscalatorInLease)^(5+M129),IF(F129&lt;DATE(2026+5,5,1),IF(I129="Vacate",H129*D129*(1+GrowthMarketRent)^5*IF(INT((DATE(2026+5,10,31)-F129)/365.25)=0,(12-DowntimeNew)/12,1),IF(I129="Option",G129*D129*1.025*(1+EscalatorInLease)^5,IF(I129="Market",Retention*G129*D129*(1+EscalatorInLease)^(5+M129)+(1-Retention)*H129*D129*(1+GrowthMarketRent)^5*IF(INT((DATE(2026+5,10,31)-F129)/365.25)=0,(12-DowntimeNew)/12,1),IF(I129="LeaseUp",H129*D129*(1+GrowthMarketRent)^5*IF(5=0,(12-DowntimeNew)/12,1),0)))),((F129-DATE(2026+5,5,1))/365.25)*G129*D129*(1+EscalatorInLease)^(5+M129)+((DATE(2027+5,4,30)-F129)/365.25)*IF(I129="Vacate",H129*D129*(1+GrowthMarketRent)^5*IF(INT((DATE(2026+5,10,31)-F129)/365.25)=0,(12-DowntimeNew)/12,1),IF(I129="Option",G129*D129*1.025*(1+EscalatorInLease)^5,IF(I129="Market",Retention*G129*D129*(1+EscalatorInLease)^(5+M129)+(1-Retention)*H129*D129*(1+GrowthMarketRent)^5*IF(INT((DATE(2026+5,10,31)-F129)/365.25)=0,(12-DowntimeNew)/12,1),IF(I129="LeaseUp",H129*D129*(1+GrowthMarketRent)^5*IF(5=0,(12-DowntimeNew)/12,1),0)))))))),0)</f>
        <v/>
      </c>
      <c r="T129" s="14">
        <f>IFERROR(IF(I129="LeaseUp",H129*D129*(1+GrowthMarketRent)^6*IF(6=0,(12-DowntimeNew)/12,1),IF(F129="",0,IF(F129&gt;=DATE(2027+6,4,30),G129*D129*(1+EscalatorInLease)^(6+M129),IF(F129&lt;DATE(2026+6,5,1),IF(I129="Vacate",H129*D129*(1+GrowthMarketRent)^6*IF(INT((DATE(2026+6,10,31)-F129)/365.25)=0,(12-DowntimeNew)/12,1),IF(I129="Option",G129*D129*1.025*(1+EscalatorInLease)^6,IF(I129="Market",Retention*G129*D129*(1+EscalatorInLease)^(6+M129)+(1-Retention)*H129*D129*(1+GrowthMarketRent)^6*IF(INT((DATE(2026+6,10,31)-F129)/365.25)=0,(12-DowntimeNew)/12,1),IF(I129="LeaseUp",H129*D129*(1+GrowthMarketRent)^6*IF(6=0,(12-DowntimeNew)/12,1),0)))),((F129-DATE(2026+6,5,1))/365.25)*G129*D129*(1+EscalatorInLease)^(6+M129)+((DATE(2027+6,4,30)-F129)/365.25)*IF(I129="Vacate",H129*D129*(1+GrowthMarketRent)^6*IF(INT((DATE(2026+6,10,31)-F129)/365.25)=0,(12-DowntimeNew)/12,1),IF(I129="Option",G129*D129*1.025*(1+EscalatorInLease)^6,IF(I129="Market",Retention*G129*D129*(1+EscalatorInLease)^(6+M129)+(1-Retention)*H129*D129*(1+GrowthMarketRent)^6*IF(INT((DATE(2026+6,10,31)-F129)/365.25)=0,(12-DowntimeNew)/12,1),IF(I129="LeaseUp",H129*D129*(1+GrowthMarketRent)^6*IF(6=0,(12-DowntimeNew)/12,1),0)))))))),0)</f>
        <v/>
      </c>
      <c r="U129" s="14">
        <f>IFERROR(IF(I129="LeaseUp",H129*D129*(1+GrowthMarketRent)^7*IF(7=0,(12-DowntimeNew)/12,1),IF(F129="",0,IF(F129&gt;=DATE(2027+7,4,30),G129*D129*(1+EscalatorInLease)^(7+M129),IF(F129&lt;DATE(2026+7,5,1),IF(I129="Vacate",H129*D129*(1+GrowthMarketRent)^7*IF(INT((DATE(2026+7,10,31)-F129)/365.25)=0,(12-DowntimeNew)/12,1),IF(I129="Option",G129*D129*1.025*(1+EscalatorInLease)^7,IF(I129="Market",Retention*G129*D129*(1+EscalatorInLease)^(7+M129)+(1-Retention)*H129*D129*(1+GrowthMarketRent)^7*IF(INT((DATE(2026+7,10,31)-F129)/365.25)=0,(12-DowntimeNew)/12,1),IF(I129="LeaseUp",H129*D129*(1+GrowthMarketRent)^7*IF(7=0,(12-DowntimeNew)/12,1),0)))),((F129-DATE(2026+7,5,1))/365.25)*G129*D129*(1+EscalatorInLease)^(7+M129)+((DATE(2027+7,4,30)-F129)/365.25)*IF(I129="Vacate",H129*D129*(1+GrowthMarketRent)^7*IF(INT((DATE(2026+7,10,31)-F129)/365.25)=0,(12-DowntimeNew)/12,1),IF(I129="Option",G129*D129*1.025*(1+EscalatorInLease)^7,IF(I129="Market",Retention*G129*D129*(1+EscalatorInLease)^(7+M129)+(1-Retention)*H129*D129*(1+GrowthMarketRent)^7*IF(INT((DATE(2026+7,10,31)-F129)/365.25)=0,(12-DowntimeNew)/12,1),IF(I129="LeaseUp",H129*D129*(1+GrowthMarketRent)^7*IF(7=0,(12-DowntimeNew)/12,1),0)))))))),0)</f>
        <v/>
      </c>
      <c r="V129" s="14">
        <f>IFERROR(IF(I129="LeaseUp",H129*D129*(1+GrowthMarketRent)^8*IF(8=0,(12-DowntimeNew)/12,1),IF(F129="",0,IF(F129&gt;=DATE(2027+8,4,30),G129*D129*(1+EscalatorInLease)^(8+M129),IF(F129&lt;DATE(2026+8,5,1),IF(I129="Vacate",H129*D129*(1+GrowthMarketRent)^8*IF(INT((DATE(2026+8,10,31)-F129)/365.25)=0,(12-DowntimeNew)/12,1),IF(I129="Option",G129*D129*1.025*(1+EscalatorInLease)^8,IF(I129="Market",Retention*G129*D129*(1+EscalatorInLease)^(8+M129)+(1-Retention)*H129*D129*(1+GrowthMarketRent)^8*IF(INT((DATE(2026+8,10,31)-F129)/365.25)=0,(12-DowntimeNew)/12,1),IF(I129="LeaseUp",H129*D129*(1+GrowthMarketRent)^8*IF(8=0,(12-DowntimeNew)/12,1),0)))),((F129-DATE(2026+8,5,1))/365.25)*G129*D129*(1+EscalatorInLease)^(8+M129)+((DATE(2027+8,4,30)-F129)/365.25)*IF(I129="Vacate",H129*D129*(1+GrowthMarketRent)^8*IF(INT((DATE(2026+8,10,31)-F129)/365.25)=0,(12-DowntimeNew)/12,1),IF(I129="Option",G129*D129*1.025*(1+EscalatorInLease)^8,IF(I129="Market",Retention*G129*D129*(1+EscalatorInLease)^(8+M129)+(1-Retention)*H129*D129*(1+GrowthMarketRent)^8*IF(INT((DATE(2026+8,10,31)-F129)/365.25)=0,(12-DowntimeNew)/12,1),IF(I129="LeaseUp",H129*D129*(1+GrowthMarketRent)^8*IF(8=0,(12-DowntimeNew)/12,1),0)))))))),0)</f>
        <v/>
      </c>
      <c r="W129" s="14">
        <f>IFERROR(IF(I129="LeaseUp",H129*D129*(1+GrowthMarketRent)^9*IF(9=0,(12-DowntimeNew)/12,1),IF(F129="",0,IF(F129&gt;=DATE(2027+9,4,30),G129*D129*(1+EscalatorInLease)^(9+M129),IF(F129&lt;DATE(2026+9,5,1),IF(I129="Vacate",H129*D129*(1+GrowthMarketRent)^9*IF(INT((DATE(2026+9,10,31)-F129)/365.25)=0,(12-DowntimeNew)/12,1),IF(I129="Option",G129*D129*1.025*(1+EscalatorInLease)^9,IF(I129="Market",Retention*G129*D129*(1+EscalatorInLease)^(9+M129)+(1-Retention)*H129*D129*(1+GrowthMarketRent)^9*IF(INT((DATE(2026+9,10,31)-F129)/365.25)=0,(12-DowntimeNew)/12,1),IF(I129="LeaseUp",H129*D129*(1+GrowthMarketRent)^9*IF(9=0,(12-DowntimeNew)/12,1),0)))),((F129-DATE(2026+9,5,1))/365.25)*G129*D129*(1+EscalatorInLease)^(9+M129)+((DATE(2027+9,4,30)-F129)/365.25)*IF(I129="Vacate",H129*D129*(1+GrowthMarketRent)^9*IF(INT((DATE(2026+9,10,31)-F129)/365.25)=0,(12-DowntimeNew)/12,1),IF(I129="Option",G129*D129*1.025*(1+EscalatorInLease)^9,IF(I129="Market",Retention*G129*D129*(1+EscalatorInLease)^(9+M129)+(1-Retention)*H129*D129*(1+GrowthMarketRent)^9*IF(INT((DATE(2026+9,10,31)-F129)/365.25)=0,(12-DowntimeNew)/12,1),IF(I129="LeaseUp",H129*D129*(1+GrowthMarketRent)^9*IF(9=0,(12-DowntimeNew)/12,1),0)))))))),0)</f>
        <v/>
      </c>
      <c r="X129" s="14">
        <f>IFERROR(IF(I129="LeaseUp",H129*D129*(1+GrowthMarketRent)^10*IF(10=0,(12-DowntimeNew)/12,1),IF(F129="",0,IF(F129&gt;=DATE(2027+10,4,30),G129*D129*(1+EscalatorInLease)^(10+M129),IF(F129&lt;DATE(2026+10,5,1),IF(I129="Vacate",H129*D129*(1+GrowthMarketRent)^10*IF(INT((DATE(2026+10,10,31)-F129)/365.25)=0,(12-DowntimeNew)/12,1),IF(I129="Option",G129*D129*1.025*(1+EscalatorInLease)^10,IF(I129="Market",Retention*G129*D129*(1+EscalatorInLease)^(10+M129)+(1-Retention)*H129*D129*(1+GrowthMarketRent)^10*IF(INT((DATE(2026+10,10,31)-F129)/365.25)=0,(12-DowntimeNew)/12,1),IF(I129="LeaseUp",H129*D129*(1+GrowthMarketRent)^10*IF(10=0,(12-DowntimeNew)/12,1),0)))),((F129-DATE(2026+10,5,1))/365.25)*G129*D129*(1+EscalatorInLease)^(10+M129)+((DATE(2027+10,4,30)-F129)/365.25)*IF(I129="Vacate",H129*D129*(1+GrowthMarketRent)^10*IF(INT((DATE(2026+10,10,31)-F129)/365.25)=0,(12-DowntimeNew)/12,1),IF(I129="Option",G129*D129*1.025*(1+EscalatorInLease)^10,IF(I129="Market",Retention*G129*D129*(1+EscalatorInLease)^(10+M129)+(1-Retention)*H129*D129*(1+GrowthMarketRent)^10*IF(INT((DATE(2026+10,10,31)-F129)/365.25)=0,(12-DowntimeNew)/12,1),IF(I129="LeaseUp",H129*D129*(1+GrowthMarketRent)^10*IF(10=0,(12-DowntimeNew)/12,1),0)))))))),0)</f>
        <v/>
      </c>
      <c r="Y129" s="14">
        <f>IFERROR(IF(AND(I129="LeaseUp",0=0),(IF(I129="Vacate",TINew*D129,IF(I129="Market",Retention*TIRenewal*D129+(1-Retention)*TINew*D129,IF(I129="LeaseUp",TINew*D129,IF(I129="Option",TIRenewal*D129,0)))))+(IF(I129="Vacate",LCNew*H129*D129*(1+GrowthMarketRent)^0,IF(I129="Market",Retention*LCRenewal*H129*D129*(1+GrowthMarketRent)^0+(1-Retention)*LCNew*H129*D129*(1+GrowthMarketRent)^0,IF(I129="LeaseUp",LCNew*H129*D129*(1+GrowthMarketRent)^0,IF(I129="Option",LCRenewal*H129*D129*(1+GrowthMarketRent)^0,0))))),IF(F129="",0,IF(AND(F129&gt;=DATE(2026+0,5,1),F129&lt;=DATE(2027+0,4,30)),(IF(I129="Vacate",TINew*D129,IF(I129="Market",Retention*TIRenewal*D129+(1-Retention)*TINew*D129,IF(I129="LeaseUp",TINew*D129,IF(I129="Option",TIRenewal*D129,0)))))+(IF(I129="Vacate",LCNew*H129*D129*(1+GrowthMarketRent)^0,IF(I129="Market",Retention*LCRenewal*H129*D129*(1+GrowthMarketRent)^0+(1-Retention)*LCNew*H129*D129*(1+GrowthMarketRent)^0,IF(I129="LeaseUp",LCNew*H129*D129*(1+GrowthMarketRent)^0,IF(I129="Option",LCRenewal*H129*D129*(1+GrowthMarketRent)^0,0))))),0))),0)</f>
        <v/>
      </c>
      <c r="Z129" s="14">
        <f>IFERROR(IF(AND(I129="LeaseUp",1=0),(IF(I129="Vacate",TINew*D129,IF(I129="Market",Retention*TIRenewal*D129+(1-Retention)*TINew*D129,IF(I129="LeaseUp",TINew*D129,IF(I129="Option",TIRenewal*D129,0)))))+(IF(I129="Vacate",LCNew*H129*D129*(1+GrowthMarketRent)^1,IF(I129="Market",Retention*LCRenewal*H129*D129*(1+GrowthMarketRent)^1+(1-Retention)*LCNew*H129*D129*(1+GrowthMarketRent)^1,IF(I129="LeaseUp",LCNew*H129*D129*(1+GrowthMarketRent)^1,IF(I129="Option",LCRenewal*H129*D129*(1+GrowthMarketRent)^1,0))))),IF(F129="",0,IF(AND(F129&gt;=DATE(2026+1,5,1),F129&lt;=DATE(2027+1,4,30)),(IF(I129="Vacate",TINew*D129,IF(I129="Market",Retention*TIRenewal*D129+(1-Retention)*TINew*D129,IF(I129="LeaseUp",TINew*D129,IF(I129="Option",TIRenewal*D129,0)))))+(IF(I129="Vacate",LCNew*H129*D129*(1+GrowthMarketRent)^1,IF(I129="Market",Retention*LCRenewal*H129*D129*(1+GrowthMarketRent)^1+(1-Retention)*LCNew*H129*D129*(1+GrowthMarketRent)^1,IF(I129="LeaseUp",LCNew*H129*D129*(1+GrowthMarketRent)^1,IF(I129="Option",LCRenewal*H129*D129*(1+GrowthMarketRent)^1,0))))),0))),0)</f>
        <v/>
      </c>
      <c r="AA129" s="14">
        <f>IFERROR(IF(AND(I129="LeaseUp",2=0),(IF(I129="Vacate",TINew*D129,IF(I129="Market",Retention*TIRenewal*D129+(1-Retention)*TINew*D129,IF(I129="LeaseUp",TINew*D129,IF(I129="Option",TIRenewal*D129,0)))))+(IF(I129="Vacate",LCNew*H129*D129*(1+GrowthMarketRent)^2,IF(I129="Market",Retention*LCRenewal*H129*D129*(1+GrowthMarketRent)^2+(1-Retention)*LCNew*H129*D129*(1+GrowthMarketRent)^2,IF(I129="LeaseUp",LCNew*H129*D129*(1+GrowthMarketRent)^2,IF(I129="Option",LCRenewal*H129*D129*(1+GrowthMarketRent)^2,0))))),IF(F129="",0,IF(AND(F129&gt;=DATE(2026+2,5,1),F129&lt;=DATE(2027+2,4,30)),(IF(I129="Vacate",TINew*D129,IF(I129="Market",Retention*TIRenewal*D129+(1-Retention)*TINew*D129,IF(I129="LeaseUp",TINew*D129,IF(I129="Option",TIRenewal*D129,0)))))+(IF(I129="Vacate",LCNew*H129*D129*(1+GrowthMarketRent)^2,IF(I129="Market",Retention*LCRenewal*H129*D129*(1+GrowthMarketRent)^2+(1-Retention)*LCNew*H129*D129*(1+GrowthMarketRent)^2,IF(I129="LeaseUp",LCNew*H129*D129*(1+GrowthMarketRent)^2,IF(I129="Option",LCRenewal*H129*D129*(1+GrowthMarketRent)^2,0))))),0))),0)</f>
        <v/>
      </c>
      <c r="AB129" s="14">
        <f>IFERROR(IF(AND(I129="LeaseUp",3=0),(IF(I129="Vacate",TINew*D129,IF(I129="Market",Retention*TIRenewal*D129+(1-Retention)*TINew*D129,IF(I129="LeaseUp",TINew*D129,IF(I129="Option",TIRenewal*D129,0)))))+(IF(I129="Vacate",LCNew*H129*D129*(1+GrowthMarketRent)^3,IF(I129="Market",Retention*LCRenewal*H129*D129*(1+GrowthMarketRent)^3+(1-Retention)*LCNew*H129*D129*(1+GrowthMarketRent)^3,IF(I129="LeaseUp",LCNew*H129*D129*(1+GrowthMarketRent)^3,IF(I129="Option",LCRenewal*H129*D129*(1+GrowthMarketRent)^3,0))))),IF(F129="",0,IF(AND(F129&gt;=DATE(2026+3,5,1),F129&lt;=DATE(2027+3,4,30)),(IF(I129="Vacate",TINew*D129,IF(I129="Market",Retention*TIRenewal*D129+(1-Retention)*TINew*D129,IF(I129="LeaseUp",TINew*D129,IF(I129="Option",TIRenewal*D129,0)))))+(IF(I129="Vacate",LCNew*H129*D129*(1+GrowthMarketRent)^3,IF(I129="Market",Retention*LCRenewal*H129*D129*(1+GrowthMarketRent)^3+(1-Retention)*LCNew*H129*D129*(1+GrowthMarketRent)^3,IF(I129="LeaseUp",LCNew*H129*D129*(1+GrowthMarketRent)^3,IF(I129="Option",LCRenewal*H129*D129*(1+GrowthMarketRent)^3,0))))),0))),0)</f>
        <v/>
      </c>
      <c r="AC129" s="14">
        <f>IFERROR(IF(AND(I129="LeaseUp",4=0),(IF(I129="Vacate",TINew*D129,IF(I129="Market",Retention*TIRenewal*D129+(1-Retention)*TINew*D129,IF(I129="LeaseUp",TINew*D129,IF(I129="Option",TIRenewal*D129,0)))))+(IF(I129="Vacate",LCNew*H129*D129*(1+GrowthMarketRent)^4,IF(I129="Market",Retention*LCRenewal*H129*D129*(1+GrowthMarketRent)^4+(1-Retention)*LCNew*H129*D129*(1+GrowthMarketRent)^4,IF(I129="LeaseUp",LCNew*H129*D129*(1+GrowthMarketRent)^4,IF(I129="Option",LCRenewal*H129*D129*(1+GrowthMarketRent)^4,0))))),IF(F129="",0,IF(AND(F129&gt;=DATE(2026+4,5,1),F129&lt;=DATE(2027+4,4,30)),(IF(I129="Vacate",TINew*D129,IF(I129="Market",Retention*TIRenewal*D129+(1-Retention)*TINew*D129,IF(I129="LeaseUp",TINew*D129,IF(I129="Option",TIRenewal*D129,0)))))+(IF(I129="Vacate",LCNew*H129*D129*(1+GrowthMarketRent)^4,IF(I129="Market",Retention*LCRenewal*H129*D129*(1+GrowthMarketRent)^4+(1-Retention)*LCNew*H129*D129*(1+GrowthMarketRent)^4,IF(I129="LeaseUp",LCNew*H129*D129*(1+GrowthMarketRent)^4,IF(I129="Option",LCRenewal*H129*D129*(1+GrowthMarketRent)^4,0))))),0))),0)</f>
        <v/>
      </c>
      <c r="AD129" s="14">
        <f>IFERROR(IF(AND(I129="LeaseUp",5=0),(IF(I129="Vacate",TINew*D129,IF(I129="Market",Retention*TIRenewal*D129+(1-Retention)*TINew*D129,IF(I129="LeaseUp",TINew*D129,IF(I129="Option",TIRenewal*D129,0)))))+(IF(I129="Vacate",LCNew*H129*D129*(1+GrowthMarketRent)^5,IF(I129="Market",Retention*LCRenewal*H129*D129*(1+GrowthMarketRent)^5+(1-Retention)*LCNew*H129*D129*(1+GrowthMarketRent)^5,IF(I129="LeaseUp",LCNew*H129*D129*(1+GrowthMarketRent)^5,IF(I129="Option",LCRenewal*H129*D129*(1+GrowthMarketRent)^5,0))))),IF(F129="",0,IF(AND(F129&gt;=DATE(2026+5,5,1),F129&lt;=DATE(2027+5,4,30)),(IF(I129="Vacate",TINew*D129,IF(I129="Market",Retention*TIRenewal*D129+(1-Retention)*TINew*D129,IF(I129="LeaseUp",TINew*D129,IF(I129="Option",TIRenewal*D129,0)))))+(IF(I129="Vacate",LCNew*H129*D129*(1+GrowthMarketRent)^5,IF(I129="Market",Retention*LCRenewal*H129*D129*(1+GrowthMarketRent)^5+(1-Retention)*LCNew*H129*D129*(1+GrowthMarketRent)^5,IF(I129="LeaseUp",LCNew*H129*D129*(1+GrowthMarketRent)^5,IF(I129="Option",LCRenewal*H129*D129*(1+GrowthMarketRent)^5,0))))),0))),0)</f>
        <v/>
      </c>
      <c r="AE129" s="14">
        <f>IFERROR(IF(AND(I129="LeaseUp",6=0),(IF(I129="Vacate",TINew*D129,IF(I129="Market",Retention*TIRenewal*D129+(1-Retention)*TINew*D129,IF(I129="LeaseUp",TINew*D129,IF(I129="Option",TIRenewal*D129,0)))))+(IF(I129="Vacate",LCNew*H129*D129*(1+GrowthMarketRent)^6,IF(I129="Market",Retention*LCRenewal*H129*D129*(1+GrowthMarketRent)^6+(1-Retention)*LCNew*H129*D129*(1+GrowthMarketRent)^6,IF(I129="LeaseUp",LCNew*H129*D129*(1+GrowthMarketRent)^6,IF(I129="Option",LCRenewal*H129*D129*(1+GrowthMarketRent)^6,0))))),IF(F129="",0,IF(AND(F129&gt;=DATE(2026+6,5,1),F129&lt;=DATE(2027+6,4,30)),(IF(I129="Vacate",TINew*D129,IF(I129="Market",Retention*TIRenewal*D129+(1-Retention)*TINew*D129,IF(I129="LeaseUp",TINew*D129,IF(I129="Option",TIRenewal*D129,0)))))+(IF(I129="Vacate",LCNew*H129*D129*(1+GrowthMarketRent)^6,IF(I129="Market",Retention*LCRenewal*H129*D129*(1+GrowthMarketRent)^6+(1-Retention)*LCNew*H129*D129*(1+GrowthMarketRent)^6,IF(I129="LeaseUp",LCNew*H129*D129*(1+GrowthMarketRent)^6,IF(I129="Option",LCRenewal*H129*D129*(1+GrowthMarketRent)^6,0))))),0))),0)</f>
        <v/>
      </c>
      <c r="AF129" s="14">
        <f>IFERROR(IF(AND(I129="LeaseUp",7=0),(IF(I129="Vacate",TINew*D129,IF(I129="Market",Retention*TIRenewal*D129+(1-Retention)*TINew*D129,IF(I129="LeaseUp",TINew*D129,IF(I129="Option",TIRenewal*D129,0)))))+(IF(I129="Vacate",LCNew*H129*D129*(1+GrowthMarketRent)^7,IF(I129="Market",Retention*LCRenewal*H129*D129*(1+GrowthMarketRent)^7+(1-Retention)*LCNew*H129*D129*(1+GrowthMarketRent)^7,IF(I129="LeaseUp",LCNew*H129*D129*(1+GrowthMarketRent)^7,IF(I129="Option",LCRenewal*H129*D129*(1+GrowthMarketRent)^7,0))))),IF(F129="",0,IF(AND(F129&gt;=DATE(2026+7,5,1),F129&lt;=DATE(2027+7,4,30)),(IF(I129="Vacate",TINew*D129,IF(I129="Market",Retention*TIRenewal*D129+(1-Retention)*TINew*D129,IF(I129="LeaseUp",TINew*D129,IF(I129="Option",TIRenewal*D129,0)))))+(IF(I129="Vacate",LCNew*H129*D129*(1+GrowthMarketRent)^7,IF(I129="Market",Retention*LCRenewal*H129*D129*(1+GrowthMarketRent)^7+(1-Retention)*LCNew*H129*D129*(1+GrowthMarketRent)^7,IF(I129="LeaseUp",LCNew*H129*D129*(1+GrowthMarketRent)^7,IF(I129="Option",LCRenewal*H129*D129*(1+GrowthMarketRent)^7,0))))),0))),0)</f>
        <v/>
      </c>
      <c r="AG129" s="14">
        <f>IFERROR(IF(AND(I129="LeaseUp",8=0),(IF(I129="Vacate",TINew*D129,IF(I129="Market",Retention*TIRenewal*D129+(1-Retention)*TINew*D129,IF(I129="LeaseUp",TINew*D129,IF(I129="Option",TIRenewal*D129,0)))))+(IF(I129="Vacate",LCNew*H129*D129*(1+GrowthMarketRent)^8,IF(I129="Market",Retention*LCRenewal*H129*D129*(1+GrowthMarketRent)^8+(1-Retention)*LCNew*H129*D129*(1+GrowthMarketRent)^8,IF(I129="LeaseUp",LCNew*H129*D129*(1+GrowthMarketRent)^8,IF(I129="Option",LCRenewal*H129*D129*(1+GrowthMarketRent)^8,0))))),IF(F129="",0,IF(AND(F129&gt;=DATE(2026+8,5,1),F129&lt;=DATE(2027+8,4,30)),(IF(I129="Vacate",TINew*D129,IF(I129="Market",Retention*TIRenewal*D129+(1-Retention)*TINew*D129,IF(I129="LeaseUp",TINew*D129,IF(I129="Option",TIRenewal*D129,0)))))+(IF(I129="Vacate",LCNew*H129*D129*(1+GrowthMarketRent)^8,IF(I129="Market",Retention*LCRenewal*H129*D129*(1+GrowthMarketRent)^8+(1-Retention)*LCNew*H129*D129*(1+GrowthMarketRent)^8,IF(I129="LeaseUp",LCNew*H129*D129*(1+GrowthMarketRent)^8,IF(I129="Option",LCRenewal*H129*D129*(1+GrowthMarketRent)^8,0))))),0))),0)</f>
        <v/>
      </c>
      <c r="AH129" s="14">
        <f>IFERROR(IF(AND(I129="LeaseUp",9=0),(IF(I129="Vacate",TINew*D129,IF(I129="Market",Retention*TIRenewal*D129+(1-Retention)*TINew*D129,IF(I129="LeaseUp",TINew*D129,IF(I129="Option",TIRenewal*D129,0)))))+(IF(I129="Vacate",LCNew*H129*D129*(1+GrowthMarketRent)^9,IF(I129="Market",Retention*LCRenewal*H129*D129*(1+GrowthMarketRent)^9+(1-Retention)*LCNew*H129*D129*(1+GrowthMarketRent)^9,IF(I129="LeaseUp",LCNew*H129*D129*(1+GrowthMarketRent)^9,IF(I129="Option",LCRenewal*H129*D129*(1+GrowthMarketRent)^9,0))))),IF(F129="",0,IF(AND(F129&gt;=DATE(2026+9,5,1),F129&lt;=DATE(2027+9,4,30)),(IF(I129="Vacate",TINew*D129,IF(I129="Market",Retention*TIRenewal*D129+(1-Retention)*TINew*D129,IF(I129="LeaseUp",TINew*D129,IF(I129="Option",TIRenewal*D129,0)))))+(IF(I129="Vacate",LCNew*H129*D129*(1+GrowthMarketRent)^9,IF(I129="Market",Retention*LCRenewal*H129*D129*(1+GrowthMarketRent)^9+(1-Retention)*LCNew*H129*D129*(1+GrowthMarketRent)^9,IF(I129="LeaseUp",LCNew*H129*D129*(1+GrowthMarketRent)^9,IF(I129="Option",LCRenewal*H129*D129*(1+GrowthMarketRent)^9,0))))),0))),0)</f>
        <v/>
      </c>
      <c r="AI129" s="14">
        <f>IFERROR(IF(AND(I129="LeaseUp",10=0),(IF(I129="Vacate",TINew*D129,IF(I129="Market",Retention*TIRenewal*D129+(1-Retention)*TINew*D129,IF(I129="LeaseUp",TINew*D129,IF(I129="Option",TIRenewal*D129,0)))))+(IF(I129="Vacate",LCNew*H129*D129*(1+GrowthMarketRent)^10,IF(I129="Market",Retention*LCRenewal*H129*D129*(1+GrowthMarketRent)^10+(1-Retention)*LCNew*H129*D129*(1+GrowthMarketRent)^10,IF(I129="LeaseUp",LCNew*H129*D129*(1+GrowthMarketRent)^10,IF(I129="Option",LCRenewal*H129*D129*(1+GrowthMarketRent)^10,0))))),IF(F129="",0,IF(AND(F129&gt;=DATE(2026+10,5,1),F129&lt;=DATE(2027+10,4,30)),(IF(I129="Vacate",TINew*D129,IF(I129="Market",Retention*TIRenewal*D129+(1-Retention)*TINew*D129,IF(I129="LeaseUp",TINew*D129,IF(I129="Option",TIRenewal*D129,0)))))+(IF(I129="Vacate",LCNew*H129*D129*(1+GrowthMarketRent)^10,IF(I129="Market",Retention*LCRenewal*H129*D129*(1+GrowthMarketRent)^10+(1-Retention)*LCNew*H129*D129*(1+GrowthMarketRent)^10,IF(I129="LeaseUp",LCNew*H129*D129*(1+GrowthMarketRent)^10,IF(I129="Option",LCRenewal*H129*D129*(1+GrowthMarketRent)^10,0))))),0))),0)</f>
        <v/>
      </c>
    </row>
    <row r="130">
      <c r="A130" t="inlineStr">
        <is>
          <t>Roanoke</t>
        </is>
      </c>
      <c r="B130" t="inlineStr">
        <is>
          <t>120B</t>
        </is>
      </c>
      <c r="C130" t="inlineStr">
        <is>
          <t>VACANT</t>
        </is>
      </c>
      <c r="D130" s="32" t="n">
        <v>3050</v>
      </c>
      <c r="E130" s="33" t="n">
        <v>45292</v>
      </c>
      <c r="F130" s="33" t="n">
        <v>46539</v>
      </c>
      <c r="G130" s="34" t="n">
        <v>0</v>
      </c>
      <c r="H130" s="16">
        <f>VLOOKUP(A130,MLA!$A$5:$L$11,3,FALSE)</f>
        <v/>
      </c>
      <c r="I130" s="11" t="inlineStr">
        <is>
          <t>LeaseUp</t>
        </is>
      </c>
      <c r="J130" t="inlineStr">
        <is>
          <t>Shop</t>
        </is>
      </c>
      <c r="K130" t="inlineStr">
        <is>
          <t>Vacant</t>
        </is>
      </c>
      <c r="L130" t="inlineStr">
        <is>
          <t>Shop; future lease-up Jun-2026</t>
        </is>
      </c>
      <c r="M130" s="20">
        <f>IF(E130="",0,(AnalysisStart-E130)/365.25)</f>
        <v/>
      </c>
      <c r="N130" s="14">
        <f>IFERROR(IF(I130="LeaseUp",H130*D130*(1+GrowthMarketRent)^0*IF(0=0,(12-DowntimeNew)/12,1),IF(F130="",0,IF(F130&gt;=DATE(2027+0,4,30),G130*D130*(1+EscalatorInLease)^(0+M130),IF(F130&lt;DATE(2026+0,5,1),IF(I130="Vacate",H130*D130*(1+GrowthMarketRent)^0*IF(INT((DATE(2026+0,10,31)-F130)/365.25)=0,(12-DowntimeNew)/12,1),IF(I130="Option",G130*D130*1.025*(1+EscalatorInLease)^0,IF(I130="Market",Retention*G130*D130*(1+EscalatorInLease)^(0+M130)+(1-Retention)*H130*D130*(1+GrowthMarketRent)^0*IF(INT((DATE(2026+0,10,31)-F130)/365.25)=0,(12-DowntimeNew)/12,1),IF(I130="LeaseUp",H130*D130*(1+GrowthMarketRent)^0*IF(0=0,(12-DowntimeNew)/12,1),0)))),((F130-DATE(2026+0,5,1))/365.25)*G130*D130*(1+EscalatorInLease)^(0+M130)+((DATE(2027+0,4,30)-F130)/365.25)*IF(I130="Vacate",H130*D130*(1+GrowthMarketRent)^0*IF(INT((DATE(2026+0,10,31)-F130)/365.25)=0,(12-DowntimeNew)/12,1),IF(I130="Option",G130*D130*1.025*(1+EscalatorInLease)^0,IF(I130="Market",Retention*G130*D130*(1+EscalatorInLease)^(0+M130)+(1-Retention)*H130*D130*(1+GrowthMarketRent)^0*IF(INT((DATE(2026+0,10,31)-F130)/365.25)=0,(12-DowntimeNew)/12,1),IF(I130="LeaseUp",H130*D130*(1+GrowthMarketRent)^0*IF(0=0,(12-DowntimeNew)/12,1),0)))))))),0)</f>
        <v/>
      </c>
      <c r="O130" s="14">
        <f>IFERROR(IF(I130="LeaseUp",H130*D130*(1+GrowthMarketRent)^1*IF(1=0,(12-DowntimeNew)/12,1),IF(F130="",0,IF(F130&gt;=DATE(2027+1,4,30),G130*D130*(1+EscalatorInLease)^(1+M130),IF(F130&lt;DATE(2026+1,5,1),IF(I130="Vacate",H130*D130*(1+GrowthMarketRent)^1*IF(INT((DATE(2026+1,10,31)-F130)/365.25)=0,(12-DowntimeNew)/12,1),IF(I130="Option",G130*D130*1.025*(1+EscalatorInLease)^1,IF(I130="Market",Retention*G130*D130*(1+EscalatorInLease)^(1+M130)+(1-Retention)*H130*D130*(1+GrowthMarketRent)^1*IF(INT((DATE(2026+1,10,31)-F130)/365.25)=0,(12-DowntimeNew)/12,1),IF(I130="LeaseUp",H130*D130*(1+GrowthMarketRent)^1*IF(1=0,(12-DowntimeNew)/12,1),0)))),((F130-DATE(2026+1,5,1))/365.25)*G130*D130*(1+EscalatorInLease)^(1+M130)+((DATE(2027+1,4,30)-F130)/365.25)*IF(I130="Vacate",H130*D130*(1+GrowthMarketRent)^1*IF(INT((DATE(2026+1,10,31)-F130)/365.25)=0,(12-DowntimeNew)/12,1),IF(I130="Option",G130*D130*1.025*(1+EscalatorInLease)^1,IF(I130="Market",Retention*G130*D130*(1+EscalatorInLease)^(1+M130)+(1-Retention)*H130*D130*(1+GrowthMarketRent)^1*IF(INT((DATE(2026+1,10,31)-F130)/365.25)=0,(12-DowntimeNew)/12,1),IF(I130="LeaseUp",H130*D130*(1+GrowthMarketRent)^1*IF(1=0,(12-DowntimeNew)/12,1),0)))))))),0)</f>
        <v/>
      </c>
      <c r="P130" s="14">
        <f>IFERROR(IF(I130="LeaseUp",H130*D130*(1+GrowthMarketRent)^2*IF(2=0,(12-DowntimeNew)/12,1),IF(F130="",0,IF(F130&gt;=DATE(2027+2,4,30),G130*D130*(1+EscalatorInLease)^(2+M130),IF(F130&lt;DATE(2026+2,5,1),IF(I130="Vacate",H130*D130*(1+GrowthMarketRent)^2*IF(INT((DATE(2026+2,10,31)-F130)/365.25)=0,(12-DowntimeNew)/12,1),IF(I130="Option",G130*D130*1.025*(1+EscalatorInLease)^2,IF(I130="Market",Retention*G130*D130*(1+EscalatorInLease)^(2+M130)+(1-Retention)*H130*D130*(1+GrowthMarketRent)^2*IF(INT((DATE(2026+2,10,31)-F130)/365.25)=0,(12-DowntimeNew)/12,1),IF(I130="LeaseUp",H130*D130*(1+GrowthMarketRent)^2*IF(2=0,(12-DowntimeNew)/12,1),0)))),((F130-DATE(2026+2,5,1))/365.25)*G130*D130*(1+EscalatorInLease)^(2+M130)+((DATE(2027+2,4,30)-F130)/365.25)*IF(I130="Vacate",H130*D130*(1+GrowthMarketRent)^2*IF(INT((DATE(2026+2,10,31)-F130)/365.25)=0,(12-DowntimeNew)/12,1),IF(I130="Option",G130*D130*1.025*(1+EscalatorInLease)^2,IF(I130="Market",Retention*G130*D130*(1+EscalatorInLease)^(2+M130)+(1-Retention)*H130*D130*(1+GrowthMarketRent)^2*IF(INT((DATE(2026+2,10,31)-F130)/365.25)=0,(12-DowntimeNew)/12,1),IF(I130="LeaseUp",H130*D130*(1+GrowthMarketRent)^2*IF(2=0,(12-DowntimeNew)/12,1),0)))))))),0)</f>
        <v/>
      </c>
      <c r="Q130" s="14">
        <f>IFERROR(IF(I130="LeaseUp",H130*D130*(1+GrowthMarketRent)^3*IF(3=0,(12-DowntimeNew)/12,1),IF(F130="",0,IF(F130&gt;=DATE(2027+3,4,30),G130*D130*(1+EscalatorInLease)^(3+M130),IF(F130&lt;DATE(2026+3,5,1),IF(I130="Vacate",H130*D130*(1+GrowthMarketRent)^3*IF(INT((DATE(2026+3,10,31)-F130)/365.25)=0,(12-DowntimeNew)/12,1),IF(I130="Option",G130*D130*1.025*(1+EscalatorInLease)^3,IF(I130="Market",Retention*G130*D130*(1+EscalatorInLease)^(3+M130)+(1-Retention)*H130*D130*(1+GrowthMarketRent)^3*IF(INT((DATE(2026+3,10,31)-F130)/365.25)=0,(12-DowntimeNew)/12,1),IF(I130="LeaseUp",H130*D130*(1+GrowthMarketRent)^3*IF(3=0,(12-DowntimeNew)/12,1),0)))),((F130-DATE(2026+3,5,1))/365.25)*G130*D130*(1+EscalatorInLease)^(3+M130)+((DATE(2027+3,4,30)-F130)/365.25)*IF(I130="Vacate",H130*D130*(1+GrowthMarketRent)^3*IF(INT((DATE(2026+3,10,31)-F130)/365.25)=0,(12-DowntimeNew)/12,1),IF(I130="Option",G130*D130*1.025*(1+EscalatorInLease)^3,IF(I130="Market",Retention*G130*D130*(1+EscalatorInLease)^(3+M130)+(1-Retention)*H130*D130*(1+GrowthMarketRent)^3*IF(INT((DATE(2026+3,10,31)-F130)/365.25)=0,(12-DowntimeNew)/12,1),IF(I130="LeaseUp",H130*D130*(1+GrowthMarketRent)^3*IF(3=0,(12-DowntimeNew)/12,1),0)))))))),0)</f>
        <v/>
      </c>
      <c r="R130" s="14">
        <f>IFERROR(IF(I130="LeaseUp",H130*D130*(1+GrowthMarketRent)^4*IF(4=0,(12-DowntimeNew)/12,1),IF(F130="",0,IF(F130&gt;=DATE(2027+4,4,30),G130*D130*(1+EscalatorInLease)^(4+M130),IF(F130&lt;DATE(2026+4,5,1),IF(I130="Vacate",H130*D130*(1+GrowthMarketRent)^4*IF(INT((DATE(2026+4,10,31)-F130)/365.25)=0,(12-DowntimeNew)/12,1),IF(I130="Option",G130*D130*1.025*(1+EscalatorInLease)^4,IF(I130="Market",Retention*G130*D130*(1+EscalatorInLease)^(4+M130)+(1-Retention)*H130*D130*(1+GrowthMarketRent)^4*IF(INT((DATE(2026+4,10,31)-F130)/365.25)=0,(12-DowntimeNew)/12,1),IF(I130="LeaseUp",H130*D130*(1+GrowthMarketRent)^4*IF(4=0,(12-DowntimeNew)/12,1),0)))),((F130-DATE(2026+4,5,1))/365.25)*G130*D130*(1+EscalatorInLease)^(4+M130)+((DATE(2027+4,4,30)-F130)/365.25)*IF(I130="Vacate",H130*D130*(1+GrowthMarketRent)^4*IF(INT((DATE(2026+4,10,31)-F130)/365.25)=0,(12-DowntimeNew)/12,1),IF(I130="Option",G130*D130*1.025*(1+EscalatorInLease)^4,IF(I130="Market",Retention*G130*D130*(1+EscalatorInLease)^(4+M130)+(1-Retention)*H130*D130*(1+GrowthMarketRent)^4*IF(INT((DATE(2026+4,10,31)-F130)/365.25)=0,(12-DowntimeNew)/12,1),IF(I130="LeaseUp",H130*D130*(1+GrowthMarketRent)^4*IF(4=0,(12-DowntimeNew)/12,1),0)))))))),0)</f>
        <v/>
      </c>
      <c r="S130" s="14">
        <f>IFERROR(IF(I130="LeaseUp",H130*D130*(1+GrowthMarketRent)^5*IF(5=0,(12-DowntimeNew)/12,1),IF(F130="",0,IF(F130&gt;=DATE(2027+5,4,30),G130*D130*(1+EscalatorInLease)^(5+M130),IF(F130&lt;DATE(2026+5,5,1),IF(I130="Vacate",H130*D130*(1+GrowthMarketRent)^5*IF(INT((DATE(2026+5,10,31)-F130)/365.25)=0,(12-DowntimeNew)/12,1),IF(I130="Option",G130*D130*1.025*(1+EscalatorInLease)^5,IF(I130="Market",Retention*G130*D130*(1+EscalatorInLease)^(5+M130)+(1-Retention)*H130*D130*(1+GrowthMarketRent)^5*IF(INT((DATE(2026+5,10,31)-F130)/365.25)=0,(12-DowntimeNew)/12,1),IF(I130="LeaseUp",H130*D130*(1+GrowthMarketRent)^5*IF(5=0,(12-DowntimeNew)/12,1),0)))),((F130-DATE(2026+5,5,1))/365.25)*G130*D130*(1+EscalatorInLease)^(5+M130)+((DATE(2027+5,4,30)-F130)/365.25)*IF(I130="Vacate",H130*D130*(1+GrowthMarketRent)^5*IF(INT((DATE(2026+5,10,31)-F130)/365.25)=0,(12-DowntimeNew)/12,1),IF(I130="Option",G130*D130*1.025*(1+EscalatorInLease)^5,IF(I130="Market",Retention*G130*D130*(1+EscalatorInLease)^(5+M130)+(1-Retention)*H130*D130*(1+GrowthMarketRent)^5*IF(INT((DATE(2026+5,10,31)-F130)/365.25)=0,(12-DowntimeNew)/12,1),IF(I130="LeaseUp",H130*D130*(1+GrowthMarketRent)^5*IF(5=0,(12-DowntimeNew)/12,1),0)))))))),0)</f>
        <v/>
      </c>
      <c r="T130" s="14">
        <f>IFERROR(IF(I130="LeaseUp",H130*D130*(1+GrowthMarketRent)^6*IF(6=0,(12-DowntimeNew)/12,1),IF(F130="",0,IF(F130&gt;=DATE(2027+6,4,30),G130*D130*(1+EscalatorInLease)^(6+M130),IF(F130&lt;DATE(2026+6,5,1),IF(I130="Vacate",H130*D130*(1+GrowthMarketRent)^6*IF(INT((DATE(2026+6,10,31)-F130)/365.25)=0,(12-DowntimeNew)/12,1),IF(I130="Option",G130*D130*1.025*(1+EscalatorInLease)^6,IF(I130="Market",Retention*G130*D130*(1+EscalatorInLease)^(6+M130)+(1-Retention)*H130*D130*(1+GrowthMarketRent)^6*IF(INT((DATE(2026+6,10,31)-F130)/365.25)=0,(12-DowntimeNew)/12,1),IF(I130="LeaseUp",H130*D130*(1+GrowthMarketRent)^6*IF(6=0,(12-DowntimeNew)/12,1),0)))),((F130-DATE(2026+6,5,1))/365.25)*G130*D130*(1+EscalatorInLease)^(6+M130)+((DATE(2027+6,4,30)-F130)/365.25)*IF(I130="Vacate",H130*D130*(1+GrowthMarketRent)^6*IF(INT((DATE(2026+6,10,31)-F130)/365.25)=0,(12-DowntimeNew)/12,1),IF(I130="Option",G130*D130*1.025*(1+EscalatorInLease)^6,IF(I130="Market",Retention*G130*D130*(1+EscalatorInLease)^(6+M130)+(1-Retention)*H130*D130*(1+GrowthMarketRent)^6*IF(INT((DATE(2026+6,10,31)-F130)/365.25)=0,(12-DowntimeNew)/12,1),IF(I130="LeaseUp",H130*D130*(1+GrowthMarketRent)^6*IF(6=0,(12-DowntimeNew)/12,1),0)))))))),0)</f>
        <v/>
      </c>
      <c r="U130" s="14">
        <f>IFERROR(IF(I130="LeaseUp",H130*D130*(1+GrowthMarketRent)^7*IF(7=0,(12-DowntimeNew)/12,1),IF(F130="",0,IF(F130&gt;=DATE(2027+7,4,30),G130*D130*(1+EscalatorInLease)^(7+M130),IF(F130&lt;DATE(2026+7,5,1),IF(I130="Vacate",H130*D130*(1+GrowthMarketRent)^7*IF(INT((DATE(2026+7,10,31)-F130)/365.25)=0,(12-DowntimeNew)/12,1),IF(I130="Option",G130*D130*1.025*(1+EscalatorInLease)^7,IF(I130="Market",Retention*G130*D130*(1+EscalatorInLease)^(7+M130)+(1-Retention)*H130*D130*(1+GrowthMarketRent)^7*IF(INT((DATE(2026+7,10,31)-F130)/365.25)=0,(12-DowntimeNew)/12,1),IF(I130="LeaseUp",H130*D130*(1+GrowthMarketRent)^7*IF(7=0,(12-DowntimeNew)/12,1),0)))),((F130-DATE(2026+7,5,1))/365.25)*G130*D130*(1+EscalatorInLease)^(7+M130)+((DATE(2027+7,4,30)-F130)/365.25)*IF(I130="Vacate",H130*D130*(1+GrowthMarketRent)^7*IF(INT((DATE(2026+7,10,31)-F130)/365.25)=0,(12-DowntimeNew)/12,1),IF(I130="Option",G130*D130*1.025*(1+EscalatorInLease)^7,IF(I130="Market",Retention*G130*D130*(1+EscalatorInLease)^(7+M130)+(1-Retention)*H130*D130*(1+GrowthMarketRent)^7*IF(INT((DATE(2026+7,10,31)-F130)/365.25)=0,(12-DowntimeNew)/12,1),IF(I130="LeaseUp",H130*D130*(1+GrowthMarketRent)^7*IF(7=0,(12-DowntimeNew)/12,1),0)))))))),0)</f>
        <v/>
      </c>
      <c r="V130" s="14">
        <f>IFERROR(IF(I130="LeaseUp",H130*D130*(1+GrowthMarketRent)^8*IF(8=0,(12-DowntimeNew)/12,1),IF(F130="",0,IF(F130&gt;=DATE(2027+8,4,30),G130*D130*(1+EscalatorInLease)^(8+M130),IF(F130&lt;DATE(2026+8,5,1),IF(I130="Vacate",H130*D130*(1+GrowthMarketRent)^8*IF(INT((DATE(2026+8,10,31)-F130)/365.25)=0,(12-DowntimeNew)/12,1),IF(I130="Option",G130*D130*1.025*(1+EscalatorInLease)^8,IF(I130="Market",Retention*G130*D130*(1+EscalatorInLease)^(8+M130)+(1-Retention)*H130*D130*(1+GrowthMarketRent)^8*IF(INT((DATE(2026+8,10,31)-F130)/365.25)=0,(12-DowntimeNew)/12,1),IF(I130="LeaseUp",H130*D130*(1+GrowthMarketRent)^8*IF(8=0,(12-DowntimeNew)/12,1),0)))),((F130-DATE(2026+8,5,1))/365.25)*G130*D130*(1+EscalatorInLease)^(8+M130)+((DATE(2027+8,4,30)-F130)/365.25)*IF(I130="Vacate",H130*D130*(1+GrowthMarketRent)^8*IF(INT((DATE(2026+8,10,31)-F130)/365.25)=0,(12-DowntimeNew)/12,1),IF(I130="Option",G130*D130*1.025*(1+EscalatorInLease)^8,IF(I130="Market",Retention*G130*D130*(1+EscalatorInLease)^(8+M130)+(1-Retention)*H130*D130*(1+GrowthMarketRent)^8*IF(INT((DATE(2026+8,10,31)-F130)/365.25)=0,(12-DowntimeNew)/12,1),IF(I130="LeaseUp",H130*D130*(1+GrowthMarketRent)^8*IF(8=0,(12-DowntimeNew)/12,1),0)))))))),0)</f>
        <v/>
      </c>
      <c r="W130" s="14">
        <f>IFERROR(IF(I130="LeaseUp",H130*D130*(1+GrowthMarketRent)^9*IF(9=0,(12-DowntimeNew)/12,1),IF(F130="",0,IF(F130&gt;=DATE(2027+9,4,30),G130*D130*(1+EscalatorInLease)^(9+M130),IF(F130&lt;DATE(2026+9,5,1),IF(I130="Vacate",H130*D130*(1+GrowthMarketRent)^9*IF(INT((DATE(2026+9,10,31)-F130)/365.25)=0,(12-DowntimeNew)/12,1),IF(I130="Option",G130*D130*1.025*(1+EscalatorInLease)^9,IF(I130="Market",Retention*G130*D130*(1+EscalatorInLease)^(9+M130)+(1-Retention)*H130*D130*(1+GrowthMarketRent)^9*IF(INT((DATE(2026+9,10,31)-F130)/365.25)=0,(12-DowntimeNew)/12,1),IF(I130="LeaseUp",H130*D130*(1+GrowthMarketRent)^9*IF(9=0,(12-DowntimeNew)/12,1),0)))),((F130-DATE(2026+9,5,1))/365.25)*G130*D130*(1+EscalatorInLease)^(9+M130)+((DATE(2027+9,4,30)-F130)/365.25)*IF(I130="Vacate",H130*D130*(1+GrowthMarketRent)^9*IF(INT((DATE(2026+9,10,31)-F130)/365.25)=0,(12-DowntimeNew)/12,1),IF(I130="Option",G130*D130*1.025*(1+EscalatorInLease)^9,IF(I130="Market",Retention*G130*D130*(1+EscalatorInLease)^(9+M130)+(1-Retention)*H130*D130*(1+GrowthMarketRent)^9*IF(INT((DATE(2026+9,10,31)-F130)/365.25)=0,(12-DowntimeNew)/12,1),IF(I130="LeaseUp",H130*D130*(1+GrowthMarketRent)^9*IF(9=0,(12-DowntimeNew)/12,1),0)))))))),0)</f>
        <v/>
      </c>
      <c r="X130" s="14">
        <f>IFERROR(IF(I130="LeaseUp",H130*D130*(1+GrowthMarketRent)^10*IF(10=0,(12-DowntimeNew)/12,1),IF(F130="",0,IF(F130&gt;=DATE(2027+10,4,30),G130*D130*(1+EscalatorInLease)^(10+M130),IF(F130&lt;DATE(2026+10,5,1),IF(I130="Vacate",H130*D130*(1+GrowthMarketRent)^10*IF(INT((DATE(2026+10,10,31)-F130)/365.25)=0,(12-DowntimeNew)/12,1),IF(I130="Option",G130*D130*1.025*(1+EscalatorInLease)^10,IF(I130="Market",Retention*G130*D130*(1+EscalatorInLease)^(10+M130)+(1-Retention)*H130*D130*(1+GrowthMarketRent)^10*IF(INT((DATE(2026+10,10,31)-F130)/365.25)=0,(12-DowntimeNew)/12,1),IF(I130="LeaseUp",H130*D130*(1+GrowthMarketRent)^10*IF(10=0,(12-DowntimeNew)/12,1),0)))),((F130-DATE(2026+10,5,1))/365.25)*G130*D130*(1+EscalatorInLease)^(10+M130)+((DATE(2027+10,4,30)-F130)/365.25)*IF(I130="Vacate",H130*D130*(1+GrowthMarketRent)^10*IF(INT((DATE(2026+10,10,31)-F130)/365.25)=0,(12-DowntimeNew)/12,1),IF(I130="Option",G130*D130*1.025*(1+EscalatorInLease)^10,IF(I130="Market",Retention*G130*D130*(1+EscalatorInLease)^(10+M130)+(1-Retention)*H130*D130*(1+GrowthMarketRent)^10*IF(INT((DATE(2026+10,10,31)-F130)/365.25)=0,(12-DowntimeNew)/12,1),IF(I130="LeaseUp",H130*D130*(1+GrowthMarketRent)^10*IF(10=0,(12-DowntimeNew)/12,1),0)))))))),0)</f>
        <v/>
      </c>
      <c r="Y130" s="14">
        <f>IFERROR(IF(AND(I130="LeaseUp",0=0),(IF(I130="Vacate",TINew*D130,IF(I130="Market",Retention*TIRenewal*D130+(1-Retention)*TINew*D130,IF(I130="LeaseUp",TINew*D130,IF(I130="Option",TIRenewal*D130,0)))))+(IF(I130="Vacate",LCNew*H130*D130*(1+GrowthMarketRent)^0,IF(I130="Market",Retention*LCRenewal*H130*D130*(1+GrowthMarketRent)^0+(1-Retention)*LCNew*H130*D130*(1+GrowthMarketRent)^0,IF(I130="LeaseUp",LCNew*H130*D130*(1+GrowthMarketRent)^0,IF(I130="Option",LCRenewal*H130*D130*(1+GrowthMarketRent)^0,0))))),IF(F130="",0,IF(AND(F130&gt;=DATE(2026+0,5,1),F130&lt;=DATE(2027+0,4,30)),(IF(I130="Vacate",TINew*D130,IF(I130="Market",Retention*TIRenewal*D130+(1-Retention)*TINew*D130,IF(I130="LeaseUp",TINew*D130,IF(I130="Option",TIRenewal*D130,0)))))+(IF(I130="Vacate",LCNew*H130*D130*(1+GrowthMarketRent)^0,IF(I130="Market",Retention*LCRenewal*H130*D130*(1+GrowthMarketRent)^0+(1-Retention)*LCNew*H130*D130*(1+GrowthMarketRent)^0,IF(I130="LeaseUp",LCNew*H130*D130*(1+GrowthMarketRent)^0,IF(I130="Option",LCRenewal*H130*D130*(1+GrowthMarketRent)^0,0))))),0))),0)</f>
        <v/>
      </c>
      <c r="Z130" s="14">
        <f>IFERROR(IF(AND(I130="LeaseUp",1=0),(IF(I130="Vacate",TINew*D130,IF(I130="Market",Retention*TIRenewal*D130+(1-Retention)*TINew*D130,IF(I130="LeaseUp",TINew*D130,IF(I130="Option",TIRenewal*D130,0)))))+(IF(I130="Vacate",LCNew*H130*D130*(1+GrowthMarketRent)^1,IF(I130="Market",Retention*LCRenewal*H130*D130*(1+GrowthMarketRent)^1+(1-Retention)*LCNew*H130*D130*(1+GrowthMarketRent)^1,IF(I130="LeaseUp",LCNew*H130*D130*(1+GrowthMarketRent)^1,IF(I130="Option",LCRenewal*H130*D130*(1+GrowthMarketRent)^1,0))))),IF(F130="",0,IF(AND(F130&gt;=DATE(2026+1,5,1),F130&lt;=DATE(2027+1,4,30)),(IF(I130="Vacate",TINew*D130,IF(I130="Market",Retention*TIRenewal*D130+(1-Retention)*TINew*D130,IF(I130="LeaseUp",TINew*D130,IF(I130="Option",TIRenewal*D130,0)))))+(IF(I130="Vacate",LCNew*H130*D130*(1+GrowthMarketRent)^1,IF(I130="Market",Retention*LCRenewal*H130*D130*(1+GrowthMarketRent)^1+(1-Retention)*LCNew*H130*D130*(1+GrowthMarketRent)^1,IF(I130="LeaseUp",LCNew*H130*D130*(1+GrowthMarketRent)^1,IF(I130="Option",LCRenewal*H130*D130*(1+GrowthMarketRent)^1,0))))),0))),0)</f>
        <v/>
      </c>
      <c r="AA130" s="14">
        <f>IFERROR(IF(AND(I130="LeaseUp",2=0),(IF(I130="Vacate",TINew*D130,IF(I130="Market",Retention*TIRenewal*D130+(1-Retention)*TINew*D130,IF(I130="LeaseUp",TINew*D130,IF(I130="Option",TIRenewal*D130,0)))))+(IF(I130="Vacate",LCNew*H130*D130*(1+GrowthMarketRent)^2,IF(I130="Market",Retention*LCRenewal*H130*D130*(1+GrowthMarketRent)^2+(1-Retention)*LCNew*H130*D130*(1+GrowthMarketRent)^2,IF(I130="LeaseUp",LCNew*H130*D130*(1+GrowthMarketRent)^2,IF(I130="Option",LCRenewal*H130*D130*(1+GrowthMarketRent)^2,0))))),IF(F130="",0,IF(AND(F130&gt;=DATE(2026+2,5,1),F130&lt;=DATE(2027+2,4,30)),(IF(I130="Vacate",TINew*D130,IF(I130="Market",Retention*TIRenewal*D130+(1-Retention)*TINew*D130,IF(I130="LeaseUp",TINew*D130,IF(I130="Option",TIRenewal*D130,0)))))+(IF(I130="Vacate",LCNew*H130*D130*(1+GrowthMarketRent)^2,IF(I130="Market",Retention*LCRenewal*H130*D130*(1+GrowthMarketRent)^2+(1-Retention)*LCNew*H130*D130*(1+GrowthMarketRent)^2,IF(I130="LeaseUp",LCNew*H130*D130*(1+GrowthMarketRent)^2,IF(I130="Option",LCRenewal*H130*D130*(1+GrowthMarketRent)^2,0))))),0))),0)</f>
        <v/>
      </c>
      <c r="AB130" s="14">
        <f>IFERROR(IF(AND(I130="LeaseUp",3=0),(IF(I130="Vacate",TINew*D130,IF(I130="Market",Retention*TIRenewal*D130+(1-Retention)*TINew*D130,IF(I130="LeaseUp",TINew*D130,IF(I130="Option",TIRenewal*D130,0)))))+(IF(I130="Vacate",LCNew*H130*D130*(1+GrowthMarketRent)^3,IF(I130="Market",Retention*LCRenewal*H130*D130*(1+GrowthMarketRent)^3+(1-Retention)*LCNew*H130*D130*(1+GrowthMarketRent)^3,IF(I130="LeaseUp",LCNew*H130*D130*(1+GrowthMarketRent)^3,IF(I130="Option",LCRenewal*H130*D130*(1+GrowthMarketRent)^3,0))))),IF(F130="",0,IF(AND(F130&gt;=DATE(2026+3,5,1),F130&lt;=DATE(2027+3,4,30)),(IF(I130="Vacate",TINew*D130,IF(I130="Market",Retention*TIRenewal*D130+(1-Retention)*TINew*D130,IF(I130="LeaseUp",TINew*D130,IF(I130="Option",TIRenewal*D130,0)))))+(IF(I130="Vacate",LCNew*H130*D130*(1+GrowthMarketRent)^3,IF(I130="Market",Retention*LCRenewal*H130*D130*(1+GrowthMarketRent)^3+(1-Retention)*LCNew*H130*D130*(1+GrowthMarketRent)^3,IF(I130="LeaseUp",LCNew*H130*D130*(1+GrowthMarketRent)^3,IF(I130="Option",LCRenewal*H130*D130*(1+GrowthMarketRent)^3,0))))),0))),0)</f>
        <v/>
      </c>
      <c r="AC130" s="14">
        <f>IFERROR(IF(AND(I130="LeaseUp",4=0),(IF(I130="Vacate",TINew*D130,IF(I130="Market",Retention*TIRenewal*D130+(1-Retention)*TINew*D130,IF(I130="LeaseUp",TINew*D130,IF(I130="Option",TIRenewal*D130,0)))))+(IF(I130="Vacate",LCNew*H130*D130*(1+GrowthMarketRent)^4,IF(I130="Market",Retention*LCRenewal*H130*D130*(1+GrowthMarketRent)^4+(1-Retention)*LCNew*H130*D130*(1+GrowthMarketRent)^4,IF(I130="LeaseUp",LCNew*H130*D130*(1+GrowthMarketRent)^4,IF(I130="Option",LCRenewal*H130*D130*(1+GrowthMarketRent)^4,0))))),IF(F130="",0,IF(AND(F130&gt;=DATE(2026+4,5,1),F130&lt;=DATE(2027+4,4,30)),(IF(I130="Vacate",TINew*D130,IF(I130="Market",Retention*TIRenewal*D130+(1-Retention)*TINew*D130,IF(I130="LeaseUp",TINew*D130,IF(I130="Option",TIRenewal*D130,0)))))+(IF(I130="Vacate",LCNew*H130*D130*(1+GrowthMarketRent)^4,IF(I130="Market",Retention*LCRenewal*H130*D130*(1+GrowthMarketRent)^4+(1-Retention)*LCNew*H130*D130*(1+GrowthMarketRent)^4,IF(I130="LeaseUp",LCNew*H130*D130*(1+GrowthMarketRent)^4,IF(I130="Option",LCRenewal*H130*D130*(1+GrowthMarketRent)^4,0))))),0))),0)</f>
        <v/>
      </c>
      <c r="AD130" s="14">
        <f>IFERROR(IF(AND(I130="LeaseUp",5=0),(IF(I130="Vacate",TINew*D130,IF(I130="Market",Retention*TIRenewal*D130+(1-Retention)*TINew*D130,IF(I130="LeaseUp",TINew*D130,IF(I130="Option",TIRenewal*D130,0)))))+(IF(I130="Vacate",LCNew*H130*D130*(1+GrowthMarketRent)^5,IF(I130="Market",Retention*LCRenewal*H130*D130*(1+GrowthMarketRent)^5+(1-Retention)*LCNew*H130*D130*(1+GrowthMarketRent)^5,IF(I130="LeaseUp",LCNew*H130*D130*(1+GrowthMarketRent)^5,IF(I130="Option",LCRenewal*H130*D130*(1+GrowthMarketRent)^5,0))))),IF(F130="",0,IF(AND(F130&gt;=DATE(2026+5,5,1),F130&lt;=DATE(2027+5,4,30)),(IF(I130="Vacate",TINew*D130,IF(I130="Market",Retention*TIRenewal*D130+(1-Retention)*TINew*D130,IF(I130="LeaseUp",TINew*D130,IF(I130="Option",TIRenewal*D130,0)))))+(IF(I130="Vacate",LCNew*H130*D130*(1+GrowthMarketRent)^5,IF(I130="Market",Retention*LCRenewal*H130*D130*(1+GrowthMarketRent)^5+(1-Retention)*LCNew*H130*D130*(1+GrowthMarketRent)^5,IF(I130="LeaseUp",LCNew*H130*D130*(1+GrowthMarketRent)^5,IF(I130="Option",LCRenewal*H130*D130*(1+GrowthMarketRent)^5,0))))),0))),0)</f>
        <v/>
      </c>
      <c r="AE130" s="14">
        <f>IFERROR(IF(AND(I130="LeaseUp",6=0),(IF(I130="Vacate",TINew*D130,IF(I130="Market",Retention*TIRenewal*D130+(1-Retention)*TINew*D130,IF(I130="LeaseUp",TINew*D130,IF(I130="Option",TIRenewal*D130,0)))))+(IF(I130="Vacate",LCNew*H130*D130*(1+GrowthMarketRent)^6,IF(I130="Market",Retention*LCRenewal*H130*D130*(1+GrowthMarketRent)^6+(1-Retention)*LCNew*H130*D130*(1+GrowthMarketRent)^6,IF(I130="LeaseUp",LCNew*H130*D130*(1+GrowthMarketRent)^6,IF(I130="Option",LCRenewal*H130*D130*(1+GrowthMarketRent)^6,0))))),IF(F130="",0,IF(AND(F130&gt;=DATE(2026+6,5,1),F130&lt;=DATE(2027+6,4,30)),(IF(I130="Vacate",TINew*D130,IF(I130="Market",Retention*TIRenewal*D130+(1-Retention)*TINew*D130,IF(I130="LeaseUp",TINew*D130,IF(I130="Option",TIRenewal*D130,0)))))+(IF(I130="Vacate",LCNew*H130*D130*(1+GrowthMarketRent)^6,IF(I130="Market",Retention*LCRenewal*H130*D130*(1+GrowthMarketRent)^6+(1-Retention)*LCNew*H130*D130*(1+GrowthMarketRent)^6,IF(I130="LeaseUp",LCNew*H130*D130*(1+GrowthMarketRent)^6,IF(I130="Option",LCRenewal*H130*D130*(1+GrowthMarketRent)^6,0))))),0))),0)</f>
        <v/>
      </c>
      <c r="AF130" s="14">
        <f>IFERROR(IF(AND(I130="LeaseUp",7=0),(IF(I130="Vacate",TINew*D130,IF(I130="Market",Retention*TIRenewal*D130+(1-Retention)*TINew*D130,IF(I130="LeaseUp",TINew*D130,IF(I130="Option",TIRenewal*D130,0)))))+(IF(I130="Vacate",LCNew*H130*D130*(1+GrowthMarketRent)^7,IF(I130="Market",Retention*LCRenewal*H130*D130*(1+GrowthMarketRent)^7+(1-Retention)*LCNew*H130*D130*(1+GrowthMarketRent)^7,IF(I130="LeaseUp",LCNew*H130*D130*(1+GrowthMarketRent)^7,IF(I130="Option",LCRenewal*H130*D130*(1+GrowthMarketRent)^7,0))))),IF(F130="",0,IF(AND(F130&gt;=DATE(2026+7,5,1),F130&lt;=DATE(2027+7,4,30)),(IF(I130="Vacate",TINew*D130,IF(I130="Market",Retention*TIRenewal*D130+(1-Retention)*TINew*D130,IF(I130="LeaseUp",TINew*D130,IF(I130="Option",TIRenewal*D130,0)))))+(IF(I130="Vacate",LCNew*H130*D130*(1+GrowthMarketRent)^7,IF(I130="Market",Retention*LCRenewal*H130*D130*(1+GrowthMarketRent)^7+(1-Retention)*LCNew*H130*D130*(1+GrowthMarketRent)^7,IF(I130="LeaseUp",LCNew*H130*D130*(1+GrowthMarketRent)^7,IF(I130="Option",LCRenewal*H130*D130*(1+GrowthMarketRent)^7,0))))),0))),0)</f>
        <v/>
      </c>
      <c r="AG130" s="14">
        <f>IFERROR(IF(AND(I130="LeaseUp",8=0),(IF(I130="Vacate",TINew*D130,IF(I130="Market",Retention*TIRenewal*D130+(1-Retention)*TINew*D130,IF(I130="LeaseUp",TINew*D130,IF(I130="Option",TIRenewal*D130,0)))))+(IF(I130="Vacate",LCNew*H130*D130*(1+GrowthMarketRent)^8,IF(I130="Market",Retention*LCRenewal*H130*D130*(1+GrowthMarketRent)^8+(1-Retention)*LCNew*H130*D130*(1+GrowthMarketRent)^8,IF(I130="LeaseUp",LCNew*H130*D130*(1+GrowthMarketRent)^8,IF(I130="Option",LCRenewal*H130*D130*(1+GrowthMarketRent)^8,0))))),IF(F130="",0,IF(AND(F130&gt;=DATE(2026+8,5,1),F130&lt;=DATE(2027+8,4,30)),(IF(I130="Vacate",TINew*D130,IF(I130="Market",Retention*TIRenewal*D130+(1-Retention)*TINew*D130,IF(I130="LeaseUp",TINew*D130,IF(I130="Option",TIRenewal*D130,0)))))+(IF(I130="Vacate",LCNew*H130*D130*(1+GrowthMarketRent)^8,IF(I130="Market",Retention*LCRenewal*H130*D130*(1+GrowthMarketRent)^8+(1-Retention)*LCNew*H130*D130*(1+GrowthMarketRent)^8,IF(I130="LeaseUp",LCNew*H130*D130*(1+GrowthMarketRent)^8,IF(I130="Option",LCRenewal*H130*D130*(1+GrowthMarketRent)^8,0))))),0))),0)</f>
        <v/>
      </c>
      <c r="AH130" s="14">
        <f>IFERROR(IF(AND(I130="LeaseUp",9=0),(IF(I130="Vacate",TINew*D130,IF(I130="Market",Retention*TIRenewal*D130+(1-Retention)*TINew*D130,IF(I130="LeaseUp",TINew*D130,IF(I130="Option",TIRenewal*D130,0)))))+(IF(I130="Vacate",LCNew*H130*D130*(1+GrowthMarketRent)^9,IF(I130="Market",Retention*LCRenewal*H130*D130*(1+GrowthMarketRent)^9+(1-Retention)*LCNew*H130*D130*(1+GrowthMarketRent)^9,IF(I130="LeaseUp",LCNew*H130*D130*(1+GrowthMarketRent)^9,IF(I130="Option",LCRenewal*H130*D130*(1+GrowthMarketRent)^9,0))))),IF(F130="",0,IF(AND(F130&gt;=DATE(2026+9,5,1),F130&lt;=DATE(2027+9,4,30)),(IF(I130="Vacate",TINew*D130,IF(I130="Market",Retention*TIRenewal*D130+(1-Retention)*TINew*D130,IF(I130="LeaseUp",TINew*D130,IF(I130="Option",TIRenewal*D130,0)))))+(IF(I130="Vacate",LCNew*H130*D130*(1+GrowthMarketRent)^9,IF(I130="Market",Retention*LCRenewal*H130*D130*(1+GrowthMarketRent)^9+(1-Retention)*LCNew*H130*D130*(1+GrowthMarketRent)^9,IF(I130="LeaseUp",LCNew*H130*D130*(1+GrowthMarketRent)^9,IF(I130="Option",LCRenewal*H130*D130*(1+GrowthMarketRent)^9,0))))),0))),0)</f>
        <v/>
      </c>
      <c r="AI130" s="14">
        <f>IFERROR(IF(AND(I130="LeaseUp",10=0),(IF(I130="Vacate",TINew*D130,IF(I130="Market",Retention*TIRenewal*D130+(1-Retention)*TINew*D130,IF(I130="LeaseUp",TINew*D130,IF(I130="Option",TIRenewal*D130,0)))))+(IF(I130="Vacate",LCNew*H130*D130*(1+GrowthMarketRent)^10,IF(I130="Market",Retention*LCRenewal*H130*D130*(1+GrowthMarketRent)^10+(1-Retention)*LCNew*H130*D130*(1+GrowthMarketRent)^10,IF(I130="LeaseUp",LCNew*H130*D130*(1+GrowthMarketRent)^10,IF(I130="Option",LCRenewal*H130*D130*(1+GrowthMarketRent)^10,0))))),IF(F130="",0,IF(AND(F130&gt;=DATE(2026+10,5,1),F130&lt;=DATE(2027+10,4,30)),(IF(I130="Vacate",TINew*D130,IF(I130="Market",Retention*TIRenewal*D130+(1-Retention)*TINew*D130,IF(I130="LeaseUp",TINew*D130,IF(I130="Option",TIRenewal*D130,0)))))+(IF(I130="Vacate",LCNew*H130*D130*(1+GrowthMarketRent)^10,IF(I130="Market",Retention*LCRenewal*H130*D130*(1+GrowthMarketRent)^10+(1-Retention)*LCNew*H130*D130*(1+GrowthMarketRent)^10,IF(I130="LeaseUp",LCNew*H130*D130*(1+GrowthMarketRent)^10,IF(I130="Option",LCRenewal*H130*D130*(1+GrowthMarketRent)^10,0))))),0))),0)</f>
        <v/>
      </c>
    </row>
    <row r="131">
      <c r="A131" t="inlineStr">
        <is>
          <t>Roanoke</t>
        </is>
      </c>
      <c r="B131" t="inlineStr">
        <is>
          <t>124A</t>
        </is>
      </c>
      <c r="C131" t="inlineStr">
        <is>
          <t>NCullum Enterprises LLC</t>
        </is>
      </c>
      <c r="D131" s="32" t="n">
        <v>2600</v>
      </c>
      <c r="E131" s="33" t="n">
        <v>45809</v>
      </c>
      <c r="F131" s="33" t="n">
        <v>47058</v>
      </c>
      <c r="G131" s="34" t="n">
        <v>15.9076923076923</v>
      </c>
      <c r="H131" s="16">
        <f>VLOOKUP(A131,MLA!$A$5:$L$11,3,FALSE)</f>
        <v/>
      </c>
      <c r="I131" s="11" t="inlineStr">
        <is>
          <t>Option</t>
        </is>
      </c>
      <c r="J131" t="inlineStr">
        <is>
          <t>Shop</t>
        </is>
      </c>
      <c r="K131" t="inlineStr">
        <is>
          <t>Occupied</t>
        </is>
      </c>
      <c r="L131" t="inlineStr">
        <is>
          <t>Shop; Guarantor: John Seager; Two 3yr options @ FMV</t>
        </is>
      </c>
      <c r="M131" s="20">
        <f>IF(E131="",0,(AnalysisStart-E131)/365.25)</f>
        <v/>
      </c>
      <c r="N131" s="14">
        <f>IFERROR(IF(I131="LeaseUp",H131*D131*(1+GrowthMarketRent)^0*IF(0=0,(12-DowntimeNew)/12,1),IF(F131="",0,IF(F131&gt;=DATE(2027+0,4,30),G131*D131*(1+EscalatorInLease)^(0+M131),IF(F131&lt;DATE(2026+0,5,1),IF(I131="Vacate",H131*D131*(1+GrowthMarketRent)^0*IF(INT((DATE(2026+0,10,31)-F131)/365.25)=0,(12-DowntimeNew)/12,1),IF(I131="Option",G131*D131*1.025*(1+EscalatorInLease)^0,IF(I131="Market",Retention*G131*D131*(1+EscalatorInLease)^(0+M131)+(1-Retention)*H131*D131*(1+GrowthMarketRent)^0*IF(INT((DATE(2026+0,10,31)-F131)/365.25)=0,(12-DowntimeNew)/12,1),IF(I131="LeaseUp",H131*D131*(1+GrowthMarketRent)^0*IF(0=0,(12-DowntimeNew)/12,1),0)))),((F131-DATE(2026+0,5,1))/365.25)*G131*D131*(1+EscalatorInLease)^(0+M131)+((DATE(2027+0,4,30)-F131)/365.25)*IF(I131="Vacate",H131*D131*(1+GrowthMarketRent)^0*IF(INT((DATE(2026+0,10,31)-F131)/365.25)=0,(12-DowntimeNew)/12,1),IF(I131="Option",G131*D131*1.025*(1+EscalatorInLease)^0,IF(I131="Market",Retention*G131*D131*(1+EscalatorInLease)^(0+M131)+(1-Retention)*H131*D131*(1+GrowthMarketRent)^0*IF(INT((DATE(2026+0,10,31)-F131)/365.25)=0,(12-DowntimeNew)/12,1),IF(I131="LeaseUp",H131*D131*(1+GrowthMarketRent)^0*IF(0=0,(12-DowntimeNew)/12,1),0)))))))),0)</f>
        <v/>
      </c>
      <c r="O131" s="14">
        <f>IFERROR(IF(I131="LeaseUp",H131*D131*(1+GrowthMarketRent)^1*IF(1=0,(12-DowntimeNew)/12,1),IF(F131="",0,IF(F131&gt;=DATE(2027+1,4,30),G131*D131*(1+EscalatorInLease)^(1+M131),IF(F131&lt;DATE(2026+1,5,1),IF(I131="Vacate",H131*D131*(1+GrowthMarketRent)^1*IF(INT((DATE(2026+1,10,31)-F131)/365.25)=0,(12-DowntimeNew)/12,1),IF(I131="Option",G131*D131*1.025*(1+EscalatorInLease)^1,IF(I131="Market",Retention*G131*D131*(1+EscalatorInLease)^(1+M131)+(1-Retention)*H131*D131*(1+GrowthMarketRent)^1*IF(INT((DATE(2026+1,10,31)-F131)/365.25)=0,(12-DowntimeNew)/12,1),IF(I131="LeaseUp",H131*D131*(1+GrowthMarketRent)^1*IF(1=0,(12-DowntimeNew)/12,1),0)))),((F131-DATE(2026+1,5,1))/365.25)*G131*D131*(1+EscalatorInLease)^(1+M131)+((DATE(2027+1,4,30)-F131)/365.25)*IF(I131="Vacate",H131*D131*(1+GrowthMarketRent)^1*IF(INT((DATE(2026+1,10,31)-F131)/365.25)=0,(12-DowntimeNew)/12,1),IF(I131="Option",G131*D131*1.025*(1+EscalatorInLease)^1,IF(I131="Market",Retention*G131*D131*(1+EscalatorInLease)^(1+M131)+(1-Retention)*H131*D131*(1+GrowthMarketRent)^1*IF(INT((DATE(2026+1,10,31)-F131)/365.25)=0,(12-DowntimeNew)/12,1),IF(I131="LeaseUp",H131*D131*(1+GrowthMarketRent)^1*IF(1=0,(12-DowntimeNew)/12,1),0)))))))),0)</f>
        <v/>
      </c>
      <c r="P131" s="14">
        <f>IFERROR(IF(I131="LeaseUp",H131*D131*(1+GrowthMarketRent)^2*IF(2=0,(12-DowntimeNew)/12,1),IF(F131="",0,IF(F131&gt;=DATE(2027+2,4,30),G131*D131*(1+EscalatorInLease)^(2+M131),IF(F131&lt;DATE(2026+2,5,1),IF(I131="Vacate",H131*D131*(1+GrowthMarketRent)^2*IF(INT((DATE(2026+2,10,31)-F131)/365.25)=0,(12-DowntimeNew)/12,1),IF(I131="Option",G131*D131*1.025*(1+EscalatorInLease)^2,IF(I131="Market",Retention*G131*D131*(1+EscalatorInLease)^(2+M131)+(1-Retention)*H131*D131*(1+GrowthMarketRent)^2*IF(INT((DATE(2026+2,10,31)-F131)/365.25)=0,(12-DowntimeNew)/12,1),IF(I131="LeaseUp",H131*D131*(1+GrowthMarketRent)^2*IF(2=0,(12-DowntimeNew)/12,1),0)))),((F131-DATE(2026+2,5,1))/365.25)*G131*D131*(1+EscalatorInLease)^(2+M131)+((DATE(2027+2,4,30)-F131)/365.25)*IF(I131="Vacate",H131*D131*(1+GrowthMarketRent)^2*IF(INT((DATE(2026+2,10,31)-F131)/365.25)=0,(12-DowntimeNew)/12,1),IF(I131="Option",G131*D131*1.025*(1+EscalatorInLease)^2,IF(I131="Market",Retention*G131*D131*(1+EscalatorInLease)^(2+M131)+(1-Retention)*H131*D131*(1+GrowthMarketRent)^2*IF(INT((DATE(2026+2,10,31)-F131)/365.25)=0,(12-DowntimeNew)/12,1),IF(I131="LeaseUp",H131*D131*(1+GrowthMarketRent)^2*IF(2=0,(12-DowntimeNew)/12,1),0)))))))),0)</f>
        <v/>
      </c>
      <c r="Q131" s="14">
        <f>IFERROR(IF(I131="LeaseUp",H131*D131*(1+GrowthMarketRent)^3*IF(3=0,(12-DowntimeNew)/12,1),IF(F131="",0,IF(F131&gt;=DATE(2027+3,4,30),G131*D131*(1+EscalatorInLease)^(3+M131),IF(F131&lt;DATE(2026+3,5,1),IF(I131="Vacate",H131*D131*(1+GrowthMarketRent)^3*IF(INT((DATE(2026+3,10,31)-F131)/365.25)=0,(12-DowntimeNew)/12,1),IF(I131="Option",G131*D131*1.025*(1+EscalatorInLease)^3,IF(I131="Market",Retention*G131*D131*(1+EscalatorInLease)^(3+M131)+(1-Retention)*H131*D131*(1+GrowthMarketRent)^3*IF(INT((DATE(2026+3,10,31)-F131)/365.25)=0,(12-DowntimeNew)/12,1),IF(I131="LeaseUp",H131*D131*(1+GrowthMarketRent)^3*IF(3=0,(12-DowntimeNew)/12,1),0)))),((F131-DATE(2026+3,5,1))/365.25)*G131*D131*(1+EscalatorInLease)^(3+M131)+((DATE(2027+3,4,30)-F131)/365.25)*IF(I131="Vacate",H131*D131*(1+GrowthMarketRent)^3*IF(INT((DATE(2026+3,10,31)-F131)/365.25)=0,(12-DowntimeNew)/12,1),IF(I131="Option",G131*D131*1.025*(1+EscalatorInLease)^3,IF(I131="Market",Retention*G131*D131*(1+EscalatorInLease)^(3+M131)+(1-Retention)*H131*D131*(1+GrowthMarketRent)^3*IF(INT((DATE(2026+3,10,31)-F131)/365.25)=0,(12-DowntimeNew)/12,1),IF(I131="LeaseUp",H131*D131*(1+GrowthMarketRent)^3*IF(3=0,(12-DowntimeNew)/12,1),0)))))))),0)</f>
        <v/>
      </c>
      <c r="R131" s="14">
        <f>IFERROR(IF(I131="LeaseUp",H131*D131*(1+GrowthMarketRent)^4*IF(4=0,(12-DowntimeNew)/12,1),IF(F131="",0,IF(F131&gt;=DATE(2027+4,4,30),G131*D131*(1+EscalatorInLease)^(4+M131),IF(F131&lt;DATE(2026+4,5,1),IF(I131="Vacate",H131*D131*(1+GrowthMarketRent)^4*IF(INT((DATE(2026+4,10,31)-F131)/365.25)=0,(12-DowntimeNew)/12,1),IF(I131="Option",G131*D131*1.025*(1+EscalatorInLease)^4,IF(I131="Market",Retention*G131*D131*(1+EscalatorInLease)^(4+M131)+(1-Retention)*H131*D131*(1+GrowthMarketRent)^4*IF(INT((DATE(2026+4,10,31)-F131)/365.25)=0,(12-DowntimeNew)/12,1),IF(I131="LeaseUp",H131*D131*(1+GrowthMarketRent)^4*IF(4=0,(12-DowntimeNew)/12,1),0)))),((F131-DATE(2026+4,5,1))/365.25)*G131*D131*(1+EscalatorInLease)^(4+M131)+((DATE(2027+4,4,30)-F131)/365.25)*IF(I131="Vacate",H131*D131*(1+GrowthMarketRent)^4*IF(INT((DATE(2026+4,10,31)-F131)/365.25)=0,(12-DowntimeNew)/12,1),IF(I131="Option",G131*D131*1.025*(1+EscalatorInLease)^4,IF(I131="Market",Retention*G131*D131*(1+EscalatorInLease)^(4+M131)+(1-Retention)*H131*D131*(1+GrowthMarketRent)^4*IF(INT((DATE(2026+4,10,31)-F131)/365.25)=0,(12-DowntimeNew)/12,1),IF(I131="LeaseUp",H131*D131*(1+GrowthMarketRent)^4*IF(4=0,(12-DowntimeNew)/12,1),0)))))))),0)</f>
        <v/>
      </c>
      <c r="S131" s="14">
        <f>IFERROR(IF(I131="LeaseUp",H131*D131*(1+GrowthMarketRent)^5*IF(5=0,(12-DowntimeNew)/12,1),IF(F131="",0,IF(F131&gt;=DATE(2027+5,4,30),G131*D131*(1+EscalatorInLease)^(5+M131),IF(F131&lt;DATE(2026+5,5,1),IF(I131="Vacate",H131*D131*(1+GrowthMarketRent)^5*IF(INT((DATE(2026+5,10,31)-F131)/365.25)=0,(12-DowntimeNew)/12,1),IF(I131="Option",G131*D131*1.025*(1+EscalatorInLease)^5,IF(I131="Market",Retention*G131*D131*(1+EscalatorInLease)^(5+M131)+(1-Retention)*H131*D131*(1+GrowthMarketRent)^5*IF(INT((DATE(2026+5,10,31)-F131)/365.25)=0,(12-DowntimeNew)/12,1),IF(I131="LeaseUp",H131*D131*(1+GrowthMarketRent)^5*IF(5=0,(12-DowntimeNew)/12,1),0)))),((F131-DATE(2026+5,5,1))/365.25)*G131*D131*(1+EscalatorInLease)^(5+M131)+((DATE(2027+5,4,30)-F131)/365.25)*IF(I131="Vacate",H131*D131*(1+GrowthMarketRent)^5*IF(INT((DATE(2026+5,10,31)-F131)/365.25)=0,(12-DowntimeNew)/12,1),IF(I131="Option",G131*D131*1.025*(1+EscalatorInLease)^5,IF(I131="Market",Retention*G131*D131*(1+EscalatorInLease)^(5+M131)+(1-Retention)*H131*D131*(1+GrowthMarketRent)^5*IF(INT((DATE(2026+5,10,31)-F131)/365.25)=0,(12-DowntimeNew)/12,1),IF(I131="LeaseUp",H131*D131*(1+GrowthMarketRent)^5*IF(5=0,(12-DowntimeNew)/12,1),0)))))))),0)</f>
        <v/>
      </c>
      <c r="T131" s="14">
        <f>IFERROR(IF(I131="LeaseUp",H131*D131*(1+GrowthMarketRent)^6*IF(6=0,(12-DowntimeNew)/12,1),IF(F131="",0,IF(F131&gt;=DATE(2027+6,4,30),G131*D131*(1+EscalatorInLease)^(6+M131),IF(F131&lt;DATE(2026+6,5,1),IF(I131="Vacate",H131*D131*(1+GrowthMarketRent)^6*IF(INT((DATE(2026+6,10,31)-F131)/365.25)=0,(12-DowntimeNew)/12,1),IF(I131="Option",G131*D131*1.025*(1+EscalatorInLease)^6,IF(I131="Market",Retention*G131*D131*(1+EscalatorInLease)^(6+M131)+(1-Retention)*H131*D131*(1+GrowthMarketRent)^6*IF(INT((DATE(2026+6,10,31)-F131)/365.25)=0,(12-DowntimeNew)/12,1),IF(I131="LeaseUp",H131*D131*(1+GrowthMarketRent)^6*IF(6=0,(12-DowntimeNew)/12,1),0)))),((F131-DATE(2026+6,5,1))/365.25)*G131*D131*(1+EscalatorInLease)^(6+M131)+((DATE(2027+6,4,30)-F131)/365.25)*IF(I131="Vacate",H131*D131*(1+GrowthMarketRent)^6*IF(INT((DATE(2026+6,10,31)-F131)/365.25)=0,(12-DowntimeNew)/12,1),IF(I131="Option",G131*D131*1.025*(1+EscalatorInLease)^6,IF(I131="Market",Retention*G131*D131*(1+EscalatorInLease)^(6+M131)+(1-Retention)*H131*D131*(1+GrowthMarketRent)^6*IF(INT((DATE(2026+6,10,31)-F131)/365.25)=0,(12-DowntimeNew)/12,1),IF(I131="LeaseUp",H131*D131*(1+GrowthMarketRent)^6*IF(6=0,(12-DowntimeNew)/12,1),0)))))))),0)</f>
        <v/>
      </c>
      <c r="U131" s="14">
        <f>IFERROR(IF(I131="LeaseUp",H131*D131*(1+GrowthMarketRent)^7*IF(7=0,(12-DowntimeNew)/12,1),IF(F131="",0,IF(F131&gt;=DATE(2027+7,4,30),G131*D131*(1+EscalatorInLease)^(7+M131),IF(F131&lt;DATE(2026+7,5,1),IF(I131="Vacate",H131*D131*(1+GrowthMarketRent)^7*IF(INT((DATE(2026+7,10,31)-F131)/365.25)=0,(12-DowntimeNew)/12,1),IF(I131="Option",G131*D131*1.025*(1+EscalatorInLease)^7,IF(I131="Market",Retention*G131*D131*(1+EscalatorInLease)^(7+M131)+(1-Retention)*H131*D131*(1+GrowthMarketRent)^7*IF(INT((DATE(2026+7,10,31)-F131)/365.25)=0,(12-DowntimeNew)/12,1),IF(I131="LeaseUp",H131*D131*(1+GrowthMarketRent)^7*IF(7=0,(12-DowntimeNew)/12,1),0)))),((F131-DATE(2026+7,5,1))/365.25)*G131*D131*(1+EscalatorInLease)^(7+M131)+((DATE(2027+7,4,30)-F131)/365.25)*IF(I131="Vacate",H131*D131*(1+GrowthMarketRent)^7*IF(INT((DATE(2026+7,10,31)-F131)/365.25)=0,(12-DowntimeNew)/12,1),IF(I131="Option",G131*D131*1.025*(1+EscalatorInLease)^7,IF(I131="Market",Retention*G131*D131*(1+EscalatorInLease)^(7+M131)+(1-Retention)*H131*D131*(1+GrowthMarketRent)^7*IF(INT((DATE(2026+7,10,31)-F131)/365.25)=0,(12-DowntimeNew)/12,1),IF(I131="LeaseUp",H131*D131*(1+GrowthMarketRent)^7*IF(7=0,(12-DowntimeNew)/12,1),0)))))))),0)</f>
        <v/>
      </c>
      <c r="V131" s="14">
        <f>IFERROR(IF(I131="LeaseUp",H131*D131*(1+GrowthMarketRent)^8*IF(8=0,(12-DowntimeNew)/12,1),IF(F131="",0,IF(F131&gt;=DATE(2027+8,4,30),G131*D131*(1+EscalatorInLease)^(8+M131),IF(F131&lt;DATE(2026+8,5,1),IF(I131="Vacate",H131*D131*(1+GrowthMarketRent)^8*IF(INT((DATE(2026+8,10,31)-F131)/365.25)=0,(12-DowntimeNew)/12,1),IF(I131="Option",G131*D131*1.025*(1+EscalatorInLease)^8,IF(I131="Market",Retention*G131*D131*(1+EscalatorInLease)^(8+M131)+(1-Retention)*H131*D131*(1+GrowthMarketRent)^8*IF(INT((DATE(2026+8,10,31)-F131)/365.25)=0,(12-DowntimeNew)/12,1),IF(I131="LeaseUp",H131*D131*(1+GrowthMarketRent)^8*IF(8=0,(12-DowntimeNew)/12,1),0)))),((F131-DATE(2026+8,5,1))/365.25)*G131*D131*(1+EscalatorInLease)^(8+M131)+((DATE(2027+8,4,30)-F131)/365.25)*IF(I131="Vacate",H131*D131*(1+GrowthMarketRent)^8*IF(INT((DATE(2026+8,10,31)-F131)/365.25)=0,(12-DowntimeNew)/12,1),IF(I131="Option",G131*D131*1.025*(1+EscalatorInLease)^8,IF(I131="Market",Retention*G131*D131*(1+EscalatorInLease)^(8+M131)+(1-Retention)*H131*D131*(1+GrowthMarketRent)^8*IF(INT((DATE(2026+8,10,31)-F131)/365.25)=0,(12-DowntimeNew)/12,1),IF(I131="LeaseUp",H131*D131*(1+GrowthMarketRent)^8*IF(8=0,(12-DowntimeNew)/12,1),0)))))))),0)</f>
        <v/>
      </c>
      <c r="W131" s="14">
        <f>IFERROR(IF(I131="LeaseUp",H131*D131*(1+GrowthMarketRent)^9*IF(9=0,(12-DowntimeNew)/12,1),IF(F131="",0,IF(F131&gt;=DATE(2027+9,4,30),G131*D131*(1+EscalatorInLease)^(9+M131),IF(F131&lt;DATE(2026+9,5,1),IF(I131="Vacate",H131*D131*(1+GrowthMarketRent)^9*IF(INT((DATE(2026+9,10,31)-F131)/365.25)=0,(12-DowntimeNew)/12,1),IF(I131="Option",G131*D131*1.025*(1+EscalatorInLease)^9,IF(I131="Market",Retention*G131*D131*(1+EscalatorInLease)^(9+M131)+(1-Retention)*H131*D131*(1+GrowthMarketRent)^9*IF(INT((DATE(2026+9,10,31)-F131)/365.25)=0,(12-DowntimeNew)/12,1),IF(I131="LeaseUp",H131*D131*(1+GrowthMarketRent)^9*IF(9=0,(12-DowntimeNew)/12,1),0)))),((F131-DATE(2026+9,5,1))/365.25)*G131*D131*(1+EscalatorInLease)^(9+M131)+((DATE(2027+9,4,30)-F131)/365.25)*IF(I131="Vacate",H131*D131*(1+GrowthMarketRent)^9*IF(INT((DATE(2026+9,10,31)-F131)/365.25)=0,(12-DowntimeNew)/12,1),IF(I131="Option",G131*D131*1.025*(1+EscalatorInLease)^9,IF(I131="Market",Retention*G131*D131*(1+EscalatorInLease)^(9+M131)+(1-Retention)*H131*D131*(1+GrowthMarketRent)^9*IF(INT((DATE(2026+9,10,31)-F131)/365.25)=0,(12-DowntimeNew)/12,1),IF(I131="LeaseUp",H131*D131*(1+GrowthMarketRent)^9*IF(9=0,(12-DowntimeNew)/12,1),0)))))))),0)</f>
        <v/>
      </c>
      <c r="X131" s="14">
        <f>IFERROR(IF(I131="LeaseUp",H131*D131*(1+GrowthMarketRent)^10*IF(10=0,(12-DowntimeNew)/12,1),IF(F131="",0,IF(F131&gt;=DATE(2027+10,4,30),G131*D131*(1+EscalatorInLease)^(10+M131),IF(F131&lt;DATE(2026+10,5,1),IF(I131="Vacate",H131*D131*(1+GrowthMarketRent)^10*IF(INT((DATE(2026+10,10,31)-F131)/365.25)=0,(12-DowntimeNew)/12,1),IF(I131="Option",G131*D131*1.025*(1+EscalatorInLease)^10,IF(I131="Market",Retention*G131*D131*(1+EscalatorInLease)^(10+M131)+(1-Retention)*H131*D131*(1+GrowthMarketRent)^10*IF(INT((DATE(2026+10,10,31)-F131)/365.25)=0,(12-DowntimeNew)/12,1),IF(I131="LeaseUp",H131*D131*(1+GrowthMarketRent)^10*IF(10=0,(12-DowntimeNew)/12,1),0)))),((F131-DATE(2026+10,5,1))/365.25)*G131*D131*(1+EscalatorInLease)^(10+M131)+((DATE(2027+10,4,30)-F131)/365.25)*IF(I131="Vacate",H131*D131*(1+GrowthMarketRent)^10*IF(INT((DATE(2026+10,10,31)-F131)/365.25)=0,(12-DowntimeNew)/12,1),IF(I131="Option",G131*D131*1.025*(1+EscalatorInLease)^10,IF(I131="Market",Retention*G131*D131*(1+EscalatorInLease)^(10+M131)+(1-Retention)*H131*D131*(1+GrowthMarketRent)^10*IF(INT((DATE(2026+10,10,31)-F131)/365.25)=0,(12-DowntimeNew)/12,1),IF(I131="LeaseUp",H131*D131*(1+GrowthMarketRent)^10*IF(10=0,(12-DowntimeNew)/12,1),0)))))))),0)</f>
        <v/>
      </c>
      <c r="Y131" s="14">
        <f>IFERROR(IF(AND(I131="LeaseUp",0=0),(IF(I131="Vacate",TINew*D131,IF(I131="Market",Retention*TIRenewal*D131+(1-Retention)*TINew*D131,IF(I131="LeaseUp",TINew*D131,IF(I131="Option",TIRenewal*D131,0)))))+(IF(I131="Vacate",LCNew*H131*D131*(1+GrowthMarketRent)^0,IF(I131="Market",Retention*LCRenewal*H131*D131*(1+GrowthMarketRent)^0+(1-Retention)*LCNew*H131*D131*(1+GrowthMarketRent)^0,IF(I131="LeaseUp",LCNew*H131*D131*(1+GrowthMarketRent)^0,IF(I131="Option",LCRenewal*H131*D131*(1+GrowthMarketRent)^0,0))))),IF(F131="",0,IF(AND(F131&gt;=DATE(2026+0,5,1),F131&lt;=DATE(2027+0,4,30)),(IF(I131="Vacate",TINew*D131,IF(I131="Market",Retention*TIRenewal*D131+(1-Retention)*TINew*D131,IF(I131="LeaseUp",TINew*D131,IF(I131="Option",TIRenewal*D131,0)))))+(IF(I131="Vacate",LCNew*H131*D131*(1+GrowthMarketRent)^0,IF(I131="Market",Retention*LCRenewal*H131*D131*(1+GrowthMarketRent)^0+(1-Retention)*LCNew*H131*D131*(1+GrowthMarketRent)^0,IF(I131="LeaseUp",LCNew*H131*D131*(1+GrowthMarketRent)^0,IF(I131="Option",LCRenewal*H131*D131*(1+GrowthMarketRent)^0,0))))),0))),0)</f>
        <v/>
      </c>
      <c r="Z131" s="14">
        <f>IFERROR(IF(AND(I131="LeaseUp",1=0),(IF(I131="Vacate",TINew*D131,IF(I131="Market",Retention*TIRenewal*D131+(1-Retention)*TINew*D131,IF(I131="LeaseUp",TINew*D131,IF(I131="Option",TIRenewal*D131,0)))))+(IF(I131="Vacate",LCNew*H131*D131*(1+GrowthMarketRent)^1,IF(I131="Market",Retention*LCRenewal*H131*D131*(1+GrowthMarketRent)^1+(1-Retention)*LCNew*H131*D131*(1+GrowthMarketRent)^1,IF(I131="LeaseUp",LCNew*H131*D131*(1+GrowthMarketRent)^1,IF(I131="Option",LCRenewal*H131*D131*(1+GrowthMarketRent)^1,0))))),IF(F131="",0,IF(AND(F131&gt;=DATE(2026+1,5,1),F131&lt;=DATE(2027+1,4,30)),(IF(I131="Vacate",TINew*D131,IF(I131="Market",Retention*TIRenewal*D131+(1-Retention)*TINew*D131,IF(I131="LeaseUp",TINew*D131,IF(I131="Option",TIRenewal*D131,0)))))+(IF(I131="Vacate",LCNew*H131*D131*(1+GrowthMarketRent)^1,IF(I131="Market",Retention*LCRenewal*H131*D131*(1+GrowthMarketRent)^1+(1-Retention)*LCNew*H131*D131*(1+GrowthMarketRent)^1,IF(I131="LeaseUp",LCNew*H131*D131*(1+GrowthMarketRent)^1,IF(I131="Option",LCRenewal*H131*D131*(1+GrowthMarketRent)^1,0))))),0))),0)</f>
        <v/>
      </c>
      <c r="AA131" s="14">
        <f>IFERROR(IF(AND(I131="LeaseUp",2=0),(IF(I131="Vacate",TINew*D131,IF(I131="Market",Retention*TIRenewal*D131+(1-Retention)*TINew*D131,IF(I131="LeaseUp",TINew*D131,IF(I131="Option",TIRenewal*D131,0)))))+(IF(I131="Vacate",LCNew*H131*D131*(1+GrowthMarketRent)^2,IF(I131="Market",Retention*LCRenewal*H131*D131*(1+GrowthMarketRent)^2+(1-Retention)*LCNew*H131*D131*(1+GrowthMarketRent)^2,IF(I131="LeaseUp",LCNew*H131*D131*(1+GrowthMarketRent)^2,IF(I131="Option",LCRenewal*H131*D131*(1+GrowthMarketRent)^2,0))))),IF(F131="",0,IF(AND(F131&gt;=DATE(2026+2,5,1),F131&lt;=DATE(2027+2,4,30)),(IF(I131="Vacate",TINew*D131,IF(I131="Market",Retention*TIRenewal*D131+(1-Retention)*TINew*D131,IF(I131="LeaseUp",TINew*D131,IF(I131="Option",TIRenewal*D131,0)))))+(IF(I131="Vacate",LCNew*H131*D131*(1+GrowthMarketRent)^2,IF(I131="Market",Retention*LCRenewal*H131*D131*(1+GrowthMarketRent)^2+(1-Retention)*LCNew*H131*D131*(1+GrowthMarketRent)^2,IF(I131="LeaseUp",LCNew*H131*D131*(1+GrowthMarketRent)^2,IF(I131="Option",LCRenewal*H131*D131*(1+GrowthMarketRent)^2,0))))),0))),0)</f>
        <v/>
      </c>
      <c r="AB131" s="14">
        <f>IFERROR(IF(AND(I131="LeaseUp",3=0),(IF(I131="Vacate",TINew*D131,IF(I131="Market",Retention*TIRenewal*D131+(1-Retention)*TINew*D131,IF(I131="LeaseUp",TINew*D131,IF(I131="Option",TIRenewal*D131,0)))))+(IF(I131="Vacate",LCNew*H131*D131*(1+GrowthMarketRent)^3,IF(I131="Market",Retention*LCRenewal*H131*D131*(1+GrowthMarketRent)^3+(1-Retention)*LCNew*H131*D131*(1+GrowthMarketRent)^3,IF(I131="LeaseUp",LCNew*H131*D131*(1+GrowthMarketRent)^3,IF(I131="Option",LCRenewal*H131*D131*(1+GrowthMarketRent)^3,0))))),IF(F131="",0,IF(AND(F131&gt;=DATE(2026+3,5,1),F131&lt;=DATE(2027+3,4,30)),(IF(I131="Vacate",TINew*D131,IF(I131="Market",Retention*TIRenewal*D131+(1-Retention)*TINew*D131,IF(I131="LeaseUp",TINew*D131,IF(I131="Option",TIRenewal*D131,0)))))+(IF(I131="Vacate",LCNew*H131*D131*(1+GrowthMarketRent)^3,IF(I131="Market",Retention*LCRenewal*H131*D131*(1+GrowthMarketRent)^3+(1-Retention)*LCNew*H131*D131*(1+GrowthMarketRent)^3,IF(I131="LeaseUp",LCNew*H131*D131*(1+GrowthMarketRent)^3,IF(I131="Option",LCRenewal*H131*D131*(1+GrowthMarketRent)^3,0))))),0))),0)</f>
        <v/>
      </c>
      <c r="AC131" s="14">
        <f>IFERROR(IF(AND(I131="LeaseUp",4=0),(IF(I131="Vacate",TINew*D131,IF(I131="Market",Retention*TIRenewal*D131+(1-Retention)*TINew*D131,IF(I131="LeaseUp",TINew*D131,IF(I131="Option",TIRenewal*D131,0)))))+(IF(I131="Vacate",LCNew*H131*D131*(1+GrowthMarketRent)^4,IF(I131="Market",Retention*LCRenewal*H131*D131*(1+GrowthMarketRent)^4+(1-Retention)*LCNew*H131*D131*(1+GrowthMarketRent)^4,IF(I131="LeaseUp",LCNew*H131*D131*(1+GrowthMarketRent)^4,IF(I131="Option",LCRenewal*H131*D131*(1+GrowthMarketRent)^4,0))))),IF(F131="",0,IF(AND(F131&gt;=DATE(2026+4,5,1),F131&lt;=DATE(2027+4,4,30)),(IF(I131="Vacate",TINew*D131,IF(I131="Market",Retention*TIRenewal*D131+(1-Retention)*TINew*D131,IF(I131="LeaseUp",TINew*D131,IF(I131="Option",TIRenewal*D131,0)))))+(IF(I131="Vacate",LCNew*H131*D131*(1+GrowthMarketRent)^4,IF(I131="Market",Retention*LCRenewal*H131*D131*(1+GrowthMarketRent)^4+(1-Retention)*LCNew*H131*D131*(1+GrowthMarketRent)^4,IF(I131="LeaseUp",LCNew*H131*D131*(1+GrowthMarketRent)^4,IF(I131="Option",LCRenewal*H131*D131*(1+GrowthMarketRent)^4,0))))),0))),0)</f>
        <v/>
      </c>
      <c r="AD131" s="14">
        <f>IFERROR(IF(AND(I131="LeaseUp",5=0),(IF(I131="Vacate",TINew*D131,IF(I131="Market",Retention*TIRenewal*D131+(1-Retention)*TINew*D131,IF(I131="LeaseUp",TINew*D131,IF(I131="Option",TIRenewal*D131,0)))))+(IF(I131="Vacate",LCNew*H131*D131*(1+GrowthMarketRent)^5,IF(I131="Market",Retention*LCRenewal*H131*D131*(1+GrowthMarketRent)^5+(1-Retention)*LCNew*H131*D131*(1+GrowthMarketRent)^5,IF(I131="LeaseUp",LCNew*H131*D131*(1+GrowthMarketRent)^5,IF(I131="Option",LCRenewal*H131*D131*(1+GrowthMarketRent)^5,0))))),IF(F131="",0,IF(AND(F131&gt;=DATE(2026+5,5,1),F131&lt;=DATE(2027+5,4,30)),(IF(I131="Vacate",TINew*D131,IF(I131="Market",Retention*TIRenewal*D131+(1-Retention)*TINew*D131,IF(I131="LeaseUp",TINew*D131,IF(I131="Option",TIRenewal*D131,0)))))+(IF(I131="Vacate",LCNew*H131*D131*(1+GrowthMarketRent)^5,IF(I131="Market",Retention*LCRenewal*H131*D131*(1+GrowthMarketRent)^5+(1-Retention)*LCNew*H131*D131*(1+GrowthMarketRent)^5,IF(I131="LeaseUp",LCNew*H131*D131*(1+GrowthMarketRent)^5,IF(I131="Option",LCRenewal*H131*D131*(1+GrowthMarketRent)^5,0))))),0))),0)</f>
        <v/>
      </c>
      <c r="AE131" s="14">
        <f>IFERROR(IF(AND(I131="LeaseUp",6=0),(IF(I131="Vacate",TINew*D131,IF(I131="Market",Retention*TIRenewal*D131+(1-Retention)*TINew*D131,IF(I131="LeaseUp",TINew*D131,IF(I131="Option",TIRenewal*D131,0)))))+(IF(I131="Vacate",LCNew*H131*D131*(1+GrowthMarketRent)^6,IF(I131="Market",Retention*LCRenewal*H131*D131*(1+GrowthMarketRent)^6+(1-Retention)*LCNew*H131*D131*(1+GrowthMarketRent)^6,IF(I131="LeaseUp",LCNew*H131*D131*(1+GrowthMarketRent)^6,IF(I131="Option",LCRenewal*H131*D131*(1+GrowthMarketRent)^6,0))))),IF(F131="",0,IF(AND(F131&gt;=DATE(2026+6,5,1),F131&lt;=DATE(2027+6,4,30)),(IF(I131="Vacate",TINew*D131,IF(I131="Market",Retention*TIRenewal*D131+(1-Retention)*TINew*D131,IF(I131="LeaseUp",TINew*D131,IF(I131="Option",TIRenewal*D131,0)))))+(IF(I131="Vacate",LCNew*H131*D131*(1+GrowthMarketRent)^6,IF(I131="Market",Retention*LCRenewal*H131*D131*(1+GrowthMarketRent)^6+(1-Retention)*LCNew*H131*D131*(1+GrowthMarketRent)^6,IF(I131="LeaseUp",LCNew*H131*D131*(1+GrowthMarketRent)^6,IF(I131="Option",LCRenewal*H131*D131*(1+GrowthMarketRent)^6,0))))),0))),0)</f>
        <v/>
      </c>
      <c r="AF131" s="14">
        <f>IFERROR(IF(AND(I131="LeaseUp",7=0),(IF(I131="Vacate",TINew*D131,IF(I131="Market",Retention*TIRenewal*D131+(1-Retention)*TINew*D131,IF(I131="LeaseUp",TINew*D131,IF(I131="Option",TIRenewal*D131,0)))))+(IF(I131="Vacate",LCNew*H131*D131*(1+GrowthMarketRent)^7,IF(I131="Market",Retention*LCRenewal*H131*D131*(1+GrowthMarketRent)^7+(1-Retention)*LCNew*H131*D131*(1+GrowthMarketRent)^7,IF(I131="LeaseUp",LCNew*H131*D131*(1+GrowthMarketRent)^7,IF(I131="Option",LCRenewal*H131*D131*(1+GrowthMarketRent)^7,0))))),IF(F131="",0,IF(AND(F131&gt;=DATE(2026+7,5,1),F131&lt;=DATE(2027+7,4,30)),(IF(I131="Vacate",TINew*D131,IF(I131="Market",Retention*TIRenewal*D131+(1-Retention)*TINew*D131,IF(I131="LeaseUp",TINew*D131,IF(I131="Option",TIRenewal*D131,0)))))+(IF(I131="Vacate",LCNew*H131*D131*(1+GrowthMarketRent)^7,IF(I131="Market",Retention*LCRenewal*H131*D131*(1+GrowthMarketRent)^7+(1-Retention)*LCNew*H131*D131*(1+GrowthMarketRent)^7,IF(I131="LeaseUp",LCNew*H131*D131*(1+GrowthMarketRent)^7,IF(I131="Option",LCRenewal*H131*D131*(1+GrowthMarketRent)^7,0))))),0))),0)</f>
        <v/>
      </c>
      <c r="AG131" s="14">
        <f>IFERROR(IF(AND(I131="LeaseUp",8=0),(IF(I131="Vacate",TINew*D131,IF(I131="Market",Retention*TIRenewal*D131+(1-Retention)*TINew*D131,IF(I131="LeaseUp",TINew*D131,IF(I131="Option",TIRenewal*D131,0)))))+(IF(I131="Vacate",LCNew*H131*D131*(1+GrowthMarketRent)^8,IF(I131="Market",Retention*LCRenewal*H131*D131*(1+GrowthMarketRent)^8+(1-Retention)*LCNew*H131*D131*(1+GrowthMarketRent)^8,IF(I131="LeaseUp",LCNew*H131*D131*(1+GrowthMarketRent)^8,IF(I131="Option",LCRenewal*H131*D131*(1+GrowthMarketRent)^8,0))))),IF(F131="",0,IF(AND(F131&gt;=DATE(2026+8,5,1),F131&lt;=DATE(2027+8,4,30)),(IF(I131="Vacate",TINew*D131,IF(I131="Market",Retention*TIRenewal*D131+(1-Retention)*TINew*D131,IF(I131="LeaseUp",TINew*D131,IF(I131="Option",TIRenewal*D131,0)))))+(IF(I131="Vacate",LCNew*H131*D131*(1+GrowthMarketRent)^8,IF(I131="Market",Retention*LCRenewal*H131*D131*(1+GrowthMarketRent)^8+(1-Retention)*LCNew*H131*D131*(1+GrowthMarketRent)^8,IF(I131="LeaseUp",LCNew*H131*D131*(1+GrowthMarketRent)^8,IF(I131="Option",LCRenewal*H131*D131*(1+GrowthMarketRent)^8,0))))),0))),0)</f>
        <v/>
      </c>
      <c r="AH131" s="14">
        <f>IFERROR(IF(AND(I131="LeaseUp",9=0),(IF(I131="Vacate",TINew*D131,IF(I131="Market",Retention*TIRenewal*D131+(1-Retention)*TINew*D131,IF(I131="LeaseUp",TINew*D131,IF(I131="Option",TIRenewal*D131,0)))))+(IF(I131="Vacate",LCNew*H131*D131*(1+GrowthMarketRent)^9,IF(I131="Market",Retention*LCRenewal*H131*D131*(1+GrowthMarketRent)^9+(1-Retention)*LCNew*H131*D131*(1+GrowthMarketRent)^9,IF(I131="LeaseUp",LCNew*H131*D131*(1+GrowthMarketRent)^9,IF(I131="Option",LCRenewal*H131*D131*(1+GrowthMarketRent)^9,0))))),IF(F131="",0,IF(AND(F131&gt;=DATE(2026+9,5,1),F131&lt;=DATE(2027+9,4,30)),(IF(I131="Vacate",TINew*D131,IF(I131="Market",Retention*TIRenewal*D131+(1-Retention)*TINew*D131,IF(I131="LeaseUp",TINew*D131,IF(I131="Option",TIRenewal*D131,0)))))+(IF(I131="Vacate",LCNew*H131*D131*(1+GrowthMarketRent)^9,IF(I131="Market",Retention*LCRenewal*H131*D131*(1+GrowthMarketRent)^9+(1-Retention)*LCNew*H131*D131*(1+GrowthMarketRent)^9,IF(I131="LeaseUp",LCNew*H131*D131*(1+GrowthMarketRent)^9,IF(I131="Option",LCRenewal*H131*D131*(1+GrowthMarketRent)^9,0))))),0))),0)</f>
        <v/>
      </c>
      <c r="AI131" s="14">
        <f>IFERROR(IF(AND(I131="LeaseUp",10=0),(IF(I131="Vacate",TINew*D131,IF(I131="Market",Retention*TIRenewal*D131+(1-Retention)*TINew*D131,IF(I131="LeaseUp",TINew*D131,IF(I131="Option",TIRenewal*D131,0)))))+(IF(I131="Vacate",LCNew*H131*D131*(1+GrowthMarketRent)^10,IF(I131="Market",Retention*LCRenewal*H131*D131*(1+GrowthMarketRent)^10+(1-Retention)*LCNew*H131*D131*(1+GrowthMarketRent)^10,IF(I131="LeaseUp",LCNew*H131*D131*(1+GrowthMarketRent)^10,IF(I131="Option",LCRenewal*H131*D131*(1+GrowthMarketRent)^10,0))))),IF(F131="",0,IF(AND(F131&gt;=DATE(2026+10,5,1),F131&lt;=DATE(2027+10,4,30)),(IF(I131="Vacate",TINew*D131,IF(I131="Market",Retention*TIRenewal*D131+(1-Retention)*TINew*D131,IF(I131="LeaseUp",TINew*D131,IF(I131="Option",TIRenewal*D131,0)))))+(IF(I131="Vacate",LCNew*H131*D131*(1+GrowthMarketRent)^10,IF(I131="Market",Retention*LCRenewal*H131*D131*(1+GrowthMarketRent)^10+(1-Retention)*LCNew*H131*D131*(1+GrowthMarketRent)^10,IF(I131="LeaseUp",LCNew*H131*D131*(1+GrowthMarketRent)^10,IF(I131="Option",LCRenewal*H131*D131*(1+GrowthMarketRent)^10,0))))),0))),0)</f>
        <v/>
      </c>
    </row>
    <row r="132">
      <c r="A132" t="inlineStr">
        <is>
          <t>Roanoke</t>
        </is>
      </c>
      <c r="B132" t="inlineStr">
        <is>
          <t>124B</t>
        </is>
      </c>
      <c r="C132" t="inlineStr">
        <is>
          <t>VACANT</t>
        </is>
      </c>
      <c r="D132" s="32" t="n">
        <v>3050</v>
      </c>
      <c r="E132" s="33" t="n">
        <v>44958</v>
      </c>
      <c r="F132" s="33" t="n">
        <v>46204</v>
      </c>
      <c r="G132" s="34" t="n">
        <v>0</v>
      </c>
      <c r="H132" s="16">
        <f>VLOOKUP(A132,MLA!$A$5:$L$11,3,FALSE)</f>
        <v/>
      </c>
      <c r="I132" s="11" t="inlineStr">
        <is>
          <t>LeaseUp</t>
        </is>
      </c>
      <c r="J132" t="inlineStr">
        <is>
          <t>Shop</t>
        </is>
      </c>
      <c r="K132" t="inlineStr">
        <is>
          <t>Vacant</t>
        </is>
      </c>
      <c r="L132" t="inlineStr">
        <is>
          <t>Shop; future lease-up Aug-2026</t>
        </is>
      </c>
      <c r="M132" s="20">
        <f>IF(E132="",0,(AnalysisStart-E132)/365.25)</f>
        <v/>
      </c>
      <c r="N132" s="14">
        <f>IFERROR(IF(I132="LeaseUp",H132*D132*(1+GrowthMarketRent)^0*IF(0=0,(12-DowntimeNew)/12,1),IF(F132="",0,IF(F132&gt;=DATE(2027+0,4,30),G132*D132*(1+EscalatorInLease)^(0+M132),IF(F132&lt;DATE(2026+0,5,1),IF(I132="Vacate",H132*D132*(1+GrowthMarketRent)^0*IF(INT((DATE(2026+0,10,31)-F132)/365.25)=0,(12-DowntimeNew)/12,1),IF(I132="Option",G132*D132*1.025*(1+EscalatorInLease)^0,IF(I132="Market",Retention*G132*D132*(1+EscalatorInLease)^(0+M132)+(1-Retention)*H132*D132*(1+GrowthMarketRent)^0*IF(INT((DATE(2026+0,10,31)-F132)/365.25)=0,(12-DowntimeNew)/12,1),IF(I132="LeaseUp",H132*D132*(1+GrowthMarketRent)^0*IF(0=0,(12-DowntimeNew)/12,1),0)))),((F132-DATE(2026+0,5,1))/365.25)*G132*D132*(1+EscalatorInLease)^(0+M132)+((DATE(2027+0,4,30)-F132)/365.25)*IF(I132="Vacate",H132*D132*(1+GrowthMarketRent)^0*IF(INT((DATE(2026+0,10,31)-F132)/365.25)=0,(12-DowntimeNew)/12,1),IF(I132="Option",G132*D132*1.025*(1+EscalatorInLease)^0,IF(I132="Market",Retention*G132*D132*(1+EscalatorInLease)^(0+M132)+(1-Retention)*H132*D132*(1+GrowthMarketRent)^0*IF(INT((DATE(2026+0,10,31)-F132)/365.25)=0,(12-DowntimeNew)/12,1),IF(I132="LeaseUp",H132*D132*(1+GrowthMarketRent)^0*IF(0=0,(12-DowntimeNew)/12,1),0)))))))),0)</f>
        <v/>
      </c>
      <c r="O132" s="14">
        <f>IFERROR(IF(I132="LeaseUp",H132*D132*(1+GrowthMarketRent)^1*IF(1=0,(12-DowntimeNew)/12,1),IF(F132="",0,IF(F132&gt;=DATE(2027+1,4,30),G132*D132*(1+EscalatorInLease)^(1+M132),IF(F132&lt;DATE(2026+1,5,1),IF(I132="Vacate",H132*D132*(1+GrowthMarketRent)^1*IF(INT((DATE(2026+1,10,31)-F132)/365.25)=0,(12-DowntimeNew)/12,1),IF(I132="Option",G132*D132*1.025*(1+EscalatorInLease)^1,IF(I132="Market",Retention*G132*D132*(1+EscalatorInLease)^(1+M132)+(1-Retention)*H132*D132*(1+GrowthMarketRent)^1*IF(INT((DATE(2026+1,10,31)-F132)/365.25)=0,(12-DowntimeNew)/12,1),IF(I132="LeaseUp",H132*D132*(1+GrowthMarketRent)^1*IF(1=0,(12-DowntimeNew)/12,1),0)))),((F132-DATE(2026+1,5,1))/365.25)*G132*D132*(1+EscalatorInLease)^(1+M132)+((DATE(2027+1,4,30)-F132)/365.25)*IF(I132="Vacate",H132*D132*(1+GrowthMarketRent)^1*IF(INT((DATE(2026+1,10,31)-F132)/365.25)=0,(12-DowntimeNew)/12,1),IF(I132="Option",G132*D132*1.025*(1+EscalatorInLease)^1,IF(I132="Market",Retention*G132*D132*(1+EscalatorInLease)^(1+M132)+(1-Retention)*H132*D132*(1+GrowthMarketRent)^1*IF(INT((DATE(2026+1,10,31)-F132)/365.25)=0,(12-DowntimeNew)/12,1),IF(I132="LeaseUp",H132*D132*(1+GrowthMarketRent)^1*IF(1=0,(12-DowntimeNew)/12,1),0)))))))),0)</f>
        <v/>
      </c>
      <c r="P132" s="14">
        <f>IFERROR(IF(I132="LeaseUp",H132*D132*(1+GrowthMarketRent)^2*IF(2=0,(12-DowntimeNew)/12,1),IF(F132="",0,IF(F132&gt;=DATE(2027+2,4,30),G132*D132*(1+EscalatorInLease)^(2+M132),IF(F132&lt;DATE(2026+2,5,1),IF(I132="Vacate",H132*D132*(1+GrowthMarketRent)^2*IF(INT((DATE(2026+2,10,31)-F132)/365.25)=0,(12-DowntimeNew)/12,1),IF(I132="Option",G132*D132*1.025*(1+EscalatorInLease)^2,IF(I132="Market",Retention*G132*D132*(1+EscalatorInLease)^(2+M132)+(1-Retention)*H132*D132*(1+GrowthMarketRent)^2*IF(INT((DATE(2026+2,10,31)-F132)/365.25)=0,(12-DowntimeNew)/12,1),IF(I132="LeaseUp",H132*D132*(1+GrowthMarketRent)^2*IF(2=0,(12-DowntimeNew)/12,1),0)))),((F132-DATE(2026+2,5,1))/365.25)*G132*D132*(1+EscalatorInLease)^(2+M132)+((DATE(2027+2,4,30)-F132)/365.25)*IF(I132="Vacate",H132*D132*(1+GrowthMarketRent)^2*IF(INT((DATE(2026+2,10,31)-F132)/365.25)=0,(12-DowntimeNew)/12,1),IF(I132="Option",G132*D132*1.025*(1+EscalatorInLease)^2,IF(I132="Market",Retention*G132*D132*(1+EscalatorInLease)^(2+M132)+(1-Retention)*H132*D132*(1+GrowthMarketRent)^2*IF(INT((DATE(2026+2,10,31)-F132)/365.25)=0,(12-DowntimeNew)/12,1),IF(I132="LeaseUp",H132*D132*(1+GrowthMarketRent)^2*IF(2=0,(12-DowntimeNew)/12,1),0)))))))),0)</f>
        <v/>
      </c>
      <c r="Q132" s="14">
        <f>IFERROR(IF(I132="LeaseUp",H132*D132*(1+GrowthMarketRent)^3*IF(3=0,(12-DowntimeNew)/12,1),IF(F132="",0,IF(F132&gt;=DATE(2027+3,4,30),G132*D132*(1+EscalatorInLease)^(3+M132),IF(F132&lt;DATE(2026+3,5,1),IF(I132="Vacate",H132*D132*(1+GrowthMarketRent)^3*IF(INT((DATE(2026+3,10,31)-F132)/365.25)=0,(12-DowntimeNew)/12,1),IF(I132="Option",G132*D132*1.025*(1+EscalatorInLease)^3,IF(I132="Market",Retention*G132*D132*(1+EscalatorInLease)^(3+M132)+(1-Retention)*H132*D132*(1+GrowthMarketRent)^3*IF(INT((DATE(2026+3,10,31)-F132)/365.25)=0,(12-DowntimeNew)/12,1),IF(I132="LeaseUp",H132*D132*(1+GrowthMarketRent)^3*IF(3=0,(12-DowntimeNew)/12,1),0)))),((F132-DATE(2026+3,5,1))/365.25)*G132*D132*(1+EscalatorInLease)^(3+M132)+((DATE(2027+3,4,30)-F132)/365.25)*IF(I132="Vacate",H132*D132*(1+GrowthMarketRent)^3*IF(INT((DATE(2026+3,10,31)-F132)/365.25)=0,(12-DowntimeNew)/12,1),IF(I132="Option",G132*D132*1.025*(1+EscalatorInLease)^3,IF(I132="Market",Retention*G132*D132*(1+EscalatorInLease)^(3+M132)+(1-Retention)*H132*D132*(1+GrowthMarketRent)^3*IF(INT((DATE(2026+3,10,31)-F132)/365.25)=0,(12-DowntimeNew)/12,1),IF(I132="LeaseUp",H132*D132*(1+GrowthMarketRent)^3*IF(3=0,(12-DowntimeNew)/12,1),0)))))))),0)</f>
        <v/>
      </c>
      <c r="R132" s="14">
        <f>IFERROR(IF(I132="LeaseUp",H132*D132*(1+GrowthMarketRent)^4*IF(4=0,(12-DowntimeNew)/12,1),IF(F132="",0,IF(F132&gt;=DATE(2027+4,4,30),G132*D132*(1+EscalatorInLease)^(4+M132),IF(F132&lt;DATE(2026+4,5,1),IF(I132="Vacate",H132*D132*(1+GrowthMarketRent)^4*IF(INT((DATE(2026+4,10,31)-F132)/365.25)=0,(12-DowntimeNew)/12,1),IF(I132="Option",G132*D132*1.025*(1+EscalatorInLease)^4,IF(I132="Market",Retention*G132*D132*(1+EscalatorInLease)^(4+M132)+(1-Retention)*H132*D132*(1+GrowthMarketRent)^4*IF(INT((DATE(2026+4,10,31)-F132)/365.25)=0,(12-DowntimeNew)/12,1),IF(I132="LeaseUp",H132*D132*(1+GrowthMarketRent)^4*IF(4=0,(12-DowntimeNew)/12,1),0)))),((F132-DATE(2026+4,5,1))/365.25)*G132*D132*(1+EscalatorInLease)^(4+M132)+((DATE(2027+4,4,30)-F132)/365.25)*IF(I132="Vacate",H132*D132*(1+GrowthMarketRent)^4*IF(INT((DATE(2026+4,10,31)-F132)/365.25)=0,(12-DowntimeNew)/12,1),IF(I132="Option",G132*D132*1.025*(1+EscalatorInLease)^4,IF(I132="Market",Retention*G132*D132*(1+EscalatorInLease)^(4+M132)+(1-Retention)*H132*D132*(1+GrowthMarketRent)^4*IF(INT((DATE(2026+4,10,31)-F132)/365.25)=0,(12-DowntimeNew)/12,1),IF(I132="LeaseUp",H132*D132*(1+GrowthMarketRent)^4*IF(4=0,(12-DowntimeNew)/12,1),0)))))))),0)</f>
        <v/>
      </c>
      <c r="S132" s="14">
        <f>IFERROR(IF(I132="LeaseUp",H132*D132*(1+GrowthMarketRent)^5*IF(5=0,(12-DowntimeNew)/12,1),IF(F132="",0,IF(F132&gt;=DATE(2027+5,4,30),G132*D132*(1+EscalatorInLease)^(5+M132),IF(F132&lt;DATE(2026+5,5,1),IF(I132="Vacate",H132*D132*(1+GrowthMarketRent)^5*IF(INT((DATE(2026+5,10,31)-F132)/365.25)=0,(12-DowntimeNew)/12,1),IF(I132="Option",G132*D132*1.025*(1+EscalatorInLease)^5,IF(I132="Market",Retention*G132*D132*(1+EscalatorInLease)^(5+M132)+(1-Retention)*H132*D132*(1+GrowthMarketRent)^5*IF(INT((DATE(2026+5,10,31)-F132)/365.25)=0,(12-DowntimeNew)/12,1),IF(I132="LeaseUp",H132*D132*(1+GrowthMarketRent)^5*IF(5=0,(12-DowntimeNew)/12,1),0)))),((F132-DATE(2026+5,5,1))/365.25)*G132*D132*(1+EscalatorInLease)^(5+M132)+((DATE(2027+5,4,30)-F132)/365.25)*IF(I132="Vacate",H132*D132*(1+GrowthMarketRent)^5*IF(INT((DATE(2026+5,10,31)-F132)/365.25)=0,(12-DowntimeNew)/12,1),IF(I132="Option",G132*D132*1.025*(1+EscalatorInLease)^5,IF(I132="Market",Retention*G132*D132*(1+EscalatorInLease)^(5+M132)+(1-Retention)*H132*D132*(1+GrowthMarketRent)^5*IF(INT((DATE(2026+5,10,31)-F132)/365.25)=0,(12-DowntimeNew)/12,1),IF(I132="LeaseUp",H132*D132*(1+GrowthMarketRent)^5*IF(5=0,(12-DowntimeNew)/12,1),0)))))))),0)</f>
        <v/>
      </c>
      <c r="T132" s="14">
        <f>IFERROR(IF(I132="LeaseUp",H132*D132*(1+GrowthMarketRent)^6*IF(6=0,(12-DowntimeNew)/12,1),IF(F132="",0,IF(F132&gt;=DATE(2027+6,4,30),G132*D132*(1+EscalatorInLease)^(6+M132),IF(F132&lt;DATE(2026+6,5,1),IF(I132="Vacate",H132*D132*(1+GrowthMarketRent)^6*IF(INT((DATE(2026+6,10,31)-F132)/365.25)=0,(12-DowntimeNew)/12,1),IF(I132="Option",G132*D132*1.025*(1+EscalatorInLease)^6,IF(I132="Market",Retention*G132*D132*(1+EscalatorInLease)^(6+M132)+(1-Retention)*H132*D132*(1+GrowthMarketRent)^6*IF(INT((DATE(2026+6,10,31)-F132)/365.25)=0,(12-DowntimeNew)/12,1),IF(I132="LeaseUp",H132*D132*(1+GrowthMarketRent)^6*IF(6=0,(12-DowntimeNew)/12,1),0)))),((F132-DATE(2026+6,5,1))/365.25)*G132*D132*(1+EscalatorInLease)^(6+M132)+((DATE(2027+6,4,30)-F132)/365.25)*IF(I132="Vacate",H132*D132*(1+GrowthMarketRent)^6*IF(INT((DATE(2026+6,10,31)-F132)/365.25)=0,(12-DowntimeNew)/12,1),IF(I132="Option",G132*D132*1.025*(1+EscalatorInLease)^6,IF(I132="Market",Retention*G132*D132*(1+EscalatorInLease)^(6+M132)+(1-Retention)*H132*D132*(1+GrowthMarketRent)^6*IF(INT((DATE(2026+6,10,31)-F132)/365.25)=0,(12-DowntimeNew)/12,1),IF(I132="LeaseUp",H132*D132*(1+GrowthMarketRent)^6*IF(6=0,(12-DowntimeNew)/12,1),0)))))))),0)</f>
        <v/>
      </c>
      <c r="U132" s="14">
        <f>IFERROR(IF(I132="LeaseUp",H132*D132*(1+GrowthMarketRent)^7*IF(7=0,(12-DowntimeNew)/12,1),IF(F132="",0,IF(F132&gt;=DATE(2027+7,4,30),G132*D132*(1+EscalatorInLease)^(7+M132),IF(F132&lt;DATE(2026+7,5,1),IF(I132="Vacate",H132*D132*(1+GrowthMarketRent)^7*IF(INT((DATE(2026+7,10,31)-F132)/365.25)=0,(12-DowntimeNew)/12,1),IF(I132="Option",G132*D132*1.025*(1+EscalatorInLease)^7,IF(I132="Market",Retention*G132*D132*(1+EscalatorInLease)^(7+M132)+(1-Retention)*H132*D132*(1+GrowthMarketRent)^7*IF(INT((DATE(2026+7,10,31)-F132)/365.25)=0,(12-DowntimeNew)/12,1),IF(I132="LeaseUp",H132*D132*(1+GrowthMarketRent)^7*IF(7=0,(12-DowntimeNew)/12,1),0)))),((F132-DATE(2026+7,5,1))/365.25)*G132*D132*(1+EscalatorInLease)^(7+M132)+((DATE(2027+7,4,30)-F132)/365.25)*IF(I132="Vacate",H132*D132*(1+GrowthMarketRent)^7*IF(INT((DATE(2026+7,10,31)-F132)/365.25)=0,(12-DowntimeNew)/12,1),IF(I132="Option",G132*D132*1.025*(1+EscalatorInLease)^7,IF(I132="Market",Retention*G132*D132*(1+EscalatorInLease)^(7+M132)+(1-Retention)*H132*D132*(1+GrowthMarketRent)^7*IF(INT((DATE(2026+7,10,31)-F132)/365.25)=0,(12-DowntimeNew)/12,1),IF(I132="LeaseUp",H132*D132*(1+GrowthMarketRent)^7*IF(7=0,(12-DowntimeNew)/12,1),0)))))))),0)</f>
        <v/>
      </c>
      <c r="V132" s="14">
        <f>IFERROR(IF(I132="LeaseUp",H132*D132*(1+GrowthMarketRent)^8*IF(8=0,(12-DowntimeNew)/12,1),IF(F132="",0,IF(F132&gt;=DATE(2027+8,4,30),G132*D132*(1+EscalatorInLease)^(8+M132),IF(F132&lt;DATE(2026+8,5,1),IF(I132="Vacate",H132*D132*(1+GrowthMarketRent)^8*IF(INT((DATE(2026+8,10,31)-F132)/365.25)=0,(12-DowntimeNew)/12,1),IF(I132="Option",G132*D132*1.025*(1+EscalatorInLease)^8,IF(I132="Market",Retention*G132*D132*(1+EscalatorInLease)^(8+M132)+(1-Retention)*H132*D132*(1+GrowthMarketRent)^8*IF(INT((DATE(2026+8,10,31)-F132)/365.25)=0,(12-DowntimeNew)/12,1),IF(I132="LeaseUp",H132*D132*(1+GrowthMarketRent)^8*IF(8=0,(12-DowntimeNew)/12,1),0)))),((F132-DATE(2026+8,5,1))/365.25)*G132*D132*(1+EscalatorInLease)^(8+M132)+((DATE(2027+8,4,30)-F132)/365.25)*IF(I132="Vacate",H132*D132*(1+GrowthMarketRent)^8*IF(INT((DATE(2026+8,10,31)-F132)/365.25)=0,(12-DowntimeNew)/12,1),IF(I132="Option",G132*D132*1.025*(1+EscalatorInLease)^8,IF(I132="Market",Retention*G132*D132*(1+EscalatorInLease)^(8+M132)+(1-Retention)*H132*D132*(1+GrowthMarketRent)^8*IF(INT((DATE(2026+8,10,31)-F132)/365.25)=0,(12-DowntimeNew)/12,1),IF(I132="LeaseUp",H132*D132*(1+GrowthMarketRent)^8*IF(8=0,(12-DowntimeNew)/12,1),0)))))))),0)</f>
        <v/>
      </c>
      <c r="W132" s="14">
        <f>IFERROR(IF(I132="LeaseUp",H132*D132*(1+GrowthMarketRent)^9*IF(9=0,(12-DowntimeNew)/12,1),IF(F132="",0,IF(F132&gt;=DATE(2027+9,4,30),G132*D132*(1+EscalatorInLease)^(9+M132),IF(F132&lt;DATE(2026+9,5,1),IF(I132="Vacate",H132*D132*(1+GrowthMarketRent)^9*IF(INT((DATE(2026+9,10,31)-F132)/365.25)=0,(12-DowntimeNew)/12,1),IF(I132="Option",G132*D132*1.025*(1+EscalatorInLease)^9,IF(I132="Market",Retention*G132*D132*(1+EscalatorInLease)^(9+M132)+(1-Retention)*H132*D132*(1+GrowthMarketRent)^9*IF(INT((DATE(2026+9,10,31)-F132)/365.25)=0,(12-DowntimeNew)/12,1),IF(I132="LeaseUp",H132*D132*(1+GrowthMarketRent)^9*IF(9=0,(12-DowntimeNew)/12,1),0)))),((F132-DATE(2026+9,5,1))/365.25)*G132*D132*(1+EscalatorInLease)^(9+M132)+((DATE(2027+9,4,30)-F132)/365.25)*IF(I132="Vacate",H132*D132*(1+GrowthMarketRent)^9*IF(INT((DATE(2026+9,10,31)-F132)/365.25)=0,(12-DowntimeNew)/12,1),IF(I132="Option",G132*D132*1.025*(1+EscalatorInLease)^9,IF(I132="Market",Retention*G132*D132*(1+EscalatorInLease)^(9+M132)+(1-Retention)*H132*D132*(1+GrowthMarketRent)^9*IF(INT((DATE(2026+9,10,31)-F132)/365.25)=0,(12-DowntimeNew)/12,1),IF(I132="LeaseUp",H132*D132*(1+GrowthMarketRent)^9*IF(9=0,(12-DowntimeNew)/12,1),0)))))))),0)</f>
        <v/>
      </c>
      <c r="X132" s="14">
        <f>IFERROR(IF(I132="LeaseUp",H132*D132*(1+GrowthMarketRent)^10*IF(10=0,(12-DowntimeNew)/12,1),IF(F132="",0,IF(F132&gt;=DATE(2027+10,4,30),G132*D132*(1+EscalatorInLease)^(10+M132),IF(F132&lt;DATE(2026+10,5,1),IF(I132="Vacate",H132*D132*(1+GrowthMarketRent)^10*IF(INT((DATE(2026+10,10,31)-F132)/365.25)=0,(12-DowntimeNew)/12,1),IF(I132="Option",G132*D132*1.025*(1+EscalatorInLease)^10,IF(I132="Market",Retention*G132*D132*(1+EscalatorInLease)^(10+M132)+(1-Retention)*H132*D132*(1+GrowthMarketRent)^10*IF(INT((DATE(2026+10,10,31)-F132)/365.25)=0,(12-DowntimeNew)/12,1),IF(I132="LeaseUp",H132*D132*(1+GrowthMarketRent)^10*IF(10=0,(12-DowntimeNew)/12,1),0)))),((F132-DATE(2026+10,5,1))/365.25)*G132*D132*(1+EscalatorInLease)^(10+M132)+((DATE(2027+10,4,30)-F132)/365.25)*IF(I132="Vacate",H132*D132*(1+GrowthMarketRent)^10*IF(INT((DATE(2026+10,10,31)-F132)/365.25)=0,(12-DowntimeNew)/12,1),IF(I132="Option",G132*D132*1.025*(1+EscalatorInLease)^10,IF(I132="Market",Retention*G132*D132*(1+EscalatorInLease)^(10+M132)+(1-Retention)*H132*D132*(1+GrowthMarketRent)^10*IF(INT((DATE(2026+10,10,31)-F132)/365.25)=0,(12-DowntimeNew)/12,1),IF(I132="LeaseUp",H132*D132*(1+GrowthMarketRent)^10*IF(10=0,(12-DowntimeNew)/12,1),0)))))))),0)</f>
        <v/>
      </c>
      <c r="Y132" s="14">
        <f>IFERROR(IF(AND(I132="LeaseUp",0=0),(IF(I132="Vacate",TINew*D132,IF(I132="Market",Retention*TIRenewal*D132+(1-Retention)*TINew*D132,IF(I132="LeaseUp",TINew*D132,IF(I132="Option",TIRenewal*D132,0)))))+(IF(I132="Vacate",LCNew*H132*D132*(1+GrowthMarketRent)^0,IF(I132="Market",Retention*LCRenewal*H132*D132*(1+GrowthMarketRent)^0+(1-Retention)*LCNew*H132*D132*(1+GrowthMarketRent)^0,IF(I132="LeaseUp",LCNew*H132*D132*(1+GrowthMarketRent)^0,IF(I132="Option",LCRenewal*H132*D132*(1+GrowthMarketRent)^0,0))))),IF(F132="",0,IF(AND(F132&gt;=DATE(2026+0,5,1),F132&lt;=DATE(2027+0,4,30)),(IF(I132="Vacate",TINew*D132,IF(I132="Market",Retention*TIRenewal*D132+(1-Retention)*TINew*D132,IF(I132="LeaseUp",TINew*D132,IF(I132="Option",TIRenewal*D132,0)))))+(IF(I132="Vacate",LCNew*H132*D132*(1+GrowthMarketRent)^0,IF(I132="Market",Retention*LCRenewal*H132*D132*(1+GrowthMarketRent)^0+(1-Retention)*LCNew*H132*D132*(1+GrowthMarketRent)^0,IF(I132="LeaseUp",LCNew*H132*D132*(1+GrowthMarketRent)^0,IF(I132="Option",LCRenewal*H132*D132*(1+GrowthMarketRent)^0,0))))),0))),0)</f>
        <v/>
      </c>
      <c r="Z132" s="14">
        <f>IFERROR(IF(AND(I132="LeaseUp",1=0),(IF(I132="Vacate",TINew*D132,IF(I132="Market",Retention*TIRenewal*D132+(1-Retention)*TINew*D132,IF(I132="LeaseUp",TINew*D132,IF(I132="Option",TIRenewal*D132,0)))))+(IF(I132="Vacate",LCNew*H132*D132*(1+GrowthMarketRent)^1,IF(I132="Market",Retention*LCRenewal*H132*D132*(1+GrowthMarketRent)^1+(1-Retention)*LCNew*H132*D132*(1+GrowthMarketRent)^1,IF(I132="LeaseUp",LCNew*H132*D132*(1+GrowthMarketRent)^1,IF(I132="Option",LCRenewal*H132*D132*(1+GrowthMarketRent)^1,0))))),IF(F132="",0,IF(AND(F132&gt;=DATE(2026+1,5,1),F132&lt;=DATE(2027+1,4,30)),(IF(I132="Vacate",TINew*D132,IF(I132="Market",Retention*TIRenewal*D132+(1-Retention)*TINew*D132,IF(I132="LeaseUp",TINew*D132,IF(I132="Option",TIRenewal*D132,0)))))+(IF(I132="Vacate",LCNew*H132*D132*(1+GrowthMarketRent)^1,IF(I132="Market",Retention*LCRenewal*H132*D132*(1+GrowthMarketRent)^1+(1-Retention)*LCNew*H132*D132*(1+GrowthMarketRent)^1,IF(I132="LeaseUp",LCNew*H132*D132*(1+GrowthMarketRent)^1,IF(I132="Option",LCRenewal*H132*D132*(1+GrowthMarketRent)^1,0))))),0))),0)</f>
        <v/>
      </c>
      <c r="AA132" s="14">
        <f>IFERROR(IF(AND(I132="LeaseUp",2=0),(IF(I132="Vacate",TINew*D132,IF(I132="Market",Retention*TIRenewal*D132+(1-Retention)*TINew*D132,IF(I132="LeaseUp",TINew*D132,IF(I132="Option",TIRenewal*D132,0)))))+(IF(I132="Vacate",LCNew*H132*D132*(1+GrowthMarketRent)^2,IF(I132="Market",Retention*LCRenewal*H132*D132*(1+GrowthMarketRent)^2+(1-Retention)*LCNew*H132*D132*(1+GrowthMarketRent)^2,IF(I132="LeaseUp",LCNew*H132*D132*(1+GrowthMarketRent)^2,IF(I132="Option",LCRenewal*H132*D132*(1+GrowthMarketRent)^2,0))))),IF(F132="",0,IF(AND(F132&gt;=DATE(2026+2,5,1),F132&lt;=DATE(2027+2,4,30)),(IF(I132="Vacate",TINew*D132,IF(I132="Market",Retention*TIRenewal*D132+(1-Retention)*TINew*D132,IF(I132="LeaseUp",TINew*D132,IF(I132="Option",TIRenewal*D132,0)))))+(IF(I132="Vacate",LCNew*H132*D132*(1+GrowthMarketRent)^2,IF(I132="Market",Retention*LCRenewal*H132*D132*(1+GrowthMarketRent)^2+(1-Retention)*LCNew*H132*D132*(1+GrowthMarketRent)^2,IF(I132="LeaseUp",LCNew*H132*D132*(1+GrowthMarketRent)^2,IF(I132="Option",LCRenewal*H132*D132*(1+GrowthMarketRent)^2,0))))),0))),0)</f>
        <v/>
      </c>
      <c r="AB132" s="14">
        <f>IFERROR(IF(AND(I132="LeaseUp",3=0),(IF(I132="Vacate",TINew*D132,IF(I132="Market",Retention*TIRenewal*D132+(1-Retention)*TINew*D132,IF(I132="LeaseUp",TINew*D132,IF(I132="Option",TIRenewal*D132,0)))))+(IF(I132="Vacate",LCNew*H132*D132*(1+GrowthMarketRent)^3,IF(I132="Market",Retention*LCRenewal*H132*D132*(1+GrowthMarketRent)^3+(1-Retention)*LCNew*H132*D132*(1+GrowthMarketRent)^3,IF(I132="LeaseUp",LCNew*H132*D132*(1+GrowthMarketRent)^3,IF(I132="Option",LCRenewal*H132*D132*(1+GrowthMarketRent)^3,0))))),IF(F132="",0,IF(AND(F132&gt;=DATE(2026+3,5,1),F132&lt;=DATE(2027+3,4,30)),(IF(I132="Vacate",TINew*D132,IF(I132="Market",Retention*TIRenewal*D132+(1-Retention)*TINew*D132,IF(I132="LeaseUp",TINew*D132,IF(I132="Option",TIRenewal*D132,0)))))+(IF(I132="Vacate",LCNew*H132*D132*(1+GrowthMarketRent)^3,IF(I132="Market",Retention*LCRenewal*H132*D132*(1+GrowthMarketRent)^3+(1-Retention)*LCNew*H132*D132*(1+GrowthMarketRent)^3,IF(I132="LeaseUp",LCNew*H132*D132*(1+GrowthMarketRent)^3,IF(I132="Option",LCRenewal*H132*D132*(1+GrowthMarketRent)^3,0))))),0))),0)</f>
        <v/>
      </c>
      <c r="AC132" s="14">
        <f>IFERROR(IF(AND(I132="LeaseUp",4=0),(IF(I132="Vacate",TINew*D132,IF(I132="Market",Retention*TIRenewal*D132+(1-Retention)*TINew*D132,IF(I132="LeaseUp",TINew*D132,IF(I132="Option",TIRenewal*D132,0)))))+(IF(I132="Vacate",LCNew*H132*D132*(1+GrowthMarketRent)^4,IF(I132="Market",Retention*LCRenewal*H132*D132*(1+GrowthMarketRent)^4+(1-Retention)*LCNew*H132*D132*(1+GrowthMarketRent)^4,IF(I132="LeaseUp",LCNew*H132*D132*(1+GrowthMarketRent)^4,IF(I132="Option",LCRenewal*H132*D132*(1+GrowthMarketRent)^4,0))))),IF(F132="",0,IF(AND(F132&gt;=DATE(2026+4,5,1),F132&lt;=DATE(2027+4,4,30)),(IF(I132="Vacate",TINew*D132,IF(I132="Market",Retention*TIRenewal*D132+(1-Retention)*TINew*D132,IF(I132="LeaseUp",TINew*D132,IF(I132="Option",TIRenewal*D132,0)))))+(IF(I132="Vacate",LCNew*H132*D132*(1+GrowthMarketRent)^4,IF(I132="Market",Retention*LCRenewal*H132*D132*(1+GrowthMarketRent)^4+(1-Retention)*LCNew*H132*D132*(1+GrowthMarketRent)^4,IF(I132="LeaseUp",LCNew*H132*D132*(1+GrowthMarketRent)^4,IF(I132="Option",LCRenewal*H132*D132*(1+GrowthMarketRent)^4,0))))),0))),0)</f>
        <v/>
      </c>
      <c r="AD132" s="14">
        <f>IFERROR(IF(AND(I132="LeaseUp",5=0),(IF(I132="Vacate",TINew*D132,IF(I132="Market",Retention*TIRenewal*D132+(1-Retention)*TINew*D132,IF(I132="LeaseUp",TINew*D132,IF(I132="Option",TIRenewal*D132,0)))))+(IF(I132="Vacate",LCNew*H132*D132*(1+GrowthMarketRent)^5,IF(I132="Market",Retention*LCRenewal*H132*D132*(1+GrowthMarketRent)^5+(1-Retention)*LCNew*H132*D132*(1+GrowthMarketRent)^5,IF(I132="LeaseUp",LCNew*H132*D132*(1+GrowthMarketRent)^5,IF(I132="Option",LCRenewal*H132*D132*(1+GrowthMarketRent)^5,0))))),IF(F132="",0,IF(AND(F132&gt;=DATE(2026+5,5,1),F132&lt;=DATE(2027+5,4,30)),(IF(I132="Vacate",TINew*D132,IF(I132="Market",Retention*TIRenewal*D132+(1-Retention)*TINew*D132,IF(I132="LeaseUp",TINew*D132,IF(I132="Option",TIRenewal*D132,0)))))+(IF(I132="Vacate",LCNew*H132*D132*(1+GrowthMarketRent)^5,IF(I132="Market",Retention*LCRenewal*H132*D132*(1+GrowthMarketRent)^5+(1-Retention)*LCNew*H132*D132*(1+GrowthMarketRent)^5,IF(I132="LeaseUp",LCNew*H132*D132*(1+GrowthMarketRent)^5,IF(I132="Option",LCRenewal*H132*D132*(1+GrowthMarketRent)^5,0))))),0))),0)</f>
        <v/>
      </c>
      <c r="AE132" s="14">
        <f>IFERROR(IF(AND(I132="LeaseUp",6=0),(IF(I132="Vacate",TINew*D132,IF(I132="Market",Retention*TIRenewal*D132+(1-Retention)*TINew*D132,IF(I132="LeaseUp",TINew*D132,IF(I132="Option",TIRenewal*D132,0)))))+(IF(I132="Vacate",LCNew*H132*D132*(1+GrowthMarketRent)^6,IF(I132="Market",Retention*LCRenewal*H132*D132*(1+GrowthMarketRent)^6+(1-Retention)*LCNew*H132*D132*(1+GrowthMarketRent)^6,IF(I132="LeaseUp",LCNew*H132*D132*(1+GrowthMarketRent)^6,IF(I132="Option",LCRenewal*H132*D132*(1+GrowthMarketRent)^6,0))))),IF(F132="",0,IF(AND(F132&gt;=DATE(2026+6,5,1),F132&lt;=DATE(2027+6,4,30)),(IF(I132="Vacate",TINew*D132,IF(I132="Market",Retention*TIRenewal*D132+(1-Retention)*TINew*D132,IF(I132="LeaseUp",TINew*D132,IF(I132="Option",TIRenewal*D132,0)))))+(IF(I132="Vacate",LCNew*H132*D132*(1+GrowthMarketRent)^6,IF(I132="Market",Retention*LCRenewal*H132*D132*(1+GrowthMarketRent)^6+(1-Retention)*LCNew*H132*D132*(1+GrowthMarketRent)^6,IF(I132="LeaseUp",LCNew*H132*D132*(1+GrowthMarketRent)^6,IF(I132="Option",LCRenewal*H132*D132*(1+GrowthMarketRent)^6,0))))),0))),0)</f>
        <v/>
      </c>
      <c r="AF132" s="14">
        <f>IFERROR(IF(AND(I132="LeaseUp",7=0),(IF(I132="Vacate",TINew*D132,IF(I132="Market",Retention*TIRenewal*D132+(1-Retention)*TINew*D132,IF(I132="LeaseUp",TINew*D132,IF(I132="Option",TIRenewal*D132,0)))))+(IF(I132="Vacate",LCNew*H132*D132*(1+GrowthMarketRent)^7,IF(I132="Market",Retention*LCRenewal*H132*D132*(1+GrowthMarketRent)^7+(1-Retention)*LCNew*H132*D132*(1+GrowthMarketRent)^7,IF(I132="LeaseUp",LCNew*H132*D132*(1+GrowthMarketRent)^7,IF(I132="Option",LCRenewal*H132*D132*(1+GrowthMarketRent)^7,0))))),IF(F132="",0,IF(AND(F132&gt;=DATE(2026+7,5,1),F132&lt;=DATE(2027+7,4,30)),(IF(I132="Vacate",TINew*D132,IF(I132="Market",Retention*TIRenewal*D132+(1-Retention)*TINew*D132,IF(I132="LeaseUp",TINew*D132,IF(I132="Option",TIRenewal*D132,0)))))+(IF(I132="Vacate",LCNew*H132*D132*(1+GrowthMarketRent)^7,IF(I132="Market",Retention*LCRenewal*H132*D132*(1+GrowthMarketRent)^7+(1-Retention)*LCNew*H132*D132*(1+GrowthMarketRent)^7,IF(I132="LeaseUp",LCNew*H132*D132*(1+GrowthMarketRent)^7,IF(I132="Option",LCRenewal*H132*D132*(1+GrowthMarketRent)^7,0))))),0))),0)</f>
        <v/>
      </c>
      <c r="AG132" s="14">
        <f>IFERROR(IF(AND(I132="LeaseUp",8=0),(IF(I132="Vacate",TINew*D132,IF(I132="Market",Retention*TIRenewal*D132+(1-Retention)*TINew*D132,IF(I132="LeaseUp",TINew*D132,IF(I132="Option",TIRenewal*D132,0)))))+(IF(I132="Vacate",LCNew*H132*D132*(1+GrowthMarketRent)^8,IF(I132="Market",Retention*LCRenewal*H132*D132*(1+GrowthMarketRent)^8+(1-Retention)*LCNew*H132*D132*(1+GrowthMarketRent)^8,IF(I132="LeaseUp",LCNew*H132*D132*(1+GrowthMarketRent)^8,IF(I132="Option",LCRenewal*H132*D132*(1+GrowthMarketRent)^8,0))))),IF(F132="",0,IF(AND(F132&gt;=DATE(2026+8,5,1),F132&lt;=DATE(2027+8,4,30)),(IF(I132="Vacate",TINew*D132,IF(I132="Market",Retention*TIRenewal*D132+(1-Retention)*TINew*D132,IF(I132="LeaseUp",TINew*D132,IF(I132="Option",TIRenewal*D132,0)))))+(IF(I132="Vacate",LCNew*H132*D132*(1+GrowthMarketRent)^8,IF(I132="Market",Retention*LCRenewal*H132*D132*(1+GrowthMarketRent)^8+(1-Retention)*LCNew*H132*D132*(1+GrowthMarketRent)^8,IF(I132="LeaseUp",LCNew*H132*D132*(1+GrowthMarketRent)^8,IF(I132="Option",LCRenewal*H132*D132*(1+GrowthMarketRent)^8,0))))),0))),0)</f>
        <v/>
      </c>
      <c r="AH132" s="14">
        <f>IFERROR(IF(AND(I132="LeaseUp",9=0),(IF(I132="Vacate",TINew*D132,IF(I132="Market",Retention*TIRenewal*D132+(1-Retention)*TINew*D132,IF(I132="LeaseUp",TINew*D132,IF(I132="Option",TIRenewal*D132,0)))))+(IF(I132="Vacate",LCNew*H132*D132*(1+GrowthMarketRent)^9,IF(I132="Market",Retention*LCRenewal*H132*D132*(1+GrowthMarketRent)^9+(1-Retention)*LCNew*H132*D132*(1+GrowthMarketRent)^9,IF(I132="LeaseUp",LCNew*H132*D132*(1+GrowthMarketRent)^9,IF(I132="Option",LCRenewal*H132*D132*(1+GrowthMarketRent)^9,0))))),IF(F132="",0,IF(AND(F132&gt;=DATE(2026+9,5,1),F132&lt;=DATE(2027+9,4,30)),(IF(I132="Vacate",TINew*D132,IF(I132="Market",Retention*TIRenewal*D132+(1-Retention)*TINew*D132,IF(I132="LeaseUp",TINew*D132,IF(I132="Option",TIRenewal*D132,0)))))+(IF(I132="Vacate",LCNew*H132*D132*(1+GrowthMarketRent)^9,IF(I132="Market",Retention*LCRenewal*H132*D132*(1+GrowthMarketRent)^9+(1-Retention)*LCNew*H132*D132*(1+GrowthMarketRent)^9,IF(I132="LeaseUp",LCNew*H132*D132*(1+GrowthMarketRent)^9,IF(I132="Option",LCRenewal*H132*D132*(1+GrowthMarketRent)^9,0))))),0))),0)</f>
        <v/>
      </c>
      <c r="AI132" s="14">
        <f>IFERROR(IF(AND(I132="LeaseUp",10=0),(IF(I132="Vacate",TINew*D132,IF(I132="Market",Retention*TIRenewal*D132+(1-Retention)*TINew*D132,IF(I132="LeaseUp",TINew*D132,IF(I132="Option",TIRenewal*D132,0)))))+(IF(I132="Vacate",LCNew*H132*D132*(1+GrowthMarketRent)^10,IF(I132="Market",Retention*LCRenewal*H132*D132*(1+GrowthMarketRent)^10+(1-Retention)*LCNew*H132*D132*(1+GrowthMarketRent)^10,IF(I132="LeaseUp",LCNew*H132*D132*(1+GrowthMarketRent)^10,IF(I132="Option",LCRenewal*H132*D132*(1+GrowthMarketRent)^10,0))))),IF(F132="",0,IF(AND(F132&gt;=DATE(2026+10,5,1),F132&lt;=DATE(2027+10,4,30)),(IF(I132="Vacate",TINew*D132,IF(I132="Market",Retention*TIRenewal*D132+(1-Retention)*TINew*D132,IF(I132="LeaseUp",TINew*D132,IF(I132="Option",TIRenewal*D132,0)))))+(IF(I132="Vacate",LCNew*H132*D132*(1+GrowthMarketRent)^10,IF(I132="Market",Retention*LCRenewal*H132*D132*(1+GrowthMarketRent)^10+(1-Retention)*LCNew*H132*D132*(1+GrowthMarketRent)^10,IF(I132="LeaseUp",LCNew*H132*D132*(1+GrowthMarketRent)^10,IF(I132="Option",LCRenewal*H132*D132*(1+GrowthMarketRent)^10,0))))),0))),0)</f>
        <v/>
      </c>
    </row>
    <row r="133">
      <c r="A133" t="inlineStr">
        <is>
          <t>Roanoke</t>
        </is>
      </c>
      <c r="B133" t="inlineStr">
        <is>
          <t>128A</t>
        </is>
      </c>
      <c r="C133" t="inlineStr">
        <is>
          <t>SouthStar Sports Group LLC</t>
        </is>
      </c>
      <c r="D133" s="32" t="n">
        <v>2600</v>
      </c>
      <c r="E133" s="33" t="n">
        <v>45809</v>
      </c>
      <c r="F133" s="33" t="n">
        <v>47058</v>
      </c>
      <c r="G133" s="34" t="n">
        <v>16</v>
      </c>
      <c r="H133" s="16">
        <f>VLOOKUP(A133,MLA!$A$5:$L$11,3,FALSE)</f>
        <v/>
      </c>
      <c r="I133" s="11" t="inlineStr">
        <is>
          <t>Option</t>
        </is>
      </c>
      <c r="J133" t="inlineStr">
        <is>
          <t>Shop</t>
        </is>
      </c>
      <c r="K133" t="inlineStr">
        <is>
          <t>Occupied</t>
        </is>
      </c>
      <c r="L133" t="inlineStr">
        <is>
          <t>Shop; Guarantor: Liang Kien Yew; Two 3yr options @ FMV</t>
        </is>
      </c>
      <c r="M133" s="20">
        <f>IF(E133="",0,(AnalysisStart-E133)/365.25)</f>
        <v/>
      </c>
      <c r="N133" s="14">
        <f>IFERROR(IF(I133="LeaseUp",H133*D133*(1+GrowthMarketRent)^0*IF(0=0,(12-DowntimeNew)/12,1),IF(F133="",0,IF(F133&gt;=DATE(2027+0,4,30),G133*D133*(1+EscalatorInLease)^(0+M133),IF(F133&lt;DATE(2026+0,5,1),IF(I133="Vacate",H133*D133*(1+GrowthMarketRent)^0*IF(INT((DATE(2026+0,10,31)-F133)/365.25)=0,(12-DowntimeNew)/12,1),IF(I133="Option",G133*D133*1.025*(1+EscalatorInLease)^0,IF(I133="Market",Retention*G133*D133*(1+EscalatorInLease)^(0+M133)+(1-Retention)*H133*D133*(1+GrowthMarketRent)^0*IF(INT((DATE(2026+0,10,31)-F133)/365.25)=0,(12-DowntimeNew)/12,1),IF(I133="LeaseUp",H133*D133*(1+GrowthMarketRent)^0*IF(0=0,(12-DowntimeNew)/12,1),0)))),((F133-DATE(2026+0,5,1))/365.25)*G133*D133*(1+EscalatorInLease)^(0+M133)+((DATE(2027+0,4,30)-F133)/365.25)*IF(I133="Vacate",H133*D133*(1+GrowthMarketRent)^0*IF(INT((DATE(2026+0,10,31)-F133)/365.25)=0,(12-DowntimeNew)/12,1),IF(I133="Option",G133*D133*1.025*(1+EscalatorInLease)^0,IF(I133="Market",Retention*G133*D133*(1+EscalatorInLease)^(0+M133)+(1-Retention)*H133*D133*(1+GrowthMarketRent)^0*IF(INT((DATE(2026+0,10,31)-F133)/365.25)=0,(12-DowntimeNew)/12,1),IF(I133="LeaseUp",H133*D133*(1+GrowthMarketRent)^0*IF(0=0,(12-DowntimeNew)/12,1),0)))))))),0)</f>
        <v/>
      </c>
      <c r="O133" s="14">
        <f>IFERROR(IF(I133="LeaseUp",H133*D133*(1+GrowthMarketRent)^1*IF(1=0,(12-DowntimeNew)/12,1),IF(F133="",0,IF(F133&gt;=DATE(2027+1,4,30),G133*D133*(1+EscalatorInLease)^(1+M133),IF(F133&lt;DATE(2026+1,5,1),IF(I133="Vacate",H133*D133*(1+GrowthMarketRent)^1*IF(INT((DATE(2026+1,10,31)-F133)/365.25)=0,(12-DowntimeNew)/12,1),IF(I133="Option",G133*D133*1.025*(1+EscalatorInLease)^1,IF(I133="Market",Retention*G133*D133*(1+EscalatorInLease)^(1+M133)+(1-Retention)*H133*D133*(1+GrowthMarketRent)^1*IF(INT((DATE(2026+1,10,31)-F133)/365.25)=0,(12-DowntimeNew)/12,1),IF(I133="LeaseUp",H133*D133*(1+GrowthMarketRent)^1*IF(1=0,(12-DowntimeNew)/12,1),0)))),((F133-DATE(2026+1,5,1))/365.25)*G133*D133*(1+EscalatorInLease)^(1+M133)+((DATE(2027+1,4,30)-F133)/365.25)*IF(I133="Vacate",H133*D133*(1+GrowthMarketRent)^1*IF(INT((DATE(2026+1,10,31)-F133)/365.25)=0,(12-DowntimeNew)/12,1),IF(I133="Option",G133*D133*1.025*(1+EscalatorInLease)^1,IF(I133="Market",Retention*G133*D133*(1+EscalatorInLease)^(1+M133)+(1-Retention)*H133*D133*(1+GrowthMarketRent)^1*IF(INT((DATE(2026+1,10,31)-F133)/365.25)=0,(12-DowntimeNew)/12,1),IF(I133="LeaseUp",H133*D133*(1+GrowthMarketRent)^1*IF(1=0,(12-DowntimeNew)/12,1),0)))))))),0)</f>
        <v/>
      </c>
      <c r="P133" s="14">
        <f>IFERROR(IF(I133="LeaseUp",H133*D133*(1+GrowthMarketRent)^2*IF(2=0,(12-DowntimeNew)/12,1),IF(F133="",0,IF(F133&gt;=DATE(2027+2,4,30),G133*D133*(1+EscalatorInLease)^(2+M133),IF(F133&lt;DATE(2026+2,5,1),IF(I133="Vacate",H133*D133*(1+GrowthMarketRent)^2*IF(INT((DATE(2026+2,10,31)-F133)/365.25)=0,(12-DowntimeNew)/12,1),IF(I133="Option",G133*D133*1.025*(1+EscalatorInLease)^2,IF(I133="Market",Retention*G133*D133*(1+EscalatorInLease)^(2+M133)+(1-Retention)*H133*D133*(1+GrowthMarketRent)^2*IF(INT((DATE(2026+2,10,31)-F133)/365.25)=0,(12-DowntimeNew)/12,1),IF(I133="LeaseUp",H133*D133*(1+GrowthMarketRent)^2*IF(2=0,(12-DowntimeNew)/12,1),0)))),((F133-DATE(2026+2,5,1))/365.25)*G133*D133*(1+EscalatorInLease)^(2+M133)+((DATE(2027+2,4,30)-F133)/365.25)*IF(I133="Vacate",H133*D133*(1+GrowthMarketRent)^2*IF(INT((DATE(2026+2,10,31)-F133)/365.25)=0,(12-DowntimeNew)/12,1),IF(I133="Option",G133*D133*1.025*(1+EscalatorInLease)^2,IF(I133="Market",Retention*G133*D133*(1+EscalatorInLease)^(2+M133)+(1-Retention)*H133*D133*(1+GrowthMarketRent)^2*IF(INT((DATE(2026+2,10,31)-F133)/365.25)=0,(12-DowntimeNew)/12,1),IF(I133="LeaseUp",H133*D133*(1+GrowthMarketRent)^2*IF(2=0,(12-DowntimeNew)/12,1),0)))))))),0)</f>
        <v/>
      </c>
      <c r="Q133" s="14">
        <f>IFERROR(IF(I133="LeaseUp",H133*D133*(1+GrowthMarketRent)^3*IF(3=0,(12-DowntimeNew)/12,1),IF(F133="",0,IF(F133&gt;=DATE(2027+3,4,30),G133*D133*(1+EscalatorInLease)^(3+M133),IF(F133&lt;DATE(2026+3,5,1),IF(I133="Vacate",H133*D133*(1+GrowthMarketRent)^3*IF(INT((DATE(2026+3,10,31)-F133)/365.25)=0,(12-DowntimeNew)/12,1),IF(I133="Option",G133*D133*1.025*(1+EscalatorInLease)^3,IF(I133="Market",Retention*G133*D133*(1+EscalatorInLease)^(3+M133)+(1-Retention)*H133*D133*(1+GrowthMarketRent)^3*IF(INT((DATE(2026+3,10,31)-F133)/365.25)=0,(12-DowntimeNew)/12,1),IF(I133="LeaseUp",H133*D133*(1+GrowthMarketRent)^3*IF(3=0,(12-DowntimeNew)/12,1),0)))),((F133-DATE(2026+3,5,1))/365.25)*G133*D133*(1+EscalatorInLease)^(3+M133)+((DATE(2027+3,4,30)-F133)/365.25)*IF(I133="Vacate",H133*D133*(1+GrowthMarketRent)^3*IF(INT((DATE(2026+3,10,31)-F133)/365.25)=0,(12-DowntimeNew)/12,1),IF(I133="Option",G133*D133*1.025*(1+EscalatorInLease)^3,IF(I133="Market",Retention*G133*D133*(1+EscalatorInLease)^(3+M133)+(1-Retention)*H133*D133*(1+GrowthMarketRent)^3*IF(INT((DATE(2026+3,10,31)-F133)/365.25)=0,(12-DowntimeNew)/12,1),IF(I133="LeaseUp",H133*D133*(1+GrowthMarketRent)^3*IF(3=0,(12-DowntimeNew)/12,1),0)))))))),0)</f>
        <v/>
      </c>
      <c r="R133" s="14">
        <f>IFERROR(IF(I133="LeaseUp",H133*D133*(1+GrowthMarketRent)^4*IF(4=0,(12-DowntimeNew)/12,1),IF(F133="",0,IF(F133&gt;=DATE(2027+4,4,30),G133*D133*(1+EscalatorInLease)^(4+M133),IF(F133&lt;DATE(2026+4,5,1),IF(I133="Vacate",H133*D133*(1+GrowthMarketRent)^4*IF(INT((DATE(2026+4,10,31)-F133)/365.25)=0,(12-DowntimeNew)/12,1),IF(I133="Option",G133*D133*1.025*(1+EscalatorInLease)^4,IF(I133="Market",Retention*G133*D133*(1+EscalatorInLease)^(4+M133)+(1-Retention)*H133*D133*(1+GrowthMarketRent)^4*IF(INT((DATE(2026+4,10,31)-F133)/365.25)=0,(12-DowntimeNew)/12,1),IF(I133="LeaseUp",H133*D133*(1+GrowthMarketRent)^4*IF(4=0,(12-DowntimeNew)/12,1),0)))),((F133-DATE(2026+4,5,1))/365.25)*G133*D133*(1+EscalatorInLease)^(4+M133)+((DATE(2027+4,4,30)-F133)/365.25)*IF(I133="Vacate",H133*D133*(1+GrowthMarketRent)^4*IF(INT((DATE(2026+4,10,31)-F133)/365.25)=0,(12-DowntimeNew)/12,1),IF(I133="Option",G133*D133*1.025*(1+EscalatorInLease)^4,IF(I133="Market",Retention*G133*D133*(1+EscalatorInLease)^(4+M133)+(1-Retention)*H133*D133*(1+GrowthMarketRent)^4*IF(INT((DATE(2026+4,10,31)-F133)/365.25)=0,(12-DowntimeNew)/12,1),IF(I133="LeaseUp",H133*D133*(1+GrowthMarketRent)^4*IF(4=0,(12-DowntimeNew)/12,1),0)))))))),0)</f>
        <v/>
      </c>
      <c r="S133" s="14">
        <f>IFERROR(IF(I133="LeaseUp",H133*D133*(1+GrowthMarketRent)^5*IF(5=0,(12-DowntimeNew)/12,1),IF(F133="",0,IF(F133&gt;=DATE(2027+5,4,30),G133*D133*(1+EscalatorInLease)^(5+M133),IF(F133&lt;DATE(2026+5,5,1),IF(I133="Vacate",H133*D133*(1+GrowthMarketRent)^5*IF(INT((DATE(2026+5,10,31)-F133)/365.25)=0,(12-DowntimeNew)/12,1),IF(I133="Option",G133*D133*1.025*(1+EscalatorInLease)^5,IF(I133="Market",Retention*G133*D133*(1+EscalatorInLease)^(5+M133)+(1-Retention)*H133*D133*(1+GrowthMarketRent)^5*IF(INT((DATE(2026+5,10,31)-F133)/365.25)=0,(12-DowntimeNew)/12,1),IF(I133="LeaseUp",H133*D133*(1+GrowthMarketRent)^5*IF(5=0,(12-DowntimeNew)/12,1),0)))),((F133-DATE(2026+5,5,1))/365.25)*G133*D133*(1+EscalatorInLease)^(5+M133)+((DATE(2027+5,4,30)-F133)/365.25)*IF(I133="Vacate",H133*D133*(1+GrowthMarketRent)^5*IF(INT((DATE(2026+5,10,31)-F133)/365.25)=0,(12-DowntimeNew)/12,1),IF(I133="Option",G133*D133*1.025*(1+EscalatorInLease)^5,IF(I133="Market",Retention*G133*D133*(1+EscalatorInLease)^(5+M133)+(1-Retention)*H133*D133*(1+GrowthMarketRent)^5*IF(INT((DATE(2026+5,10,31)-F133)/365.25)=0,(12-DowntimeNew)/12,1),IF(I133="LeaseUp",H133*D133*(1+GrowthMarketRent)^5*IF(5=0,(12-DowntimeNew)/12,1),0)))))))),0)</f>
        <v/>
      </c>
      <c r="T133" s="14">
        <f>IFERROR(IF(I133="LeaseUp",H133*D133*(1+GrowthMarketRent)^6*IF(6=0,(12-DowntimeNew)/12,1),IF(F133="",0,IF(F133&gt;=DATE(2027+6,4,30),G133*D133*(1+EscalatorInLease)^(6+M133),IF(F133&lt;DATE(2026+6,5,1),IF(I133="Vacate",H133*D133*(1+GrowthMarketRent)^6*IF(INT((DATE(2026+6,10,31)-F133)/365.25)=0,(12-DowntimeNew)/12,1),IF(I133="Option",G133*D133*1.025*(1+EscalatorInLease)^6,IF(I133="Market",Retention*G133*D133*(1+EscalatorInLease)^(6+M133)+(1-Retention)*H133*D133*(1+GrowthMarketRent)^6*IF(INT((DATE(2026+6,10,31)-F133)/365.25)=0,(12-DowntimeNew)/12,1),IF(I133="LeaseUp",H133*D133*(1+GrowthMarketRent)^6*IF(6=0,(12-DowntimeNew)/12,1),0)))),((F133-DATE(2026+6,5,1))/365.25)*G133*D133*(1+EscalatorInLease)^(6+M133)+((DATE(2027+6,4,30)-F133)/365.25)*IF(I133="Vacate",H133*D133*(1+GrowthMarketRent)^6*IF(INT((DATE(2026+6,10,31)-F133)/365.25)=0,(12-DowntimeNew)/12,1),IF(I133="Option",G133*D133*1.025*(1+EscalatorInLease)^6,IF(I133="Market",Retention*G133*D133*(1+EscalatorInLease)^(6+M133)+(1-Retention)*H133*D133*(1+GrowthMarketRent)^6*IF(INT((DATE(2026+6,10,31)-F133)/365.25)=0,(12-DowntimeNew)/12,1),IF(I133="LeaseUp",H133*D133*(1+GrowthMarketRent)^6*IF(6=0,(12-DowntimeNew)/12,1),0)))))))),0)</f>
        <v/>
      </c>
      <c r="U133" s="14">
        <f>IFERROR(IF(I133="LeaseUp",H133*D133*(1+GrowthMarketRent)^7*IF(7=0,(12-DowntimeNew)/12,1),IF(F133="",0,IF(F133&gt;=DATE(2027+7,4,30),G133*D133*(1+EscalatorInLease)^(7+M133),IF(F133&lt;DATE(2026+7,5,1),IF(I133="Vacate",H133*D133*(1+GrowthMarketRent)^7*IF(INT((DATE(2026+7,10,31)-F133)/365.25)=0,(12-DowntimeNew)/12,1),IF(I133="Option",G133*D133*1.025*(1+EscalatorInLease)^7,IF(I133="Market",Retention*G133*D133*(1+EscalatorInLease)^(7+M133)+(1-Retention)*H133*D133*(1+GrowthMarketRent)^7*IF(INT((DATE(2026+7,10,31)-F133)/365.25)=0,(12-DowntimeNew)/12,1),IF(I133="LeaseUp",H133*D133*(1+GrowthMarketRent)^7*IF(7=0,(12-DowntimeNew)/12,1),0)))),((F133-DATE(2026+7,5,1))/365.25)*G133*D133*(1+EscalatorInLease)^(7+M133)+((DATE(2027+7,4,30)-F133)/365.25)*IF(I133="Vacate",H133*D133*(1+GrowthMarketRent)^7*IF(INT((DATE(2026+7,10,31)-F133)/365.25)=0,(12-DowntimeNew)/12,1),IF(I133="Option",G133*D133*1.025*(1+EscalatorInLease)^7,IF(I133="Market",Retention*G133*D133*(1+EscalatorInLease)^(7+M133)+(1-Retention)*H133*D133*(1+GrowthMarketRent)^7*IF(INT((DATE(2026+7,10,31)-F133)/365.25)=0,(12-DowntimeNew)/12,1),IF(I133="LeaseUp",H133*D133*(1+GrowthMarketRent)^7*IF(7=0,(12-DowntimeNew)/12,1),0)))))))),0)</f>
        <v/>
      </c>
      <c r="V133" s="14">
        <f>IFERROR(IF(I133="LeaseUp",H133*D133*(1+GrowthMarketRent)^8*IF(8=0,(12-DowntimeNew)/12,1),IF(F133="",0,IF(F133&gt;=DATE(2027+8,4,30),G133*D133*(1+EscalatorInLease)^(8+M133),IF(F133&lt;DATE(2026+8,5,1),IF(I133="Vacate",H133*D133*(1+GrowthMarketRent)^8*IF(INT((DATE(2026+8,10,31)-F133)/365.25)=0,(12-DowntimeNew)/12,1),IF(I133="Option",G133*D133*1.025*(1+EscalatorInLease)^8,IF(I133="Market",Retention*G133*D133*(1+EscalatorInLease)^(8+M133)+(1-Retention)*H133*D133*(1+GrowthMarketRent)^8*IF(INT((DATE(2026+8,10,31)-F133)/365.25)=0,(12-DowntimeNew)/12,1),IF(I133="LeaseUp",H133*D133*(1+GrowthMarketRent)^8*IF(8=0,(12-DowntimeNew)/12,1),0)))),((F133-DATE(2026+8,5,1))/365.25)*G133*D133*(1+EscalatorInLease)^(8+M133)+((DATE(2027+8,4,30)-F133)/365.25)*IF(I133="Vacate",H133*D133*(1+GrowthMarketRent)^8*IF(INT((DATE(2026+8,10,31)-F133)/365.25)=0,(12-DowntimeNew)/12,1),IF(I133="Option",G133*D133*1.025*(1+EscalatorInLease)^8,IF(I133="Market",Retention*G133*D133*(1+EscalatorInLease)^(8+M133)+(1-Retention)*H133*D133*(1+GrowthMarketRent)^8*IF(INT((DATE(2026+8,10,31)-F133)/365.25)=0,(12-DowntimeNew)/12,1),IF(I133="LeaseUp",H133*D133*(1+GrowthMarketRent)^8*IF(8=0,(12-DowntimeNew)/12,1),0)))))))),0)</f>
        <v/>
      </c>
      <c r="W133" s="14">
        <f>IFERROR(IF(I133="LeaseUp",H133*D133*(1+GrowthMarketRent)^9*IF(9=0,(12-DowntimeNew)/12,1),IF(F133="",0,IF(F133&gt;=DATE(2027+9,4,30),G133*D133*(1+EscalatorInLease)^(9+M133),IF(F133&lt;DATE(2026+9,5,1),IF(I133="Vacate",H133*D133*(1+GrowthMarketRent)^9*IF(INT((DATE(2026+9,10,31)-F133)/365.25)=0,(12-DowntimeNew)/12,1),IF(I133="Option",G133*D133*1.025*(1+EscalatorInLease)^9,IF(I133="Market",Retention*G133*D133*(1+EscalatorInLease)^(9+M133)+(1-Retention)*H133*D133*(1+GrowthMarketRent)^9*IF(INT((DATE(2026+9,10,31)-F133)/365.25)=0,(12-DowntimeNew)/12,1),IF(I133="LeaseUp",H133*D133*(1+GrowthMarketRent)^9*IF(9=0,(12-DowntimeNew)/12,1),0)))),((F133-DATE(2026+9,5,1))/365.25)*G133*D133*(1+EscalatorInLease)^(9+M133)+((DATE(2027+9,4,30)-F133)/365.25)*IF(I133="Vacate",H133*D133*(1+GrowthMarketRent)^9*IF(INT((DATE(2026+9,10,31)-F133)/365.25)=0,(12-DowntimeNew)/12,1),IF(I133="Option",G133*D133*1.025*(1+EscalatorInLease)^9,IF(I133="Market",Retention*G133*D133*(1+EscalatorInLease)^(9+M133)+(1-Retention)*H133*D133*(1+GrowthMarketRent)^9*IF(INT((DATE(2026+9,10,31)-F133)/365.25)=0,(12-DowntimeNew)/12,1),IF(I133="LeaseUp",H133*D133*(1+GrowthMarketRent)^9*IF(9=0,(12-DowntimeNew)/12,1),0)))))))),0)</f>
        <v/>
      </c>
      <c r="X133" s="14">
        <f>IFERROR(IF(I133="LeaseUp",H133*D133*(1+GrowthMarketRent)^10*IF(10=0,(12-DowntimeNew)/12,1),IF(F133="",0,IF(F133&gt;=DATE(2027+10,4,30),G133*D133*(1+EscalatorInLease)^(10+M133),IF(F133&lt;DATE(2026+10,5,1),IF(I133="Vacate",H133*D133*(1+GrowthMarketRent)^10*IF(INT((DATE(2026+10,10,31)-F133)/365.25)=0,(12-DowntimeNew)/12,1),IF(I133="Option",G133*D133*1.025*(1+EscalatorInLease)^10,IF(I133="Market",Retention*G133*D133*(1+EscalatorInLease)^(10+M133)+(1-Retention)*H133*D133*(1+GrowthMarketRent)^10*IF(INT((DATE(2026+10,10,31)-F133)/365.25)=0,(12-DowntimeNew)/12,1),IF(I133="LeaseUp",H133*D133*(1+GrowthMarketRent)^10*IF(10=0,(12-DowntimeNew)/12,1),0)))),((F133-DATE(2026+10,5,1))/365.25)*G133*D133*(1+EscalatorInLease)^(10+M133)+((DATE(2027+10,4,30)-F133)/365.25)*IF(I133="Vacate",H133*D133*(1+GrowthMarketRent)^10*IF(INT((DATE(2026+10,10,31)-F133)/365.25)=0,(12-DowntimeNew)/12,1),IF(I133="Option",G133*D133*1.025*(1+EscalatorInLease)^10,IF(I133="Market",Retention*G133*D133*(1+EscalatorInLease)^(10+M133)+(1-Retention)*H133*D133*(1+GrowthMarketRent)^10*IF(INT((DATE(2026+10,10,31)-F133)/365.25)=0,(12-DowntimeNew)/12,1),IF(I133="LeaseUp",H133*D133*(1+GrowthMarketRent)^10*IF(10=0,(12-DowntimeNew)/12,1),0)))))))),0)</f>
        <v/>
      </c>
      <c r="Y133" s="14">
        <f>IFERROR(IF(AND(I133="LeaseUp",0=0),(IF(I133="Vacate",TINew*D133,IF(I133="Market",Retention*TIRenewal*D133+(1-Retention)*TINew*D133,IF(I133="LeaseUp",TINew*D133,IF(I133="Option",TIRenewal*D133,0)))))+(IF(I133="Vacate",LCNew*H133*D133*(1+GrowthMarketRent)^0,IF(I133="Market",Retention*LCRenewal*H133*D133*(1+GrowthMarketRent)^0+(1-Retention)*LCNew*H133*D133*(1+GrowthMarketRent)^0,IF(I133="LeaseUp",LCNew*H133*D133*(1+GrowthMarketRent)^0,IF(I133="Option",LCRenewal*H133*D133*(1+GrowthMarketRent)^0,0))))),IF(F133="",0,IF(AND(F133&gt;=DATE(2026+0,5,1),F133&lt;=DATE(2027+0,4,30)),(IF(I133="Vacate",TINew*D133,IF(I133="Market",Retention*TIRenewal*D133+(1-Retention)*TINew*D133,IF(I133="LeaseUp",TINew*D133,IF(I133="Option",TIRenewal*D133,0)))))+(IF(I133="Vacate",LCNew*H133*D133*(1+GrowthMarketRent)^0,IF(I133="Market",Retention*LCRenewal*H133*D133*(1+GrowthMarketRent)^0+(1-Retention)*LCNew*H133*D133*(1+GrowthMarketRent)^0,IF(I133="LeaseUp",LCNew*H133*D133*(1+GrowthMarketRent)^0,IF(I133="Option",LCRenewal*H133*D133*(1+GrowthMarketRent)^0,0))))),0))),0)</f>
        <v/>
      </c>
      <c r="Z133" s="14">
        <f>IFERROR(IF(AND(I133="LeaseUp",1=0),(IF(I133="Vacate",TINew*D133,IF(I133="Market",Retention*TIRenewal*D133+(1-Retention)*TINew*D133,IF(I133="LeaseUp",TINew*D133,IF(I133="Option",TIRenewal*D133,0)))))+(IF(I133="Vacate",LCNew*H133*D133*(1+GrowthMarketRent)^1,IF(I133="Market",Retention*LCRenewal*H133*D133*(1+GrowthMarketRent)^1+(1-Retention)*LCNew*H133*D133*(1+GrowthMarketRent)^1,IF(I133="LeaseUp",LCNew*H133*D133*(1+GrowthMarketRent)^1,IF(I133="Option",LCRenewal*H133*D133*(1+GrowthMarketRent)^1,0))))),IF(F133="",0,IF(AND(F133&gt;=DATE(2026+1,5,1),F133&lt;=DATE(2027+1,4,30)),(IF(I133="Vacate",TINew*D133,IF(I133="Market",Retention*TIRenewal*D133+(1-Retention)*TINew*D133,IF(I133="LeaseUp",TINew*D133,IF(I133="Option",TIRenewal*D133,0)))))+(IF(I133="Vacate",LCNew*H133*D133*(1+GrowthMarketRent)^1,IF(I133="Market",Retention*LCRenewal*H133*D133*(1+GrowthMarketRent)^1+(1-Retention)*LCNew*H133*D133*(1+GrowthMarketRent)^1,IF(I133="LeaseUp",LCNew*H133*D133*(1+GrowthMarketRent)^1,IF(I133="Option",LCRenewal*H133*D133*(1+GrowthMarketRent)^1,0))))),0))),0)</f>
        <v/>
      </c>
      <c r="AA133" s="14">
        <f>IFERROR(IF(AND(I133="LeaseUp",2=0),(IF(I133="Vacate",TINew*D133,IF(I133="Market",Retention*TIRenewal*D133+(1-Retention)*TINew*D133,IF(I133="LeaseUp",TINew*D133,IF(I133="Option",TIRenewal*D133,0)))))+(IF(I133="Vacate",LCNew*H133*D133*(1+GrowthMarketRent)^2,IF(I133="Market",Retention*LCRenewal*H133*D133*(1+GrowthMarketRent)^2+(1-Retention)*LCNew*H133*D133*(1+GrowthMarketRent)^2,IF(I133="LeaseUp",LCNew*H133*D133*(1+GrowthMarketRent)^2,IF(I133="Option",LCRenewal*H133*D133*(1+GrowthMarketRent)^2,0))))),IF(F133="",0,IF(AND(F133&gt;=DATE(2026+2,5,1),F133&lt;=DATE(2027+2,4,30)),(IF(I133="Vacate",TINew*D133,IF(I133="Market",Retention*TIRenewal*D133+(1-Retention)*TINew*D133,IF(I133="LeaseUp",TINew*D133,IF(I133="Option",TIRenewal*D133,0)))))+(IF(I133="Vacate",LCNew*H133*D133*(1+GrowthMarketRent)^2,IF(I133="Market",Retention*LCRenewal*H133*D133*(1+GrowthMarketRent)^2+(1-Retention)*LCNew*H133*D133*(1+GrowthMarketRent)^2,IF(I133="LeaseUp",LCNew*H133*D133*(1+GrowthMarketRent)^2,IF(I133="Option",LCRenewal*H133*D133*(1+GrowthMarketRent)^2,0))))),0))),0)</f>
        <v/>
      </c>
      <c r="AB133" s="14">
        <f>IFERROR(IF(AND(I133="LeaseUp",3=0),(IF(I133="Vacate",TINew*D133,IF(I133="Market",Retention*TIRenewal*D133+(1-Retention)*TINew*D133,IF(I133="LeaseUp",TINew*D133,IF(I133="Option",TIRenewal*D133,0)))))+(IF(I133="Vacate",LCNew*H133*D133*(1+GrowthMarketRent)^3,IF(I133="Market",Retention*LCRenewal*H133*D133*(1+GrowthMarketRent)^3+(1-Retention)*LCNew*H133*D133*(1+GrowthMarketRent)^3,IF(I133="LeaseUp",LCNew*H133*D133*(1+GrowthMarketRent)^3,IF(I133="Option",LCRenewal*H133*D133*(1+GrowthMarketRent)^3,0))))),IF(F133="",0,IF(AND(F133&gt;=DATE(2026+3,5,1),F133&lt;=DATE(2027+3,4,30)),(IF(I133="Vacate",TINew*D133,IF(I133="Market",Retention*TIRenewal*D133+(1-Retention)*TINew*D133,IF(I133="LeaseUp",TINew*D133,IF(I133="Option",TIRenewal*D133,0)))))+(IF(I133="Vacate",LCNew*H133*D133*(1+GrowthMarketRent)^3,IF(I133="Market",Retention*LCRenewal*H133*D133*(1+GrowthMarketRent)^3+(1-Retention)*LCNew*H133*D133*(1+GrowthMarketRent)^3,IF(I133="LeaseUp",LCNew*H133*D133*(1+GrowthMarketRent)^3,IF(I133="Option",LCRenewal*H133*D133*(1+GrowthMarketRent)^3,0))))),0))),0)</f>
        <v/>
      </c>
      <c r="AC133" s="14">
        <f>IFERROR(IF(AND(I133="LeaseUp",4=0),(IF(I133="Vacate",TINew*D133,IF(I133="Market",Retention*TIRenewal*D133+(1-Retention)*TINew*D133,IF(I133="LeaseUp",TINew*D133,IF(I133="Option",TIRenewal*D133,0)))))+(IF(I133="Vacate",LCNew*H133*D133*(1+GrowthMarketRent)^4,IF(I133="Market",Retention*LCRenewal*H133*D133*(1+GrowthMarketRent)^4+(1-Retention)*LCNew*H133*D133*(1+GrowthMarketRent)^4,IF(I133="LeaseUp",LCNew*H133*D133*(1+GrowthMarketRent)^4,IF(I133="Option",LCRenewal*H133*D133*(1+GrowthMarketRent)^4,0))))),IF(F133="",0,IF(AND(F133&gt;=DATE(2026+4,5,1),F133&lt;=DATE(2027+4,4,30)),(IF(I133="Vacate",TINew*D133,IF(I133="Market",Retention*TIRenewal*D133+(1-Retention)*TINew*D133,IF(I133="LeaseUp",TINew*D133,IF(I133="Option",TIRenewal*D133,0)))))+(IF(I133="Vacate",LCNew*H133*D133*(1+GrowthMarketRent)^4,IF(I133="Market",Retention*LCRenewal*H133*D133*(1+GrowthMarketRent)^4+(1-Retention)*LCNew*H133*D133*(1+GrowthMarketRent)^4,IF(I133="LeaseUp",LCNew*H133*D133*(1+GrowthMarketRent)^4,IF(I133="Option",LCRenewal*H133*D133*(1+GrowthMarketRent)^4,0))))),0))),0)</f>
        <v/>
      </c>
      <c r="AD133" s="14">
        <f>IFERROR(IF(AND(I133="LeaseUp",5=0),(IF(I133="Vacate",TINew*D133,IF(I133="Market",Retention*TIRenewal*D133+(1-Retention)*TINew*D133,IF(I133="LeaseUp",TINew*D133,IF(I133="Option",TIRenewal*D133,0)))))+(IF(I133="Vacate",LCNew*H133*D133*(1+GrowthMarketRent)^5,IF(I133="Market",Retention*LCRenewal*H133*D133*(1+GrowthMarketRent)^5+(1-Retention)*LCNew*H133*D133*(1+GrowthMarketRent)^5,IF(I133="LeaseUp",LCNew*H133*D133*(1+GrowthMarketRent)^5,IF(I133="Option",LCRenewal*H133*D133*(1+GrowthMarketRent)^5,0))))),IF(F133="",0,IF(AND(F133&gt;=DATE(2026+5,5,1),F133&lt;=DATE(2027+5,4,30)),(IF(I133="Vacate",TINew*D133,IF(I133="Market",Retention*TIRenewal*D133+(1-Retention)*TINew*D133,IF(I133="LeaseUp",TINew*D133,IF(I133="Option",TIRenewal*D133,0)))))+(IF(I133="Vacate",LCNew*H133*D133*(1+GrowthMarketRent)^5,IF(I133="Market",Retention*LCRenewal*H133*D133*(1+GrowthMarketRent)^5+(1-Retention)*LCNew*H133*D133*(1+GrowthMarketRent)^5,IF(I133="LeaseUp",LCNew*H133*D133*(1+GrowthMarketRent)^5,IF(I133="Option",LCRenewal*H133*D133*(1+GrowthMarketRent)^5,0))))),0))),0)</f>
        <v/>
      </c>
      <c r="AE133" s="14">
        <f>IFERROR(IF(AND(I133="LeaseUp",6=0),(IF(I133="Vacate",TINew*D133,IF(I133="Market",Retention*TIRenewal*D133+(1-Retention)*TINew*D133,IF(I133="LeaseUp",TINew*D133,IF(I133="Option",TIRenewal*D133,0)))))+(IF(I133="Vacate",LCNew*H133*D133*(1+GrowthMarketRent)^6,IF(I133="Market",Retention*LCRenewal*H133*D133*(1+GrowthMarketRent)^6+(1-Retention)*LCNew*H133*D133*(1+GrowthMarketRent)^6,IF(I133="LeaseUp",LCNew*H133*D133*(1+GrowthMarketRent)^6,IF(I133="Option",LCRenewal*H133*D133*(1+GrowthMarketRent)^6,0))))),IF(F133="",0,IF(AND(F133&gt;=DATE(2026+6,5,1),F133&lt;=DATE(2027+6,4,30)),(IF(I133="Vacate",TINew*D133,IF(I133="Market",Retention*TIRenewal*D133+(1-Retention)*TINew*D133,IF(I133="LeaseUp",TINew*D133,IF(I133="Option",TIRenewal*D133,0)))))+(IF(I133="Vacate",LCNew*H133*D133*(1+GrowthMarketRent)^6,IF(I133="Market",Retention*LCRenewal*H133*D133*(1+GrowthMarketRent)^6+(1-Retention)*LCNew*H133*D133*(1+GrowthMarketRent)^6,IF(I133="LeaseUp",LCNew*H133*D133*(1+GrowthMarketRent)^6,IF(I133="Option",LCRenewal*H133*D133*(1+GrowthMarketRent)^6,0))))),0))),0)</f>
        <v/>
      </c>
      <c r="AF133" s="14">
        <f>IFERROR(IF(AND(I133="LeaseUp",7=0),(IF(I133="Vacate",TINew*D133,IF(I133="Market",Retention*TIRenewal*D133+(1-Retention)*TINew*D133,IF(I133="LeaseUp",TINew*D133,IF(I133="Option",TIRenewal*D133,0)))))+(IF(I133="Vacate",LCNew*H133*D133*(1+GrowthMarketRent)^7,IF(I133="Market",Retention*LCRenewal*H133*D133*(1+GrowthMarketRent)^7+(1-Retention)*LCNew*H133*D133*(1+GrowthMarketRent)^7,IF(I133="LeaseUp",LCNew*H133*D133*(1+GrowthMarketRent)^7,IF(I133="Option",LCRenewal*H133*D133*(1+GrowthMarketRent)^7,0))))),IF(F133="",0,IF(AND(F133&gt;=DATE(2026+7,5,1),F133&lt;=DATE(2027+7,4,30)),(IF(I133="Vacate",TINew*D133,IF(I133="Market",Retention*TIRenewal*D133+(1-Retention)*TINew*D133,IF(I133="LeaseUp",TINew*D133,IF(I133="Option",TIRenewal*D133,0)))))+(IF(I133="Vacate",LCNew*H133*D133*(1+GrowthMarketRent)^7,IF(I133="Market",Retention*LCRenewal*H133*D133*(1+GrowthMarketRent)^7+(1-Retention)*LCNew*H133*D133*(1+GrowthMarketRent)^7,IF(I133="LeaseUp",LCNew*H133*D133*(1+GrowthMarketRent)^7,IF(I133="Option",LCRenewal*H133*D133*(1+GrowthMarketRent)^7,0))))),0))),0)</f>
        <v/>
      </c>
      <c r="AG133" s="14">
        <f>IFERROR(IF(AND(I133="LeaseUp",8=0),(IF(I133="Vacate",TINew*D133,IF(I133="Market",Retention*TIRenewal*D133+(1-Retention)*TINew*D133,IF(I133="LeaseUp",TINew*D133,IF(I133="Option",TIRenewal*D133,0)))))+(IF(I133="Vacate",LCNew*H133*D133*(1+GrowthMarketRent)^8,IF(I133="Market",Retention*LCRenewal*H133*D133*(1+GrowthMarketRent)^8+(1-Retention)*LCNew*H133*D133*(1+GrowthMarketRent)^8,IF(I133="LeaseUp",LCNew*H133*D133*(1+GrowthMarketRent)^8,IF(I133="Option",LCRenewal*H133*D133*(1+GrowthMarketRent)^8,0))))),IF(F133="",0,IF(AND(F133&gt;=DATE(2026+8,5,1),F133&lt;=DATE(2027+8,4,30)),(IF(I133="Vacate",TINew*D133,IF(I133="Market",Retention*TIRenewal*D133+(1-Retention)*TINew*D133,IF(I133="LeaseUp",TINew*D133,IF(I133="Option",TIRenewal*D133,0)))))+(IF(I133="Vacate",LCNew*H133*D133*(1+GrowthMarketRent)^8,IF(I133="Market",Retention*LCRenewal*H133*D133*(1+GrowthMarketRent)^8+(1-Retention)*LCNew*H133*D133*(1+GrowthMarketRent)^8,IF(I133="LeaseUp",LCNew*H133*D133*(1+GrowthMarketRent)^8,IF(I133="Option",LCRenewal*H133*D133*(1+GrowthMarketRent)^8,0))))),0))),0)</f>
        <v/>
      </c>
      <c r="AH133" s="14">
        <f>IFERROR(IF(AND(I133="LeaseUp",9=0),(IF(I133="Vacate",TINew*D133,IF(I133="Market",Retention*TIRenewal*D133+(1-Retention)*TINew*D133,IF(I133="LeaseUp",TINew*D133,IF(I133="Option",TIRenewal*D133,0)))))+(IF(I133="Vacate",LCNew*H133*D133*(1+GrowthMarketRent)^9,IF(I133="Market",Retention*LCRenewal*H133*D133*(1+GrowthMarketRent)^9+(1-Retention)*LCNew*H133*D133*(1+GrowthMarketRent)^9,IF(I133="LeaseUp",LCNew*H133*D133*(1+GrowthMarketRent)^9,IF(I133="Option",LCRenewal*H133*D133*(1+GrowthMarketRent)^9,0))))),IF(F133="",0,IF(AND(F133&gt;=DATE(2026+9,5,1),F133&lt;=DATE(2027+9,4,30)),(IF(I133="Vacate",TINew*D133,IF(I133="Market",Retention*TIRenewal*D133+(1-Retention)*TINew*D133,IF(I133="LeaseUp",TINew*D133,IF(I133="Option",TIRenewal*D133,0)))))+(IF(I133="Vacate",LCNew*H133*D133*(1+GrowthMarketRent)^9,IF(I133="Market",Retention*LCRenewal*H133*D133*(1+GrowthMarketRent)^9+(1-Retention)*LCNew*H133*D133*(1+GrowthMarketRent)^9,IF(I133="LeaseUp",LCNew*H133*D133*(1+GrowthMarketRent)^9,IF(I133="Option",LCRenewal*H133*D133*(1+GrowthMarketRent)^9,0))))),0))),0)</f>
        <v/>
      </c>
      <c r="AI133" s="14">
        <f>IFERROR(IF(AND(I133="LeaseUp",10=0),(IF(I133="Vacate",TINew*D133,IF(I133="Market",Retention*TIRenewal*D133+(1-Retention)*TINew*D133,IF(I133="LeaseUp",TINew*D133,IF(I133="Option",TIRenewal*D133,0)))))+(IF(I133="Vacate",LCNew*H133*D133*(1+GrowthMarketRent)^10,IF(I133="Market",Retention*LCRenewal*H133*D133*(1+GrowthMarketRent)^10+(1-Retention)*LCNew*H133*D133*(1+GrowthMarketRent)^10,IF(I133="LeaseUp",LCNew*H133*D133*(1+GrowthMarketRent)^10,IF(I133="Option",LCRenewal*H133*D133*(1+GrowthMarketRent)^10,0))))),IF(F133="",0,IF(AND(F133&gt;=DATE(2026+10,5,1),F133&lt;=DATE(2027+10,4,30)),(IF(I133="Vacate",TINew*D133,IF(I133="Market",Retention*TIRenewal*D133+(1-Retention)*TINew*D133,IF(I133="LeaseUp",TINew*D133,IF(I133="Option",TIRenewal*D133,0)))))+(IF(I133="Vacate",LCNew*H133*D133*(1+GrowthMarketRent)^10,IF(I133="Market",Retention*LCRenewal*H133*D133*(1+GrowthMarketRent)^10+(1-Retention)*LCNew*H133*D133*(1+GrowthMarketRent)^10,IF(I133="LeaseUp",LCNew*H133*D133*(1+GrowthMarketRent)^10,IF(I133="Option",LCRenewal*H133*D133*(1+GrowthMarketRent)^10,0))))),0))),0)</f>
        <v/>
      </c>
    </row>
    <row r="134">
      <c r="A134" t="inlineStr">
        <is>
          <t>Roanoke</t>
        </is>
      </c>
      <c r="B134" t="inlineStr">
        <is>
          <t>128B</t>
        </is>
      </c>
      <c r="C134" t="inlineStr">
        <is>
          <t>Dallas Roboter Inc.</t>
        </is>
      </c>
      <c r="D134" s="32" t="n">
        <v>3050</v>
      </c>
      <c r="E134" s="33" t="n">
        <v>45931</v>
      </c>
      <c r="F134" s="33" t="n">
        <v>46266</v>
      </c>
      <c r="G134" s="34" t="n">
        <v>18</v>
      </c>
      <c r="H134" s="16">
        <f>VLOOKUP(A134,MLA!$A$5:$L$11,3,FALSE)</f>
        <v/>
      </c>
      <c r="I134" s="11" t="inlineStr">
        <is>
          <t>Market</t>
        </is>
      </c>
      <c r="J134" t="inlineStr">
        <is>
          <t>Shop</t>
        </is>
      </c>
      <c r="K134" t="inlineStr">
        <is>
          <t>Occupied</t>
        </is>
      </c>
      <c r="L134" t="inlineStr">
        <is>
          <t>Shop; short-term lease; Guarantor: Isaac Cullum</t>
        </is>
      </c>
      <c r="M134" s="20">
        <f>IF(E134="",0,(AnalysisStart-E134)/365.25)</f>
        <v/>
      </c>
      <c r="N134" s="14">
        <f>IFERROR(IF(I134="LeaseUp",H134*D134*(1+GrowthMarketRent)^0*IF(0=0,(12-DowntimeNew)/12,1),IF(F134="",0,IF(F134&gt;=DATE(2027+0,4,30),G134*D134*(1+EscalatorInLease)^(0+M134),IF(F134&lt;DATE(2026+0,5,1),IF(I134="Vacate",H134*D134*(1+GrowthMarketRent)^0*IF(INT((DATE(2026+0,10,31)-F134)/365.25)=0,(12-DowntimeNew)/12,1),IF(I134="Option",G134*D134*1.025*(1+EscalatorInLease)^0,IF(I134="Market",Retention*G134*D134*(1+EscalatorInLease)^(0+M134)+(1-Retention)*H134*D134*(1+GrowthMarketRent)^0*IF(INT((DATE(2026+0,10,31)-F134)/365.25)=0,(12-DowntimeNew)/12,1),IF(I134="LeaseUp",H134*D134*(1+GrowthMarketRent)^0*IF(0=0,(12-DowntimeNew)/12,1),0)))),((F134-DATE(2026+0,5,1))/365.25)*G134*D134*(1+EscalatorInLease)^(0+M134)+((DATE(2027+0,4,30)-F134)/365.25)*IF(I134="Vacate",H134*D134*(1+GrowthMarketRent)^0*IF(INT((DATE(2026+0,10,31)-F134)/365.25)=0,(12-DowntimeNew)/12,1),IF(I134="Option",G134*D134*1.025*(1+EscalatorInLease)^0,IF(I134="Market",Retention*G134*D134*(1+EscalatorInLease)^(0+M134)+(1-Retention)*H134*D134*(1+GrowthMarketRent)^0*IF(INT((DATE(2026+0,10,31)-F134)/365.25)=0,(12-DowntimeNew)/12,1),IF(I134="LeaseUp",H134*D134*(1+GrowthMarketRent)^0*IF(0=0,(12-DowntimeNew)/12,1),0)))))))),0)</f>
        <v/>
      </c>
      <c r="O134" s="14">
        <f>IFERROR(IF(I134="LeaseUp",H134*D134*(1+GrowthMarketRent)^1*IF(1=0,(12-DowntimeNew)/12,1),IF(F134="",0,IF(F134&gt;=DATE(2027+1,4,30),G134*D134*(1+EscalatorInLease)^(1+M134),IF(F134&lt;DATE(2026+1,5,1),IF(I134="Vacate",H134*D134*(1+GrowthMarketRent)^1*IF(INT((DATE(2026+1,10,31)-F134)/365.25)=0,(12-DowntimeNew)/12,1),IF(I134="Option",G134*D134*1.025*(1+EscalatorInLease)^1,IF(I134="Market",Retention*G134*D134*(1+EscalatorInLease)^(1+M134)+(1-Retention)*H134*D134*(1+GrowthMarketRent)^1*IF(INT((DATE(2026+1,10,31)-F134)/365.25)=0,(12-DowntimeNew)/12,1),IF(I134="LeaseUp",H134*D134*(1+GrowthMarketRent)^1*IF(1=0,(12-DowntimeNew)/12,1),0)))),((F134-DATE(2026+1,5,1))/365.25)*G134*D134*(1+EscalatorInLease)^(1+M134)+((DATE(2027+1,4,30)-F134)/365.25)*IF(I134="Vacate",H134*D134*(1+GrowthMarketRent)^1*IF(INT((DATE(2026+1,10,31)-F134)/365.25)=0,(12-DowntimeNew)/12,1),IF(I134="Option",G134*D134*1.025*(1+EscalatorInLease)^1,IF(I134="Market",Retention*G134*D134*(1+EscalatorInLease)^(1+M134)+(1-Retention)*H134*D134*(1+GrowthMarketRent)^1*IF(INT((DATE(2026+1,10,31)-F134)/365.25)=0,(12-DowntimeNew)/12,1),IF(I134="LeaseUp",H134*D134*(1+GrowthMarketRent)^1*IF(1=0,(12-DowntimeNew)/12,1),0)))))))),0)</f>
        <v/>
      </c>
      <c r="P134" s="14">
        <f>IFERROR(IF(I134="LeaseUp",H134*D134*(1+GrowthMarketRent)^2*IF(2=0,(12-DowntimeNew)/12,1),IF(F134="",0,IF(F134&gt;=DATE(2027+2,4,30),G134*D134*(1+EscalatorInLease)^(2+M134),IF(F134&lt;DATE(2026+2,5,1),IF(I134="Vacate",H134*D134*(1+GrowthMarketRent)^2*IF(INT((DATE(2026+2,10,31)-F134)/365.25)=0,(12-DowntimeNew)/12,1),IF(I134="Option",G134*D134*1.025*(1+EscalatorInLease)^2,IF(I134="Market",Retention*G134*D134*(1+EscalatorInLease)^(2+M134)+(1-Retention)*H134*D134*(1+GrowthMarketRent)^2*IF(INT((DATE(2026+2,10,31)-F134)/365.25)=0,(12-DowntimeNew)/12,1),IF(I134="LeaseUp",H134*D134*(1+GrowthMarketRent)^2*IF(2=0,(12-DowntimeNew)/12,1),0)))),((F134-DATE(2026+2,5,1))/365.25)*G134*D134*(1+EscalatorInLease)^(2+M134)+((DATE(2027+2,4,30)-F134)/365.25)*IF(I134="Vacate",H134*D134*(1+GrowthMarketRent)^2*IF(INT((DATE(2026+2,10,31)-F134)/365.25)=0,(12-DowntimeNew)/12,1),IF(I134="Option",G134*D134*1.025*(1+EscalatorInLease)^2,IF(I134="Market",Retention*G134*D134*(1+EscalatorInLease)^(2+M134)+(1-Retention)*H134*D134*(1+GrowthMarketRent)^2*IF(INT((DATE(2026+2,10,31)-F134)/365.25)=0,(12-DowntimeNew)/12,1),IF(I134="LeaseUp",H134*D134*(1+GrowthMarketRent)^2*IF(2=0,(12-DowntimeNew)/12,1),0)))))))),0)</f>
        <v/>
      </c>
      <c r="Q134" s="14">
        <f>IFERROR(IF(I134="LeaseUp",H134*D134*(1+GrowthMarketRent)^3*IF(3=0,(12-DowntimeNew)/12,1),IF(F134="",0,IF(F134&gt;=DATE(2027+3,4,30),G134*D134*(1+EscalatorInLease)^(3+M134),IF(F134&lt;DATE(2026+3,5,1),IF(I134="Vacate",H134*D134*(1+GrowthMarketRent)^3*IF(INT((DATE(2026+3,10,31)-F134)/365.25)=0,(12-DowntimeNew)/12,1),IF(I134="Option",G134*D134*1.025*(1+EscalatorInLease)^3,IF(I134="Market",Retention*G134*D134*(1+EscalatorInLease)^(3+M134)+(1-Retention)*H134*D134*(1+GrowthMarketRent)^3*IF(INT((DATE(2026+3,10,31)-F134)/365.25)=0,(12-DowntimeNew)/12,1),IF(I134="LeaseUp",H134*D134*(1+GrowthMarketRent)^3*IF(3=0,(12-DowntimeNew)/12,1),0)))),((F134-DATE(2026+3,5,1))/365.25)*G134*D134*(1+EscalatorInLease)^(3+M134)+((DATE(2027+3,4,30)-F134)/365.25)*IF(I134="Vacate",H134*D134*(1+GrowthMarketRent)^3*IF(INT((DATE(2026+3,10,31)-F134)/365.25)=0,(12-DowntimeNew)/12,1),IF(I134="Option",G134*D134*1.025*(1+EscalatorInLease)^3,IF(I134="Market",Retention*G134*D134*(1+EscalatorInLease)^(3+M134)+(1-Retention)*H134*D134*(1+GrowthMarketRent)^3*IF(INT((DATE(2026+3,10,31)-F134)/365.25)=0,(12-DowntimeNew)/12,1),IF(I134="LeaseUp",H134*D134*(1+GrowthMarketRent)^3*IF(3=0,(12-DowntimeNew)/12,1),0)))))))),0)</f>
        <v/>
      </c>
      <c r="R134" s="14">
        <f>IFERROR(IF(I134="LeaseUp",H134*D134*(1+GrowthMarketRent)^4*IF(4=0,(12-DowntimeNew)/12,1),IF(F134="",0,IF(F134&gt;=DATE(2027+4,4,30),G134*D134*(1+EscalatorInLease)^(4+M134),IF(F134&lt;DATE(2026+4,5,1),IF(I134="Vacate",H134*D134*(1+GrowthMarketRent)^4*IF(INT((DATE(2026+4,10,31)-F134)/365.25)=0,(12-DowntimeNew)/12,1),IF(I134="Option",G134*D134*1.025*(1+EscalatorInLease)^4,IF(I134="Market",Retention*G134*D134*(1+EscalatorInLease)^(4+M134)+(1-Retention)*H134*D134*(1+GrowthMarketRent)^4*IF(INT((DATE(2026+4,10,31)-F134)/365.25)=0,(12-DowntimeNew)/12,1),IF(I134="LeaseUp",H134*D134*(1+GrowthMarketRent)^4*IF(4=0,(12-DowntimeNew)/12,1),0)))),((F134-DATE(2026+4,5,1))/365.25)*G134*D134*(1+EscalatorInLease)^(4+M134)+((DATE(2027+4,4,30)-F134)/365.25)*IF(I134="Vacate",H134*D134*(1+GrowthMarketRent)^4*IF(INT((DATE(2026+4,10,31)-F134)/365.25)=0,(12-DowntimeNew)/12,1),IF(I134="Option",G134*D134*1.025*(1+EscalatorInLease)^4,IF(I134="Market",Retention*G134*D134*(1+EscalatorInLease)^(4+M134)+(1-Retention)*H134*D134*(1+GrowthMarketRent)^4*IF(INT((DATE(2026+4,10,31)-F134)/365.25)=0,(12-DowntimeNew)/12,1),IF(I134="LeaseUp",H134*D134*(1+GrowthMarketRent)^4*IF(4=0,(12-DowntimeNew)/12,1),0)))))))),0)</f>
        <v/>
      </c>
      <c r="S134" s="14">
        <f>IFERROR(IF(I134="LeaseUp",H134*D134*(1+GrowthMarketRent)^5*IF(5=0,(12-DowntimeNew)/12,1),IF(F134="",0,IF(F134&gt;=DATE(2027+5,4,30),G134*D134*(1+EscalatorInLease)^(5+M134),IF(F134&lt;DATE(2026+5,5,1),IF(I134="Vacate",H134*D134*(1+GrowthMarketRent)^5*IF(INT((DATE(2026+5,10,31)-F134)/365.25)=0,(12-DowntimeNew)/12,1),IF(I134="Option",G134*D134*1.025*(1+EscalatorInLease)^5,IF(I134="Market",Retention*G134*D134*(1+EscalatorInLease)^(5+M134)+(1-Retention)*H134*D134*(1+GrowthMarketRent)^5*IF(INT((DATE(2026+5,10,31)-F134)/365.25)=0,(12-DowntimeNew)/12,1),IF(I134="LeaseUp",H134*D134*(1+GrowthMarketRent)^5*IF(5=0,(12-DowntimeNew)/12,1),0)))),((F134-DATE(2026+5,5,1))/365.25)*G134*D134*(1+EscalatorInLease)^(5+M134)+((DATE(2027+5,4,30)-F134)/365.25)*IF(I134="Vacate",H134*D134*(1+GrowthMarketRent)^5*IF(INT((DATE(2026+5,10,31)-F134)/365.25)=0,(12-DowntimeNew)/12,1),IF(I134="Option",G134*D134*1.025*(1+EscalatorInLease)^5,IF(I134="Market",Retention*G134*D134*(1+EscalatorInLease)^(5+M134)+(1-Retention)*H134*D134*(1+GrowthMarketRent)^5*IF(INT((DATE(2026+5,10,31)-F134)/365.25)=0,(12-DowntimeNew)/12,1),IF(I134="LeaseUp",H134*D134*(1+GrowthMarketRent)^5*IF(5=0,(12-DowntimeNew)/12,1),0)))))))),0)</f>
        <v/>
      </c>
      <c r="T134" s="14">
        <f>IFERROR(IF(I134="LeaseUp",H134*D134*(1+GrowthMarketRent)^6*IF(6=0,(12-DowntimeNew)/12,1),IF(F134="",0,IF(F134&gt;=DATE(2027+6,4,30),G134*D134*(1+EscalatorInLease)^(6+M134),IF(F134&lt;DATE(2026+6,5,1),IF(I134="Vacate",H134*D134*(1+GrowthMarketRent)^6*IF(INT((DATE(2026+6,10,31)-F134)/365.25)=0,(12-DowntimeNew)/12,1),IF(I134="Option",G134*D134*1.025*(1+EscalatorInLease)^6,IF(I134="Market",Retention*G134*D134*(1+EscalatorInLease)^(6+M134)+(1-Retention)*H134*D134*(1+GrowthMarketRent)^6*IF(INT((DATE(2026+6,10,31)-F134)/365.25)=0,(12-DowntimeNew)/12,1),IF(I134="LeaseUp",H134*D134*(1+GrowthMarketRent)^6*IF(6=0,(12-DowntimeNew)/12,1),0)))),((F134-DATE(2026+6,5,1))/365.25)*G134*D134*(1+EscalatorInLease)^(6+M134)+((DATE(2027+6,4,30)-F134)/365.25)*IF(I134="Vacate",H134*D134*(1+GrowthMarketRent)^6*IF(INT((DATE(2026+6,10,31)-F134)/365.25)=0,(12-DowntimeNew)/12,1),IF(I134="Option",G134*D134*1.025*(1+EscalatorInLease)^6,IF(I134="Market",Retention*G134*D134*(1+EscalatorInLease)^(6+M134)+(1-Retention)*H134*D134*(1+GrowthMarketRent)^6*IF(INT((DATE(2026+6,10,31)-F134)/365.25)=0,(12-DowntimeNew)/12,1),IF(I134="LeaseUp",H134*D134*(1+GrowthMarketRent)^6*IF(6=0,(12-DowntimeNew)/12,1),0)))))))),0)</f>
        <v/>
      </c>
      <c r="U134" s="14">
        <f>IFERROR(IF(I134="LeaseUp",H134*D134*(1+GrowthMarketRent)^7*IF(7=0,(12-DowntimeNew)/12,1),IF(F134="",0,IF(F134&gt;=DATE(2027+7,4,30),G134*D134*(1+EscalatorInLease)^(7+M134),IF(F134&lt;DATE(2026+7,5,1),IF(I134="Vacate",H134*D134*(1+GrowthMarketRent)^7*IF(INT((DATE(2026+7,10,31)-F134)/365.25)=0,(12-DowntimeNew)/12,1),IF(I134="Option",G134*D134*1.025*(1+EscalatorInLease)^7,IF(I134="Market",Retention*G134*D134*(1+EscalatorInLease)^(7+M134)+(1-Retention)*H134*D134*(1+GrowthMarketRent)^7*IF(INT((DATE(2026+7,10,31)-F134)/365.25)=0,(12-DowntimeNew)/12,1),IF(I134="LeaseUp",H134*D134*(1+GrowthMarketRent)^7*IF(7=0,(12-DowntimeNew)/12,1),0)))),((F134-DATE(2026+7,5,1))/365.25)*G134*D134*(1+EscalatorInLease)^(7+M134)+((DATE(2027+7,4,30)-F134)/365.25)*IF(I134="Vacate",H134*D134*(1+GrowthMarketRent)^7*IF(INT((DATE(2026+7,10,31)-F134)/365.25)=0,(12-DowntimeNew)/12,1),IF(I134="Option",G134*D134*1.025*(1+EscalatorInLease)^7,IF(I134="Market",Retention*G134*D134*(1+EscalatorInLease)^(7+M134)+(1-Retention)*H134*D134*(1+GrowthMarketRent)^7*IF(INT((DATE(2026+7,10,31)-F134)/365.25)=0,(12-DowntimeNew)/12,1),IF(I134="LeaseUp",H134*D134*(1+GrowthMarketRent)^7*IF(7=0,(12-DowntimeNew)/12,1),0)))))))),0)</f>
        <v/>
      </c>
      <c r="V134" s="14">
        <f>IFERROR(IF(I134="LeaseUp",H134*D134*(1+GrowthMarketRent)^8*IF(8=0,(12-DowntimeNew)/12,1),IF(F134="",0,IF(F134&gt;=DATE(2027+8,4,30),G134*D134*(1+EscalatorInLease)^(8+M134),IF(F134&lt;DATE(2026+8,5,1),IF(I134="Vacate",H134*D134*(1+GrowthMarketRent)^8*IF(INT((DATE(2026+8,10,31)-F134)/365.25)=0,(12-DowntimeNew)/12,1),IF(I134="Option",G134*D134*1.025*(1+EscalatorInLease)^8,IF(I134="Market",Retention*G134*D134*(1+EscalatorInLease)^(8+M134)+(1-Retention)*H134*D134*(1+GrowthMarketRent)^8*IF(INT((DATE(2026+8,10,31)-F134)/365.25)=0,(12-DowntimeNew)/12,1),IF(I134="LeaseUp",H134*D134*(1+GrowthMarketRent)^8*IF(8=0,(12-DowntimeNew)/12,1),0)))),((F134-DATE(2026+8,5,1))/365.25)*G134*D134*(1+EscalatorInLease)^(8+M134)+((DATE(2027+8,4,30)-F134)/365.25)*IF(I134="Vacate",H134*D134*(1+GrowthMarketRent)^8*IF(INT((DATE(2026+8,10,31)-F134)/365.25)=0,(12-DowntimeNew)/12,1),IF(I134="Option",G134*D134*1.025*(1+EscalatorInLease)^8,IF(I134="Market",Retention*G134*D134*(1+EscalatorInLease)^(8+M134)+(1-Retention)*H134*D134*(1+GrowthMarketRent)^8*IF(INT((DATE(2026+8,10,31)-F134)/365.25)=0,(12-DowntimeNew)/12,1),IF(I134="LeaseUp",H134*D134*(1+GrowthMarketRent)^8*IF(8=0,(12-DowntimeNew)/12,1),0)))))))),0)</f>
        <v/>
      </c>
      <c r="W134" s="14">
        <f>IFERROR(IF(I134="LeaseUp",H134*D134*(1+GrowthMarketRent)^9*IF(9=0,(12-DowntimeNew)/12,1),IF(F134="",0,IF(F134&gt;=DATE(2027+9,4,30),G134*D134*(1+EscalatorInLease)^(9+M134),IF(F134&lt;DATE(2026+9,5,1),IF(I134="Vacate",H134*D134*(1+GrowthMarketRent)^9*IF(INT((DATE(2026+9,10,31)-F134)/365.25)=0,(12-DowntimeNew)/12,1),IF(I134="Option",G134*D134*1.025*(1+EscalatorInLease)^9,IF(I134="Market",Retention*G134*D134*(1+EscalatorInLease)^(9+M134)+(1-Retention)*H134*D134*(1+GrowthMarketRent)^9*IF(INT((DATE(2026+9,10,31)-F134)/365.25)=0,(12-DowntimeNew)/12,1),IF(I134="LeaseUp",H134*D134*(1+GrowthMarketRent)^9*IF(9=0,(12-DowntimeNew)/12,1),0)))),((F134-DATE(2026+9,5,1))/365.25)*G134*D134*(1+EscalatorInLease)^(9+M134)+((DATE(2027+9,4,30)-F134)/365.25)*IF(I134="Vacate",H134*D134*(1+GrowthMarketRent)^9*IF(INT((DATE(2026+9,10,31)-F134)/365.25)=0,(12-DowntimeNew)/12,1),IF(I134="Option",G134*D134*1.025*(1+EscalatorInLease)^9,IF(I134="Market",Retention*G134*D134*(1+EscalatorInLease)^(9+M134)+(1-Retention)*H134*D134*(1+GrowthMarketRent)^9*IF(INT((DATE(2026+9,10,31)-F134)/365.25)=0,(12-DowntimeNew)/12,1),IF(I134="LeaseUp",H134*D134*(1+GrowthMarketRent)^9*IF(9=0,(12-DowntimeNew)/12,1),0)))))))),0)</f>
        <v/>
      </c>
      <c r="X134" s="14">
        <f>IFERROR(IF(I134="LeaseUp",H134*D134*(1+GrowthMarketRent)^10*IF(10=0,(12-DowntimeNew)/12,1),IF(F134="",0,IF(F134&gt;=DATE(2027+10,4,30),G134*D134*(1+EscalatorInLease)^(10+M134),IF(F134&lt;DATE(2026+10,5,1),IF(I134="Vacate",H134*D134*(1+GrowthMarketRent)^10*IF(INT((DATE(2026+10,10,31)-F134)/365.25)=0,(12-DowntimeNew)/12,1),IF(I134="Option",G134*D134*1.025*(1+EscalatorInLease)^10,IF(I134="Market",Retention*G134*D134*(1+EscalatorInLease)^(10+M134)+(1-Retention)*H134*D134*(1+GrowthMarketRent)^10*IF(INT((DATE(2026+10,10,31)-F134)/365.25)=0,(12-DowntimeNew)/12,1),IF(I134="LeaseUp",H134*D134*(1+GrowthMarketRent)^10*IF(10=0,(12-DowntimeNew)/12,1),0)))),((F134-DATE(2026+10,5,1))/365.25)*G134*D134*(1+EscalatorInLease)^(10+M134)+((DATE(2027+10,4,30)-F134)/365.25)*IF(I134="Vacate",H134*D134*(1+GrowthMarketRent)^10*IF(INT((DATE(2026+10,10,31)-F134)/365.25)=0,(12-DowntimeNew)/12,1),IF(I134="Option",G134*D134*1.025*(1+EscalatorInLease)^10,IF(I134="Market",Retention*G134*D134*(1+EscalatorInLease)^(10+M134)+(1-Retention)*H134*D134*(1+GrowthMarketRent)^10*IF(INT((DATE(2026+10,10,31)-F134)/365.25)=0,(12-DowntimeNew)/12,1),IF(I134="LeaseUp",H134*D134*(1+GrowthMarketRent)^10*IF(10=0,(12-DowntimeNew)/12,1),0)))))))),0)</f>
        <v/>
      </c>
      <c r="Y134" s="14">
        <f>IFERROR(IF(AND(I134="LeaseUp",0=0),(IF(I134="Vacate",TINew*D134,IF(I134="Market",Retention*TIRenewal*D134+(1-Retention)*TINew*D134,IF(I134="LeaseUp",TINew*D134,IF(I134="Option",TIRenewal*D134,0)))))+(IF(I134="Vacate",LCNew*H134*D134*(1+GrowthMarketRent)^0,IF(I134="Market",Retention*LCRenewal*H134*D134*(1+GrowthMarketRent)^0+(1-Retention)*LCNew*H134*D134*(1+GrowthMarketRent)^0,IF(I134="LeaseUp",LCNew*H134*D134*(1+GrowthMarketRent)^0,IF(I134="Option",LCRenewal*H134*D134*(1+GrowthMarketRent)^0,0))))),IF(F134="",0,IF(AND(F134&gt;=DATE(2026+0,5,1),F134&lt;=DATE(2027+0,4,30)),(IF(I134="Vacate",TINew*D134,IF(I134="Market",Retention*TIRenewal*D134+(1-Retention)*TINew*D134,IF(I134="LeaseUp",TINew*D134,IF(I134="Option",TIRenewal*D134,0)))))+(IF(I134="Vacate",LCNew*H134*D134*(1+GrowthMarketRent)^0,IF(I134="Market",Retention*LCRenewal*H134*D134*(1+GrowthMarketRent)^0+(1-Retention)*LCNew*H134*D134*(1+GrowthMarketRent)^0,IF(I134="LeaseUp",LCNew*H134*D134*(1+GrowthMarketRent)^0,IF(I134="Option",LCRenewal*H134*D134*(1+GrowthMarketRent)^0,0))))),0))),0)</f>
        <v/>
      </c>
      <c r="Z134" s="14">
        <f>IFERROR(IF(AND(I134="LeaseUp",1=0),(IF(I134="Vacate",TINew*D134,IF(I134="Market",Retention*TIRenewal*D134+(1-Retention)*TINew*D134,IF(I134="LeaseUp",TINew*D134,IF(I134="Option",TIRenewal*D134,0)))))+(IF(I134="Vacate",LCNew*H134*D134*(1+GrowthMarketRent)^1,IF(I134="Market",Retention*LCRenewal*H134*D134*(1+GrowthMarketRent)^1+(1-Retention)*LCNew*H134*D134*(1+GrowthMarketRent)^1,IF(I134="LeaseUp",LCNew*H134*D134*(1+GrowthMarketRent)^1,IF(I134="Option",LCRenewal*H134*D134*(1+GrowthMarketRent)^1,0))))),IF(F134="",0,IF(AND(F134&gt;=DATE(2026+1,5,1),F134&lt;=DATE(2027+1,4,30)),(IF(I134="Vacate",TINew*D134,IF(I134="Market",Retention*TIRenewal*D134+(1-Retention)*TINew*D134,IF(I134="LeaseUp",TINew*D134,IF(I134="Option",TIRenewal*D134,0)))))+(IF(I134="Vacate",LCNew*H134*D134*(1+GrowthMarketRent)^1,IF(I134="Market",Retention*LCRenewal*H134*D134*(1+GrowthMarketRent)^1+(1-Retention)*LCNew*H134*D134*(1+GrowthMarketRent)^1,IF(I134="LeaseUp",LCNew*H134*D134*(1+GrowthMarketRent)^1,IF(I134="Option",LCRenewal*H134*D134*(1+GrowthMarketRent)^1,0))))),0))),0)</f>
        <v/>
      </c>
      <c r="AA134" s="14">
        <f>IFERROR(IF(AND(I134="LeaseUp",2=0),(IF(I134="Vacate",TINew*D134,IF(I134="Market",Retention*TIRenewal*D134+(1-Retention)*TINew*D134,IF(I134="LeaseUp",TINew*D134,IF(I134="Option",TIRenewal*D134,0)))))+(IF(I134="Vacate",LCNew*H134*D134*(1+GrowthMarketRent)^2,IF(I134="Market",Retention*LCRenewal*H134*D134*(1+GrowthMarketRent)^2+(1-Retention)*LCNew*H134*D134*(1+GrowthMarketRent)^2,IF(I134="LeaseUp",LCNew*H134*D134*(1+GrowthMarketRent)^2,IF(I134="Option",LCRenewal*H134*D134*(1+GrowthMarketRent)^2,0))))),IF(F134="",0,IF(AND(F134&gt;=DATE(2026+2,5,1),F134&lt;=DATE(2027+2,4,30)),(IF(I134="Vacate",TINew*D134,IF(I134="Market",Retention*TIRenewal*D134+(1-Retention)*TINew*D134,IF(I134="LeaseUp",TINew*D134,IF(I134="Option",TIRenewal*D134,0)))))+(IF(I134="Vacate",LCNew*H134*D134*(1+GrowthMarketRent)^2,IF(I134="Market",Retention*LCRenewal*H134*D134*(1+GrowthMarketRent)^2+(1-Retention)*LCNew*H134*D134*(1+GrowthMarketRent)^2,IF(I134="LeaseUp",LCNew*H134*D134*(1+GrowthMarketRent)^2,IF(I134="Option",LCRenewal*H134*D134*(1+GrowthMarketRent)^2,0))))),0))),0)</f>
        <v/>
      </c>
      <c r="AB134" s="14">
        <f>IFERROR(IF(AND(I134="LeaseUp",3=0),(IF(I134="Vacate",TINew*D134,IF(I134="Market",Retention*TIRenewal*D134+(1-Retention)*TINew*D134,IF(I134="LeaseUp",TINew*D134,IF(I134="Option",TIRenewal*D134,0)))))+(IF(I134="Vacate",LCNew*H134*D134*(1+GrowthMarketRent)^3,IF(I134="Market",Retention*LCRenewal*H134*D134*(1+GrowthMarketRent)^3+(1-Retention)*LCNew*H134*D134*(1+GrowthMarketRent)^3,IF(I134="LeaseUp",LCNew*H134*D134*(1+GrowthMarketRent)^3,IF(I134="Option",LCRenewal*H134*D134*(1+GrowthMarketRent)^3,0))))),IF(F134="",0,IF(AND(F134&gt;=DATE(2026+3,5,1),F134&lt;=DATE(2027+3,4,30)),(IF(I134="Vacate",TINew*D134,IF(I134="Market",Retention*TIRenewal*D134+(1-Retention)*TINew*D134,IF(I134="LeaseUp",TINew*D134,IF(I134="Option",TIRenewal*D134,0)))))+(IF(I134="Vacate",LCNew*H134*D134*(1+GrowthMarketRent)^3,IF(I134="Market",Retention*LCRenewal*H134*D134*(1+GrowthMarketRent)^3+(1-Retention)*LCNew*H134*D134*(1+GrowthMarketRent)^3,IF(I134="LeaseUp",LCNew*H134*D134*(1+GrowthMarketRent)^3,IF(I134="Option",LCRenewal*H134*D134*(1+GrowthMarketRent)^3,0))))),0))),0)</f>
        <v/>
      </c>
      <c r="AC134" s="14">
        <f>IFERROR(IF(AND(I134="LeaseUp",4=0),(IF(I134="Vacate",TINew*D134,IF(I134="Market",Retention*TIRenewal*D134+(1-Retention)*TINew*D134,IF(I134="LeaseUp",TINew*D134,IF(I134="Option",TIRenewal*D134,0)))))+(IF(I134="Vacate",LCNew*H134*D134*(1+GrowthMarketRent)^4,IF(I134="Market",Retention*LCRenewal*H134*D134*(1+GrowthMarketRent)^4+(1-Retention)*LCNew*H134*D134*(1+GrowthMarketRent)^4,IF(I134="LeaseUp",LCNew*H134*D134*(1+GrowthMarketRent)^4,IF(I134="Option",LCRenewal*H134*D134*(1+GrowthMarketRent)^4,0))))),IF(F134="",0,IF(AND(F134&gt;=DATE(2026+4,5,1),F134&lt;=DATE(2027+4,4,30)),(IF(I134="Vacate",TINew*D134,IF(I134="Market",Retention*TIRenewal*D134+(1-Retention)*TINew*D134,IF(I134="LeaseUp",TINew*D134,IF(I134="Option",TIRenewal*D134,0)))))+(IF(I134="Vacate",LCNew*H134*D134*(1+GrowthMarketRent)^4,IF(I134="Market",Retention*LCRenewal*H134*D134*(1+GrowthMarketRent)^4+(1-Retention)*LCNew*H134*D134*(1+GrowthMarketRent)^4,IF(I134="LeaseUp",LCNew*H134*D134*(1+GrowthMarketRent)^4,IF(I134="Option",LCRenewal*H134*D134*(1+GrowthMarketRent)^4,0))))),0))),0)</f>
        <v/>
      </c>
      <c r="AD134" s="14">
        <f>IFERROR(IF(AND(I134="LeaseUp",5=0),(IF(I134="Vacate",TINew*D134,IF(I134="Market",Retention*TIRenewal*D134+(1-Retention)*TINew*D134,IF(I134="LeaseUp",TINew*D134,IF(I134="Option",TIRenewal*D134,0)))))+(IF(I134="Vacate",LCNew*H134*D134*(1+GrowthMarketRent)^5,IF(I134="Market",Retention*LCRenewal*H134*D134*(1+GrowthMarketRent)^5+(1-Retention)*LCNew*H134*D134*(1+GrowthMarketRent)^5,IF(I134="LeaseUp",LCNew*H134*D134*(1+GrowthMarketRent)^5,IF(I134="Option",LCRenewal*H134*D134*(1+GrowthMarketRent)^5,0))))),IF(F134="",0,IF(AND(F134&gt;=DATE(2026+5,5,1),F134&lt;=DATE(2027+5,4,30)),(IF(I134="Vacate",TINew*D134,IF(I134="Market",Retention*TIRenewal*D134+(1-Retention)*TINew*D134,IF(I134="LeaseUp",TINew*D134,IF(I134="Option",TIRenewal*D134,0)))))+(IF(I134="Vacate",LCNew*H134*D134*(1+GrowthMarketRent)^5,IF(I134="Market",Retention*LCRenewal*H134*D134*(1+GrowthMarketRent)^5+(1-Retention)*LCNew*H134*D134*(1+GrowthMarketRent)^5,IF(I134="LeaseUp",LCNew*H134*D134*(1+GrowthMarketRent)^5,IF(I134="Option",LCRenewal*H134*D134*(1+GrowthMarketRent)^5,0))))),0))),0)</f>
        <v/>
      </c>
      <c r="AE134" s="14">
        <f>IFERROR(IF(AND(I134="LeaseUp",6=0),(IF(I134="Vacate",TINew*D134,IF(I134="Market",Retention*TIRenewal*D134+(1-Retention)*TINew*D134,IF(I134="LeaseUp",TINew*D134,IF(I134="Option",TIRenewal*D134,0)))))+(IF(I134="Vacate",LCNew*H134*D134*(1+GrowthMarketRent)^6,IF(I134="Market",Retention*LCRenewal*H134*D134*(1+GrowthMarketRent)^6+(1-Retention)*LCNew*H134*D134*(1+GrowthMarketRent)^6,IF(I134="LeaseUp",LCNew*H134*D134*(1+GrowthMarketRent)^6,IF(I134="Option",LCRenewal*H134*D134*(1+GrowthMarketRent)^6,0))))),IF(F134="",0,IF(AND(F134&gt;=DATE(2026+6,5,1),F134&lt;=DATE(2027+6,4,30)),(IF(I134="Vacate",TINew*D134,IF(I134="Market",Retention*TIRenewal*D134+(1-Retention)*TINew*D134,IF(I134="LeaseUp",TINew*D134,IF(I134="Option",TIRenewal*D134,0)))))+(IF(I134="Vacate",LCNew*H134*D134*(1+GrowthMarketRent)^6,IF(I134="Market",Retention*LCRenewal*H134*D134*(1+GrowthMarketRent)^6+(1-Retention)*LCNew*H134*D134*(1+GrowthMarketRent)^6,IF(I134="LeaseUp",LCNew*H134*D134*(1+GrowthMarketRent)^6,IF(I134="Option",LCRenewal*H134*D134*(1+GrowthMarketRent)^6,0))))),0))),0)</f>
        <v/>
      </c>
      <c r="AF134" s="14">
        <f>IFERROR(IF(AND(I134="LeaseUp",7=0),(IF(I134="Vacate",TINew*D134,IF(I134="Market",Retention*TIRenewal*D134+(1-Retention)*TINew*D134,IF(I134="LeaseUp",TINew*D134,IF(I134="Option",TIRenewal*D134,0)))))+(IF(I134="Vacate",LCNew*H134*D134*(1+GrowthMarketRent)^7,IF(I134="Market",Retention*LCRenewal*H134*D134*(1+GrowthMarketRent)^7+(1-Retention)*LCNew*H134*D134*(1+GrowthMarketRent)^7,IF(I134="LeaseUp",LCNew*H134*D134*(1+GrowthMarketRent)^7,IF(I134="Option",LCRenewal*H134*D134*(1+GrowthMarketRent)^7,0))))),IF(F134="",0,IF(AND(F134&gt;=DATE(2026+7,5,1),F134&lt;=DATE(2027+7,4,30)),(IF(I134="Vacate",TINew*D134,IF(I134="Market",Retention*TIRenewal*D134+(1-Retention)*TINew*D134,IF(I134="LeaseUp",TINew*D134,IF(I134="Option",TIRenewal*D134,0)))))+(IF(I134="Vacate",LCNew*H134*D134*(1+GrowthMarketRent)^7,IF(I134="Market",Retention*LCRenewal*H134*D134*(1+GrowthMarketRent)^7+(1-Retention)*LCNew*H134*D134*(1+GrowthMarketRent)^7,IF(I134="LeaseUp",LCNew*H134*D134*(1+GrowthMarketRent)^7,IF(I134="Option",LCRenewal*H134*D134*(1+GrowthMarketRent)^7,0))))),0))),0)</f>
        <v/>
      </c>
      <c r="AG134" s="14">
        <f>IFERROR(IF(AND(I134="LeaseUp",8=0),(IF(I134="Vacate",TINew*D134,IF(I134="Market",Retention*TIRenewal*D134+(1-Retention)*TINew*D134,IF(I134="LeaseUp",TINew*D134,IF(I134="Option",TIRenewal*D134,0)))))+(IF(I134="Vacate",LCNew*H134*D134*(1+GrowthMarketRent)^8,IF(I134="Market",Retention*LCRenewal*H134*D134*(1+GrowthMarketRent)^8+(1-Retention)*LCNew*H134*D134*(1+GrowthMarketRent)^8,IF(I134="LeaseUp",LCNew*H134*D134*(1+GrowthMarketRent)^8,IF(I134="Option",LCRenewal*H134*D134*(1+GrowthMarketRent)^8,0))))),IF(F134="",0,IF(AND(F134&gt;=DATE(2026+8,5,1),F134&lt;=DATE(2027+8,4,30)),(IF(I134="Vacate",TINew*D134,IF(I134="Market",Retention*TIRenewal*D134+(1-Retention)*TINew*D134,IF(I134="LeaseUp",TINew*D134,IF(I134="Option",TIRenewal*D134,0)))))+(IF(I134="Vacate",LCNew*H134*D134*(1+GrowthMarketRent)^8,IF(I134="Market",Retention*LCRenewal*H134*D134*(1+GrowthMarketRent)^8+(1-Retention)*LCNew*H134*D134*(1+GrowthMarketRent)^8,IF(I134="LeaseUp",LCNew*H134*D134*(1+GrowthMarketRent)^8,IF(I134="Option",LCRenewal*H134*D134*(1+GrowthMarketRent)^8,0))))),0))),0)</f>
        <v/>
      </c>
      <c r="AH134" s="14">
        <f>IFERROR(IF(AND(I134="LeaseUp",9=0),(IF(I134="Vacate",TINew*D134,IF(I134="Market",Retention*TIRenewal*D134+(1-Retention)*TINew*D134,IF(I134="LeaseUp",TINew*D134,IF(I134="Option",TIRenewal*D134,0)))))+(IF(I134="Vacate",LCNew*H134*D134*(1+GrowthMarketRent)^9,IF(I134="Market",Retention*LCRenewal*H134*D134*(1+GrowthMarketRent)^9+(1-Retention)*LCNew*H134*D134*(1+GrowthMarketRent)^9,IF(I134="LeaseUp",LCNew*H134*D134*(1+GrowthMarketRent)^9,IF(I134="Option",LCRenewal*H134*D134*(1+GrowthMarketRent)^9,0))))),IF(F134="",0,IF(AND(F134&gt;=DATE(2026+9,5,1),F134&lt;=DATE(2027+9,4,30)),(IF(I134="Vacate",TINew*D134,IF(I134="Market",Retention*TIRenewal*D134+(1-Retention)*TINew*D134,IF(I134="LeaseUp",TINew*D134,IF(I134="Option",TIRenewal*D134,0)))))+(IF(I134="Vacate",LCNew*H134*D134*(1+GrowthMarketRent)^9,IF(I134="Market",Retention*LCRenewal*H134*D134*(1+GrowthMarketRent)^9+(1-Retention)*LCNew*H134*D134*(1+GrowthMarketRent)^9,IF(I134="LeaseUp",LCNew*H134*D134*(1+GrowthMarketRent)^9,IF(I134="Option",LCRenewal*H134*D134*(1+GrowthMarketRent)^9,0))))),0))),0)</f>
        <v/>
      </c>
      <c r="AI134" s="14">
        <f>IFERROR(IF(AND(I134="LeaseUp",10=0),(IF(I134="Vacate",TINew*D134,IF(I134="Market",Retention*TIRenewal*D134+(1-Retention)*TINew*D134,IF(I134="LeaseUp",TINew*D134,IF(I134="Option",TIRenewal*D134,0)))))+(IF(I134="Vacate",LCNew*H134*D134*(1+GrowthMarketRent)^10,IF(I134="Market",Retention*LCRenewal*H134*D134*(1+GrowthMarketRent)^10+(1-Retention)*LCNew*H134*D134*(1+GrowthMarketRent)^10,IF(I134="LeaseUp",LCNew*H134*D134*(1+GrowthMarketRent)^10,IF(I134="Option",LCRenewal*H134*D134*(1+GrowthMarketRent)^10,0))))),IF(F134="",0,IF(AND(F134&gt;=DATE(2026+10,5,1),F134&lt;=DATE(2027+10,4,30)),(IF(I134="Vacate",TINew*D134,IF(I134="Market",Retention*TIRenewal*D134+(1-Retention)*TINew*D134,IF(I134="LeaseUp",TINew*D134,IF(I134="Option",TIRenewal*D134,0)))))+(IF(I134="Vacate",LCNew*H134*D134*(1+GrowthMarketRent)^10,IF(I134="Market",Retention*LCRenewal*H134*D134*(1+GrowthMarketRent)^10+(1-Retention)*LCNew*H134*D134*(1+GrowthMarketRent)^10,IF(I134="LeaseUp",LCNew*H134*D134*(1+GrowthMarketRent)^10,IF(I134="Option",LCRenewal*H134*D134*(1+GrowthMarketRent)^10,0))))),0))),0)</f>
        <v/>
      </c>
    </row>
    <row r="135">
      <c r="A135" t="inlineStr">
        <is>
          <t>Roanoke</t>
        </is>
      </c>
      <c r="B135" t="inlineStr">
        <is>
          <t>132A</t>
        </is>
      </c>
      <c r="C135" t="inlineStr">
        <is>
          <t>B&amp;A Floors LLC</t>
        </is>
      </c>
      <c r="D135" s="32" t="n">
        <v>3675</v>
      </c>
      <c r="E135" s="33" t="n">
        <v>45870</v>
      </c>
      <c r="F135" s="33" t="n">
        <v>47150</v>
      </c>
      <c r="G135" s="34" t="n">
        <v>18</v>
      </c>
      <c r="H135" s="16">
        <f>VLOOKUP(A135,MLA!$A$5:$L$11,3,FALSE)</f>
        <v/>
      </c>
      <c r="I135" s="11" t="inlineStr">
        <is>
          <t>Option</t>
        </is>
      </c>
      <c r="J135" t="inlineStr">
        <is>
          <t>Shop</t>
        </is>
      </c>
      <c r="K135" t="inlineStr">
        <is>
          <t>Occupied</t>
        </is>
      </c>
      <c r="L135" t="inlineStr">
        <is>
          <t>Shop; Guarantor: Benson Kelly; Two 3yr options @ FMV</t>
        </is>
      </c>
      <c r="M135" s="20">
        <f>IF(E135="",0,(AnalysisStart-E135)/365.25)</f>
        <v/>
      </c>
      <c r="N135" s="14">
        <f>IFERROR(IF(I135="LeaseUp",H135*D135*(1+GrowthMarketRent)^0*IF(0=0,(12-DowntimeNew)/12,1),IF(F135="",0,IF(F135&gt;=DATE(2027+0,4,30),G135*D135*(1+EscalatorInLease)^(0+M135),IF(F135&lt;DATE(2026+0,5,1),IF(I135="Vacate",H135*D135*(1+GrowthMarketRent)^0*IF(INT((DATE(2026+0,10,31)-F135)/365.25)=0,(12-DowntimeNew)/12,1),IF(I135="Option",G135*D135*1.025*(1+EscalatorInLease)^0,IF(I135="Market",Retention*G135*D135*(1+EscalatorInLease)^(0+M135)+(1-Retention)*H135*D135*(1+GrowthMarketRent)^0*IF(INT((DATE(2026+0,10,31)-F135)/365.25)=0,(12-DowntimeNew)/12,1),IF(I135="LeaseUp",H135*D135*(1+GrowthMarketRent)^0*IF(0=0,(12-DowntimeNew)/12,1),0)))),((F135-DATE(2026+0,5,1))/365.25)*G135*D135*(1+EscalatorInLease)^(0+M135)+((DATE(2027+0,4,30)-F135)/365.25)*IF(I135="Vacate",H135*D135*(1+GrowthMarketRent)^0*IF(INT((DATE(2026+0,10,31)-F135)/365.25)=0,(12-DowntimeNew)/12,1),IF(I135="Option",G135*D135*1.025*(1+EscalatorInLease)^0,IF(I135="Market",Retention*G135*D135*(1+EscalatorInLease)^(0+M135)+(1-Retention)*H135*D135*(1+GrowthMarketRent)^0*IF(INT((DATE(2026+0,10,31)-F135)/365.25)=0,(12-DowntimeNew)/12,1),IF(I135="LeaseUp",H135*D135*(1+GrowthMarketRent)^0*IF(0=0,(12-DowntimeNew)/12,1),0)))))))),0)</f>
        <v/>
      </c>
      <c r="O135" s="14">
        <f>IFERROR(IF(I135="LeaseUp",H135*D135*(1+GrowthMarketRent)^1*IF(1=0,(12-DowntimeNew)/12,1),IF(F135="",0,IF(F135&gt;=DATE(2027+1,4,30),G135*D135*(1+EscalatorInLease)^(1+M135),IF(F135&lt;DATE(2026+1,5,1),IF(I135="Vacate",H135*D135*(1+GrowthMarketRent)^1*IF(INT((DATE(2026+1,10,31)-F135)/365.25)=0,(12-DowntimeNew)/12,1),IF(I135="Option",G135*D135*1.025*(1+EscalatorInLease)^1,IF(I135="Market",Retention*G135*D135*(1+EscalatorInLease)^(1+M135)+(1-Retention)*H135*D135*(1+GrowthMarketRent)^1*IF(INT((DATE(2026+1,10,31)-F135)/365.25)=0,(12-DowntimeNew)/12,1),IF(I135="LeaseUp",H135*D135*(1+GrowthMarketRent)^1*IF(1=0,(12-DowntimeNew)/12,1),0)))),((F135-DATE(2026+1,5,1))/365.25)*G135*D135*(1+EscalatorInLease)^(1+M135)+((DATE(2027+1,4,30)-F135)/365.25)*IF(I135="Vacate",H135*D135*(1+GrowthMarketRent)^1*IF(INT((DATE(2026+1,10,31)-F135)/365.25)=0,(12-DowntimeNew)/12,1),IF(I135="Option",G135*D135*1.025*(1+EscalatorInLease)^1,IF(I135="Market",Retention*G135*D135*(1+EscalatorInLease)^(1+M135)+(1-Retention)*H135*D135*(1+GrowthMarketRent)^1*IF(INT((DATE(2026+1,10,31)-F135)/365.25)=0,(12-DowntimeNew)/12,1),IF(I135="LeaseUp",H135*D135*(1+GrowthMarketRent)^1*IF(1=0,(12-DowntimeNew)/12,1),0)))))))),0)</f>
        <v/>
      </c>
      <c r="P135" s="14">
        <f>IFERROR(IF(I135="LeaseUp",H135*D135*(1+GrowthMarketRent)^2*IF(2=0,(12-DowntimeNew)/12,1),IF(F135="",0,IF(F135&gt;=DATE(2027+2,4,30),G135*D135*(1+EscalatorInLease)^(2+M135),IF(F135&lt;DATE(2026+2,5,1),IF(I135="Vacate",H135*D135*(1+GrowthMarketRent)^2*IF(INT((DATE(2026+2,10,31)-F135)/365.25)=0,(12-DowntimeNew)/12,1),IF(I135="Option",G135*D135*1.025*(1+EscalatorInLease)^2,IF(I135="Market",Retention*G135*D135*(1+EscalatorInLease)^(2+M135)+(1-Retention)*H135*D135*(1+GrowthMarketRent)^2*IF(INT((DATE(2026+2,10,31)-F135)/365.25)=0,(12-DowntimeNew)/12,1),IF(I135="LeaseUp",H135*D135*(1+GrowthMarketRent)^2*IF(2=0,(12-DowntimeNew)/12,1),0)))),((F135-DATE(2026+2,5,1))/365.25)*G135*D135*(1+EscalatorInLease)^(2+M135)+((DATE(2027+2,4,30)-F135)/365.25)*IF(I135="Vacate",H135*D135*(1+GrowthMarketRent)^2*IF(INT((DATE(2026+2,10,31)-F135)/365.25)=0,(12-DowntimeNew)/12,1),IF(I135="Option",G135*D135*1.025*(1+EscalatorInLease)^2,IF(I135="Market",Retention*G135*D135*(1+EscalatorInLease)^(2+M135)+(1-Retention)*H135*D135*(1+GrowthMarketRent)^2*IF(INT((DATE(2026+2,10,31)-F135)/365.25)=0,(12-DowntimeNew)/12,1),IF(I135="LeaseUp",H135*D135*(1+GrowthMarketRent)^2*IF(2=0,(12-DowntimeNew)/12,1),0)))))))),0)</f>
        <v/>
      </c>
      <c r="Q135" s="14">
        <f>IFERROR(IF(I135="LeaseUp",H135*D135*(1+GrowthMarketRent)^3*IF(3=0,(12-DowntimeNew)/12,1),IF(F135="",0,IF(F135&gt;=DATE(2027+3,4,30),G135*D135*(1+EscalatorInLease)^(3+M135),IF(F135&lt;DATE(2026+3,5,1),IF(I135="Vacate",H135*D135*(1+GrowthMarketRent)^3*IF(INT((DATE(2026+3,10,31)-F135)/365.25)=0,(12-DowntimeNew)/12,1),IF(I135="Option",G135*D135*1.025*(1+EscalatorInLease)^3,IF(I135="Market",Retention*G135*D135*(1+EscalatorInLease)^(3+M135)+(1-Retention)*H135*D135*(1+GrowthMarketRent)^3*IF(INT((DATE(2026+3,10,31)-F135)/365.25)=0,(12-DowntimeNew)/12,1),IF(I135="LeaseUp",H135*D135*(1+GrowthMarketRent)^3*IF(3=0,(12-DowntimeNew)/12,1),0)))),((F135-DATE(2026+3,5,1))/365.25)*G135*D135*(1+EscalatorInLease)^(3+M135)+((DATE(2027+3,4,30)-F135)/365.25)*IF(I135="Vacate",H135*D135*(1+GrowthMarketRent)^3*IF(INT((DATE(2026+3,10,31)-F135)/365.25)=0,(12-DowntimeNew)/12,1),IF(I135="Option",G135*D135*1.025*(1+EscalatorInLease)^3,IF(I135="Market",Retention*G135*D135*(1+EscalatorInLease)^(3+M135)+(1-Retention)*H135*D135*(1+GrowthMarketRent)^3*IF(INT((DATE(2026+3,10,31)-F135)/365.25)=0,(12-DowntimeNew)/12,1),IF(I135="LeaseUp",H135*D135*(1+GrowthMarketRent)^3*IF(3=0,(12-DowntimeNew)/12,1),0)))))))),0)</f>
        <v/>
      </c>
      <c r="R135" s="14">
        <f>IFERROR(IF(I135="LeaseUp",H135*D135*(1+GrowthMarketRent)^4*IF(4=0,(12-DowntimeNew)/12,1),IF(F135="",0,IF(F135&gt;=DATE(2027+4,4,30),G135*D135*(1+EscalatorInLease)^(4+M135),IF(F135&lt;DATE(2026+4,5,1),IF(I135="Vacate",H135*D135*(1+GrowthMarketRent)^4*IF(INT((DATE(2026+4,10,31)-F135)/365.25)=0,(12-DowntimeNew)/12,1),IF(I135="Option",G135*D135*1.025*(1+EscalatorInLease)^4,IF(I135="Market",Retention*G135*D135*(1+EscalatorInLease)^(4+M135)+(1-Retention)*H135*D135*(1+GrowthMarketRent)^4*IF(INT((DATE(2026+4,10,31)-F135)/365.25)=0,(12-DowntimeNew)/12,1),IF(I135="LeaseUp",H135*D135*(1+GrowthMarketRent)^4*IF(4=0,(12-DowntimeNew)/12,1),0)))),((F135-DATE(2026+4,5,1))/365.25)*G135*D135*(1+EscalatorInLease)^(4+M135)+((DATE(2027+4,4,30)-F135)/365.25)*IF(I135="Vacate",H135*D135*(1+GrowthMarketRent)^4*IF(INT((DATE(2026+4,10,31)-F135)/365.25)=0,(12-DowntimeNew)/12,1),IF(I135="Option",G135*D135*1.025*(1+EscalatorInLease)^4,IF(I135="Market",Retention*G135*D135*(1+EscalatorInLease)^(4+M135)+(1-Retention)*H135*D135*(1+GrowthMarketRent)^4*IF(INT((DATE(2026+4,10,31)-F135)/365.25)=0,(12-DowntimeNew)/12,1),IF(I135="LeaseUp",H135*D135*(1+GrowthMarketRent)^4*IF(4=0,(12-DowntimeNew)/12,1),0)))))))),0)</f>
        <v/>
      </c>
      <c r="S135" s="14">
        <f>IFERROR(IF(I135="LeaseUp",H135*D135*(1+GrowthMarketRent)^5*IF(5=0,(12-DowntimeNew)/12,1),IF(F135="",0,IF(F135&gt;=DATE(2027+5,4,30),G135*D135*(1+EscalatorInLease)^(5+M135),IF(F135&lt;DATE(2026+5,5,1),IF(I135="Vacate",H135*D135*(1+GrowthMarketRent)^5*IF(INT((DATE(2026+5,10,31)-F135)/365.25)=0,(12-DowntimeNew)/12,1),IF(I135="Option",G135*D135*1.025*(1+EscalatorInLease)^5,IF(I135="Market",Retention*G135*D135*(1+EscalatorInLease)^(5+M135)+(1-Retention)*H135*D135*(1+GrowthMarketRent)^5*IF(INT((DATE(2026+5,10,31)-F135)/365.25)=0,(12-DowntimeNew)/12,1),IF(I135="LeaseUp",H135*D135*(1+GrowthMarketRent)^5*IF(5=0,(12-DowntimeNew)/12,1),0)))),((F135-DATE(2026+5,5,1))/365.25)*G135*D135*(1+EscalatorInLease)^(5+M135)+((DATE(2027+5,4,30)-F135)/365.25)*IF(I135="Vacate",H135*D135*(1+GrowthMarketRent)^5*IF(INT((DATE(2026+5,10,31)-F135)/365.25)=0,(12-DowntimeNew)/12,1),IF(I135="Option",G135*D135*1.025*(1+EscalatorInLease)^5,IF(I135="Market",Retention*G135*D135*(1+EscalatorInLease)^(5+M135)+(1-Retention)*H135*D135*(1+GrowthMarketRent)^5*IF(INT((DATE(2026+5,10,31)-F135)/365.25)=0,(12-DowntimeNew)/12,1),IF(I135="LeaseUp",H135*D135*(1+GrowthMarketRent)^5*IF(5=0,(12-DowntimeNew)/12,1),0)))))))),0)</f>
        <v/>
      </c>
      <c r="T135" s="14">
        <f>IFERROR(IF(I135="LeaseUp",H135*D135*(1+GrowthMarketRent)^6*IF(6=0,(12-DowntimeNew)/12,1),IF(F135="",0,IF(F135&gt;=DATE(2027+6,4,30),G135*D135*(1+EscalatorInLease)^(6+M135),IF(F135&lt;DATE(2026+6,5,1),IF(I135="Vacate",H135*D135*(1+GrowthMarketRent)^6*IF(INT((DATE(2026+6,10,31)-F135)/365.25)=0,(12-DowntimeNew)/12,1),IF(I135="Option",G135*D135*1.025*(1+EscalatorInLease)^6,IF(I135="Market",Retention*G135*D135*(1+EscalatorInLease)^(6+M135)+(1-Retention)*H135*D135*(1+GrowthMarketRent)^6*IF(INT((DATE(2026+6,10,31)-F135)/365.25)=0,(12-DowntimeNew)/12,1),IF(I135="LeaseUp",H135*D135*(1+GrowthMarketRent)^6*IF(6=0,(12-DowntimeNew)/12,1),0)))),((F135-DATE(2026+6,5,1))/365.25)*G135*D135*(1+EscalatorInLease)^(6+M135)+((DATE(2027+6,4,30)-F135)/365.25)*IF(I135="Vacate",H135*D135*(1+GrowthMarketRent)^6*IF(INT((DATE(2026+6,10,31)-F135)/365.25)=0,(12-DowntimeNew)/12,1),IF(I135="Option",G135*D135*1.025*(1+EscalatorInLease)^6,IF(I135="Market",Retention*G135*D135*(1+EscalatorInLease)^(6+M135)+(1-Retention)*H135*D135*(1+GrowthMarketRent)^6*IF(INT((DATE(2026+6,10,31)-F135)/365.25)=0,(12-DowntimeNew)/12,1),IF(I135="LeaseUp",H135*D135*(1+GrowthMarketRent)^6*IF(6=0,(12-DowntimeNew)/12,1),0)))))))),0)</f>
        <v/>
      </c>
      <c r="U135" s="14">
        <f>IFERROR(IF(I135="LeaseUp",H135*D135*(1+GrowthMarketRent)^7*IF(7=0,(12-DowntimeNew)/12,1),IF(F135="",0,IF(F135&gt;=DATE(2027+7,4,30),G135*D135*(1+EscalatorInLease)^(7+M135),IF(F135&lt;DATE(2026+7,5,1),IF(I135="Vacate",H135*D135*(1+GrowthMarketRent)^7*IF(INT((DATE(2026+7,10,31)-F135)/365.25)=0,(12-DowntimeNew)/12,1),IF(I135="Option",G135*D135*1.025*(1+EscalatorInLease)^7,IF(I135="Market",Retention*G135*D135*(1+EscalatorInLease)^(7+M135)+(1-Retention)*H135*D135*(1+GrowthMarketRent)^7*IF(INT((DATE(2026+7,10,31)-F135)/365.25)=0,(12-DowntimeNew)/12,1),IF(I135="LeaseUp",H135*D135*(1+GrowthMarketRent)^7*IF(7=0,(12-DowntimeNew)/12,1),0)))),((F135-DATE(2026+7,5,1))/365.25)*G135*D135*(1+EscalatorInLease)^(7+M135)+((DATE(2027+7,4,30)-F135)/365.25)*IF(I135="Vacate",H135*D135*(1+GrowthMarketRent)^7*IF(INT((DATE(2026+7,10,31)-F135)/365.25)=0,(12-DowntimeNew)/12,1),IF(I135="Option",G135*D135*1.025*(1+EscalatorInLease)^7,IF(I135="Market",Retention*G135*D135*(1+EscalatorInLease)^(7+M135)+(1-Retention)*H135*D135*(1+GrowthMarketRent)^7*IF(INT((DATE(2026+7,10,31)-F135)/365.25)=0,(12-DowntimeNew)/12,1),IF(I135="LeaseUp",H135*D135*(1+GrowthMarketRent)^7*IF(7=0,(12-DowntimeNew)/12,1),0)))))))),0)</f>
        <v/>
      </c>
      <c r="V135" s="14">
        <f>IFERROR(IF(I135="LeaseUp",H135*D135*(1+GrowthMarketRent)^8*IF(8=0,(12-DowntimeNew)/12,1),IF(F135="",0,IF(F135&gt;=DATE(2027+8,4,30),G135*D135*(1+EscalatorInLease)^(8+M135),IF(F135&lt;DATE(2026+8,5,1),IF(I135="Vacate",H135*D135*(1+GrowthMarketRent)^8*IF(INT((DATE(2026+8,10,31)-F135)/365.25)=0,(12-DowntimeNew)/12,1),IF(I135="Option",G135*D135*1.025*(1+EscalatorInLease)^8,IF(I135="Market",Retention*G135*D135*(1+EscalatorInLease)^(8+M135)+(1-Retention)*H135*D135*(1+GrowthMarketRent)^8*IF(INT((DATE(2026+8,10,31)-F135)/365.25)=0,(12-DowntimeNew)/12,1),IF(I135="LeaseUp",H135*D135*(1+GrowthMarketRent)^8*IF(8=0,(12-DowntimeNew)/12,1),0)))),((F135-DATE(2026+8,5,1))/365.25)*G135*D135*(1+EscalatorInLease)^(8+M135)+((DATE(2027+8,4,30)-F135)/365.25)*IF(I135="Vacate",H135*D135*(1+GrowthMarketRent)^8*IF(INT((DATE(2026+8,10,31)-F135)/365.25)=0,(12-DowntimeNew)/12,1),IF(I135="Option",G135*D135*1.025*(1+EscalatorInLease)^8,IF(I135="Market",Retention*G135*D135*(1+EscalatorInLease)^(8+M135)+(1-Retention)*H135*D135*(1+GrowthMarketRent)^8*IF(INT((DATE(2026+8,10,31)-F135)/365.25)=0,(12-DowntimeNew)/12,1),IF(I135="LeaseUp",H135*D135*(1+GrowthMarketRent)^8*IF(8=0,(12-DowntimeNew)/12,1),0)))))))),0)</f>
        <v/>
      </c>
      <c r="W135" s="14">
        <f>IFERROR(IF(I135="LeaseUp",H135*D135*(1+GrowthMarketRent)^9*IF(9=0,(12-DowntimeNew)/12,1),IF(F135="",0,IF(F135&gt;=DATE(2027+9,4,30),G135*D135*(1+EscalatorInLease)^(9+M135),IF(F135&lt;DATE(2026+9,5,1),IF(I135="Vacate",H135*D135*(1+GrowthMarketRent)^9*IF(INT((DATE(2026+9,10,31)-F135)/365.25)=0,(12-DowntimeNew)/12,1),IF(I135="Option",G135*D135*1.025*(1+EscalatorInLease)^9,IF(I135="Market",Retention*G135*D135*(1+EscalatorInLease)^(9+M135)+(1-Retention)*H135*D135*(1+GrowthMarketRent)^9*IF(INT((DATE(2026+9,10,31)-F135)/365.25)=0,(12-DowntimeNew)/12,1),IF(I135="LeaseUp",H135*D135*(1+GrowthMarketRent)^9*IF(9=0,(12-DowntimeNew)/12,1),0)))),((F135-DATE(2026+9,5,1))/365.25)*G135*D135*(1+EscalatorInLease)^(9+M135)+((DATE(2027+9,4,30)-F135)/365.25)*IF(I135="Vacate",H135*D135*(1+GrowthMarketRent)^9*IF(INT((DATE(2026+9,10,31)-F135)/365.25)=0,(12-DowntimeNew)/12,1),IF(I135="Option",G135*D135*1.025*(1+EscalatorInLease)^9,IF(I135="Market",Retention*G135*D135*(1+EscalatorInLease)^(9+M135)+(1-Retention)*H135*D135*(1+GrowthMarketRent)^9*IF(INT((DATE(2026+9,10,31)-F135)/365.25)=0,(12-DowntimeNew)/12,1),IF(I135="LeaseUp",H135*D135*(1+GrowthMarketRent)^9*IF(9=0,(12-DowntimeNew)/12,1),0)))))))),0)</f>
        <v/>
      </c>
      <c r="X135" s="14">
        <f>IFERROR(IF(I135="LeaseUp",H135*D135*(1+GrowthMarketRent)^10*IF(10=0,(12-DowntimeNew)/12,1),IF(F135="",0,IF(F135&gt;=DATE(2027+10,4,30),G135*D135*(1+EscalatorInLease)^(10+M135),IF(F135&lt;DATE(2026+10,5,1),IF(I135="Vacate",H135*D135*(1+GrowthMarketRent)^10*IF(INT((DATE(2026+10,10,31)-F135)/365.25)=0,(12-DowntimeNew)/12,1),IF(I135="Option",G135*D135*1.025*(1+EscalatorInLease)^10,IF(I135="Market",Retention*G135*D135*(1+EscalatorInLease)^(10+M135)+(1-Retention)*H135*D135*(1+GrowthMarketRent)^10*IF(INT((DATE(2026+10,10,31)-F135)/365.25)=0,(12-DowntimeNew)/12,1),IF(I135="LeaseUp",H135*D135*(1+GrowthMarketRent)^10*IF(10=0,(12-DowntimeNew)/12,1),0)))),((F135-DATE(2026+10,5,1))/365.25)*G135*D135*(1+EscalatorInLease)^(10+M135)+((DATE(2027+10,4,30)-F135)/365.25)*IF(I135="Vacate",H135*D135*(1+GrowthMarketRent)^10*IF(INT((DATE(2026+10,10,31)-F135)/365.25)=0,(12-DowntimeNew)/12,1),IF(I135="Option",G135*D135*1.025*(1+EscalatorInLease)^10,IF(I135="Market",Retention*G135*D135*(1+EscalatorInLease)^(10+M135)+(1-Retention)*H135*D135*(1+GrowthMarketRent)^10*IF(INT((DATE(2026+10,10,31)-F135)/365.25)=0,(12-DowntimeNew)/12,1),IF(I135="LeaseUp",H135*D135*(1+GrowthMarketRent)^10*IF(10=0,(12-DowntimeNew)/12,1),0)))))))),0)</f>
        <v/>
      </c>
      <c r="Y135" s="14">
        <f>IFERROR(IF(AND(I135="LeaseUp",0=0),(IF(I135="Vacate",TINew*D135,IF(I135="Market",Retention*TIRenewal*D135+(1-Retention)*TINew*D135,IF(I135="LeaseUp",TINew*D135,IF(I135="Option",TIRenewal*D135,0)))))+(IF(I135="Vacate",LCNew*H135*D135*(1+GrowthMarketRent)^0,IF(I135="Market",Retention*LCRenewal*H135*D135*(1+GrowthMarketRent)^0+(1-Retention)*LCNew*H135*D135*(1+GrowthMarketRent)^0,IF(I135="LeaseUp",LCNew*H135*D135*(1+GrowthMarketRent)^0,IF(I135="Option",LCRenewal*H135*D135*(1+GrowthMarketRent)^0,0))))),IF(F135="",0,IF(AND(F135&gt;=DATE(2026+0,5,1),F135&lt;=DATE(2027+0,4,30)),(IF(I135="Vacate",TINew*D135,IF(I135="Market",Retention*TIRenewal*D135+(1-Retention)*TINew*D135,IF(I135="LeaseUp",TINew*D135,IF(I135="Option",TIRenewal*D135,0)))))+(IF(I135="Vacate",LCNew*H135*D135*(1+GrowthMarketRent)^0,IF(I135="Market",Retention*LCRenewal*H135*D135*(1+GrowthMarketRent)^0+(1-Retention)*LCNew*H135*D135*(1+GrowthMarketRent)^0,IF(I135="LeaseUp",LCNew*H135*D135*(1+GrowthMarketRent)^0,IF(I135="Option",LCRenewal*H135*D135*(1+GrowthMarketRent)^0,0))))),0))),0)</f>
        <v/>
      </c>
      <c r="Z135" s="14">
        <f>IFERROR(IF(AND(I135="LeaseUp",1=0),(IF(I135="Vacate",TINew*D135,IF(I135="Market",Retention*TIRenewal*D135+(1-Retention)*TINew*D135,IF(I135="LeaseUp",TINew*D135,IF(I135="Option",TIRenewal*D135,0)))))+(IF(I135="Vacate",LCNew*H135*D135*(1+GrowthMarketRent)^1,IF(I135="Market",Retention*LCRenewal*H135*D135*(1+GrowthMarketRent)^1+(1-Retention)*LCNew*H135*D135*(1+GrowthMarketRent)^1,IF(I135="LeaseUp",LCNew*H135*D135*(1+GrowthMarketRent)^1,IF(I135="Option",LCRenewal*H135*D135*(1+GrowthMarketRent)^1,0))))),IF(F135="",0,IF(AND(F135&gt;=DATE(2026+1,5,1),F135&lt;=DATE(2027+1,4,30)),(IF(I135="Vacate",TINew*D135,IF(I135="Market",Retention*TIRenewal*D135+(1-Retention)*TINew*D135,IF(I135="LeaseUp",TINew*D135,IF(I135="Option",TIRenewal*D135,0)))))+(IF(I135="Vacate",LCNew*H135*D135*(1+GrowthMarketRent)^1,IF(I135="Market",Retention*LCRenewal*H135*D135*(1+GrowthMarketRent)^1+(1-Retention)*LCNew*H135*D135*(1+GrowthMarketRent)^1,IF(I135="LeaseUp",LCNew*H135*D135*(1+GrowthMarketRent)^1,IF(I135="Option",LCRenewal*H135*D135*(1+GrowthMarketRent)^1,0))))),0))),0)</f>
        <v/>
      </c>
      <c r="AA135" s="14">
        <f>IFERROR(IF(AND(I135="LeaseUp",2=0),(IF(I135="Vacate",TINew*D135,IF(I135="Market",Retention*TIRenewal*D135+(1-Retention)*TINew*D135,IF(I135="LeaseUp",TINew*D135,IF(I135="Option",TIRenewal*D135,0)))))+(IF(I135="Vacate",LCNew*H135*D135*(1+GrowthMarketRent)^2,IF(I135="Market",Retention*LCRenewal*H135*D135*(1+GrowthMarketRent)^2+(1-Retention)*LCNew*H135*D135*(1+GrowthMarketRent)^2,IF(I135="LeaseUp",LCNew*H135*D135*(1+GrowthMarketRent)^2,IF(I135="Option",LCRenewal*H135*D135*(1+GrowthMarketRent)^2,0))))),IF(F135="",0,IF(AND(F135&gt;=DATE(2026+2,5,1),F135&lt;=DATE(2027+2,4,30)),(IF(I135="Vacate",TINew*D135,IF(I135="Market",Retention*TIRenewal*D135+(1-Retention)*TINew*D135,IF(I135="LeaseUp",TINew*D135,IF(I135="Option",TIRenewal*D135,0)))))+(IF(I135="Vacate",LCNew*H135*D135*(1+GrowthMarketRent)^2,IF(I135="Market",Retention*LCRenewal*H135*D135*(1+GrowthMarketRent)^2+(1-Retention)*LCNew*H135*D135*(1+GrowthMarketRent)^2,IF(I135="LeaseUp",LCNew*H135*D135*(1+GrowthMarketRent)^2,IF(I135="Option",LCRenewal*H135*D135*(1+GrowthMarketRent)^2,0))))),0))),0)</f>
        <v/>
      </c>
      <c r="AB135" s="14">
        <f>IFERROR(IF(AND(I135="LeaseUp",3=0),(IF(I135="Vacate",TINew*D135,IF(I135="Market",Retention*TIRenewal*D135+(1-Retention)*TINew*D135,IF(I135="LeaseUp",TINew*D135,IF(I135="Option",TIRenewal*D135,0)))))+(IF(I135="Vacate",LCNew*H135*D135*(1+GrowthMarketRent)^3,IF(I135="Market",Retention*LCRenewal*H135*D135*(1+GrowthMarketRent)^3+(1-Retention)*LCNew*H135*D135*(1+GrowthMarketRent)^3,IF(I135="LeaseUp",LCNew*H135*D135*(1+GrowthMarketRent)^3,IF(I135="Option",LCRenewal*H135*D135*(1+GrowthMarketRent)^3,0))))),IF(F135="",0,IF(AND(F135&gt;=DATE(2026+3,5,1),F135&lt;=DATE(2027+3,4,30)),(IF(I135="Vacate",TINew*D135,IF(I135="Market",Retention*TIRenewal*D135+(1-Retention)*TINew*D135,IF(I135="LeaseUp",TINew*D135,IF(I135="Option",TIRenewal*D135,0)))))+(IF(I135="Vacate",LCNew*H135*D135*(1+GrowthMarketRent)^3,IF(I135="Market",Retention*LCRenewal*H135*D135*(1+GrowthMarketRent)^3+(1-Retention)*LCNew*H135*D135*(1+GrowthMarketRent)^3,IF(I135="LeaseUp",LCNew*H135*D135*(1+GrowthMarketRent)^3,IF(I135="Option",LCRenewal*H135*D135*(1+GrowthMarketRent)^3,0))))),0))),0)</f>
        <v/>
      </c>
      <c r="AC135" s="14">
        <f>IFERROR(IF(AND(I135="LeaseUp",4=0),(IF(I135="Vacate",TINew*D135,IF(I135="Market",Retention*TIRenewal*D135+(1-Retention)*TINew*D135,IF(I135="LeaseUp",TINew*D135,IF(I135="Option",TIRenewal*D135,0)))))+(IF(I135="Vacate",LCNew*H135*D135*(1+GrowthMarketRent)^4,IF(I135="Market",Retention*LCRenewal*H135*D135*(1+GrowthMarketRent)^4+(1-Retention)*LCNew*H135*D135*(1+GrowthMarketRent)^4,IF(I135="LeaseUp",LCNew*H135*D135*(1+GrowthMarketRent)^4,IF(I135="Option",LCRenewal*H135*D135*(1+GrowthMarketRent)^4,0))))),IF(F135="",0,IF(AND(F135&gt;=DATE(2026+4,5,1),F135&lt;=DATE(2027+4,4,30)),(IF(I135="Vacate",TINew*D135,IF(I135="Market",Retention*TIRenewal*D135+(1-Retention)*TINew*D135,IF(I135="LeaseUp",TINew*D135,IF(I135="Option",TIRenewal*D135,0)))))+(IF(I135="Vacate",LCNew*H135*D135*(1+GrowthMarketRent)^4,IF(I135="Market",Retention*LCRenewal*H135*D135*(1+GrowthMarketRent)^4+(1-Retention)*LCNew*H135*D135*(1+GrowthMarketRent)^4,IF(I135="LeaseUp",LCNew*H135*D135*(1+GrowthMarketRent)^4,IF(I135="Option",LCRenewal*H135*D135*(1+GrowthMarketRent)^4,0))))),0))),0)</f>
        <v/>
      </c>
      <c r="AD135" s="14">
        <f>IFERROR(IF(AND(I135="LeaseUp",5=0),(IF(I135="Vacate",TINew*D135,IF(I135="Market",Retention*TIRenewal*D135+(1-Retention)*TINew*D135,IF(I135="LeaseUp",TINew*D135,IF(I135="Option",TIRenewal*D135,0)))))+(IF(I135="Vacate",LCNew*H135*D135*(1+GrowthMarketRent)^5,IF(I135="Market",Retention*LCRenewal*H135*D135*(1+GrowthMarketRent)^5+(1-Retention)*LCNew*H135*D135*(1+GrowthMarketRent)^5,IF(I135="LeaseUp",LCNew*H135*D135*(1+GrowthMarketRent)^5,IF(I135="Option",LCRenewal*H135*D135*(1+GrowthMarketRent)^5,0))))),IF(F135="",0,IF(AND(F135&gt;=DATE(2026+5,5,1),F135&lt;=DATE(2027+5,4,30)),(IF(I135="Vacate",TINew*D135,IF(I135="Market",Retention*TIRenewal*D135+(1-Retention)*TINew*D135,IF(I135="LeaseUp",TINew*D135,IF(I135="Option",TIRenewal*D135,0)))))+(IF(I135="Vacate",LCNew*H135*D135*(1+GrowthMarketRent)^5,IF(I135="Market",Retention*LCRenewal*H135*D135*(1+GrowthMarketRent)^5+(1-Retention)*LCNew*H135*D135*(1+GrowthMarketRent)^5,IF(I135="LeaseUp",LCNew*H135*D135*(1+GrowthMarketRent)^5,IF(I135="Option",LCRenewal*H135*D135*(1+GrowthMarketRent)^5,0))))),0))),0)</f>
        <v/>
      </c>
      <c r="AE135" s="14">
        <f>IFERROR(IF(AND(I135="LeaseUp",6=0),(IF(I135="Vacate",TINew*D135,IF(I135="Market",Retention*TIRenewal*D135+(1-Retention)*TINew*D135,IF(I135="LeaseUp",TINew*D135,IF(I135="Option",TIRenewal*D135,0)))))+(IF(I135="Vacate",LCNew*H135*D135*(1+GrowthMarketRent)^6,IF(I135="Market",Retention*LCRenewal*H135*D135*(1+GrowthMarketRent)^6+(1-Retention)*LCNew*H135*D135*(1+GrowthMarketRent)^6,IF(I135="LeaseUp",LCNew*H135*D135*(1+GrowthMarketRent)^6,IF(I135="Option",LCRenewal*H135*D135*(1+GrowthMarketRent)^6,0))))),IF(F135="",0,IF(AND(F135&gt;=DATE(2026+6,5,1),F135&lt;=DATE(2027+6,4,30)),(IF(I135="Vacate",TINew*D135,IF(I135="Market",Retention*TIRenewal*D135+(1-Retention)*TINew*D135,IF(I135="LeaseUp",TINew*D135,IF(I135="Option",TIRenewal*D135,0)))))+(IF(I135="Vacate",LCNew*H135*D135*(1+GrowthMarketRent)^6,IF(I135="Market",Retention*LCRenewal*H135*D135*(1+GrowthMarketRent)^6+(1-Retention)*LCNew*H135*D135*(1+GrowthMarketRent)^6,IF(I135="LeaseUp",LCNew*H135*D135*(1+GrowthMarketRent)^6,IF(I135="Option",LCRenewal*H135*D135*(1+GrowthMarketRent)^6,0))))),0))),0)</f>
        <v/>
      </c>
      <c r="AF135" s="14">
        <f>IFERROR(IF(AND(I135="LeaseUp",7=0),(IF(I135="Vacate",TINew*D135,IF(I135="Market",Retention*TIRenewal*D135+(1-Retention)*TINew*D135,IF(I135="LeaseUp",TINew*D135,IF(I135="Option",TIRenewal*D135,0)))))+(IF(I135="Vacate",LCNew*H135*D135*(1+GrowthMarketRent)^7,IF(I135="Market",Retention*LCRenewal*H135*D135*(1+GrowthMarketRent)^7+(1-Retention)*LCNew*H135*D135*(1+GrowthMarketRent)^7,IF(I135="LeaseUp",LCNew*H135*D135*(1+GrowthMarketRent)^7,IF(I135="Option",LCRenewal*H135*D135*(1+GrowthMarketRent)^7,0))))),IF(F135="",0,IF(AND(F135&gt;=DATE(2026+7,5,1),F135&lt;=DATE(2027+7,4,30)),(IF(I135="Vacate",TINew*D135,IF(I135="Market",Retention*TIRenewal*D135+(1-Retention)*TINew*D135,IF(I135="LeaseUp",TINew*D135,IF(I135="Option",TIRenewal*D135,0)))))+(IF(I135="Vacate",LCNew*H135*D135*(1+GrowthMarketRent)^7,IF(I135="Market",Retention*LCRenewal*H135*D135*(1+GrowthMarketRent)^7+(1-Retention)*LCNew*H135*D135*(1+GrowthMarketRent)^7,IF(I135="LeaseUp",LCNew*H135*D135*(1+GrowthMarketRent)^7,IF(I135="Option",LCRenewal*H135*D135*(1+GrowthMarketRent)^7,0))))),0))),0)</f>
        <v/>
      </c>
      <c r="AG135" s="14">
        <f>IFERROR(IF(AND(I135="LeaseUp",8=0),(IF(I135="Vacate",TINew*D135,IF(I135="Market",Retention*TIRenewal*D135+(1-Retention)*TINew*D135,IF(I135="LeaseUp",TINew*D135,IF(I135="Option",TIRenewal*D135,0)))))+(IF(I135="Vacate",LCNew*H135*D135*(1+GrowthMarketRent)^8,IF(I135="Market",Retention*LCRenewal*H135*D135*(1+GrowthMarketRent)^8+(1-Retention)*LCNew*H135*D135*(1+GrowthMarketRent)^8,IF(I135="LeaseUp",LCNew*H135*D135*(1+GrowthMarketRent)^8,IF(I135="Option",LCRenewal*H135*D135*(1+GrowthMarketRent)^8,0))))),IF(F135="",0,IF(AND(F135&gt;=DATE(2026+8,5,1),F135&lt;=DATE(2027+8,4,30)),(IF(I135="Vacate",TINew*D135,IF(I135="Market",Retention*TIRenewal*D135+(1-Retention)*TINew*D135,IF(I135="LeaseUp",TINew*D135,IF(I135="Option",TIRenewal*D135,0)))))+(IF(I135="Vacate",LCNew*H135*D135*(1+GrowthMarketRent)^8,IF(I135="Market",Retention*LCRenewal*H135*D135*(1+GrowthMarketRent)^8+(1-Retention)*LCNew*H135*D135*(1+GrowthMarketRent)^8,IF(I135="LeaseUp",LCNew*H135*D135*(1+GrowthMarketRent)^8,IF(I135="Option",LCRenewal*H135*D135*(1+GrowthMarketRent)^8,0))))),0))),0)</f>
        <v/>
      </c>
      <c r="AH135" s="14">
        <f>IFERROR(IF(AND(I135="LeaseUp",9=0),(IF(I135="Vacate",TINew*D135,IF(I135="Market",Retention*TIRenewal*D135+(1-Retention)*TINew*D135,IF(I135="LeaseUp",TINew*D135,IF(I135="Option",TIRenewal*D135,0)))))+(IF(I135="Vacate",LCNew*H135*D135*(1+GrowthMarketRent)^9,IF(I135="Market",Retention*LCRenewal*H135*D135*(1+GrowthMarketRent)^9+(1-Retention)*LCNew*H135*D135*(1+GrowthMarketRent)^9,IF(I135="LeaseUp",LCNew*H135*D135*(1+GrowthMarketRent)^9,IF(I135="Option",LCRenewal*H135*D135*(1+GrowthMarketRent)^9,0))))),IF(F135="",0,IF(AND(F135&gt;=DATE(2026+9,5,1),F135&lt;=DATE(2027+9,4,30)),(IF(I135="Vacate",TINew*D135,IF(I135="Market",Retention*TIRenewal*D135+(1-Retention)*TINew*D135,IF(I135="LeaseUp",TINew*D135,IF(I135="Option",TIRenewal*D135,0)))))+(IF(I135="Vacate",LCNew*H135*D135*(1+GrowthMarketRent)^9,IF(I135="Market",Retention*LCRenewal*H135*D135*(1+GrowthMarketRent)^9+(1-Retention)*LCNew*H135*D135*(1+GrowthMarketRent)^9,IF(I135="LeaseUp",LCNew*H135*D135*(1+GrowthMarketRent)^9,IF(I135="Option",LCRenewal*H135*D135*(1+GrowthMarketRent)^9,0))))),0))),0)</f>
        <v/>
      </c>
      <c r="AI135" s="14">
        <f>IFERROR(IF(AND(I135="LeaseUp",10=0),(IF(I135="Vacate",TINew*D135,IF(I135="Market",Retention*TIRenewal*D135+(1-Retention)*TINew*D135,IF(I135="LeaseUp",TINew*D135,IF(I135="Option",TIRenewal*D135,0)))))+(IF(I135="Vacate",LCNew*H135*D135*(1+GrowthMarketRent)^10,IF(I135="Market",Retention*LCRenewal*H135*D135*(1+GrowthMarketRent)^10+(1-Retention)*LCNew*H135*D135*(1+GrowthMarketRent)^10,IF(I135="LeaseUp",LCNew*H135*D135*(1+GrowthMarketRent)^10,IF(I135="Option",LCRenewal*H135*D135*(1+GrowthMarketRent)^10,0))))),IF(F135="",0,IF(AND(F135&gt;=DATE(2026+10,5,1),F135&lt;=DATE(2027+10,4,30)),(IF(I135="Vacate",TINew*D135,IF(I135="Market",Retention*TIRenewal*D135+(1-Retention)*TINew*D135,IF(I135="LeaseUp",TINew*D135,IF(I135="Option",TIRenewal*D135,0)))))+(IF(I135="Vacate",LCNew*H135*D135*(1+GrowthMarketRent)^10,IF(I135="Market",Retention*LCRenewal*H135*D135*(1+GrowthMarketRent)^10+(1-Retention)*LCNew*H135*D135*(1+GrowthMarketRent)^10,IF(I135="LeaseUp",LCNew*H135*D135*(1+GrowthMarketRent)^10,IF(I135="Option",LCRenewal*H135*D135*(1+GrowthMarketRent)^10,0))))),0))),0)</f>
        <v/>
      </c>
    </row>
    <row r="136">
      <c r="A136" t="inlineStr">
        <is>
          <t>Roanoke</t>
        </is>
      </c>
      <c r="B136" t="inlineStr">
        <is>
          <t>132B</t>
        </is>
      </c>
      <c r="C136" t="inlineStr">
        <is>
          <t>JK Family Enterprises Inc.</t>
        </is>
      </c>
      <c r="D136" s="32" t="n">
        <v>1870</v>
      </c>
      <c r="E136" s="33" t="n">
        <v>45901</v>
      </c>
      <c r="F136" s="33" t="n">
        <v>47150</v>
      </c>
      <c r="G136" s="34" t="n">
        <v>16</v>
      </c>
      <c r="H136" s="16">
        <f>VLOOKUP(A136,MLA!$A$5:$L$11,3,FALSE)</f>
        <v/>
      </c>
      <c r="I136" s="11" t="inlineStr">
        <is>
          <t>Option</t>
        </is>
      </c>
      <c r="J136" t="inlineStr">
        <is>
          <t>Studio</t>
        </is>
      </c>
      <c r="K136" t="inlineStr">
        <is>
          <t>Occupied</t>
        </is>
      </c>
      <c r="L136" t="inlineStr">
        <is>
          <t>Studio; Guarantor: Kirby Harris; Two 3yr options @ FMV</t>
        </is>
      </c>
      <c r="M136" s="20">
        <f>IF(E136="",0,(AnalysisStart-E136)/365.25)</f>
        <v/>
      </c>
      <c r="N136" s="14">
        <f>IFERROR(IF(I136="LeaseUp",H136*D136*(1+GrowthMarketRent)^0*IF(0=0,(12-DowntimeNew)/12,1),IF(F136="",0,IF(F136&gt;=DATE(2027+0,4,30),G136*D136*(1+EscalatorInLease)^(0+M136),IF(F136&lt;DATE(2026+0,5,1),IF(I136="Vacate",H136*D136*(1+GrowthMarketRent)^0*IF(INT((DATE(2026+0,10,31)-F136)/365.25)=0,(12-DowntimeNew)/12,1),IF(I136="Option",G136*D136*1.025*(1+EscalatorInLease)^0,IF(I136="Market",Retention*G136*D136*(1+EscalatorInLease)^(0+M136)+(1-Retention)*H136*D136*(1+GrowthMarketRent)^0*IF(INT((DATE(2026+0,10,31)-F136)/365.25)=0,(12-DowntimeNew)/12,1),IF(I136="LeaseUp",H136*D136*(1+GrowthMarketRent)^0*IF(0=0,(12-DowntimeNew)/12,1),0)))),((F136-DATE(2026+0,5,1))/365.25)*G136*D136*(1+EscalatorInLease)^(0+M136)+((DATE(2027+0,4,30)-F136)/365.25)*IF(I136="Vacate",H136*D136*(1+GrowthMarketRent)^0*IF(INT((DATE(2026+0,10,31)-F136)/365.25)=0,(12-DowntimeNew)/12,1),IF(I136="Option",G136*D136*1.025*(1+EscalatorInLease)^0,IF(I136="Market",Retention*G136*D136*(1+EscalatorInLease)^(0+M136)+(1-Retention)*H136*D136*(1+GrowthMarketRent)^0*IF(INT((DATE(2026+0,10,31)-F136)/365.25)=0,(12-DowntimeNew)/12,1),IF(I136="LeaseUp",H136*D136*(1+GrowthMarketRent)^0*IF(0=0,(12-DowntimeNew)/12,1),0)))))))),0)</f>
        <v/>
      </c>
      <c r="O136" s="14">
        <f>IFERROR(IF(I136="LeaseUp",H136*D136*(1+GrowthMarketRent)^1*IF(1=0,(12-DowntimeNew)/12,1),IF(F136="",0,IF(F136&gt;=DATE(2027+1,4,30),G136*D136*(1+EscalatorInLease)^(1+M136),IF(F136&lt;DATE(2026+1,5,1),IF(I136="Vacate",H136*D136*(1+GrowthMarketRent)^1*IF(INT((DATE(2026+1,10,31)-F136)/365.25)=0,(12-DowntimeNew)/12,1),IF(I136="Option",G136*D136*1.025*(1+EscalatorInLease)^1,IF(I136="Market",Retention*G136*D136*(1+EscalatorInLease)^(1+M136)+(1-Retention)*H136*D136*(1+GrowthMarketRent)^1*IF(INT((DATE(2026+1,10,31)-F136)/365.25)=0,(12-DowntimeNew)/12,1),IF(I136="LeaseUp",H136*D136*(1+GrowthMarketRent)^1*IF(1=0,(12-DowntimeNew)/12,1),0)))),((F136-DATE(2026+1,5,1))/365.25)*G136*D136*(1+EscalatorInLease)^(1+M136)+((DATE(2027+1,4,30)-F136)/365.25)*IF(I136="Vacate",H136*D136*(1+GrowthMarketRent)^1*IF(INT((DATE(2026+1,10,31)-F136)/365.25)=0,(12-DowntimeNew)/12,1),IF(I136="Option",G136*D136*1.025*(1+EscalatorInLease)^1,IF(I136="Market",Retention*G136*D136*(1+EscalatorInLease)^(1+M136)+(1-Retention)*H136*D136*(1+GrowthMarketRent)^1*IF(INT((DATE(2026+1,10,31)-F136)/365.25)=0,(12-DowntimeNew)/12,1),IF(I136="LeaseUp",H136*D136*(1+GrowthMarketRent)^1*IF(1=0,(12-DowntimeNew)/12,1),0)))))))),0)</f>
        <v/>
      </c>
      <c r="P136" s="14">
        <f>IFERROR(IF(I136="LeaseUp",H136*D136*(1+GrowthMarketRent)^2*IF(2=0,(12-DowntimeNew)/12,1),IF(F136="",0,IF(F136&gt;=DATE(2027+2,4,30),G136*D136*(1+EscalatorInLease)^(2+M136),IF(F136&lt;DATE(2026+2,5,1),IF(I136="Vacate",H136*D136*(1+GrowthMarketRent)^2*IF(INT((DATE(2026+2,10,31)-F136)/365.25)=0,(12-DowntimeNew)/12,1),IF(I136="Option",G136*D136*1.025*(1+EscalatorInLease)^2,IF(I136="Market",Retention*G136*D136*(1+EscalatorInLease)^(2+M136)+(1-Retention)*H136*D136*(1+GrowthMarketRent)^2*IF(INT((DATE(2026+2,10,31)-F136)/365.25)=0,(12-DowntimeNew)/12,1),IF(I136="LeaseUp",H136*D136*(1+GrowthMarketRent)^2*IF(2=0,(12-DowntimeNew)/12,1),0)))),((F136-DATE(2026+2,5,1))/365.25)*G136*D136*(1+EscalatorInLease)^(2+M136)+((DATE(2027+2,4,30)-F136)/365.25)*IF(I136="Vacate",H136*D136*(1+GrowthMarketRent)^2*IF(INT((DATE(2026+2,10,31)-F136)/365.25)=0,(12-DowntimeNew)/12,1),IF(I136="Option",G136*D136*1.025*(1+EscalatorInLease)^2,IF(I136="Market",Retention*G136*D136*(1+EscalatorInLease)^(2+M136)+(1-Retention)*H136*D136*(1+GrowthMarketRent)^2*IF(INT((DATE(2026+2,10,31)-F136)/365.25)=0,(12-DowntimeNew)/12,1),IF(I136="LeaseUp",H136*D136*(1+GrowthMarketRent)^2*IF(2=0,(12-DowntimeNew)/12,1),0)))))))),0)</f>
        <v/>
      </c>
      <c r="Q136" s="14">
        <f>IFERROR(IF(I136="LeaseUp",H136*D136*(1+GrowthMarketRent)^3*IF(3=0,(12-DowntimeNew)/12,1),IF(F136="",0,IF(F136&gt;=DATE(2027+3,4,30),G136*D136*(1+EscalatorInLease)^(3+M136),IF(F136&lt;DATE(2026+3,5,1),IF(I136="Vacate",H136*D136*(1+GrowthMarketRent)^3*IF(INT((DATE(2026+3,10,31)-F136)/365.25)=0,(12-DowntimeNew)/12,1),IF(I136="Option",G136*D136*1.025*(1+EscalatorInLease)^3,IF(I136="Market",Retention*G136*D136*(1+EscalatorInLease)^(3+M136)+(1-Retention)*H136*D136*(1+GrowthMarketRent)^3*IF(INT((DATE(2026+3,10,31)-F136)/365.25)=0,(12-DowntimeNew)/12,1),IF(I136="LeaseUp",H136*D136*(1+GrowthMarketRent)^3*IF(3=0,(12-DowntimeNew)/12,1),0)))),((F136-DATE(2026+3,5,1))/365.25)*G136*D136*(1+EscalatorInLease)^(3+M136)+((DATE(2027+3,4,30)-F136)/365.25)*IF(I136="Vacate",H136*D136*(1+GrowthMarketRent)^3*IF(INT((DATE(2026+3,10,31)-F136)/365.25)=0,(12-DowntimeNew)/12,1),IF(I136="Option",G136*D136*1.025*(1+EscalatorInLease)^3,IF(I136="Market",Retention*G136*D136*(1+EscalatorInLease)^(3+M136)+(1-Retention)*H136*D136*(1+GrowthMarketRent)^3*IF(INT((DATE(2026+3,10,31)-F136)/365.25)=0,(12-DowntimeNew)/12,1),IF(I136="LeaseUp",H136*D136*(1+GrowthMarketRent)^3*IF(3=0,(12-DowntimeNew)/12,1),0)))))))),0)</f>
        <v/>
      </c>
      <c r="R136" s="14">
        <f>IFERROR(IF(I136="LeaseUp",H136*D136*(1+GrowthMarketRent)^4*IF(4=0,(12-DowntimeNew)/12,1),IF(F136="",0,IF(F136&gt;=DATE(2027+4,4,30),G136*D136*(1+EscalatorInLease)^(4+M136),IF(F136&lt;DATE(2026+4,5,1),IF(I136="Vacate",H136*D136*(1+GrowthMarketRent)^4*IF(INT((DATE(2026+4,10,31)-F136)/365.25)=0,(12-DowntimeNew)/12,1),IF(I136="Option",G136*D136*1.025*(1+EscalatorInLease)^4,IF(I136="Market",Retention*G136*D136*(1+EscalatorInLease)^(4+M136)+(1-Retention)*H136*D136*(1+GrowthMarketRent)^4*IF(INT((DATE(2026+4,10,31)-F136)/365.25)=0,(12-DowntimeNew)/12,1),IF(I136="LeaseUp",H136*D136*(1+GrowthMarketRent)^4*IF(4=0,(12-DowntimeNew)/12,1),0)))),((F136-DATE(2026+4,5,1))/365.25)*G136*D136*(1+EscalatorInLease)^(4+M136)+((DATE(2027+4,4,30)-F136)/365.25)*IF(I136="Vacate",H136*D136*(1+GrowthMarketRent)^4*IF(INT((DATE(2026+4,10,31)-F136)/365.25)=0,(12-DowntimeNew)/12,1),IF(I136="Option",G136*D136*1.025*(1+EscalatorInLease)^4,IF(I136="Market",Retention*G136*D136*(1+EscalatorInLease)^(4+M136)+(1-Retention)*H136*D136*(1+GrowthMarketRent)^4*IF(INT((DATE(2026+4,10,31)-F136)/365.25)=0,(12-DowntimeNew)/12,1),IF(I136="LeaseUp",H136*D136*(1+GrowthMarketRent)^4*IF(4=0,(12-DowntimeNew)/12,1),0)))))))),0)</f>
        <v/>
      </c>
      <c r="S136" s="14">
        <f>IFERROR(IF(I136="LeaseUp",H136*D136*(1+GrowthMarketRent)^5*IF(5=0,(12-DowntimeNew)/12,1),IF(F136="",0,IF(F136&gt;=DATE(2027+5,4,30),G136*D136*(1+EscalatorInLease)^(5+M136),IF(F136&lt;DATE(2026+5,5,1),IF(I136="Vacate",H136*D136*(1+GrowthMarketRent)^5*IF(INT((DATE(2026+5,10,31)-F136)/365.25)=0,(12-DowntimeNew)/12,1),IF(I136="Option",G136*D136*1.025*(1+EscalatorInLease)^5,IF(I136="Market",Retention*G136*D136*(1+EscalatorInLease)^(5+M136)+(1-Retention)*H136*D136*(1+GrowthMarketRent)^5*IF(INT((DATE(2026+5,10,31)-F136)/365.25)=0,(12-DowntimeNew)/12,1),IF(I136="LeaseUp",H136*D136*(1+GrowthMarketRent)^5*IF(5=0,(12-DowntimeNew)/12,1),0)))),((F136-DATE(2026+5,5,1))/365.25)*G136*D136*(1+EscalatorInLease)^(5+M136)+((DATE(2027+5,4,30)-F136)/365.25)*IF(I136="Vacate",H136*D136*(1+GrowthMarketRent)^5*IF(INT((DATE(2026+5,10,31)-F136)/365.25)=0,(12-DowntimeNew)/12,1),IF(I136="Option",G136*D136*1.025*(1+EscalatorInLease)^5,IF(I136="Market",Retention*G136*D136*(1+EscalatorInLease)^(5+M136)+(1-Retention)*H136*D136*(1+GrowthMarketRent)^5*IF(INT((DATE(2026+5,10,31)-F136)/365.25)=0,(12-DowntimeNew)/12,1),IF(I136="LeaseUp",H136*D136*(1+GrowthMarketRent)^5*IF(5=0,(12-DowntimeNew)/12,1),0)))))))),0)</f>
        <v/>
      </c>
      <c r="T136" s="14">
        <f>IFERROR(IF(I136="LeaseUp",H136*D136*(1+GrowthMarketRent)^6*IF(6=0,(12-DowntimeNew)/12,1),IF(F136="",0,IF(F136&gt;=DATE(2027+6,4,30),G136*D136*(1+EscalatorInLease)^(6+M136),IF(F136&lt;DATE(2026+6,5,1),IF(I136="Vacate",H136*D136*(1+GrowthMarketRent)^6*IF(INT((DATE(2026+6,10,31)-F136)/365.25)=0,(12-DowntimeNew)/12,1),IF(I136="Option",G136*D136*1.025*(1+EscalatorInLease)^6,IF(I136="Market",Retention*G136*D136*(1+EscalatorInLease)^(6+M136)+(1-Retention)*H136*D136*(1+GrowthMarketRent)^6*IF(INT((DATE(2026+6,10,31)-F136)/365.25)=0,(12-DowntimeNew)/12,1),IF(I136="LeaseUp",H136*D136*(1+GrowthMarketRent)^6*IF(6=0,(12-DowntimeNew)/12,1),0)))),((F136-DATE(2026+6,5,1))/365.25)*G136*D136*(1+EscalatorInLease)^(6+M136)+((DATE(2027+6,4,30)-F136)/365.25)*IF(I136="Vacate",H136*D136*(1+GrowthMarketRent)^6*IF(INT((DATE(2026+6,10,31)-F136)/365.25)=0,(12-DowntimeNew)/12,1),IF(I136="Option",G136*D136*1.025*(1+EscalatorInLease)^6,IF(I136="Market",Retention*G136*D136*(1+EscalatorInLease)^(6+M136)+(1-Retention)*H136*D136*(1+GrowthMarketRent)^6*IF(INT((DATE(2026+6,10,31)-F136)/365.25)=0,(12-DowntimeNew)/12,1),IF(I136="LeaseUp",H136*D136*(1+GrowthMarketRent)^6*IF(6=0,(12-DowntimeNew)/12,1),0)))))))),0)</f>
        <v/>
      </c>
      <c r="U136" s="14">
        <f>IFERROR(IF(I136="LeaseUp",H136*D136*(1+GrowthMarketRent)^7*IF(7=0,(12-DowntimeNew)/12,1),IF(F136="",0,IF(F136&gt;=DATE(2027+7,4,30),G136*D136*(1+EscalatorInLease)^(7+M136),IF(F136&lt;DATE(2026+7,5,1),IF(I136="Vacate",H136*D136*(1+GrowthMarketRent)^7*IF(INT((DATE(2026+7,10,31)-F136)/365.25)=0,(12-DowntimeNew)/12,1),IF(I136="Option",G136*D136*1.025*(1+EscalatorInLease)^7,IF(I136="Market",Retention*G136*D136*(1+EscalatorInLease)^(7+M136)+(1-Retention)*H136*D136*(1+GrowthMarketRent)^7*IF(INT((DATE(2026+7,10,31)-F136)/365.25)=0,(12-DowntimeNew)/12,1),IF(I136="LeaseUp",H136*D136*(1+GrowthMarketRent)^7*IF(7=0,(12-DowntimeNew)/12,1),0)))),((F136-DATE(2026+7,5,1))/365.25)*G136*D136*(1+EscalatorInLease)^(7+M136)+((DATE(2027+7,4,30)-F136)/365.25)*IF(I136="Vacate",H136*D136*(1+GrowthMarketRent)^7*IF(INT((DATE(2026+7,10,31)-F136)/365.25)=0,(12-DowntimeNew)/12,1),IF(I136="Option",G136*D136*1.025*(1+EscalatorInLease)^7,IF(I136="Market",Retention*G136*D136*(1+EscalatorInLease)^(7+M136)+(1-Retention)*H136*D136*(1+GrowthMarketRent)^7*IF(INT((DATE(2026+7,10,31)-F136)/365.25)=0,(12-DowntimeNew)/12,1),IF(I136="LeaseUp",H136*D136*(1+GrowthMarketRent)^7*IF(7=0,(12-DowntimeNew)/12,1),0)))))))),0)</f>
        <v/>
      </c>
      <c r="V136" s="14">
        <f>IFERROR(IF(I136="LeaseUp",H136*D136*(1+GrowthMarketRent)^8*IF(8=0,(12-DowntimeNew)/12,1),IF(F136="",0,IF(F136&gt;=DATE(2027+8,4,30),G136*D136*(1+EscalatorInLease)^(8+M136),IF(F136&lt;DATE(2026+8,5,1),IF(I136="Vacate",H136*D136*(1+GrowthMarketRent)^8*IF(INT((DATE(2026+8,10,31)-F136)/365.25)=0,(12-DowntimeNew)/12,1),IF(I136="Option",G136*D136*1.025*(1+EscalatorInLease)^8,IF(I136="Market",Retention*G136*D136*(1+EscalatorInLease)^(8+M136)+(1-Retention)*H136*D136*(1+GrowthMarketRent)^8*IF(INT((DATE(2026+8,10,31)-F136)/365.25)=0,(12-DowntimeNew)/12,1),IF(I136="LeaseUp",H136*D136*(1+GrowthMarketRent)^8*IF(8=0,(12-DowntimeNew)/12,1),0)))),((F136-DATE(2026+8,5,1))/365.25)*G136*D136*(1+EscalatorInLease)^(8+M136)+((DATE(2027+8,4,30)-F136)/365.25)*IF(I136="Vacate",H136*D136*(1+GrowthMarketRent)^8*IF(INT((DATE(2026+8,10,31)-F136)/365.25)=0,(12-DowntimeNew)/12,1),IF(I136="Option",G136*D136*1.025*(1+EscalatorInLease)^8,IF(I136="Market",Retention*G136*D136*(1+EscalatorInLease)^(8+M136)+(1-Retention)*H136*D136*(1+GrowthMarketRent)^8*IF(INT((DATE(2026+8,10,31)-F136)/365.25)=0,(12-DowntimeNew)/12,1),IF(I136="LeaseUp",H136*D136*(1+GrowthMarketRent)^8*IF(8=0,(12-DowntimeNew)/12,1),0)))))))),0)</f>
        <v/>
      </c>
      <c r="W136" s="14">
        <f>IFERROR(IF(I136="LeaseUp",H136*D136*(1+GrowthMarketRent)^9*IF(9=0,(12-DowntimeNew)/12,1),IF(F136="",0,IF(F136&gt;=DATE(2027+9,4,30),G136*D136*(1+EscalatorInLease)^(9+M136),IF(F136&lt;DATE(2026+9,5,1),IF(I136="Vacate",H136*D136*(1+GrowthMarketRent)^9*IF(INT((DATE(2026+9,10,31)-F136)/365.25)=0,(12-DowntimeNew)/12,1),IF(I136="Option",G136*D136*1.025*(1+EscalatorInLease)^9,IF(I136="Market",Retention*G136*D136*(1+EscalatorInLease)^(9+M136)+(1-Retention)*H136*D136*(1+GrowthMarketRent)^9*IF(INT((DATE(2026+9,10,31)-F136)/365.25)=0,(12-DowntimeNew)/12,1),IF(I136="LeaseUp",H136*D136*(1+GrowthMarketRent)^9*IF(9=0,(12-DowntimeNew)/12,1),0)))),((F136-DATE(2026+9,5,1))/365.25)*G136*D136*(1+EscalatorInLease)^(9+M136)+((DATE(2027+9,4,30)-F136)/365.25)*IF(I136="Vacate",H136*D136*(1+GrowthMarketRent)^9*IF(INT((DATE(2026+9,10,31)-F136)/365.25)=0,(12-DowntimeNew)/12,1),IF(I136="Option",G136*D136*1.025*(1+EscalatorInLease)^9,IF(I136="Market",Retention*G136*D136*(1+EscalatorInLease)^(9+M136)+(1-Retention)*H136*D136*(1+GrowthMarketRent)^9*IF(INT((DATE(2026+9,10,31)-F136)/365.25)=0,(12-DowntimeNew)/12,1),IF(I136="LeaseUp",H136*D136*(1+GrowthMarketRent)^9*IF(9=0,(12-DowntimeNew)/12,1),0)))))))),0)</f>
        <v/>
      </c>
      <c r="X136" s="14">
        <f>IFERROR(IF(I136="LeaseUp",H136*D136*(1+GrowthMarketRent)^10*IF(10=0,(12-DowntimeNew)/12,1),IF(F136="",0,IF(F136&gt;=DATE(2027+10,4,30),G136*D136*(1+EscalatorInLease)^(10+M136),IF(F136&lt;DATE(2026+10,5,1),IF(I136="Vacate",H136*D136*(1+GrowthMarketRent)^10*IF(INT((DATE(2026+10,10,31)-F136)/365.25)=0,(12-DowntimeNew)/12,1),IF(I136="Option",G136*D136*1.025*(1+EscalatorInLease)^10,IF(I136="Market",Retention*G136*D136*(1+EscalatorInLease)^(10+M136)+(1-Retention)*H136*D136*(1+GrowthMarketRent)^10*IF(INT((DATE(2026+10,10,31)-F136)/365.25)=0,(12-DowntimeNew)/12,1),IF(I136="LeaseUp",H136*D136*(1+GrowthMarketRent)^10*IF(10=0,(12-DowntimeNew)/12,1),0)))),((F136-DATE(2026+10,5,1))/365.25)*G136*D136*(1+EscalatorInLease)^(10+M136)+((DATE(2027+10,4,30)-F136)/365.25)*IF(I136="Vacate",H136*D136*(1+GrowthMarketRent)^10*IF(INT((DATE(2026+10,10,31)-F136)/365.25)=0,(12-DowntimeNew)/12,1),IF(I136="Option",G136*D136*1.025*(1+EscalatorInLease)^10,IF(I136="Market",Retention*G136*D136*(1+EscalatorInLease)^(10+M136)+(1-Retention)*H136*D136*(1+GrowthMarketRent)^10*IF(INT((DATE(2026+10,10,31)-F136)/365.25)=0,(12-DowntimeNew)/12,1),IF(I136="LeaseUp",H136*D136*(1+GrowthMarketRent)^10*IF(10=0,(12-DowntimeNew)/12,1),0)))))))),0)</f>
        <v/>
      </c>
      <c r="Y136" s="14">
        <f>IFERROR(IF(AND(I136="LeaseUp",0=0),(IF(I136="Vacate",TINew*D136,IF(I136="Market",Retention*TIRenewal*D136+(1-Retention)*TINew*D136,IF(I136="LeaseUp",TINew*D136,IF(I136="Option",TIRenewal*D136,0)))))+(IF(I136="Vacate",LCNew*H136*D136*(1+GrowthMarketRent)^0,IF(I136="Market",Retention*LCRenewal*H136*D136*(1+GrowthMarketRent)^0+(1-Retention)*LCNew*H136*D136*(1+GrowthMarketRent)^0,IF(I136="LeaseUp",LCNew*H136*D136*(1+GrowthMarketRent)^0,IF(I136="Option",LCRenewal*H136*D136*(1+GrowthMarketRent)^0,0))))),IF(F136="",0,IF(AND(F136&gt;=DATE(2026+0,5,1),F136&lt;=DATE(2027+0,4,30)),(IF(I136="Vacate",TINew*D136,IF(I136="Market",Retention*TIRenewal*D136+(1-Retention)*TINew*D136,IF(I136="LeaseUp",TINew*D136,IF(I136="Option",TIRenewal*D136,0)))))+(IF(I136="Vacate",LCNew*H136*D136*(1+GrowthMarketRent)^0,IF(I136="Market",Retention*LCRenewal*H136*D136*(1+GrowthMarketRent)^0+(1-Retention)*LCNew*H136*D136*(1+GrowthMarketRent)^0,IF(I136="LeaseUp",LCNew*H136*D136*(1+GrowthMarketRent)^0,IF(I136="Option",LCRenewal*H136*D136*(1+GrowthMarketRent)^0,0))))),0))),0)</f>
        <v/>
      </c>
      <c r="Z136" s="14">
        <f>IFERROR(IF(AND(I136="LeaseUp",1=0),(IF(I136="Vacate",TINew*D136,IF(I136="Market",Retention*TIRenewal*D136+(1-Retention)*TINew*D136,IF(I136="LeaseUp",TINew*D136,IF(I136="Option",TIRenewal*D136,0)))))+(IF(I136="Vacate",LCNew*H136*D136*(1+GrowthMarketRent)^1,IF(I136="Market",Retention*LCRenewal*H136*D136*(1+GrowthMarketRent)^1+(1-Retention)*LCNew*H136*D136*(1+GrowthMarketRent)^1,IF(I136="LeaseUp",LCNew*H136*D136*(1+GrowthMarketRent)^1,IF(I136="Option",LCRenewal*H136*D136*(1+GrowthMarketRent)^1,0))))),IF(F136="",0,IF(AND(F136&gt;=DATE(2026+1,5,1),F136&lt;=DATE(2027+1,4,30)),(IF(I136="Vacate",TINew*D136,IF(I136="Market",Retention*TIRenewal*D136+(1-Retention)*TINew*D136,IF(I136="LeaseUp",TINew*D136,IF(I136="Option",TIRenewal*D136,0)))))+(IF(I136="Vacate",LCNew*H136*D136*(1+GrowthMarketRent)^1,IF(I136="Market",Retention*LCRenewal*H136*D136*(1+GrowthMarketRent)^1+(1-Retention)*LCNew*H136*D136*(1+GrowthMarketRent)^1,IF(I136="LeaseUp",LCNew*H136*D136*(1+GrowthMarketRent)^1,IF(I136="Option",LCRenewal*H136*D136*(1+GrowthMarketRent)^1,0))))),0))),0)</f>
        <v/>
      </c>
      <c r="AA136" s="14">
        <f>IFERROR(IF(AND(I136="LeaseUp",2=0),(IF(I136="Vacate",TINew*D136,IF(I136="Market",Retention*TIRenewal*D136+(1-Retention)*TINew*D136,IF(I136="LeaseUp",TINew*D136,IF(I136="Option",TIRenewal*D136,0)))))+(IF(I136="Vacate",LCNew*H136*D136*(1+GrowthMarketRent)^2,IF(I136="Market",Retention*LCRenewal*H136*D136*(1+GrowthMarketRent)^2+(1-Retention)*LCNew*H136*D136*(1+GrowthMarketRent)^2,IF(I136="LeaseUp",LCNew*H136*D136*(1+GrowthMarketRent)^2,IF(I136="Option",LCRenewal*H136*D136*(1+GrowthMarketRent)^2,0))))),IF(F136="",0,IF(AND(F136&gt;=DATE(2026+2,5,1),F136&lt;=DATE(2027+2,4,30)),(IF(I136="Vacate",TINew*D136,IF(I136="Market",Retention*TIRenewal*D136+(1-Retention)*TINew*D136,IF(I136="LeaseUp",TINew*D136,IF(I136="Option",TIRenewal*D136,0)))))+(IF(I136="Vacate",LCNew*H136*D136*(1+GrowthMarketRent)^2,IF(I136="Market",Retention*LCRenewal*H136*D136*(1+GrowthMarketRent)^2+(1-Retention)*LCNew*H136*D136*(1+GrowthMarketRent)^2,IF(I136="LeaseUp",LCNew*H136*D136*(1+GrowthMarketRent)^2,IF(I136="Option",LCRenewal*H136*D136*(1+GrowthMarketRent)^2,0))))),0))),0)</f>
        <v/>
      </c>
      <c r="AB136" s="14">
        <f>IFERROR(IF(AND(I136="LeaseUp",3=0),(IF(I136="Vacate",TINew*D136,IF(I136="Market",Retention*TIRenewal*D136+(1-Retention)*TINew*D136,IF(I136="LeaseUp",TINew*D136,IF(I136="Option",TIRenewal*D136,0)))))+(IF(I136="Vacate",LCNew*H136*D136*(1+GrowthMarketRent)^3,IF(I136="Market",Retention*LCRenewal*H136*D136*(1+GrowthMarketRent)^3+(1-Retention)*LCNew*H136*D136*(1+GrowthMarketRent)^3,IF(I136="LeaseUp",LCNew*H136*D136*(1+GrowthMarketRent)^3,IF(I136="Option",LCRenewal*H136*D136*(1+GrowthMarketRent)^3,0))))),IF(F136="",0,IF(AND(F136&gt;=DATE(2026+3,5,1),F136&lt;=DATE(2027+3,4,30)),(IF(I136="Vacate",TINew*D136,IF(I136="Market",Retention*TIRenewal*D136+(1-Retention)*TINew*D136,IF(I136="LeaseUp",TINew*D136,IF(I136="Option",TIRenewal*D136,0)))))+(IF(I136="Vacate",LCNew*H136*D136*(1+GrowthMarketRent)^3,IF(I136="Market",Retention*LCRenewal*H136*D136*(1+GrowthMarketRent)^3+(1-Retention)*LCNew*H136*D136*(1+GrowthMarketRent)^3,IF(I136="LeaseUp",LCNew*H136*D136*(1+GrowthMarketRent)^3,IF(I136="Option",LCRenewal*H136*D136*(1+GrowthMarketRent)^3,0))))),0))),0)</f>
        <v/>
      </c>
      <c r="AC136" s="14">
        <f>IFERROR(IF(AND(I136="LeaseUp",4=0),(IF(I136="Vacate",TINew*D136,IF(I136="Market",Retention*TIRenewal*D136+(1-Retention)*TINew*D136,IF(I136="LeaseUp",TINew*D136,IF(I136="Option",TIRenewal*D136,0)))))+(IF(I136="Vacate",LCNew*H136*D136*(1+GrowthMarketRent)^4,IF(I136="Market",Retention*LCRenewal*H136*D136*(1+GrowthMarketRent)^4+(1-Retention)*LCNew*H136*D136*(1+GrowthMarketRent)^4,IF(I136="LeaseUp",LCNew*H136*D136*(1+GrowthMarketRent)^4,IF(I136="Option",LCRenewal*H136*D136*(1+GrowthMarketRent)^4,0))))),IF(F136="",0,IF(AND(F136&gt;=DATE(2026+4,5,1),F136&lt;=DATE(2027+4,4,30)),(IF(I136="Vacate",TINew*D136,IF(I136="Market",Retention*TIRenewal*D136+(1-Retention)*TINew*D136,IF(I136="LeaseUp",TINew*D136,IF(I136="Option",TIRenewal*D136,0)))))+(IF(I136="Vacate",LCNew*H136*D136*(1+GrowthMarketRent)^4,IF(I136="Market",Retention*LCRenewal*H136*D136*(1+GrowthMarketRent)^4+(1-Retention)*LCNew*H136*D136*(1+GrowthMarketRent)^4,IF(I136="LeaseUp",LCNew*H136*D136*(1+GrowthMarketRent)^4,IF(I136="Option",LCRenewal*H136*D136*(1+GrowthMarketRent)^4,0))))),0))),0)</f>
        <v/>
      </c>
      <c r="AD136" s="14">
        <f>IFERROR(IF(AND(I136="LeaseUp",5=0),(IF(I136="Vacate",TINew*D136,IF(I136="Market",Retention*TIRenewal*D136+(1-Retention)*TINew*D136,IF(I136="LeaseUp",TINew*D136,IF(I136="Option",TIRenewal*D136,0)))))+(IF(I136="Vacate",LCNew*H136*D136*(1+GrowthMarketRent)^5,IF(I136="Market",Retention*LCRenewal*H136*D136*(1+GrowthMarketRent)^5+(1-Retention)*LCNew*H136*D136*(1+GrowthMarketRent)^5,IF(I136="LeaseUp",LCNew*H136*D136*(1+GrowthMarketRent)^5,IF(I136="Option",LCRenewal*H136*D136*(1+GrowthMarketRent)^5,0))))),IF(F136="",0,IF(AND(F136&gt;=DATE(2026+5,5,1),F136&lt;=DATE(2027+5,4,30)),(IF(I136="Vacate",TINew*D136,IF(I136="Market",Retention*TIRenewal*D136+(1-Retention)*TINew*D136,IF(I136="LeaseUp",TINew*D136,IF(I136="Option",TIRenewal*D136,0)))))+(IF(I136="Vacate",LCNew*H136*D136*(1+GrowthMarketRent)^5,IF(I136="Market",Retention*LCRenewal*H136*D136*(1+GrowthMarketRent)^5+(1-Retention)*LCNew*H136*D136*(1+GrowthMarketRent)^5,IF(I136="LeaseUp",LCNew*H136*D136*(1+GrowthMarketRent)^5,IF(I136="Option",LCRenewal*H136*D136*(1+GrowthMarketRent)^5,0))))),0))),0)</f>
        <v/>
      </c>
      <c r="AE136" s="14">
        <f>IFERROR(IF(AND(I136="LeaseUp",6=0),(IF(I136="Vacate",TINew*D136,IF(I136="Market",Retention*TIRenewal*D136+(1-Retention)*TINew*D136,IF(I136="LeaseUp",TINew*D136,IF(I136="Option",TIRenewal*D136,0)))))+(IF(I136="Vacate",LCNew*H136*D136*(1+GrowthMarketRent)^6,IF(I136="Market",Retention*LCRenewal*H136*D136*(1+GrowthMarketRent)^6+(1-Retention)*LCNew*H136*D136*(1+GrowthMarketRent)^6,IF(I136="LeaseUp",LCNew*H136*D136*(1+GrowthMarketRent)^6,IF(I136="Option",LCRenewal*H136*D136*(1+GrowthMarketRent)^6,0))))),IF(F136="",0,IF(AND(F136&gt;=DATE(2026+6,5,1),F136&lt;=DATE(2027+6,4,30)),(IF(I136="Vacate",TINew*D136,IF(I136="Market",Retention*TIRenewal*D136+(1-Retention)*TINew*D136,IF(I136="LeaseUp",TINew*D136,IF(I136="Option",TIRenewal*D136,0)))))+(IF(I136="Vacate",LCNew*H136*D136*(1+GrowthMarketRent)^6,IF(I136="Market",Retention*LCRenewal*H136*D136*(1+GrowthMarketRent)^6+(1-Retention)*LCNew*H136*D136*(1+GrowthMarketRent)^6,IF(I136="LeaseUp",LCNew*H136*D136*(1+GrowthMarketRent)^6,IF(I136="Option",LCRenewal*H136*D136*(1+GrowthMarketRent)^6,0))))),0))),0)</f>
        <v/>
      </c>
      <c r="AF136" s="14">
        <f>IFERROR(IF(AND(I136="LeaseUp",7=0),(IF(I136="Vacate",TINew*D136,IF(I136="Market",Retention*TIRenewal*D136+(1-Retention)*TINew*D136,IF(I136="LeaseUp",TINew*D136,IF(I136="Option",TIRenewal*D136,0)))))+(IF(I136="Vacate",LCNew*H136*D136*(1+GrowthMarketRent)^7,IF(I136="Market",Retention*LCRenewal*H136*D136*(1+GrowthMarketRent)^7+(1-Retention)*LCNew*H136*D136*(1+GrowthMarketRent)^7,IF(I136="LeaseUp",LCNew*H136*D136*(1+GrowthMarketRent)^7,IF(I136="Option",LCRenewal*H136*D136*(1+GrowthMarketRent)^7,0))))),IF(F136="",0,IF(AND(F136&gt;=DATE(2026+7,5,1),F136&lt;=DATE(2027+7,4,30)),(IF(I136="Vacate",TINew*D136,IF(I136="Market",Retention*TIRenewal*D136+(1-Retention)*TINew*D136,IF(I136="LeaseUp",TINew*D136,IF(I136="Option",TIRenewal*D136,0)))))+(IF(I136="Vacate",LCNew*H136*D136*(1+GrowthMarketRent)^7,IF(I136="Market",Retention*LCRenewal*H136*D136*(1+GrowthMarketRent)^7+(1-Retention)*LCNew*H136*D136*(1+GrowthMarketRent)^7,IF(I136="LeaseUp",LCNew*H136*D136*(1+GrowthMarketRent)^7,IF(I136="Option",LCRenewal*H136*D136*(1+GrowthMarketRent)^7,0))))),0))),0)</f>
        <v/>
      </c>
      <c r="AG136" s="14">
        <f>IFERROR(IF(AND(I136="LeaseUp",8=0),(IF(I136="Vacate",TINew*D136,IF(I136="Market",Retention*TIRenewal*D136+(1-Retention)*TINew*D136,IF(I136="LeaseUp",TINew*D136,IF(I136="Option",TIRenewal*D136,0)))))+(IF(I136="Vacate",LCNew*H136*D136*(1+GrowthMarketRent)^8,IF(I136="Market",Retention*LCRenewal*H136*D136*(1+GrowthMarketRent)^8+(1-Retention)*LCNew*H136*D136*(1+GrowthMarketRent)^8,IF(I136="LeaseUp",LCNew*H136*D136*(1+GrowthMarketRent)^8,IF(I136="Option",LCRenewal*H136*D136*(1+GrowthMarketRent)^8,0))))),IF(F136="",0,IF(AND(F136&gt;=DATE(2026+8,5,1),F136&lt;=DATE(2027+8,4,30)),(IF(I136="Vacate",TINew*D136,IF(I136="Market",Retention*TIRenewal*D136+(1-Retention)*TINew*D136,IF(I136="LeaseUp",TINew*D136,IF(I136="Option",TIRenewal*D136,0)))))+(IF(I136="Vacate",LCNew*H136*D136*(1+GrowthMarketRent)^8,IF(I136="Market",Retention*LCRenewal*H136*D136*(1+GrowthMarketRent)^8+(1-Retention)*LCNew*H136*D136*(1+GrowthMarketRent)^8,IF(I136="LeaseUp",LCNew*H136*D136*(1+GrowthMarketRent)^8,IF(I136="Option",LCRenewal*H136*D136*(1+GrowthMarketRent)^8,0))))),0))),0)</f>
        <v/>
      </c>
      <c r="AH136" s="14">
        <f>IFERROR(IF(AND(I136="LeaseUp",9=0),(IF(I136="Vacate",TINew*D136,IF(I136="Market",Retention*TIRenewal*D136+(1-Retention)*TINew*D136,IF(I136="LeaseUp",TINew*D136,IF(I136="Option",TIRenewal*D136,0)))))+(IF(I136="Vacate",LCNew*H136*D136*(1+GrowthMarketRent)^9,IF(I136="Market",Retention*LCRenewal*H136*D136*(1+GrowthMarketRent)^9+(1-Retention)*LCNew*H136*D136*(1+GrowthMarketRent)^9,IF(I136="LeaseUp",LCNew*H136*D136*(1+GrowthMarketRent)^9,IF(I136="Option",LCRenewal*H136*D136*(1+GrowthMarketRent)^9,0))))),IF(F136="",0,IF(AND(F136&gt;=DATE(2026+9,5,1),F136&lt;=DATE(2027+9,4,30)),(IF(I136="Vacate",TINew*D136,IF(I136="Market",Retention*TIRenewal*D136+(1-Retention)*TINew*D136,IF(I136="LeaseUp",TINew*D136,IF(I136="Option",TIRenewal*D136,0)))))+(IF(I136="Vacate",LCNew*H136*D136*(1+GrowthMarketRent)^9,IF(I136="Market",Retention*LCRenewal*H136*D136*(1+GrowthMarketRent)^9+(1-Retention)*LCNew*H136*D136*(1+GrowthMarketRent)^9,IF(I136="LeaseUp",LCNew*H136*D136*(1+GrowthMarketRent)^9,IF(I136="Option",LCRenewal*H136*D136*(1+GrowthMarketRent)^9,0))))),0))),0)</f>
        <v/>
      </c>
      <c r="AI136" s="14">
        <f>IFERROR(IF(AND(I136="LeaseUp",10=0),(IF(I136="Vacate",TINew*D136,IF(I136="Market",Retention*TIRenewal*D136+(1-Retention)*TINew*D136,IF(I136="LeaseUp",TINew*D136,IF(I136="Option",TIRenewal*D136,0)))))+(IF(I136="Vacate",LCNew*H136*D136*(1+GrowthMarketRent)^10,IF(I136="Market",Retention*LCRenewal*H136*D136*(1+GrowthMarketRent)^10+(1-Retention)*LCNew*H136*D136*(1+GrowthMarketRent)^10,IF(I136="LeaseUp",LCNew*H136*D136*(1+GrowthMarketRent)^10,IF(I136="Option",LCRenewal*H136*D136*(1+GrowthMarketRent)^10,0))))),IF(F136="",0,IF(AND(F136&gt;=DATE(2026+10,5,1),F136&lt;=DATE(2027+10,4,30)),(IF(I136="Vacate",TINew*D136,IF(I136="Market",Retention*TIRenewal*D136+(1-Retention)*TINew*D136,IF(I136="LeaseUp",TINew*D136,IF(I136="Option",TIRenewal*D136,0)))))+(IF(I136="Vacate",LCNew*H136*D136*(1+GrowthMarketRent)^10,IF(I136="Market",Retention*LCRenewal*H136*D136*(1+GrowthMarketRent)^10+(1-Retention)*LCNew*H136*D136*(1+GrowthMarketRent)^10,IF(I136="LeaseUp",LCNew*H136*D136*(1+GrowthMarketRent)^10,IF(I136="Option",LCRenewal*H136*D136*(1+GrowthMarketRent)^10,0))))),0))),0)</f>
        <v/>
      </c>
    </row>
    <row r="137">
      <c r="A137" t="inlineStr">
        <is>
          <t>Plano</t>
        </is>
      </c>
      <c r="B137" t="inlineStr">
        <is>
          <t>101</t>
        </is>
      </c>
      <c r="C137" t="inlineStr">
        <is>
          <t>MG International Inc.</t>
        </is>
      </c>
      <c r="D137" s="32" t="n">
        <v>3450</v>
      </c>
      <c r="E137" s="33" t="n">
        <v>44958</v>
      </c>
      <c r="F137" s="33" t="n">
        <v>46235</v>
      </c>
      <c r="G137" s="34" t="n">
        <v>16.1533333333333</v>
      </c>
      <c r="H137" s="16">
        <f>VLOOKUP(A137,MLA!$A$5:$L$11,3,FALSE)</f>
        <v/>
      </c>
      <c r="I137" s="11" t="inlineStr">
        <is>
          <t>Option</t>
        </is>
      </c>
      <c r="J137" t="inlineStr">
        <is>
          <t>Shop</t>
        </is>
      </c>
      <c r="K137" t="inlineStr">
        <is>
          <t>Occupied</t>
        </is>
      </c>
      <c r="L137" t="inlineStr">
        <is>
          <t>Shop; Guarantor: Mike Ghani; Two 3yr options @ 102.5%</t>
        </is>
      </c>
      <c r="M137" s="20">
        <f>IF(E137="",0,(AnalysisStart-E137)/365.25)</f>
        <v/>
      </c>
      <c r="N137" s="14">
        <f>IFERROR(IF(I137="LeaseUp",H137*D137*(1+GrowthMarketRent)^0*IF(0=0,(12-DowntimeNew)/12,1),IF(F137="",0,IF(F137&gt;=DATE(2027+0,4,30),G137*D137*(1+EscalatorInLease)^(0+M137),IF(F137&lt;DATE(2026+0,5,1),IF(I137="Vacate",H137*D137*(1+GrowthMarketRent)^0*IF(INT((DATE(2026+0,10,31)-F137)/365.25)=0,(12-DowntimeNew)/12,1),IF(I137="Option",G137*D137*1.025*(1+EscalatorInLease)^0,IF(I137="Market",Retention*G137*D137*(1+EscalatorInLease)^(0+M137)+(1-Retention)*H137*D137*(1+GrowthMarketRent)^0*IF(INT((DATE(2026+0,10,31)-F137)/365.25)=0,(12-DowntimeNew)/12,1),IF(I137="LeaseUp",H137*D137*(1+GrowthMarketRent)^0*IF(0=0,(12-DowntimeNew)/12,1),0)))),((F137-DATE(2026+0,5,1))/365.25)*G137*D137*(1+EscalatorInLease)^(0+M137)+((DATE(2027+0,4,30)-F137)/365.25)*IF(I137="Vacate",H137*D137*(1+GrowthMarketRent)^0*IF(INT((DATE(2026+0,10,31)-F137)/365.25)=0,(12-DowntimeNew)/12,1),IF(I137="Option",G137*D137*1.025*(1+EscalatorInLease)^0,IF(I137="Market",Retention*G137*D137*(1+EscalatorInLease)^(0+M137)+(1-Retention)*H137*D137*(1+GrowthMarketRent)^0*IF(INT((DATE(2026+0,10,31)-F137)/365.25)=0,(12-DowntimeNew)/12,1),IF(I137="LeaseUp",H137*D137*(1+GrowthMarketRent)^0*IF(0=0,(12-DowntimeNew)/12,1),0)))))))),0)</f>
        <v/>
      </c>
      <c r="O137" s="14">
        <f>IFERROR(IF(I137="LeaseUp",H137*D137*(1+GrowthMarketRent)^1*IF(1=0,(12-DowntimeNew)/12,1),IF(F137="",0,IF(F137&gt;=DATE(2027+1,4,30),G137*D137*(1+EscalatorInLease)^(1+M137),IF(F137&lt;DATE(2026+1,5,1),IF(I137="Vacate",H137*D137*(1+GrowthMarketRent)^1*IF(INT((DATE(2026+1,10,31)-F137)/365.25)=0,(12-DowntimeNew)/12,1),IF(I137="Option",G137*D137*1.025*(1+EscalatorInLease)^1,IF(I137="Market",Retention*G137*D137*(1+EscalatorInLease)^(1+M137)+(1-Retention)*H137*D137*(1+GrowthMarketRent)^1*IF(INT((DATE(2026+1,10,31)-F137)/365.25)=0,(12-DowntimeNew)/12,1),IF(I137="LeaseUp",H137*D137*(1+GrowthMarketRent)^1*IF(1=0,(12-DowntimeNew)/12,1),0)))),((F137-DATE(2026+1,5,1))/365.25)*G137*D137*(1+EscalatorInLease)^(1+M137)+((DATE(2027+1,4,30)-F137)/365.25)*IF(I137="Vacate",H137*D137*(1+GrowthMarketRent)^1*IF(INT((DATE(2026+1,10,31)-F137)/365.25)=0,(12-DowntimeNew)/12,1),IF(I137="Option",G137*D137*1.025*(1+EscalatorInLease)^1,IF(I137="Market",Retention*G137*D137*(1+EscalatorInLease)^(1+M137)+(1-Retention)*H137*D137*(1+GrowthMarketRent)^1*IF(INT((DATE(2026+1,10,31)-F137)/365.25)=0,(12-DowntimeNew)/12,1),IF(I137="LeaseUp",H137*D137*(1+GrowthMarketRent)^1*IF(1=0,(12-DowntimeNew)/12,1),0)))))))),0)</f>
        <v/>
      </c>
      <c r="P137" s="14">
        <f>IFERROR(IF(I137="LeaseUp",H137*D137*(1+GrowthMarketRent)^2*IF(2=0,(12-DowntimeNew)/12,1),IF(F137="",0,IF(F137&gt;=DATE(2027+2,4,30),G137*D137*(1+EscalatorInLease)^(2+M137),IF(F137&lt;DATE(2026+2,5,1),IF(I137="Vacate",H137*D137*(1+GrowthMarketRent)^2*IF(INT((DATE(2026+2,10,31)-F137)/365.25)=0,(12-DowntimeNew)/12,1),IF(I137="Option",G137*D137*1.025*(1+EscalatorInLease)^2,IF(I137="Market",Retention*G137*D137*(1+EscalatorInLease)^(2+M137)+(1-Retention)*H137*D137*(1+GrowthMarketRent)^2*IF(INT((DATE(2026+2,10,31)-F137)/365.25)=0,(12-DowntimeNew)/12,1),IF(I137="LeaseUp",H137*D137*(1+GrowthMarketRent)^2*IF(2=0,(12-DowntimeNew)/12,1),0)))),((F137-DATE(2026+2,5,1))/365.25)*G137*D137*(1+EscalatorInLease)^(2+M137)+((DATE(2027+2,4,30)-F137)/365.25)*IF(I137="Vacate",H137*D137*(1+GrowthMarketRent)^2*IF(INT((DATE(2026+2,10,31)-F137)/365.25)=0,(12-DowntimeNew)/12,1),IF(I137="Option",G137*D137*1.025*(1+EscalatorInLease)^2,IF(I137="Market",Retention*G137*D137*(1+EscalatorInLease)^(2+M137)+(1-Retention)*H137*D137*(1+GrowthMarketRent)^2*IF(INT((DATE(2026+2,10,31)-F137)/365.25)=0,(12-DowntimeNew)/12,1),IF(I137="LeaseUp",H137*D137*(1+GrowthMarketRent)^2*IF(2=0,(12-DowntimeNew)/12,1),0)))))))),0)</f>
        <v/>
      </c>
      <c r="Q137" s="14">
        <f>IFERROR(IF(I137="LeaseUp",H137*D137*(1+GrowthMarketRent)^3*IF(3=0,(12-DowntimeNew)/12,1),IF(F137="",0,IF(F137&gt;=DATE(2027+3,4,30),G137*D137*(1+EscalatorInLease)^(3+M137),IF(F137&lt;DATE(2026+3,5,1),IF(I137="Vacate",H137*D137*(1+GrowthMarketRent)^3*IF(INT((DATE(2026+3,10,31)-F137)/365.25)=0,(12-DowntimeNew)/12,1),IF(I137="Option",G137*D137*1.025*(1+EscalatorInLease)^3,IF(I137="Market",Retention*G137*D137*(1+EscalatorInLease)^(3+M137)+(1-Retention)*H137*D137*(1+GrowthMarketRent)^3*IF(INT((DATE(2026+3,10,31)-F137)/365.25)=0,(12-DowntimeNew)/12,1),IF(I137="LeaseUp",H137*D137*(1+GrowthMarketRent)^3*IF(3=0,(12-DowntimeNew)/12,1),0)))),((F137-DATE(2026+3,5,1))/365.25)*G137*D137*(1+EscalatorInLease)^(3+M137)+((DATE(2027+3,4,30)-F137)/365.25)*IF(I137="Vacate",H137*D137*(1+GrowthMarketRent)^3*IF(INT((DATE(2026+3,10,31)-F137)/365.25)=0,(12-DowntimeNew)/12,1),IF(I137="Option",G137*D137*1.025*(1+EscalatorInLease)^3,IF(I137="Market",Retention*G137*D137*(1+EscalatorInLease)^(3+M137)+(1-Retention)*H137*D137*(1+GrowthMarketRent)^3*IF(INT((DATE(2026+3,10,31)-F137)/365.25)=0,(12-DowntimeNew)/12,1),IF(I137="LeaseUp",H137*D137*(1+GrowthMarketRent)^3*IF(3=0,(12-DowntimeNew)/12,1),0)))))))),0)</f>
        <v/>
      </c>
      <c r="R137" s="14">
        <f>IFERROR(IF(I137="LeaseUp",H137*D137*(1+GrowthMarketRent)^4*IF(4=0,(12-DowntimeNew)/12,1),IF(F137="",0,IF(F137&gt;=DATE(2027+4,4,30),G137*D137*(1+EscalatorInLease)^(4+M137),IF(F137&lt;DATE(2026+4,5,1),IF(I137="Vacate",H137*D137*(1+GrowthMarketRent)^4*IF(INT((DATE(2026+4,10,31)-F137)/365.25)=0,(12-DowntimeNew)/12,1),IF(I137="Option",G137*D137*1.025*(1+EscalatorInLease)^4,IF(I137="Market",Retention*G137*D137*(1+EscalatorInLease)^(4+M137)+(1-Retention)*H137*D137*(1+GrowthMarketRent)^4*IF(INT((DATE(2026+4,10,31)-F137)/365.25)=0,(12-DowntimeNew)/12,1),IF(I137="LeaseUp",H137*D137*(1+GrowthMarketRent)^4*IF(4=0,(12-DowntimeNew)/12,1),0)))),((F137-DATE(2026+4,5,1))/365.25)*G137*D137*(1+EscalatorInLease)^(4+M137)+((DATE(2027+4,4,30)-F137)/365.25)*IF(I137="Vacate",H137*D137*(1+GrowthMarketRent)^4*IF(INT((DATE(2026+4,10,31)-F137)/365.25)=0,(12-DowntimeNew)/12,1),IF(I137="Option",G137*D137*1.025*(1+EscalatorInLease)^4,IF(I137="Market",Retention*G137*D137*(1+EscalatorInLease)^(4+M137)+(1-Retention)*H137*D137*(1+GrowthMarketRent)^4*IF(INT((DATE(2026+4,10,31)-F137)/365.25)=0,(12-DowntimeNew)/12,1),IF(I137="LeaseUp",H137*D137*(1+GrowthMarketRent)^4*IF(4=0,(12-DowntimeNew)/12,1),0)))))))),0)</f>
        <v/>
      </c>
      <c r="S137" s="14">
        <f>IFERROR(IF(I137="LeaseUp",H137*D137*(1+GrowthMarketRent)^5*IF(5=0,(12-DowntimeNew)/12,1),IF(F137="",0,IF(F137&gt;=DATE(2027+5,4,30),G137*D137*(1+EscalatorInLease)^(5+M137),IF(F137&lt;DATE(2026+5,5,1),IF(I137="Vacate",H137*D137*(1+GrowthMarketRent)^5*IF(INT((DATE(2026+5,10,31)-F137)/365.25)=0,(12-DowntimeNew)/12,1),IF(I137="Option",G137*D137*1.025*(1+EscalatorInLease)^5,IF(I137="Market",Retention*G137*D137*(1+EscalatorInLease)^(5+M137)+(1-Retention)*H137*D137*(1+GrowthMarketRent)^5*IF(INT((DATE(2026+5,10,31)-F137)/365.25)=0,(12-DowntimeNew)/12,1),IF(I137="LeaseUp",H137*D137*(1+GrowthMarketRent)^5*IF(5=0,(12-DowntimeNew)/12,1),0)))),((F137-DATE(2026+5,5,1))/365.25)*G137*D137*(1+EscalatorInLease)^(5+M137)+((DATE(2027+5,4,30)-F137)/365.25)*IF(I137="Vacate",H137*D137*(1+GrowthMarketRent)^5*IF(INT((DATE(2026+5,10,31)-F137)/365.25)=0,(12-DowntimeNew)/12,1),IF(I137="Option",G137*D137*1.025*(1+EscalatorInLease)^5,IF(I137="Market",Retention*G137*D137*(1+EscalatorInLease)^(5+M137)+(1-Retention)*H137*D137*(1+GrowthMarketRent)^5*IF(INT((DATE(2026+5,10,31)-F137)/365.25)=0,(12-DowntimeNew)/12,1),IF(I137="LeaseUp",H137*D137*(1+GrowthMarketRent)^5*IF(5=0,(12-DowntimeNew)/12,1),0)))))))),0)</f>
        <v/>
      </c>
      <c r="T137" s="14">
        <f>IFERROR(IF(I137="LeaseUp",H137*D137*(1+GrowthMarketRent)^6*IF(6=0,(12-DowntimeNew)/12,1),IF(F137="",0,IF(F137&gt;=DATE(2027+6,4,30),G137*D137*(1+EscalatorInLease)^(6+M137),IF(F137&lt;DATE(2026+6,5,1),IF(I137="Vacate",H137*D137*(1+GrowthMarketRent)^6*IF(INT((DATE(2026+6,10,31)-F137)/365.25)=0,(12-DowntimeNew)/12,1),IF(I137="Option",G137*D137*1.025*(1+EscalatorInLease)^6,IF(I137="Market",Retention*G137*D137*(1+EscalatorInLease)^(6+M137)+(1-Retention)*H137*D137*(1+GrowthMarketRent)^6*IF(INT((DATE(2026+6,10,31)-F137)/365.25)=0,(12-DowntimeNew)/12,1),IF(I137="LeaseUp",H137*D137*(1+GrowthMarketRent)^6*IF(6=0,(12-DowntimeNew)/12,1),0)))),((F137-DATE(2026+6,5,1))/365.25)*G137*D137*(1+EscalatorInLease)^(6+M137)+((DATE(2027+6,4,30)-F137)/365.25)*IF(I137="Vacate",H137*D137*(1+GrowthMarketRent)^6*IF(INT((DATE(2026+6,10,31)-F137)/365.25)=0,(12-DowntimeNew)/12,1),IF(I137="Option",G137*D137*1.025*(1+EscalatorInLease)^6,IF(I137="Market",Retention*G137*D137*(1+EscalatorInLease)^(6+M137)+(1-Retention)*H137*D137*(1+GrowthMarketRent)^6*IF(INT((DATE(2026+6,10,31)-F137)/365.25)=0,(12-DowntimeNew)/12,1),IF(I137="LeaseUp",H137*D137*(1+GrowthMarketRent)^6*IF(6=0,(12-DowntimeNew)/12,1),0)))))))),0)</f>
        <v/>
      </c>
      <c r="U137" s="14">
        <f>IFERROR(IF(I137="LeaseUp",H137*D137*(1+GrowthMarketRent)^7*IF(7=0,(12-DowntimeNew)/12,1),IF(F137="",0,IF(F137&gt;=DATE(2027+7,4,30),G137*D137*(1+EscalatorInLease)^(7+M137),IF(F137&lt;DATE(2026+7,5,1),IF(I137="Vacate",H137*D137*(1+GrowthMarketRent)^7*IF(INT((DATE(2026+7,10,31)-F137)/365.25)=0,(12-DowntimeNew)/12,1),IF(I137="Option",G137*D137*1.025*(1+EscalatorInLease)^7,IF(I137="Market",Retention*G137*D137*(1+EscalatorInLease)^(7+M137)+(1-Retention)*H137*D137*(1+GrowthMarketRent)^7*IF(INT((DATE(2026+7,10,31)-F137)/365.25)=0,(12-DowntimeNew)/12,1),IF(I137="LeaseUp",H137*D137*(1+GrowthMarketRent)^7*IF(7=0,(12-DowntimeNew)/12,1),0)))),((F137-DATE(2026+7,5,1))/365.25)*G137*D137*(1+EscalatorInLease)^(7+M137)+((DATE(2027+7,4,30)-F137)/365.25)*IF(I137="Vacate",H137*D137*(1+GrowthMarketRent)^7*IF(INT((DATE(2026+7,10,31)-F137)/365.25)=0,(12-DowntimeNew)/12,1),IF(I137="Option",G137*D137*1.025*(1+EscalatorInLease)^7,IF(I137="Market",Retention*G137*D137*(1+EscalatorInLease)^(7+M137)+(1-Retention)*H137*D137*(1+GrowthMarketRent)^7*IF(INT((DATE(2026+7,10,31)-F137)/365.25)=0,(12-DowntimeNew)/12,1),IF(I137="LeaseUp",H137*D137*(1+GrowthMarketRent)^7*IF(7=0,(12-DowntimeNew)/12,1),0)))))))),0)</f>
        <v/>
      </c>
      <c r="V137" s="14">
        <f>IFERROR(IF(I137="LeaseUp",H137*D137*(1+GrowthMarketRent)^8*IF(8=0,(12-DowntimeNew)/12,1),IF(F137="",0,IF(F137&gt;=DATE(2027+8,4,30),G137*D137*(1+EscalatorInLease)^(8+M137),IF(F137&lt;DATE(2026+8,5,1),IF(I137="Vacate",H137*D137*(1+GrowthMarketRent)^8*IF(INT((DATE(2026+8,10,31)-F137)/365.25)=0,(12-DowntimeNew)/12,1),IF(I137="Option",G137*D137*1.025*(1+EscalatorInLease)^8,IF(I137="Market",Retention*G137*D137*(1+EscalatorInLease)^(8+M137)+(1-Retention)*H137*D137*(1+GrowthMarketRent)^8*IF(INT((DATE(2026+8,10,31)-F137)/365.25)=0,(12-DowntimeNew)/12,1),IF(I137="LeaseUp",H137*D137*(1+GrowthMarketRent)^8*IF(8=0,(12-DowntimeNew)/12,1),0)))),((F137-DATE(2026+8,5,1))/365.25)*G137*D137*(1+EscalatorInLease)^(8+M137)+((DATE(2027+8,4,30)-F137)/365.25)*IF(I137="Vacate",H137*D137*(1+GrowthMarketRent)^8*IF(INT((DATE(2026+8,10,31)-F137)/365.25)=0,(12-DowntimeNew)/12,1),IF(I137="Option",G137*D137*1.025*(1+EscalatorInLease)^8,IF(I137="Market",Retention*G137*D137*(1+EscalatorInLease)^(8+M137)+(1-Retention)*H137*D137*(1+GrowthMarketRent)^8*IF(INT((DATE(2026+8,10,31)-F137)/365.25)=0,(12-DowntimeNew)/12,1),IF(I137="LeaseUp",H137*D137*(1+GrowthMarketRent)^8*IF(8=0,(12-DowntimeNew)/12,1),0)))))))),0)</f>
        <v/>
      </c>
      <c r="W137" s="14">
        <f>IFERROR(IF(I137="LeaseUp",H137*D137*(1+GrowthMarketRent)^9*IF(9=0,(12-DowntimeNew)/12,1),IF(F137="",0,IF(F137&gt;=DATE(2027+9,4,30),G137*D137*(1+EscalatorInLease)^(9+M137),IF(F137&lt;DATE(2026+9,5,1),IF(I137="Vacate",H137*D137*(1+GrowthMarketRent)^9*IF(INT((DATE(2026+9,10,31)-F137)/365.25)=0,(12-DowntimeNew)/12,1),IF(I137="Option",G137*D137*1.025*(1+EscalatorInLease)^9,IF(I137="Market",Retention*G137*D137*(1+EscalatorInLease)^(9+M137)+(1-Retention)*H137*D137*(1+GrowthMarketRent)^9*IF(INT((DATE(2026+9,10,31)-F137)/365.25)=0,(12-DowntimeNew)/12,1),IF(I137="LeaseUp",H137*D137*(1+GrowthMarketRent)^9*IF(9=0,(12-DowntimeNew)/12,1),0)))),((F137-DATE(2026+9,5,1))/365.25)*G137*D137*(1+EscalatorInLease)^(9+M137)+((DATE(2027+9,4,30)-F137)/365.25)*IF(I137="Vacate",H137*D137*(1+GrowthMarketRent)^9*IF(INT((DATE(2026+9,10,31)-F137)/365.25)=0,(12-DowntimeNew)/12,1),IF(I137="Option",G137*D137*1.025*(1+EscalatorInLease)^9,IF(I137="Market",Retention*G137*D137*(1+EscalatorInLease)^(9+M137)+(1-Retention)*H137*D137*(1+GrowthMarketRent)^9*IF(INT((DATE(2026+9,10,31)-F137)/365.25)=0,(12-DowntimeNew)/12,1),IF(I137="LeaseUp",H137*D137*(1+GrowthMarketRent)^9*IF(9=0,(12-DowntimeNew)/12,1),0)))))))),0)</f>
        <v/>
      </c>
      <c r="X137" s="14">
        <f>IFERROR(IF(I137="LeaseUp",H137*D137*(1+GrowthMarketRent)^10*IF(10=0,(12-DowntimeNew)/12,1),IF(F137="",0,IF(F137&gt;=DATE(2027+10,4,30),G137*D137*(1+EscalatorInLease)^(10+M137),IF(F137&lt;DATE(2026+10,5,1),IF(I137="Vacate",H137*D137*(1+GrowthMarketRent)^10*IF(INT((DATE(2026+10,10,31)-F137)/365.25)=0,(12-DowntimeNew)/12,1),IF(I137="Option",G137*D137*1.025*(1+EscalatorInLease)^10,IF(I137="Market",Retention*G137*D137*(1+EscalatorInLease)^(10+M137)+(1-Retention)*H137*D137*(1+GrowthMarketRent)^10*IF(INT((DATE(2026+10,10,31)-F137)/365.25)=0,(12-DowntimeNew)/12,1),IF(I137="LeaseUp",H137*D137*(1+GrowthMarketRent)^10*IF(10=0,(12-DowntimeNew)/12,1),0)))),((F137-DATE(2026+10,5,1))/365.25)*G137*D137*(1+EscalatorInLease)^(10+M137)+((DATE(2027+10,4,30)-F137)/365.25)*IF(I137="Vacate",H137*D137*(1+GrowthMarketRent)^10*IF(INT((DATE(2026+10,10,31)-F137)/365.25)=0,(12-DowntimeNew)/12,1),IF(I137="Option",G137*D137*1.025*(1+EscalatorInLease)^10,IF(I137="Market",Retention*G137*D137*(1+EscalatorInLease)^(10+M137)+(1-Retention)*H137*D137*(1+GrowthMarketRent)^10*IF(INT((DATE(2026+10,10,31)-F137)/365.25)=0,(12-DowntimeNew)/12,1),IF(I137="LeaseUp",H137*D137*(1+GrowthMarketRent)^10*IF(10=0,(12-DowntimeNew)/12,1),0)))))))),0)</f>
        <v/>
      </c>
      <c r="Y137" s="14">
        <f>IFERROR(IF(AND(I137="LeaseUp",0=0),(IF(I137="Vacate",TINew*D137,IF(I137="Market",Retention*TIRenewal*D137+(1-Retention)*TINew*D137,IF(I137="LeaseUp",TINew*D137,IF(I137="Option",TIRenewal*D137,0)))))+(IF(I137="Vacate",LCNew*H137*D137*(1+GrowthMarketRent)^0,IF(I137="Market",Retention*LCRenewal*H137*D137*(1+GrowthMarketRent)^0+(1-Retention)*LCNew*H137*D137*(1+GrowthMarketRent)^0,IF(I137="LeaseUp",LCNew*H137*D137*(1+GrowthMarketRent)^0,IF(I137="Option",LCRenewal*H137*D137*(1+GrowthMarketRent)^0,0))))),IF(F137="",0,IF(AND(F137&gt;=DATE(2026+0,5,1),F137&lt;=DATE(2027+0,4,30)),(IF(I137="Vacate",TINew*D137,IF(I137="Market",Retention*TIRenewal*D137+(1-Retention)*TINew*D137,IF(I137="LeaseUp",TINew*D137,IF(I137="Option",TIRenewal*D137,0)))))+(IF(I137="Vacate",LCNew*H137*D137*(1+GrowthMarketRent)^0,IF(I137="Market",Retention*LCRenewal*H137*D137*(1+GrowthMarketRent)^0+(1-Retention)*LCNew*H137*D137*(1+GrowthMarketRent)^0,IF(I137="LeaseUp",LCNew*H137*D137*(1+GrowthMarketRent)^0,IF(I137="Option",LCRenewal*H137*D137*(1+GrowthMarketRent)^0,0))))),0))),0)</f>
        <v/>
      </c>
      <c r="Z137" s="14">
        <f>IFERROR(IF(AND(I137="LeaseUp",1=0),(IF(I137="Vacate",TINew*D137,IF(I137="Market",Retention*TIRenewal*D137+(1-Retention)*TINew*D137,IF(I137="LeaseUp",TINew*D137,IF(I137="Option",TIRenewal*D137,0)))))+(IF(I137="Vacate",LCNew*H137*D137*(1+GrowthMarketRent)^1,IF(I137="Market",Retention*LCRenewal*H137*D137*(1+GrowthMarketRent)^1+(1-Retention)*LCNew*H137*D137*(1+GrowthMarketRent)^1,IF(I137="LeaseUp",LCNew*H137*D137*(1+GrowthMarketRent)^1,IF(I137="Option",LCRenewal*H137*D137*(1+GrowthMarketRent)^1,0))))),IF(F137="",0,IF(AND(F137&gt;=DATE(2026+1,5,1),F137&lt;=DATE(2027+1,4,30)),(IF(I137="Vacate",TINew*D137,IF(I137="Market",Retention*TIRenewal*D137+(1-Retention)*TINew*D137,IF(I137="LeaseUp",TINew*D137,IF(I137="Option",TIRenewal*D137,0)))))+(IF(I137="Vacate",LCNew*H137*D137*(1+GrowthMarketRent)^1,IF(I137="Market",Retention*LCRenewal*H137*D137*(1+GrowthMarketRent)^1+(1-Retention)*LCNew*H137*D137*(1+GrowthMarketRent)^1,IF(I137="LeaseUp",LCNew*H137*D137*(1+GrowthMarketRent)^1,IF(I137="Option",LCRenewal*H137*D137*(1+GrowthMarketRent)^1,0))))),0))),0)</f>
        <v/>
      </c>
      <c r="AA137" s="14">
        <f>IFERROR(IF(AND(I137="LeaseUp",2=0),(IF(I137="Vacate",TINew*D137,IF(I137="Market",Retention*TIRenewal*D137+(1-Retention)*TINew*D137,IF(I137="LeaseUp",TINew*D137,IF(I137="Option",TIRenewal*D137,0)))))+(IF(I137="Vacate",LCNew*H137*D137*(1+GrowthMarketRent)^2,IF(I137="Market",Retention*LCRenewal*H137*D137*(1+GrowthMarketRent)^2+(1-Retention)*LCNew*H137*D137*(1+GrowthMarketRent)^2,IF(I137="LeaseUp",LCNew*H137*D137*(1+GrowthMarketRent)^2,IF(I137="Option",LCRenewal*H137*D137*(1+GrowthMarketRent)^2,0))))),IF(F137="",0,IF(AND(F137&gt;=DATE(2026+2,5,1),F137&lt;=DATE(2027+2,4,30)),(IF(I137="Vacate",TINew*D137,IF(I137="Market",Retention*TIRenewal*D137+(1-Retention)*TINew*D137,IF(I137="LeaseUp",TINew*D137,IF(I137="Option",TIRenewal*D137,0)))))+(IF(I137="Vacate",LCNew*H137*D137*(1+GrowthMarketRent)^2,IF(I137="Market",Retention*LCRenewal*H137*D137*(1+GrowthMarketRent)^2+(1-Retention)*LCNew*H137*D137*(1+GrowthMarketRent)^2,IF(I137="LeaseUp",LCNew*H137*D137*(1+GrowthMarketRent)^2,IF(I137="Option",LCRenewal*H137*D137*(1+GrowthMarketRent)^2,0))))),0))),0)</f>
        <v/>
      </c>
      <c r="AB137" s="14">
        <f>IFERROR(IF(AND(I137="LeaseUp",3=0),(IF(I137="Vacate",TINew*D137,IF(I137="Market",Retention*TIRenewal*D137+(1-Retention)*TINew*D137,IF(I137="LeaseUp",TINew*D137,IF(I137="Option",TIRenewal*D137,0)))))+(IF(I137="Vacate",LCNew*H137*D137*(1+GrowthMarketRent)^3,IF(I137="Market",Retention*LCRenewal*H137*D137*(1+GrowthMarketRent)^3+(1-Retention)*LCNew*H137*D137*(1+GrowthMarketRent)^3,IF(I137="LeaseUp",LCNew*H137*D137*(1+GrowthMarketRent)^3,IF(I137="Option",LCRenewal*H137*D137*(1+GrowthMarketRent)^3,0))))),IF(F137="",0,IF(AND(F137&gt;=DATE(2026+3,5,1),F137&lt;=DATE(2027+3,4,30)),(IF(I137="Vacate",TINew*D137,IF(I137="Market",Retention*TIRenewal*D137+(1-Retention)*TINew*D137,IF(I137="LeaseUp",TINew*D137,IF(I137="Option",TIRenewal*D137,0)))))+(IF(I137="Vacate",LCNew*H137*D137*(1+GrowthMarketRent)^3,IF(I137="Market",Retention*LCRenewal*H137*D137*(1+GrowthMarketRent)^3+(1-Retention)*LCNew*H137*D137*(1+GrowthMarketRent)^3,IF(I137="LeaseUp",LCNew*H137*D137*(1+GrowthMarketRent)^3,IF(I137="Option",LCRenewal*H137*D137*(1+GrowthMarketRent)^3,0))))),0))),0)</f>
        <v/>
      </c>
      <c r="AC137" s="14">
        <f>IFERROR(IF(AND(I137="LeaseUp",4=0),(IF(I137="Vacate",TINew*D137,IF(I137="Market",Retention*TIRenewal*D137+(1-Retention)*TINew*D137,IF(I137="LeaseUp",TINew*D137,IF(I137="Option",TIRenewal*D137,0)))))+(IF(I137="Vacate",LCNew*H137*D137*(1+GrowthMarketRent)^4,IF(I137="Market",Retention*LCRenewal*H137*D137*(1+GrowthMarketRent)^4+(1-Retention)*LCNew*H137*D137*(1+GrowthMarketRent)^4,IF(I137="LeaseUp",LCNew*H137*D137*(1+GrowthMarketRent)^4,IF(I137="Option",LCRenewal*H137*D137*(1+GrowthMarketRent)^4,0))))),IF(F137="",0,IF(AND(F137&gt;=DATE(2026+4,5,1),F137&lt;=DATE(2027+4,4,30)),(IF(I137="Vacate",TINew*D137,IF(I137="Market",Retention*TIRenewal*D137+(1-Retention)*TINew*D137,IF(I137="LeaseUp",TINew*D137,IF(I137="Option",TIRenewal*D137,0)))))+(IF(I137="Vacate",LCNew*H137*D137*(1+GrowthMarketRent)^4,IF(I137="Market",Retention*LCRenewal*H137*D137*(1+GrowthMarketRent)^4+(1-Retention)*LCNew*H137*D137*(1+GrowthMarketRent)^4,IF(I137="LeaseUp",LCNew*H137*D137*(1+GrowthMarketRent)^4,IF(I137="Option",LCRenewal*H137*D137*(1+GrowthMarketRent)^4,0))))),0))),0)</f>
        <v/>
      </c>
      <c r="AD137" s="14">
        <f>IFERROR(IF(AND(I137="LeaseUp",5=0),(IF(I137="Vacate",TINew*D137,IF(I137="Market",Retention*TIRenewal*D137+(1-Retention)*TINew*D137,IF(I137="LeaseUp",TINew*D137,IF(I137="Option",TIRenewal*D137,0)))))+(IF(I137="Vacate",LCNew*H137*D137*(1+GrowthMarketRent)^5,IF(I137="Market",Retention*LCRenewal*H137*D137*(1+GrowthMarketRent)^5+(1-Retention)*LCNew*H137*D137*(1+GrowthMarketRent)^5,IF(I137="LeaseUp",LCNew*H137*D137*(1+GrowthMarketRent)^5,IF(I137="Option",LCRenewal*H137*D137*(1+GrowthMarketRent)^5,0))))),IF(F137="",0,IF(AND(F137&gt;=DATE(2026+5,5,1),F137&lt;=DATE(2027+5,4,30)),(IF(I137="Vacate",TINew*D137,IF(I137="Market",Retention*TIRenewal*D137+(1-Retention)*TINew*D137,IF(I137="LeaseUp",TINew*D137,IF(I137="Option",TIRenewal*D137,0)))))+(IF(I137="Vacate",LCNew*H137*D137*(1+GrowthMarketRent)^5,IF(I137="Market",Retention*LCRenewal*H137*D137*(1+GrowthMarketRent)^5+(1-Retention)*LCNew*H137*D137*(1+GrowthMarketRent)^5,IF(I137="LeaseUp",LCNew*H137*D137*(1+GrowthMarketRent)^5,IF(I137="Option",LCRenewal*H137*D137*(1+GrowthMarketRent)^5,0))))),0))),0)</f>
        <v/>
      </c>
      <c r="AE137" s="14">
        <f>IFERROR(IF(AND(I137="LeaseUp",6=0),(IF(I137="Vacate",TINew*D137,IF(I137="Market",Retention*TIRenewal*D137+(1-Retention)*TINew*D137,IF(I137="LeaseUp",TINew*D137,IF(I137="Option",TIRenewal*D137,0)))))+(IF(I137="Vacate",LCNew*H137*D137*(1+GrowthMarketRent)^6,IF(I137="Market",Retention*LCRenewal*H137*D137*(1+GrowthMarketRent)^6+(1-Retention)*LCNew*H137*D137*(1+GrowthMarketRent)^6,IF(I137="LeaseUp",LCNew*H137*D137*(1+GrowthMarketRent)^6,IF(I137="Option",LCRenewal*H137*D137*(1+GrowthMarketRent)^6,0))))),IF(F137="",0,IF(AND(F137&gt;=DATE(2026+6,5,1),F137&lt;=DATE(2027+6,4,30)),(IF(I137="Vacate",TINew*D137,IF(I137="Market",Retention*TIRenewal*D137+(1-Retention)*TINew*D137,IF(I137="LeaseUp",TINew*D137,IF(I137="Option",TIRenewal*D137,0)))))+(IF(I137="Vacate",LCNew*H137*D137*(1+GrowthMarketRent)^6,IF(I137="Market",Retention*LCRenewal*H137*D137*(1+GrowthMarketRent)^6+(1-Retention)*LCNew*H137*D137*(1+GrowthMarketRent)^6,IF(I137="LeaseUp",LCNew*H137*D137*(1+GrowthMarketRent)^6,IF(I137="Option",LCRenewal*H137*D137*(1+GrowthMarketRent)^6,0))))),0))),0)</f>
        <v/>
      </c>
      <c r="AF137" s="14">
        <f>IFERROR(IF(AND(I137="LeaseUp",7=0),(IF(I137="Vacate",TINew*D137,IF(I137="Market",Retention*TIRenewal*D137+(1-Retention)*TINew*D137,IF(I137="LeaseUp",TINew*D137,IF(I137="Option",TIRenewal*D137,0)))))+(IF(I137="Vacate",LCNew*H137*D137*(1+GrowthMarketRent)^7,IF(I137="Market",Retention*LCRenewal*H137*D137*(1+GrowthMarketRent)^7+(1-Retention)*LCNew*H137*D137*(1+GrowthMarketRent)^7,IF(I137="LeaseUp",LCNew*H137*D137*(1+GrowthMarketRent)^7,IF(I137="Option",LCRenewal*H137*D137*(1+GrowthMarketRent)^7,0))))),IF(F137="",0,IF(AND(F137&gt;=DATE(2026+7,5,1),F137&lt;=DATE(2027+7,4,30)),(IF(I137="Vacate",TINew*D137,IF(I137="Market",Retention*TIRenewal*D137+(1-Retention)*TINew*D137,IF(I137="LeaseUp",TINew*D137,IF(I137="Option",TIRenewal*D137,0)))))+(IF(I137="Vacate",LCNew*H137*D137*(1+GrowthMarketRent)^7,IF(I137="Market",Retention*LCRenewal*H137*D137*(1+GrowthMarketRent)^7+(1-Retention)*LCNew*H137*D137*(1+GrowthMarketRent)^7,IF(I137="LeaseUp",LCNew*H137*D137*(1+GrowthMarketRent)^7,IF(I137="Option",LCRenewal*H137*D137*(1+GrowthMarketRent)^7,0))))),0))),0)</f>
        <v/>
      </c>
      <c r="AG137" s="14">
        <f>IFERROR(IF(AND(I137="LeaseUp",8=0),(IF(I137="Vacate",TINew*D137,IF(I137="Market",Retention*TIRenewal*D137+(1-Retention)*TINew*D137,IF(I137="LeaseUp",TINew*D137,IF(I137="Option",TIRenewal*D137,0)))))+(IF(I137="Vacate",LCNew*H137*D137*(1+GrowthMarketRent)^8,IF(I137="Market",Retention*LCRenewal*H137*D137*(1+GrowthMarketRent)^8+(1-Retention)*LCNew*H137*D137*(1+GrowthMarketRent)^8,IF(I137="LeaseUp",LCNew*H137*D137*(1+GrowthMarketRent)^8,IF(I137="Option",LCRenewal*H137*D137*(1+GrowthMarketRent)^8,0))))),IF(F137="",0,IF(AND(F137&gt;=DATE(2026+8,5,1),F137&lt;=DATE(2027+8,4,30)),(IF(I137="Vacate",TINew*D137,IF(I137="Market",Retention*TIRenewal*D137+(1-Retention)*TINew*D137,IF(I137="LeaseUp",TINew*D137,IF(I137="Option",TIRenewal*D137,0)))))+(IF(I137="Vacate",LCNew*H137*D137*(1+GrowthMarketRent)^8,IF(I137="Market",Retention*LCRenewal*H137*D137*(1+GrowthMarketRent)^8+(1-Retention)*LCNew*H137*D137*(1+GrowthMarketRent)^8,IF(I137="LeaseUp",LCNew*H137*D137*(1+GrowthMarketRent)^8,IF(I137="Option",LCRenewal*H137*D137*(1+GrowthMarketRent)^8,0))))),0))),0)</f>
        <v/>
      </c>
      <c r="AH137" s="14">
        <f>IFERROR(IF(AND(I137="LeaseUp",9=0),(IF(I137="Vacate",TINew*D137,IF(I137="Market",Retention*TIRenewal*D137+(1-Retention)*TINew*D137,IF(I137="LeaseUp",TINew*D137,IF(I137="Option",TIRenewal*D137,0)))))+(IF(I137="Vacate",LCNew*H137*D137*(1+GrowthMarketRent)^9,IF(I137="Market",Retention*LCRenewal*H137*D137*(1+GrowthMarketRent)^9+(1-Retention)*LCNew*H137*D137*(1+GrowthMarketRent)^9,IF(I137="LeaseUp",LCNew*H137*D137*(1+GrowthMarketRent)^9,IF(I137="Option",LCRenewal*H137*D137*(1+GrowthMarketRent)^9,0))))),IF(F137="",0,IF(AND(F137&gt;=DATE(2026+9,5,1),F137&lt;=DATE(2027+9,4,30)),(IF(I137="Vacate",TINew*D137,IF(I137="Market",Retention*TIRenewal*D137+(1-Retention)*TINew*D137,IF(I137="LeaseUp",TINew*D137,IF(I137="Option",TIRenewal*D137,0)))))+(IF(I137="Vacate",LCNew*H137*D137*(1+GrowthMarketRent)^9,IF(I137="Market",Retention*LCRenewal*H137*D137*(1+GrowthMarketRent)^9+(1-Retention)*LCNew*H137*D137*(1+GrowthMarketRent)^9,IF(I137="LeaseUp",LCNew*H137*D137*(1+GrowthMarketRent)^9,IF(I137="Option",LCRenewal*H137*D137*(1+GrowthMarketRent)^9,0))))),0))),0)</f>
        <v/>
      </c>
      <c r="AI137" s="14">
        <f>IFERROR(IF(AND(I137="LeaseUp",10=0),(IF(I137="Vacate",TINew*D137,IF(I137="Market",Retention*TIRenewal*D137+(1-Retention)*TINew*D137,IF(I137="LeaseUp",TINew*D137,IF(I137="Option",TIRenewal*D137,0)))))+(IF(I137="Vacate",LCNew*H137*D137*(1+GrowthMarketRent)^10,IF(I137="Market",Retention*LCRenewal*H137*D137*(1+GrowthMarketRent)^10+(1-Retention)*LCNew*H137*D137*(1+GrowthMarketRent)^10,IF(I137="LeaseUp",LCNew*H137*D137*(1+GrowthMarketRent)^10,IF(I137="Option",LCRenewal*H137*D137*(1+GrowthMarketRent)^10,0))))),IF(F137="",0,IF(AND(F137&gt;=DATE(2026+10,5,1),F137&lt;=DATE(2027+10,4,30)),(IF(I137="Vacate",TINew*D137,IF(I137="Market",Retention*TIRenewal*D137+(1-Retention)*TINew*D137,IF(I137="LeaseUp",TINew*D137,IF(I137="Option",TIRenewal*D137,0)))))+(IF(I137="Vacate",LCNew*H137*D137*(1+GrowthMarketRent)^10,IF(I137="Market",Retention*LCRenewal*H137*D137*(1+GrowthMarketRent)^10+(1-Retention)*LCNew*H137*D137*(1+GrowthMarketRent)^10,IF(I137="LeaseUp",LCNew*H137*D137*(1+GrowthMarketRent)^10,IF(I137="Option",LCRenewal*H137*D137*(1+GrowthMarketRent)^10,0))))),0))),0)</f>
        <v/>
      </c>
    </row>
    <row r="138">
      <c r="A138" t="inlineStr">
        <is>
          <t>Plano</t>
        </is>
      </c>
      <c r="B138" t="inlineStr">
        <is>
          <t>102</t>
        </is>
      </c>
      <c r="C138" t="inlineStr">
        <is>
          <t>TPL Services LLC</t>
        </is>
      </c>
      <c r="D138" s="32" t="n">
        <v>2600</v>
      </c>
      <c r="E138" s="33" t="n">
        <v>44958</v>
      </c>
      <c r="F138" s="33" t="n">
        <v>46235</v>
      </c>
      <c r="G138" s="34" t="n">
        <v>16.1534615384615</v>
      </c>
      <c r="H138" s="16">
        <f>VLOOKUP(A138,MLA!$A$5:$L$11,3,FALSE)</f>
        <v/>
      </c>
      <c r="I138" s="11" t="inlineStr">
        <is>
          <t>Option</t>
        </is>
      </c>
      <c r="J138" t="inlineStr">
        <is>
          <t>Shop</t>
        </is>
      </c>
      <c r="K138" t="inlineStr">
        <is>
          <t>Occupied</t>
        </is>
      </c>
      <c r="L138" t="inlineStr">
        <is>
          <t>Shop; Guarantor: Michael Rentz; Two 3yr options @ 102.5%</t>
        </is>
      </c>
      <c r="M138" s="20">
        <f>IF(E138="",0,(AnalysisStart-E138)/365.25)</f>
        <v/>
      </c>
      <c r="N138" s="14">
        <f>IFERROR(IF(I138="LeaseUp",H138*D138*(1+GrowthMarketRent)^0*IF(0=0,(12-DowntimeNew)/12,1),IF(F138="",0,IF(F138&gt;=DATE(2027+0,4,30),G138*D138*(1+EscalatorInLease)^(0+M138),IF(F138&lt;DATE(2026+0,5,1),IF(I138="Vacate",H138*D138*(1+GrowthMarketRent)^0*IF(INT((DATE(2026+0,10,31)-F138)/365.25)=0,(12-DowntimeNew)/12,1),IF(I138="Option",G138*D138*1.025*(1+EscalatorInLease)^0,IF(I138="Market",Retention*G138*D138*(1+EscalatorInLease)^(0+M138)+(1-Retention)*H138*D138*(1+GrowthMarketRent)^0*IF(INT((DATE(2026+0,10,31)-F138)/365.25)=0,(12-DowntimeNew)/12,1),IF(I138="LeaseUp",H138*D138*(1+GrowthMarketRent)^0*IF(0=0,(12-DowntimeNew)/12,1),0)))),((F138-DATE(2026+0,5,1))/365.25)*G138*D138*(1+EscalatorInLease)^(0+M138)+((DATE(2027+0,4,30)-F138)/365.25)*IF(I138="Vacate",H138*D138*(1+GrowthMarketRent)^0*IF(INT((DATE(2026+0,10,31)-F138)/365.25)=0,(12-DowntimeNew)/12,1),IF(I138="Option",G138*D138*1.025*(1+EscalatorInLease)^0,IF(I138="Market",Retention*G138*D138*(1+EscalatorInLease)^(0+M138)+(1-Retention)*H138*D138*(1+GrowthMarketRent)^0*IF(INT((DATE(2026+0,10,31)-F138)/365.25)=0,(12-DowntimeNew)/12,1),IF(I138="LeaseUp",H138*D138*(1+GrowthMarketRent)^0*IF(0=0,(12-DowntimeNew)/12,1),0)))))))),0)</f>
        <v/>
      </c>
      <c r="O138" s="14">
        <f>IFERROR(IF(I138="LeaseUp",H138*D138*(1+GrowthMarketRent)^1*IF(1=0,(12-DowntimeNew)/12,1),IF(F138="",0,IF(F138&gt;=DATE(2027+1,4,30),G138*D138*(1+EscalatorInLease)^(1+M138),IF(F138&lt;DATE(2026+1,5,1),IF(I138="Vacate",H138*D138*(1+GrowthMarketRent)^1*IF(INT((DATE(2026+1,10,31)-F138)/365.25)=0,(12-DowntimeNew)/12,1),IF(I138="Option",G138*D138*1.025*(1+EscalatorInLease)^1,IF(I138="Market",Retention*G138*D138*(1+EscalatorInLease)^(1+M138)+(1-Retention)*H138*D138*(1+GrowthMarketRent)^1*IF(INT((DATE(2026+1,10,31)-F138)/365.25)=0,(12-DowntimeNew)/12,1),IF(I138="LeaseUp",H138*D138*(1+GrowthMarketRent)^1*IF(1=0,(12-DowntimeNew)/12,1),0)))),((F138-DATE(2026+1,5,1))/365.25)*G138*D138*(1+EscalatorInLease)^(1+M138)+((DATE(2027+1,4,30)-F138)/365.25)*IF(I138="Vacate",H138*D138*(1+GrowthMarketRent)^1*IF(INT((DATE(2026+1,10,31)-F138)/365.25)=0,(12-DowntimeNew)/12,1),IF(I138="Option",G138*D138*1.025*(1+EscalatorInLease)^1,IF(I138="Market",Retention*G138*D138*(1+EscalatorInLease)^(1+M138)+(1-Retention)*H138*D138*(1+GrowthMarketRent)^1*IF(INT((DATE(2026+1,10,31)-F138)/365.25)=0,(12-DowntimeNew)/12,1),IF(I138="LeaseUp",H138*D138*(1+GrowthMarketRent)^1*IF(1=0,(12-DowntimeNew)/12,1),0)))))))),0)</f>
        <v/>
      </c>
      <c r="P138" s="14">
        <f>IFERROR(IF(I138="LeaseUp",H138*D138*(1+GrowthMarketRent)^2*IF(2=0,(12-DowntimeNew)/12,1),IF(F138="",0,IF(F138&gt;=DATE(2027+2,4,30),G138*D138*(1+EscalatorInLease)^(2+M138),IF(F138&lt;DATE(2026+2,5,1),IF(I138="Vacate",H138*D138*(1+GrowthMarketRent)^2*IF(INT((DATE(2026+2,10,31)-F138)/365.25)=0,(12-DowntimeNew)/12,1),IF(I138="Option",G138*D138*1.025*(1+EscalatorInLease)^2,IF(I138="Market",Retention*G138*D138*(1+EscalatorInLease)^(2+M138)+(1-Retention)*H138*D138*(1+GrowthMarketRent)^2*IF(INT((DATE(2026+2,10,31)-F138)/365.25)=0,(12-DowntimeNew)/12,1),IF(I138="LeaseUp",H138*D138*(1+GrowthMarketRent)^2*IF(2=0,(12-DowntimeNew)/12,1),0)))),((F138-DATE(2026+2,5,1))/365.25)*G138*D138*(1+EscalatorInLease)^(2+M138)+((DATE(2027+2,4,30)-F138)/365.25)*IF(I138="Vacate",H138*D138*(1+GrowthMarketRent)^2*IF(INT((DATE(2026+2,10,31)-F138)/365.25)=0,(12-DowntimeNew)/12,1),IF(I138="Option",G138*D138*1.025*(1+EscalatorInLease)^2,IF(I138="Market",Retention*G138*D138*(1+EscalatorInLease)^(2+M138)+(1-Retention)*H138*D138*(1+GrowthMarketRent)^2*IF(INT((DATE(2026+2,10,31)-F138)/365.25)=0,(12-DowntimeNew)/12,1),IF(I138="LeaseUp",H138*D138*(1+GrowthMarketRent)^2*IF(2=0,(12-DowntimeNew)/12,1),0)))))))),0)</f>
        <v/>
      </c>
      <c r="Q138" s="14">
        <f>IFERROR(IF(I138="LeaseUp",H138*D138*(1+GrowthMarketRent)^3*IF(3=0,(12-DowntimeNew)/12,1),IF(F138="",0,IF(F138&gt;=DATE(2027+3,4,30),G138*D138*(1+EscalatorInLease)^(3+M138),IF(F138&lt;DATE(2026+3,5,1),IF(I138="Vacate",H138*D138*(1+GrowthMarketRent)^3*IF(INT((DATE(2026+3,10,31)-F138)/365.25)=0,(12-DowntimeNew)/12,1),IF(I138="Option",G138*D138*1.025*(1+EscalatorInLease)^3,IF(I138="Market",Retention*G138*D138*(1+EscalatorInLease)^(3+M138)+(1-Retention)*H138*D138*(1+GrowthMarketRent)^3*IF(INT((DATE(2026+3,10,31)-F138)/365.25)=0,(12-DowntimeNew)/12,1),IF(I138="LeaseUp",H138*D138*(1+GrowthMarketRent)^3*IF(3=0,(12-DowntimeNew)/12,1),0)))),((F138-DATE(2026+3,5,1))/365.25)*G138*D138*(1+EscalatorInLease)^(3+M138)+((DATE(2027+3,4,30)-F138)/365.25)*IF(I138="Vacate",H138*D138*(1+GrowthMarketRent)^3*IF(INT((DATE(2026+3,10,31)-F138)/365.25)=0,(12-DowntimeNew)/12,1),IF(I138="Option",G138*D138*1.025*(1+EscalatorInLease)^3,IF(I138="Market",Retention*G138*D138*(1+EscalatorInLease)^(3+M138)+(1-Retention)*H138*D138*(1+GrowthMarketRent)^3*IF(INT((DATE(2026+3,10,31)-F138)/365.25)=0,(12-DowntimeNew)/12,1),IF(I138="LeaseUp",H138*D138*(1+GrowthMarketRent)^3*IF(3=0,(12-DowntimeNew)/12,1),0)))))))),0)</f>
        <v/>
      </c>
      <c r="R138" s="14">
        <f>IFERROR(IF(I138="LeaseUp",H138*D138*(1+GrowthMarketRent)^4*IF(4=0,(12-DowntimeNew)/12,1),IF(F138="",0,IF(F138&gt;=DATE(2027+4,4,30),G138*D138*(1+EscalatorInLease)^(4+M138),IF(F138&lt;DATE(2026+4,5,1),IF(I138="Vacate",H138*D138*(1+GrowthMarketRent)^4*IF(INT((DATE(2026+4,10,31)-F138)/365.25)=0,(12-DowntimeNew)/12,1),IF(I138="Option",G138*D138*1.025*(1+EscalatorInLease)^4,IF(I138="Market",Retention*G138*D138*(1+EscalatorInLease)^(4+M138)+(1-Retention)*H138*D138*(1+GrowthMarketRent)^4*IF(INT((DATE(2026+4,10,31)-F138)/365.25)=0,(12-DowntimeNew)/12,1),IF(I138="LeaseUp",H138*D138*(1+GrowthMarketRent)^4*IF(4=0,(12-DowntimeNew)/12,1),0)))),((F138-DATE(2026+4,5,1))/365.25)*G138*D138*(1+EscalatorInLease)^(4+M138)+((DATE(2027+4,4,30)-F138)/365.25)*IF(I138="Vacate",H138*D138*(1+GrowthMarketRent)^4*IF(INT((DATE(2026+4,10,31)-F138)/365.25)=0,(12-DowntimeNew)/12,1),IF(I138="Option",G138*D138*1.025*(1+EscalatorInLease)^4,IF(I138="Market",Retention*G138*D138*(1+EscalatorInLease)^(4+M138)+(1-Retention)*H138*D138*(1+GrowthMarketRent)^4*IF(INT((DATE(2026+4,10,31)-F138)/365.25)=0,(12-DowntimeNew)/12,1),IF(I138="LeaseUp",H138*D138*(1+GrowthMarketRent)^4*IF(4=0,(12-DowntimeNew)/12,1),0)))))))),0)</f>
        <v/>
      </c>
      <c r="S138" s="14">
        <f>IFERROR(IF(I138="LeaseUp",H138*D138*(1+GrowthMarketRent)^5*IF(5=0,(12-DowntimeNew)/12,1),IF(F138="",0,IF(F138&gt;=DATE(2027+5,4,30),G138*D138*(1+EscalatorInLease)^(5+M138),IF(F138&lt;DATE(2026+5,5,1),IF(I138="Vacate",H138*D138*(1+GrowthMarketRent)^5*IF(INT((DATE(2026+5,10,31)-F138)/365.25)=0,(12-DowntimeNew)/12,1),IF(I138="Option",G138*D138*1.025*(1+EscalatorInLease)^5,IF(I138="Market",Retention*G138*D138*(1+EscalatorInLease)^(5+M138)+(1-Retention)*H138*D138*(1+GrowthMarketRent)^5*IF(INT((DATE(2026+5,10,31)-F138)/365.25)=0,(12-DowntimeNew)/12,1),IF(I138="LeaseUp",H138*D138*(1+GrowthMarketRent)^5*IF(5=0,(12-DowntimeNew)/12,1),0)))),((F138-DATE(2026+5,5,1))/365.25)*G138*D138*(1+EscalatorInLease)^(5+M138)+((DATE(2027+5,4,30)-F138)/365.25)*IF(I138="Vacate",H138*D138*(1+GrowthMarketRent)^5*IF(INT((DATE(2026+5,10,31)-F138)/365.25)=0,(12-DowntimeNew)/12,1),IF(I138="Option",G138*D138*1.025*(1+EscalatorInLease)^5,IF(I138="Market",Retention*G138*D138*(1+EscalatorInLease)^(5+M138)+(1-Retention)*H138*D138*(1+GrowthMarketRent)^5*IF(INT((DATE(2026+5,10,31)-F138)/365.25)=0,(12-DowntimeNew)/12,1),IF(I138="LeaseUp",H138*D138*(1+GrowthMarketRent)^5*IF(5=0,(12-DowntimeNew)/12,1),0)))))))),0)</f>
        <v/>
      </c>
      <c r="T138" s="14">
        <f>IFERROR(IF(I138="LeaseUp",H138*D138*(1+GrowthMarketRent)^6*IF(6=0,(12-DowntimeNew)/12,1),IF(F138="",0,IF(F138&gt;=DATE(2027+6,4,30),G138*D138*(1+EscalatorInLease)^(6+M138),IF(F138&lt;DATE(2026+6,5,1),IF(I138="Vacate",H138*D138*(1+GrowthMarketRent)^6*IF(INT((DATE(2026+6,10,31)-F138)/365.25)=0,(12-DowntimeNew)/12,1),IF(I138="Option",G138*D138*1.025*(1+EscalatorInLease)^6,IF(I138="Market",Retention*G138*D138*(1+EscalatorInLease)^(6+M138)+(1-Retention)*H138*D138*(1+GrowthMarketRent)^6*IF(INT((DATE(2026+6,10,31)-F138)/365.25)=0,(12-DowntimeNew)/12,1),IF(I138="LeaseUp",H138*D138*(1+GrowthMarketRent)^6*IF(6=0,(12-DowntimeNew)/12,1),0)))),((F138-DATE(2026+6,5,1))/365.25)*G138*D138*(1+EscalatorInLease)^(6+M138)+((DATE(2027+6,4,30)-F138)/365.25)*IF(I138="Vacate",H138*D138*(1+GrowthMarketRent)^6*IF(INT((DATE(2026+6,10,31)-F138)/365.25)=0,(12-DowntimeNew)/12,1),IF(I138="Option",G138*D138*1.025*(1+EscalatorInLease)^6,IF(I138="Market",Retention*G138*D138*(1+EscalatorInLease)^(6+M138)+(1-Retention)*H138*D138*(1+GrowthMarketRent)^6*IF(INT((DATE(2026+6,10,31)-F138)/365.25)=0,(12-DowntimeNew)/12,1),IF(I138="LeaseUp",H138*D138*(1+GrowthMarketRent)^6*IF(6=0,(12-DowntimeNew)/12,1),0)))))))),0)</f>
        <v/>
      </c>
      <c r="U138" s="14">
        <f>IFERROR(IF(I138="LeaseUp",H138*D138*(1+GrowthMarketRent)^7*IF(7=0,(12-DowntimeNew)/12,1),IF(F138="",0,IF(F138&gt;=DATE(2027+7,4,30),G138*D138*(1+EscalatorInLease)^(7+M138),IF(F138&lt;DATE(2026+7,5,1),IF(I138="Vacate",H138*D138*(1+GrowthMarketRent)^7*IF(INT((DATE(2026+7,10,31)-F138)/365.25)=0,(12-DowntimeNew)/12,1),IF(I138="Option",G138*D138*1.025*(1+EscalatorInLease)^7,IF(I138="Market",Retention*G138*D138*(1+EscalatorInLease)^(7+M138)+(1-Retention)*H138*D138*(1+GrowthMarketRent)^7*IF(INT((DATE(2026+7,10,31)-F138)/365.25)=0,(12-DowntimeNew)/12,1),IF(I138="LeaseUp",H138*D138*(1+GrowthMarketRent)^7*IF(7=0,(12-DowntimeNew)/12,1),0)))),((F138-DATE(2026+7,5,1))/365.25)*G138*D138*(1+EscalatorInLease)^(7+M138)+((DATE(2027+7,4,30)-F138)/365.25)*IF(I138="Vacate",H138*D138*(1+GrowthMarketRent)^7*IF(INT((DATE(2026+7,10,31)-F138)/365.25)=0,(12-DowntimeNew)/12,1),IF(I138="Option",G138*D138*1.025*(1+EscalatorInLease)^7,IF(I138="Market",Retention*G138*D138*(1+EscalatorInLease)^(7+M138)+(1-Retention)*H138*D138*(1+GrowthMarketRent)^7*IF(INT((DATE(2026+7,10,31)-F138)/365.25)=0,(12-DowntimeNew)/12,1),IF(I138="LeaseUp",H138*D138*(1+GrowthMarketRent)^7*IF(7=0,(12-DowntimeNew)/12,1),0)))))))),0)</f>
        <v/>
      </c>
      <c r="V138" s="14">
        <f>IFERROR(IF(I138="LeaseUp",H138*D138*(1+GrowthMarketRent)^8*IF(8=0,(12-DowntimeNew)/12,1),IF(F138="",0,IF(F138&gt;=DATE(2027+8,4,30),G138*D138*(1+EscalatorInLease)^(8+M138),IF(F138&lt;DATE(2026+8,5,1),IF(I138="Vacate",H138*D138*(1+GrowthMarketRent)^8*IF(INT((DATE(2026+8,10,31)-F138)/365.25)=0,(12-DowntimeNew)/12,1),IF(I138="Option",G138*D138*1.025*(1+EscalatorInLease)^8,IF(I138="Market",Retention*G138*D138*(1+EscalatorInLease)^(8+M138)+(1-Retention)*H138*D138*(1+GrowthMarketRent)^8*IF(INT((DATE(2026+8,10,31)-F138)/365.25)=0,(12-DowntimeNew)/12,1),IF(I138="LeaseUp",H138*D138*(1+GrowthMarketRent)^8*IF(8=0,(12-DowntimeNew)/12,1),0)))),((F138-DATE(2026+8,5,1))/365.25)*G138*D138*(1+EscalatorInLease)^(8+M138)+((DATE(2027+8,4,30)-F138)/365.25)*IF(I138="Vacate",H138*D138*(1+GrowthMarketRent)^8*IF(INT((DATE(2026+8,10,31)-F138)/365.25)=0,(12-DowntimeNew)/12,1),IF(I138="Option",G138*D138*1.025*(1+EscalatorInLease)^8,IF(I138="Market",Retention*G138*D138*(1+EscalatorInLease)^(8+M138)+(1-Retention)*H138*D138*(1+GrowthMarketRent)^8*IF(INT((DATE(2026+8,10,31)-F138)/365.25)=0,(12-DowntimeNew)/12,1),IF(I138="LeaseUp",H138*D138*(1+GrowthMarketRent)^8*IF(8=0,(12-DowntimeNew)/12,1),0)))))))),0)</f>
        <v/>
      </c>
      <c r="W138" s="14">
        <f>IFERROR(IF(I138="LeaseUp",H138*D138*(1+GrowthMarketRent)^9*IF(9=0,(12-DowntimeNew)/12,1),IF(F138="",0,IF(F138&gt;=DATE(2027+9,4,30),G138*D138*(1+EscalatorInLease)^(9+M138),IF(F138&lt;DATE(2026+9,5,1),IF(I138="Vacate",H138*D138*(1+GrowthMarketRent)^9*IF(INT((DATE(2026+9,10,31)-F138)/365.25)=0,(12-DowntimeNew)/12,1),IF(I138="Option",G138*D138*1.025*(1+EscalatorInLease)^9,IF(I138="Market",Retention*G138*D138*(1+EscalatorInLease)^(9+M138)+(1-Retention)*H138*D138*(1+GrowthMarketRent)^9*IF(INT((DATE(2026+9,10,31)-F138)/365.25)=0,(12-DowntimeNew)/12,1),IF(I138="LeaseUp",H138*D138*(1+GrowthMarketRent)^9*IF(9=0,(12-DowntimeNew)/12,1),0)))),((F138-DATE(2026+9,5,1))/365.25)*G138*D138*(1+EscalatorInLease)^(9+M138)+((DATE(2027+9,4,30)-F138)/365.25)*IF(I138="Vacate",H138*D138*(1+GrowthMarketRent)^9*IF(INT((DATE(2026+9,10,31)-F138)/365.25)=0,(12-DowntimeNew)/12,1),IF(I138="Option",G138*D138*1.025*(1+EscalatorInLease)^9,IF(I138="Market",Retention*G138*D138*(1+EscalatorInLease)^(9+M138)+(1-Retention)*H138*D138*(1+GrowthMarketRent)^9*IF(INT((DATE(2026+9,10,31)-F138)/365.25)=0,(12-DowntimeNew)/12,1),IF(I138="LeaseUp",H138*D138*(1+GrowthMarketRent)^9*IF(9=0,(12-DowntimeNew)/12,1),0)))))))),0)</f>
        <v/>
      </c>
      <c r="X138" s="14">
        <f>IFERROR(IF(I138="LeaseUp",H138*D138*(1+GrowthMarketRent)^10*IF(10=0,(12-DowntimeNew)/12,1),IF(F138="",0,IF(F138&gt;=DATE(2027+10,4,30),G138*D138*(1+EscalatorInLease)^(10+M138),IF(F138&lt;DATE(2026+10,5,1),IF(I138="Vacate",H138*D138*(1+GrowthMarketRent)^10*IF(INT((DATE(2026+10,10,31)-F138)/365.25)=0,(12-DowntimeNew)/12,1),IF(I138="Option",G138*D138*1.025*(1+EscalatorInLease)^10,IF(I138="Market",Retention*G138*D138*(1+EscalatorInLease)^(10+M138)+(1-Retention)*H138*D138*(1+GrowthMarketRent)^10*IF(INT((DATE(2026+10,10,31)-F138)/365.25)=0,(12-DowntimeNew)/12,1),IF(I138="LeaseUp",H138*D138*(1+GrowthMarketRent)^10*IF(10=0,(12-DowntimeNew)/12,1),0)))),((F138-DATE(2026+10,5,1))/365.25)*G138*D138*(1+EscalatorInLease)^(10+M138)+((DATE(2027+10,4,30)-F138)/365.25)*IF(I138="Vacate",H138*D138*(1+GrowthMarketRent)^10*IF(INT((DATE(2026+10,10,31)-F138)/365.25)=0,(12-DowntimeNew)/12,1),IF(I138="Option",G138*D138*1.025*(1+EscalatorInLease)^10,IF(I138="Market",Retention*G138*D138*(1+EscalatorInLease)^(10+M138)+(1-Retention)*H138*D138*(1+GrowthMarketRent)^10*IF(INT((DATE(2026+10,10,31)-F138)/365.25)=0,(12-DowntimeNew)/12,1),IF(I138="LeaseUp",H138*D138*(1+GrowthMarketRent)^10*IF(10=0,(12-DowntimeNew)/12,1),0)))))))),0)</f>
        <v/>
      </c>
      <c r="Y138" s="14">
        <f>IFERROR(IF(AND(I138="LeaseUp",0=0),(IF(I138="Vacate",TINew*D138,IF(I138="Market",Retention*TIRenewal*D138+(1-Retention)*TINew*D138,IF(I138="LeaseUp",TINew*D138,IF(I138="Option",TIRenewal*D138,0)))))+(IF(I138="Vacate",LCNew*H138*D138*(1+GrowthMarketRent)^0,IF(I138="Market",Retention*LCRenewal*H138*D138*(1+GrowthMarketRent)^0+(1-Retention)*LCNew*H138*D138*(1+GrowthMarketRent)^0,IF(I138="LeaseUp",LCNew*H138*D138*(1+GrowthMarketRent)^0,IF(I138="Option",LCRenewal*H138*D138*(1+GrowthMarketRent)^0,0))))),IF(F138="",0,IF(AND(F138&gt;=DATE(2026+0,5,1),F138&lt;=DATE(2027+0,4,30)),(IF(I138="Vacate",TINew*D138,IF(I138="Market",Retention*TIRenewal*D138+(1-Retention)*TINew*D138,IF(I138="LeaseUp",TINew*D138,IF(I138="Option",TIRenewal*D138,0)))))+(IF(I138="Vacate",LCNew*H138*D138*(1+GrowthMarketRent)^0,IF(I138="Market",Retention*LCRenewal*H138*D138*(1+GrowthMarketRent)^0+(1-Retention)*LCNew*H138*D138*(1+GrowthMarketRent)^0,IF(I138="LeaseUp",LCNew*H138*D138*(1+GrowthMarketRent)^0,IF(I138="Option",LCRenewal*H138*D138*(1+GrowthMarketRent)^0,0))))),0))),0)</f>
        <v/>
      </c>
      <c r="Z138" s="14">
        <f>IFERROR(IF(AND(I138="LeaseUp",1=0),(IF(I138="Vacate",TINew*D138,IF(I138="Market",Retention*TIRenewal*D138+(1-Retention)*TINew*D138,IF(I138="LeaseUp",TINew*D138,IF(I138="Option",TIRenewal*D138,0)))))+(IF(I138="Vacate",LCNew*H138*D138*(1+GrowthMarketRent)^1,IF(I138="Market",Retention*LCRenewal*H138*D138*(1+GrowthMarketRent)^1+(1-Retention)*LCNew*H138*D138*(1+GrowthMarketRent)^1,IF(I138="LeaseUp",LCNew*H138*D138*(1+GrowthMarketRent)^1,IF(I138="Option",LCRenewal*H138*D138*(1+GrowthMarketRent)^1,0))))),IF(F138="",0,IF(AND(F138&gt;=DATE(2026+1,5,1),F138&lt;=DATE(2027+1,4,30)),(IF(I138="Vacate",TINew*D138,IF(I138="Market",Retention*TIRenewal*D138+(1-Retention)*TINew*D138,IF(I138="LeaseUp",TINew*D138,IF(I138="Option",TIRenewal*D138,0)))))+(IF(I138="Vacate",LCNew*H138*D138*(1+GrowthMarketRent)^1,IF(I138="Market",Retention*LCRenewal*H138*D138*(1+GrowthMarketRent)^1+(1-Retention)*LCNew*H138*D138*(1+GrowthMarketRent)^1,IF(I138="LeaseUp",LCNew*H138*D138*(1+GrowthMarketRent)^1,IF(I138="Option",LCRenewal*H138*D138*(1+GrowthMarketRent)^1,0))))),0))),0)</f>
        <v/>
      </c>
      <c r="AA138" s="14">
        <f>IFERROR(IF(AND(I138="LeaseUp",2=0),(IF(I138="Vacate",TINew*D138,IF(I138="Market",Retention*TIRenewal*D138+(1-Retention)*TINew*D138,IF(I138="LeaseUp",TINew*D138,IF(I138="Option",TIRenewal*D138,0)))))+(IF(I138="Vacate",LCNew*H138*D138*(1+GrowthMarketRent)^2,IF(I138="Market",Retention*LCRenewal*H138*D138*(1+GrowthMarketRent)^2+(1-Retention)*LCNew*H138*D138*(1+GrowthMarketRent)^2,IF(I138="LeaseUp",LCNew*H138*D138*(1+GrowthMarketRent)^2,IF(I138="Option",LCRenewal*H138*D138*(1+GrowthMarketRent)^2,0))))),IF(F138="",0,IF(AND(F138&gt;=DATE(2026+2,5,1),F138&lt;=DATE(2027+2,4,30)),(IF(I138="Vacate",TINew*D138,IF(I138="Market",Retention*TIRenewal*D138+(1-Retention)*TINew*D138,IF(I138="LeaseUp",TINew*D138,IF(I138="Option",TIRenewal*D138,0)))))+(IF(I138="Vacate",LCNew*H138*D138*(1+GrowthMarketRent)^2,IF(I138="Market",Retention*LCRenewal*H138*D138*(1+GrowthMarketRent)^2+(1-Retention)*LCNew*H138*D138*(1+GrowthMarketRent)^2,IF(I138="LeaseUp",LCNew*H138*D138*(1+GrowthMarketRent)^2,IF(I138="Option",LCRenewal*H138*D138*(1+GrowthMarketRent)^2,0))))),0))),0)</f>
        <v/>
      </c>
      <c r="AB138" s="14">
        <f>IFERROR(IF(AND(I138="LeaseUp",3=0),(IF(I138="Vacate",TINew*D138,IF(I138="Market",Retention*TIRenewal*D138+(1-Retention)*TINew*D138,IF(I138="LeaseUp",TINew*D138,IF(I138="Option",TIRenewal*D138,0)))))+(IF(I138="Vacate",LCNew*H138*D138*(1+GrowthMarketRent)^3,IF(I138="Market",Retention*LCRenewal*H138*D138*(1+GrowthMarketRent)^3+(1-Retention)*LCNew*H138*D138*(1+GrowthMarketRent)^3,IF(I138="LeaseUp",LCNew*H138*D138*(1+GrowthMarketRent)^3,IF(I138="Option",LCRenewal*H138*D138*(1+GrowthMarketRent)^3,0))))),IF(F138="",0,IF(AND(F138&gt;=DATE(2026+3,5,1),F138&lt;=DATE(2027+3,4,30)),(IF(I138="Vacate",TINew*D138,IF(I138="Market",Retention*TIRenewal*D138+(1-Retention)*TINew*D138,IF(I138="LeaseUp",TINew*D138,IF(I138="Option",TIRenewal*D138,0)))))+(IF(I138="Vacate",LCNew*H138*D138*(1+GrowthMarketRent)^3,IF(I138="Market",Retention*LCRenewal*H138*D138*(1+GrowthMarketRent)^3+(1-Retention)*LCNew*H138*D138*(1+GrowthMarketRent)^3,IF(I138="LeaseUp",LCNew*H138*D138*(1+GrowthMarketRent)^3,IF(I138="Option",LCRenewal*H138*D138*(1+GrowthMarketRent)^3,0))))),0))),0)</f>
        <v/>
      </c>
      <c r="AC138" s="14">
        <f>IFERROR(IF(AND(I138="LeaseUp",4=0),(IF(I138="Vacate",TINew*D138,IF(I138="Market",Retention*TIRenewal*D138+(1-Retention)*TINew*D138,IF(I138="LeaseUp",TINew*D138,IF(I138="Option",TIRenewal*D138,0)))))+(IF(I138="Vacate",LCNew*H138*D138*(1+GrowthMarketRent)^4,IF(I138="Market",Retention*LCRenewal*H138*D138*(1+GrowthMarketRent)^4+(1-Retention)*LCNew*H138*D138*(1+GrowthMarketRent)^4,IF(I138="LeaseUp",LCNew*H138*D138*(1+GrowthMarketRent)^4,IF(I138="Option",LCRenewal*H138*D138*(1+GrowthMarketRent)^4,0))))),IF(F138="",0,IF(AND(F138&gt;=DATE(2026+4,5,1),F138&lt;=DATE(2027+4,4,30)),(IF(I138="Vacate",TINew*D138,IF(I138="Market",Retention*TIRenewal*D138+(1-Retention)*TINew*D138,IF(I138="LeaseUp",TINew*D138,IF(I138="Option",TIRenewal*D138,0)))))+(IF(I138="Vacate",LCNew*H138*D138*(1+GrowthMarketRent)^4,IF(I138="Market",Retention*LCRenewal*H138*D138*(1+GrowthMarketRent)^4+(1-Retention)*LCNew*H138*D138*(1+GrowthMarketRent)^4,IF(I138="LeaseUp",LCNew*H138*D138*(1+GrowthMarketRent)^4,IF(I138="Option",LCRenewal*H138*D138*(1+GrowthMarketRent)^4,0))))),0))),0)</f>
        <v/>
      </c>
      <c r="AD138" s="14">
        <f>IFERROR(IF(AND(I138="LeaseUp",5=0),(IF(I138="Vacate",TINew*D138,IF(I138="Market",Retention*TIRenewal*D138+(1-Retention)*TINew*D138,IF(I138="LeaseUp",TINew*D138,IF(I138="Option",TIRenewal*D138,0)))))+(IF(I138="Vacate",LCNew*H138*D138*(1+GrowthMarketRent)^5,IF(I138="Market",Retention*LCRenewal*H138*D138*(1+GrowthMarketRent)^5+(1-Retention)*LCNew*H138*D138*(1+GrowthMarketRent)^5,IF(I138="LeaseUp",LCNew*H138*D138*(1+GrowthMarketRent)^5,IF(I138="Option",LCRenewal*H138*D138*(1+GrowthMarketRent)^5,0))))),IF(F138="",0,IF(AND(F138&gt;=DATE(2026+5,5,1),F138&lt;=DATE(2027+5,4,30)),(IF(I138="Vacate",TINew*D138,IF(I138="Market",Retention*TIRenewal*D138+(1-Retention)*TINew*D138,IF(I138="LeaseUp",TINew*D138,IF(I138="Option",TIRenewal*D138,0)))))+(IF(I138="Vacate",LCNew*H138*D138*(1+GrowthMarketRent)^5,IF(I138="Market",Retention*LCRenewal*H138*D138*(1+GrowthMarketRent)^5+(1-Retention)*LCNew*H138*D138*(1+GrowthMarketRent)^5,IF(I138="LeaseUp",LCNew*H138*D138*(1+GrowthMarketRent)^5,IF(I138="Option",LCRenewal*H138*D138*(1+GrowthMarketRent)^5,0))))),0))),0)</f>
        <v/>
      </c>
      <c r="AE138" s="14">
        <f>IFERROR(IF(AND(I138="LeaseUp",6=0),(IF(I138="Vacate",TINew*D138,IF(I138="Market",Retention*TIRenewal*D138+(1-Retention)*TINew*D138,IF(I138="LeaseUp",TINew*D138,IF(I138="Option",TIRenewal*D138,0)))))+(IF(I138="Vacate",LCNew*H138*D138*(1+GrowthMarketRent)^6,IF(I138="Market",Retention*LCRenewal*H138*D138*(1+GrowthMarketRent)^6+(1-Retention)*LCNew*H138*D138*(1+GrowthMarketRent)^6,IF(I138="LeaseUp",LCNew*H138*D138*(1+GrowthMarketRent)^6,IF(I138="Option",LCRenewal*H138*D138*(1+GrowthMarketRent)^6,0))))),IF(F138="",0,IF(AND(F138&gt;=DATE(2026+6,5,1),F138&lt;=DATE(2027+6,4,30)),(IF(I138="Vacate",TINew*D138,IF(I138="Market",Retention*TIRenewal*D138+(1-Retention)*TINew*D138,IF(I138="LeaseUp",TINew*D138,IF(I138="Option",TIRenewal*D138,0)))))+(IF(I138="Vacate",LCNew*H138*D138*(1+GrowthMarketRent)^6,IF(I138="Market",Retention*LCRenewal*H138*D138*(1+GrowthMarketRent)^6+(1-Retention)*LCNew*H138*D138*(1+GrowthMarketRent)^6,IF(I138="LeaseUp",LCNew*H138*D138*(1+GrowthMarketRent)^6,IF(I138="Option",LCRenewal*H138*D138*(1+GrowthMarketRent)^6,0))))),0))),0)</f>
        <v/>
      </c>
      <c r="AF138" s="14">
        <f>IFERROR(IF(AND(I138="LeaseUp",7=0),(IF(I138="Vacate",TINew*D138,IF(I138="Market",Retention*TIRenewal*D138+(1-Retention)*TINew*D138,IF(I138="LeaseUp",TINew*D138,IF(I138="Option",TIRenewal*D138,0)))))+(IF(I138="Vacate",LCNew*H138*D138*(1+GrowthMarketRent)^7,IF(I138="Market",Retention*LCRenewal*H138*D138*(1+GrowthMarketRent)^7+(1-Retention)*LCNew*H138*D138*(1+GrowthMarketRent)^7,IF(I138="LeaseUp",LCNew*H138*D138*(1+GrowthMarketRent)^7,IF(I138="Option",LCRenewal*H138*D138*(1+GrowthMarketRent)^7,0))))),IF(F138="",0,IF(AND(F138&gt;=DATE(2026+7,5,1),F138&lt;=DATE(2027+7,4,30)),(IF(I138="Vacate",TINew*D138,IF(I138="Market",Retention*TIRenewal*D138+(1-Retention)*TINew*D138,IF(I138="LeaseUp",TINew*D138,IF(I138="Option",TIRenewal*D138,0)))))+(IF(I138="Vacate",LCNew*H138*D138*(1+GrowthMarketRent)^7,IF(I138="Market",Retention*LCRenewal*H138*D138*(1+GrowthMarketRent)^7+(1-Retention)*LCNew*H138*D138*(1+GrowthMarketRent)^7,IF(I138="LeaseUp",LCNew*H138*D138*(1+GrowthMarketRent)^7,IF(I138="Option",LCRenewal*H138*D138*(1+GrowthMarketRent)^7,0))))),0))),0)</f>
        <v/>
      </c>
      <c r="AG138" s="14">
        <f>IFERROR(IF(AND(I138="LeaseUp",8=0),(IF(I138="Vacate",TINew*D138,IF(I138="Market",Retention*TIRenewal*D138+(1-Retention)*TINew*D138,IF(I138="LeaseUp",TINew*D138,IF(I138="Option",TIRenewal*D138,0)))))+(IF(I138="Vacate",LCNew*H138*D138*(1+GrowthMarketRent)^8,IF(I138="Market",Retention*LCRenewal*H138*D138*(1+GrowthMarketRent)^8+(1-Retention)*LCNew*H138*D138*(1+GrowthMarketRent)^8,IF(I138="LeaseUp",LCNew*H138*D138*(1+GrowthMarketRent)^8,IF(I138="Option",LCRenewal*H138*D138*(1+GrowthMarketRent)^8,0))))),IF(F138="",0,IF(AND(F138&gt;=DATE(2026+8,5,1),F138&lt;=DATE(2027+8,4,30)),(IF(I138="Vacate",TINew*D138,IF(I138="Market",Retention*TIRenewal*D138+(1-Retention)*TINew*D138,IF(I138="LeaseUp",TINew*D138,IF(I138="Option",TIRenewal*D138,0)))))+(IF(I138="Vacate",LCNew*H138*D138*(1+GrowthMarketRent)^8,IF(I138="Market",Retention*LCRenewal*H138*D138*(1+GrowthMarketRent)^8+(1-Retention)*LCNew*H138*D138*(1+GrowthMarketRent)^8,IF(I138="LeaseUp",LCNew*H138*D138*(1+GrowthMarketRent)^8,IF(I138="Option",LCRenewal*H138*D138*(1+GrowthMarketRent)^8,0))))),0))),0)</f>
        <v/>
      </c>
      <c r="AH138" s="14">
        <f>IFERROR(IF(AND(I138="LeaseUp",9=0),(IF(I138="Vacate",TINew*D138,IF(I138="Market",Retention*TIRenewal*D138+(1-Retention)*TINew*D138,IF(I138="LeaseUp",TINew*D138,IF(I138="Option",TIRenewal*D138,0)))))+(IF(I138="Vacate",LCNew*H138*D138*(1+GrowthMarketRent)^9,IF(I138="Market",Retention*LCRenewal*H138*D138*(1+GrowthMarketRent)^9+(1-Retention)*LCNew*H138*D138*(1+GrowthMarketRent)^9,IF(I138="LeaseUp",LCNew*H138*D138*(1+GrowthMarketRent)^9,IF(I138="Option",LCRenewal*H138*D138*(1+GrowthMarketRent)^9,0))))),IF(F138="",0,IF(AND(F138&gt;=DATE(2026+9,5,1),F138&lt;=DATE(2027+9,4,30)),(IF(I138="Vacate",TINew*D138,IF(I138="Market",Retention*TIRenewal*D138+(1-Retention)*TINew*D138,IF(I138="LeaseUp",TINew*D138,IF(I138="Option",TIRenewal*D138,0)))))+(IF(I138="Vacate",LCNew*H138*D138*(1+GrowthMarketRent)^9,IF(I138="Market",Retention*LCRenewal*H138*D138*(1+GrowthMarketRent)^9+(1-Retention)*LCNew*H138*D138*(1+GrowthMarketRent)^9,IF(I138="LeaseUp",LCNew*H138*D138*(1+GrowthMarketRent)^9,IF(I138="Option",LCRenewal*H138*D138*(1+GrowthMarketRent)^9,0))))),0))),0)</f>
        <v/>
      </c>
      <c r="AI138" s="14">
        <f>IFERROR(IF(AND(I138="LeaseUp",10=0),(IF(I138="Vacate",TINew*D138,IF(I138="Market",Retention*TIRenewal*D138+(1-Retention)*TINew*D138,IF(I138="LeaseUp",TINew*D138,IF(I138="Option",TIRenewal*D138,0)))))+(IF(I138="Vacate",LCNew*H138*D138*(1+GrowthMarketRent)^10,IF(I138="Market",Retention*LCRenewal*H138*D138*(1+GrowthMarketRent)^10+(1-Retention)*LCNew*H138*D138*(1+GrowthMarketRent)^10,IF(I138="LeaseUp",LCNew*H138*D138*(1+GrowthMarketRent)^10,IF(I138="Option",LCRenewal*H138*D138*(1+GrowthMarketRent)^10,0))))),IF(F138="",0,IF(AND(F138&gt;=DATE(2026+10,5,1),F138&lt;=DATE(2027+10,4,30)),(IF(I138="Vacate",TINew*D138,IF(I138="Market",Retention*TIRenewal*D138+(1-Retention)*TINew*D138,IF(I138="LeaseUp",TINew*D138,IF(I138="Option",TIRenewal*D138,0)))))+(IF(I138="Vacate",LCNew*H138*D138*(1+GrowthMarketRent)^10,IF(I138="Market",Retention*LCRenewal*H138*D138*(1+GrowthMarketRent)^10+(1-Retention)*LCNew*H138*D138*(1+GrowthMarketRent)^10,IF(I138="LeaseUp",LCNew*H138*D138*(1+GrowthMarketRent)^10,IF(I138="Option",LCRenewal*H138*D138*(1+GrowthMarketRent)^10,0))))),0))),0)</f>
        <v/>
      </c>
    </row>
    <row r="139">
      <c r="A139" t="inlineStr">
        <is>
          <t>Plano</t>
        </is>
      </c>
      <c r="B139" t="inlineStr">
        <is>
          <t>103</t>
        </is>
      </c>
      <c r="C139" t="inlineStr">
        <is>
          <t>B.Cannon LLC</t>
        </is>
      </c>
      <c r="D139" s="32" t="n">
        <v>2600</v>
      </c>
      <c r="E139" s="33" t="n">
        <v>44958</v>
      </c>
      <c r="F139" s="33" t="n">
        <v>46204</v>
      </c>
      <c r="G139" s="34" t="n">
        <v>15.615</v>
      </c>
      <c r="H139" s="16">
        <f>VLOOKUP(A139,MLA!$A$5:$L$11,3,FALSE)</f>
        <v/>
      </c>
      <c r="I139" s="11" t="inlineStr">
        <is>
          <t>Option</t>
        </is>
      </c>
      <c r="J139" t="inlineStr">
        <is>
          <t>Shop</t>
        </is>
      </c>
      <c r="K139" t="inlineStr">
        <is>
          <t>Occupied</t>
        </is>
      </c>
      <c r="L139" t="inlineStr">
        <is>
          <t>Shop; Guarantor: Brianna Cannon; Two 3yr options @ 102.5%</t>
        </is>
      </c>
      <c r="M139" s="20">
        <f>IF(E139="",0,(AnalysisStart-E139)/365.25)</f>
        <v/>
      </c>
      <c r="N139" s="14">
        <f>IFERROR(IF(I139="LeaseUp",H139*D139*(1+GrowthMarketRent)^0*IF(0=0,(12-DowntimeNew)/12,1),IF(F139="",0,IF(F139&gt;=DATE(2027+0,4,30),G139*D139*(1+EscalatorInLease)^(0+M139),IF(F139&lt;DATE(2026+0,5,1),IF(I139="Vacate",H139*D139*(1+GrowthMarketRent)^0*IF(INT((DATE(2026+0,10,31)-F139)/365.25)=0,(12-DowntimeNew)/12,1),IF(I139="Option",G139*D139*1.025*(1+EscalatorInLease)^0,IF(I139="Market",Retention*G139*D139*(1+EscalatorInLease)^(0+M139)+(1-Retention)*H139*D139*(1+GrowthMarketRent)^0*IF(INT((DATE(2026+0,10,31)-F139)/365.25)=0,(12-DowntimeNew)/12,1),IF(I139="LeaseUp",H139*D139*(1+GrowthMarketRent)^0*IF(0=0,(12-DowntimeNew)/12,1),0)))),((F139-DATE(2026+0,5,1))/365.25)*G139*D139*(1+EscalatorInLease)^(0+M139)+((DATE(2027+0,4,30)-F139)/365.25)*IF(I139="Vacate",H139*D139*(1+GrowthMarketRent)^0*IF(INT((DATE(2026+0,10,31)-F139)/365.25)=0,(12-DowntimeNew)/12,1),IF(I139="Option",G139*D139*1.025*(1+EscalatorInLease)^0,IF(I139="Market",Retention*G139*D139*(1+EscalatorInLease)^(0+M139)+(1-Retention)*H139*D139*(1+GrowthMarketRent)^0*IF(INT((DATE(2026+0,10,31)-F139)/365.25)=0,(12-DowntimeNew)/12,1),IF(I139="LeaseUp",H139*D139*(1+GrowthMarketRent)^0*IF(0=0,(12-DowntimeNew)/12,1),0)))))))),0)</f>
        <v/>
      </c>
      <c r="O139" s="14">
        <f>IFERROR(IF(I139="LeaseUp",H139*D139*(1+GrowthMarketRent)^1*IF(1=0,(12-DowntimeNew)/12,1),IF(F139="",0,IF(F139&gt;=DATE(2027+1,4,30),G139*D139*(1+EscalatorInLease)^(1+M139),IF(F139&lt;DATE(2026+1,5,1),IF(I139="Vacate",H139*D139*(1+GrowthMarketRent)^1*IF(INT((DATE(2026+1,10,31)-F139)/365.25)=0,(12-DowntimeNew)/12,1),IF(I139="Option",G139*D139*1.025*(1+EscalatorInLease)^1,IF(I139="Market",Retention*G139*D139*(1+EscalatorInLease)^(1+M139)+(1-Retention)*H139*D139*(1+GrowthMarketRent)^1*IF(INT((DATE(2026+1,10,31)-F139)/365.25)=0,(12-DowntimeNew)/12,1),IF(I139="LeaseUp",H139*D139*(1+GrowthMarketRent)^1*IF(1=0,(12-DowntimeNew)/12,1),0)))),((F139-DATE(2026+1,5,1))/365.25)*G139*D139*(1+EscalatorInLease)^(1+M139)+((DATE(2027+1,4,30)-F139)/365.25)*IF(I139="Vacate",H139*D139*(1+GrowthMarketRent)^1*IF(INT((DATE(2026+1,10,31)-F139)/365.25)=0,(12-DowntimeNew)/12,1),IF(I139="Option",G139*D139*1.025*(1+EscalatorInLease)^1,IF(I139="Market",Retention*G139*D139*(1+EscalatorInLease)^(1+M139)+(1-Retention)*H139*D139*(1+GrowthMarketRent)^1*IF(INT((DATE(2026+1,10,31)-F139)/365.25)=0,(12-DowntimeNew)/12,1),IF(I139="LeaseUp",H139*D139*(1+GrowthMarketRent)^1*IF(1=0,(12-DowntimeNew)/12,1),0)))))))),0)</f>
        <v/>
      </c>
      <c r="P139" s="14">
        <f>IFERROR(IF(I139="LeaseUp",H139*D139*(1+GrowthMarketRent)^2*IF(2=0,(12-DowntimeNew)/12,1),IF(F139="",0,IF(F139&gt;=DATE(2027+2,4,30),G139*D139*(1+EscalatorInLease)^(2+M139),IF(F139&lt;DATE(2026+2,5,1),IF(I139="Vacate",H139*D139*(1+GrowthMarketRent)^2*IF(INT((DATE(2026+2,10,31)-F139)/365.25)=0,(12-DowntimeNew)/12,1),IF(I139="Option",G139*D139*1.025*(1+EscalatorInLease)^2,IF(I139="Market",Retention*G139*D139*(1+EscalatorInLease)^(2+M139)+(1-Retention)*H139*D139*(1+GrowthMarketRent)^2*IF(INT((DATE(2026+2,10,31)-F139)/365.25)=0,(12-DowntimeNew)/12,1),IF(I139="LeaseUp",H139*D139*(1+GrowthMarketRent)^2*IF(2=0,(12-DowntimeNew)/12,1),0)))),((F139-DATE(2026+2,5,1))/365.25)*G139*D139*(1+EscalatorInLease)^(2+M139)+((DATE(2027+2,4,30)-F139)/365.25)*IF(I139="Vacate",H139*D139*(1+GrowthMarketRent)^2*IF(INT((DATE(2026+2,10,31)-F139)/365.25)=0,(12-DowntimeNew)/12,1),IF(I139="Option",G139*D139*1.025*(1+EscalatorInLease)^2,IF(I139="Market",Retention*G139*D139*(1+EscalatorInLease)^(2+M139)+(1-Retention)*H139*D139*(1+GrowthMarketRent)^2*IF(INT((DATE(2026+2,10,31)-F139)/365.25)=0,(12-DowntimeNew)/12,1),IF(I139="LeaseUp",H139*D139*(1+GrowthMarketRent)^2*IF(2=0,(12-DowntimeNew)/12,1),0)))))))),0)</f>
        <v/>
      </c>
      <c r="Q139" s="14">
        <f>IFERROR(IF(I139="LeaseUp",H139*D139*(1+GrowthMarketRent)^3*IF(3=0,(12-DowntimeNew)/12,1),IF(F139="",0,IF(F139&gt;=DATE(2027+3,4,30),G139*D139*(1+EscalatorInLease)^(3+M139),IF(F139&lt;DATE(2026+3,5,1),IF(I139="Vacate",H139*D139*(1+GrowthMarketRent)^3*IF(INT((DATE(2026+3,10,31)-F139)/365.25)=0,(12-DowntimeNew)/12,1),IF(I139="Option",G139*D139*1.025*(1+EscalatorInLease)^3,IF(I139="Market",Retention*G139*D139*(1+EscalatorInLease)^(3+M139)+(1-Retention)*H139*D139*(1+GrowthMarketRent)^3*IF(INT((DATE(2026+3,10,31)-F139)/365.25)=0,(12-DowntimeNew)/12,1),IF(I139="LeaseUp",H139*D139*(1+GrowthMarketRent)^3*IF(3=0,(12-DowntimeNew)/12,1),0)))),((F139-DATE(2026+3,5,1))/365.25)*G139*D139*(1+EscalatorInLease)^(3+M139)+((DATE(2027+3,4,30)-F139)/365.25)*IF(I139="Vacate",H139*D139*(1+GrowthMarketRent)^3*IF(INT((DATE(2026+3,10,31)-F139)/365.25)=0,(12-DowntimeNew)/12,1),IF(I139="Option",G139*D139*1.025*(1+EscalatorInLease)^3,IF(I139="Market",Retention*G139*D139*(1+EscalatorInLease)^(3+M139)+(1-Retention)*H139*D139*(1+GrowthMarketRent)^3*IF(INT((DATE(2026+3,10,31)-F139)/365.25)=0,(12-DowntimeNew)/12,1),IF(I139="LeaseUp",H139*D139*(1+GrowthMarketRent)^3*IF(3=0,(12-DowntimeNew)/12,1),0)))))))),0)</f>
        <v/>
      </c>
      <c r="R139" s="14">
        <f>IFERROR(IF(I139="LeaseUp",H139*D139*(1+GrowthMarketRent)^4*IF(4=0,(12-DowntimeNew)/12,1),IF(F139="",0,IF(F139&gt;=DATE(2027+4,4,30),G139*D139*(1+EscalatorInLease)^(4+M139),IF(F139&lt;DATE(2026+4,5,1),IF(I139="Vacate",H139*D139*(1+GrowthMarketRent)^4*IF(INT((DATE(2026+4,10,31)-F139)/365.25)=0,(12-DowntimeNew)/12,1),IF(I139="Option",G139*D139*1.025*(1+EscalatorInLease)^4,IF(I139="Market",Retention*G139*D139*(1+EscalatorInLease)^(4+M139)+(1-Retention)*H139*D139*(1+GrowthMarketRent)^4*IF(INT((DATE(2026+4,10,31)-F139)/365.25)=0,(12-DowntimeNew)/12,1),IF(I139="LeaseUp",H139*D139*(1+GrowthMarketRent)^4*IF(4=0,(12-DowntimeNew)/12,1),0)))),((F139-DATE(2026+4,5,1))/365.25)*G139*D139*(1+EscalatorInLease)^(4+M139)+((DATE(2027+4,4,30)-F139)/365.25)*IF(I139="Vacate",H139*D139*(1+GrowthMarketRent)^4*IF(INT((DATE(2026+4,10,31)-F139)/365.25)=0,(12-DowntimeNew)/12,1),IF(I139="Option",G139*D139*1.025*(1+EscalatorInLease)^4,IF(I139="Market",Retention*G139*D139*(1+EscalatorInLease)^(4+M139)+(1-Retention)*H139*D139*(1+GrowthMarketRent)^4*IF(INT((DATE(2026+4,10,31)-F139)/365.25)=0,(12-DowntimeNew)/12,1),IF(I139="LeaseUp",H139*D139*(1+GrowthMarketRent)^4*IF(4=0,(12-DowntimeNew)/12,1),0)))))))),0)</f>
        <v/>
      </c>
      <c r="S139" s="14">
        <f>IFERROR(IF(I139="LeaseUp",H139*D139*(1+GrowthMarketRent)^5*IF(5=0,(12-DowntimeNew)/12,1),IF(F139="",0,IF(F139&gt;=DATE(2027+5,4,30),G139*D139*(1+EscalatorInLease)^(5+M139),IF(F139&lt;DATE(2026+5,5,1),IF(I139="Vacate",H139*D139*(1+GrowthMarketRent)^5*IF(INT((DATE(2026+5,10,31)-F139)/365.25)=0,(12-DowntimeNew)/12,1),IF(I139="Option",G139*D139*1.025*(1+EscalatorInLease)^5,IF(I139="Market",Retention*G139*D139*(1+EscalatorInLease)^(5+M139)+(1-Retention)*H139*D139*(1+GrowthMarketRent)^5*IF(INT((DATE(2026+5,10,31)-F139)/365.25)=0,(12-DowntimeNew)/12,1),IF(I139="LeaseUp",H139*D139*(1+GrowthMarketRent)^5*IF(5=0,(12-DowntimeNew)/12,1),0)))),((F139-DATE(2026+5,5,1))/365.25)*G139*D139*(1+EscalatorInLease)^(5+M139)+((DATE(2027+5,4,30)-F139)/365.25)*IF(I139="Vacate",H139*D139*(1+GrowthMarketRent)^5*IF(INT((DATE(2026+5,10,31)-F139)/365.25)=0,(12-DowntimeNew)/12,1),IF(I139="Option",G139*D139*1.025*(1+EscalatorInLease)^5,IF(I139="Market",Retention*G139*D139*(1+EscalatorInLease)^(5+M139)+(1-Retention)*H139*D139*(1+GrowthMarketRent)^5*IF(INT((DATE(2026+5,10,31)-F139)/365.25)=0,(12-DowntimeNew)/12,1),IF(I139="LeaseUp",H139*D139*(1+GrowthMarketRent)^5*IF(5=0,(12-DowntimeNew)/12,1),0)))))))),0)</f>
        <v/>
      </c>
      <c r="T139" s="14">
        <f>IFERROR(IF(I139="LeaseUp",H139*D139*(1+GrowthMarketRent)^6*IF(6=0,(12-DowntimeNew)/12,1),IF(F139="",0,IF(F139&gt;=DATE(2027+6,4,30),G139*D139*(1+EscalatorInLease)^(6+M139),IF(F139&lt;DATE(2026+6,5,1),IF(I139="Vacate",H139*D139*(1+GrowthMarketRent)^6*IF(INT((DATE(2026+6,10,31)-F139)/365.25)=0,(12-DowntimeNew)/12,1),IF(I139="Option",G139*D139*1.025*(1+EscalatorInLease)^6,IF(I139="Market",Retention*G139*D139*(1+EscalatorInLease)^(6+M139)+(1-Retention)*H139*D139*(1+GrowthMarketRent)^6*IF(INT((DATE(2026+6,10,31)-F139)/365.25)=0,(12-DowntimeNew)/12,1),IF(I139="LeaseUp",H139*D139*(1+GrowthMarketRent)^6*IF(6=0,(12-DowntimeNew)/12,1),0)))),((F139-DATE(2026+6,5,1))/365.25)*G139*D139*(1+EscalatorInLease)^(6+M139)+((DATE(2027+6,4,30)-F139)/365.25)*IF(I139="Vacate",H139*D139*(1+GrowthMarketRent)^6*IF(INT((DATE(2026+6,10,31)-F139)/365.25)=0,(12-DowntimeNew)/12,1),IF(I139="Option",G139*D139*1.025*(1+EscalatorInLease)^6,IF(I139="Market",Retention*G139*D139*(1+EscalatorInLease)^(6+M139)+(1-Retention)*H139*D139*(1+GrowthMarketRent)^6*IF(INT((DATE(2026+6,10,31)-F139)/365.25)=0,(12-DowntimeNew)/12,1),IF(I139="LeaseUp",H139*D139*(1+GrowthMarketRent)^6*IF(6=0,(12-DowntimeNew)/12,1),0)))))))),0)</f>
        <v/>
      </c>
      <c r="U139" s="14">
        <f>IFERROR(IF(I139="LeaseUp",H139*D139*(1+GrowthMarketRent)^7*IF(7=0,(12-DowntimeNew)/12,1),IF(F139="",0,IF(F139&gt;=DATE(2027+7,4,30),G139*D139*(1+EscalatorInLease)^(7+M139),IF(F139&lt;DATE(2026+7,5,1),IF(I139="Vacate",H139*D139*(1+GrowthMarketRent)^7*IF(INT((DATE(2026+7,10,31)-F139)/365.25)=0,(12-DowntimeNew)/12,1),IF(I139="Option",G139*D139*1.025*(1+EscalatorInLease)^7,IF(I139="Market",Retention*G139*D139*(1+EscalatorInLease)^(7+M139)+(1-Retention)*H139*D139*(1+GrowthMarketRent)^7*IF(INT((DATE(2026+7,10,31)-F139)/365.25)=0,(12-DowntimeNew)/12,1),IF(I139="LeaseUp",H139*D139*(1+GrowthMarketRent)^7*IF(7=0,(12-DowntimeNew)/12,1),0)))),((F139-DATE(2026+7,5,1))/365.25)*G139*D139*(1+EscalatorInLease)^(7+M139)+((DATE(2027+7,4,30)-F139)/365.25)*IF(I139="Vacate",H139*D139*(1+GrowthMarketRent)^7*IF(INT((DATE(2026+7,10,31)-F139)/365.25)=0,(12-DowntimeNew)/12,1),IF(I139="Option",G139*D139*1.025*(1+EscalatorInLease)^7,IF(I139="Market",Retention*G139*D139*(1+EscalatorInLease)^(7+M139)+(1-Retention)*H139*D139*(1+GrowthMarketRent)^7*IF(INT((DATE(2026+7,10,31)-F139)/365.25)=0,(12-DowntimeNew)/12,1),IF(I139="LeaseUp",H139*D139*(1+GrowthMarketRent)^7*IF(7=0,(12-DowntimeNew)/12,1),0)))))))),0)</f>
        <v/>
      </c>
      <c r="V139" s="14">
        <f>IFERROR(IF(I139="LeaseUp",H139*D139*(1+GrowthMarketRent)^8*IF(8=0,(12-DowntimeNew)/12,1),IF(F139="",0,IF(F139&gt;=DATE(2027+8,4,30),G139*D139*(1+EscalatorInLease)^(8+M139),IF(F139&lt;DATE(2026+8,5,1),IF(I139="Vacate",H139*D139*(1+GrowthMarketRent)^8*IF(INT((DATE(2026+8,10,31)-F139)/365.25)=0,(12-DowntimeNew)/12,1),IF(I139="Option",G139*D139*1.025*(1+EscalatorInLease)^8,IF(I139="Market",Retention*G139*D139*(1+EscalatorInLease)^(8+M139)+(1-Retention)*H139*D139*(1+GrowthMarketRent)^8*IF(INT((DATE(2026+8,10,31)-F139)/365.25)=0,(12-DowntimeNew)/12,1),IF(I139="LeaseUp",H139*D139*(1+GrowthMarketRent)^8*IF(8=0,(12-DowntimeNew)/12,1),0)))),((F139-DATE(2026+8,5,1))/365.25)*G139*D139*(1+EscalatorInLease)^(8+M139)+((DATE(2027+8,4,30)-F139)/365.25)*IF(I139="Vacate",H139*D139*(1+GrowthMarketRent)^8*IF(INT((DATE(2026+8,10,31)-F139)/365.25)=0,(12-DowntimeNew)/12,1),IF(I139="Option",G139*D139*1.025*(1+EscalatorInLease)^8,IF(I139="Market",Retention*G139*D139*(1+EscalatorInLease)^(8+M139)+(1-Retention)*H139*D139*(1+GrowthMarketRent)^8*IF(INT((DATE(2026+8,10,31)-F139)/365.25)=0,(12-DowntimeNew)/12,1),IF(I139="LeaseUp",H139*D139*(1+GrowthMarketRent)^8*IF(8=0,(12-DowntimeNew)/12,1),0)))))))),0)</f>
        <v/>
      </c>
      <c r="W139" s="14">
        <f>IFERROR(IF(I139="LeaseUp",H139*D139*(1+GrowthMarketRent)^9*IF(9=0,(12-DowntimeNew)/12,1),IF(F139="",0,IF(F139&gt;=DATE(2027+9,4,30),G139*D139*(1+EscalatorInLease)^(9+M139),IF(F139&lt;DATE(2026+9,5,1),IF(I139="Vacate",H139*D139*(1+GrowthMarketRent)^9*IF(INT((DATE(2026+9,10,31)-F139)/365.25)=0,(12-DowntimeNew)/12,1),IF(I139="Option",G139*D139*1.025*(1+EscalatorInLease)^9,IF(I139="Market",Retention*G139*D139*(1+EscalatorInLease)^(9+M139)+(1-Retention)*H139*D139*(1+GrowthMarketRent)^9*IF(INT((DATE(2026+9,10,31)-F139)/365.25)=0,(12-DowntimeNew)/12,1),IF(I139="LeaseUp",H139*D139*(1+GrowthMarketRent)^9*IF(9=0,(12-DowntimeNew)/12,1),0)))),((F139-DATE(2026+9,5,1))/365.25)*G139*D139*(1+EscalatorInLease)^(9+M139)+((DATE(2027+9,4,30)-F139)/365.25)*IF(I139="Vacate",H139*D139*(1+GrowthMarketRent)^9*IF(INT((DATE(2026+9,10,31)-F139)/365.25)=0,(12-DowntimeNew)/12,1),IF(I139="Option",G139*D139*1.025*(1+EscalatorInLease)^9,IF(I139="Market",Retention*G139*D139*(1+EscalatorInLease)^(9+M139)+(1-Retention)*H139*D139*(1+GrowthMarketRent)^9*IF(INT((DATE(2026+9,10,31)-F139)/365.25)=0,(12-DowntimeNew)/12,1),IF(I139="LeaseUp",H139*D139*(1+GrowthMarketRent)^9*IF(9=0,(12-DowntimeNew)/12,1),0)))))))),0)</f>
        <v/>
      </c>
      <c r="X139" s="14">
        <f>IFERROR(IF(I139="LeaseUp",H139*D139*(1+GrowthMarketRent)^10*IF(10=0,(12-DowntimeNew)/12,1),IF(F139="",0,IF(F139&gt;=DATE(2027+10,4,30),G139*D139*(1+EscalatorInLease)^(10+M139),IF(F139&lt;DATE(2026+10,5,1),IF(I139="Vacate",H139*D139*(1+GrowthMarketRent)^10*IF(INT((DATE(2026+10,10,31)-F139)/365.25)=0,(12-DowntimeNew)/12,1),IF(I139="Option",G139*D139*1.025*(1+EscalatorInLease)^10,IF(I139="Market",Retention*G139*D139*(1+EscalatorInLease)^(10+M139)+(1-Retention)*H139*D139*(1+GrowthMarketRent)^10*IF(INT((DATE(2026+10,10,31)-F139)/365.25)=0,(12-DowntimeNew)/12,1),IF(I139="LeaseUp",H139*D139*(1+GrowthMarketRent)^10*IF(10=0,(12-DowntimeNew)/12,1),0)))),((F139-DATE(2026+10,5,1))/365.25)*G139*D139*(1+EscalatorInLease)^(10+M139)+((DATE(2027+10,4,30)-F139)/365.25)*IF(I139="Vacate",H139*D139*(1+GrowthMarketRent)^10*IF(INT((DATE(2026+10,10,31)-F139)/365.25)=0,(12-DowntimeNew)/12,1),IF(I139="Option",G139*D139*1.025*(1+EscalatorInLease)^10,IF(I139="Market",Retention*G139*D139*(1+EscalatorInLease)^(10+M139)+(1-Retention)*H139*D139*(1+GrowthMarketRent)^10*IF(INT((DATE(2026+10,10,31)-F139)/365.25)=0,(12-DowntimeNew)/12,1),IF(I139="LeaseUp",H139*D139*(1+GrowthMarketRent)^10*IF(10=0,(12-DowntimeNew)/12,1),0)))))))),0)</f>
        <v/>
      </c>
      <c r="Y139" s="14">
        <f>IFERROR(IF(AND(I139="LeaseUp",0=0),(IF(I139="Vacate",TINew*D139,IF(I139="Market",Retention*TIRenewal*D139+(1-Retention)*TINew*D139,IF(I139="LeaseUp",TINew*D139,IF(I139="Option",TIRenewal*D139,0)))))+(IF(I139="Vacate",LCNew*H139*D139*(1+GrowthMarketRent)^0,IF(I139="Market",Retention*LCRenewal*H139*D139*(1+GrowthMarketRent)^0+(1-Retention)*LCNew*H139*D139*(1+GrowthMarketRent)^0,IF(I139="LeaseUp",LCNew*H139*D139*(1+GrowthMarketRent)^0,IF(I139="Option",LCRenewal*H139*D139*(1+GrowthMarketRent)^0,0))))),IF(F139="",0,IF(AND(F139&gt;=DATE(2026+0,5,1),F139&lt;=DATE(2027+0,4,30)),(IF(I139="Vacate",TINew*D139,IF(I139="Market",Retention*TIRenewal*D139+(1-Retention)*TINew*D139,IF(I139="LeaseUp",TINew*D139,IF(I139="Option",TIRenewal*D139,0)))))+(IF(I139="Vacate",LCNew*H139*D139*(1+GrowthMarketRent)^0,IF(I139="Market",Retention*LCRenewal*H139*D139*(1+GrowthMarketRent)^0+(1-Retention)*LCNew*H139*D139*(1+GrowthMarketRent)^0,IF(I139="LeaseUp",LCNew*H139*D139*(1+GrowthMarketRent)^0,IF(I139="Option",LCRenewal*H139*D139*(1+GrowthMarketRent)^0,0))))),0))),0)</f>
        <v/>
      </c>
      <c r="Z139" s="14">
        <f>IFERROR(IF(AND(I139="LeaseUp",1=0),(IF(I139="Vacate",TINew*D139,IF(I139="Market",Retention*TIRenewal*D139+(1-Retention)*TINew*D139,IF(I139="LeaseUp",TINew*D139,IF(I139="Option",TIRenewal*D139,0)))))+(IF(I139="Vacate",LCNew*H139*D139*(1+GrowthMarketRent)^1,IF(I139="Market",Retention*LCRenewal*H139*D139*(1+GrowthMarketRent)^1+(1-Retention)*LCNew*H139*D139*(1+GrowthMarketRent)^1,IF(I139="LeaseUp",LCNew*H139*D139*(1+GrowthMarketRent)^1,IF(I139="Option",LCRenewal*H139*D139*(1+GrowthMarketRent)^1,0))))),IF(F139="",0,IF(AND(F139&gt;=DATE(2026+1,5,1),F139&lt;=DATE(2027+1,4,30)),(IF(I139="Vacate",TINew*D139,IF(I139="Market",Retention*TIRenewal*D139+(1-Retention)*TINew*D139,IF(I139="LeaseUp",TINew*D139,IF(I139="Option",TIRenewal*D139,0)))))+(IF(I139="Vacate",LCNew*H139*D139*(1+GrowthMarketRent)^1,IF(I139="Market",Retention*LCRenewal*H139*D139*(1+GrowthMarketRent)^1+(1-Retention)*LCNew*H139*D139*(1+GrowthMarketRent)^1,IF(I139="LeaseUp",LCNew*H139*D139*(1+GrowthMarketRent)^1,IF(I139="Option",LCRenewal*H139*D139*(1+GrowthMarketRent)^1,0))))),0))),0)</f>
        <v/>
      </c>
      <c r="AA139" s="14">
        <f>IFERROR(IF(AND(I139="LeaseUp",2=0),(IF(I139="Vacate",TINew*D139,IF(I139="Market",Retention*TIRenewal*D139+(1-Retention)*TINew*D139,IF(I139="LeaseUp",TINew*D139,IF(I139="Option",TIRenewal*D139,0)))))+(IF(I139="Vacate",LCNew*H139*D139*(1+GrowthMarketRent)^2,IF(I139="Market",Retention*LCRenewal*H139*D139*(1+GrowthMarketRent)^2+(1-Retention)*LCNew*H139*D139*(1+GrowthMarketRent)^2,IF(I139="LeaseUp",LCNew*H139*D139*(1+GrowthMarketRent)^2,IF(I139="Option",LCRenewal*H139*D139*(1+GrowthMarketRent)^2,0))))),IF(F139="",0,IF(AND(F139&gt;=DATE(2026+2,5,1),F139&lt;=DATE(2027+2,4,30)),(IF(I139="Vacate",TINew*D139,IF(I139="Market",Retention*TIRenewal*D139+(1-Retention)*TINew*D139,IF(I139="LeaseUp",TINew*D139,IF(I139="Option",TIRenewal*D139,0)))))+(IF(I139="Vacate",LCNew*H139*D139*(1+GrowthMarketRent)^2,IF(I139="Market",Retention*LCRenewal*H139*D139*(1+GrowthMarketRent)^2+(1-Retention)*LCNew*H139*D139*(1+GrowthMarketRent)^2,IF(I139="LeaseUp",LCNew*H139*D139*(1+GrowthMarketRent)^2,IF(I139="Option",LCRenewal*H139*D139*(1+GrowthMarketRent)^2,0))))),0))),0)</f>
        <v/>
      </c>
      <c r="AB139" s="14">
        <f>IFERROR(IF(AND(I139="LeaseUp",3=0),(IF(I139="Vacate",TINew*D139,IF(I139="Market",Retention*TIRenewal*D139+(1-Retention)*TINew*D139,IF(I139="LeaseUp",TINew*D139,IF(I139="Option",TIRenewal*D139,0)))))+(IF(I139="Vacate",LCNew*H139*D139*(1+GrowthMarketRent)^3,IF(I139="Market",Retention*LCRenewal*H139*D139*(1+GrowthMarketRent)^3+(1-Retention)*LCNew*H139*D139*(1+GrowthMarketRent)^3,IF(I139="LeaseUp",LCNew*H139*D139*(1+GrowthMarketRent)^3,IF(I139="Option",LCRenewal*H139*D139*(1+GrowthMarketRent)^3,0))))),IF(F139="",0,IF(AND(F139&gt;=DATE(2026+3,5,1),F139&lt;=DATE(2027+3,4,30)),(IF(I139="Vacate",TINew*D139,IF(I139="Market",Retention*TIRenewal*D139+(1-Retention)*TINew*D139,IF(I139="LeaseUp",TINew*D139,IF(I139="Option",TIRenewal*D139,0)))))+(IF(I139="Vacate",LCNew*H139*D139*(1+GrowthMarketRent)^3,IF(I139="Market",Retention*LCRenewal*H139*D139*(1+GrowthMarketRent)^3+(1-Retention)*LCNew*H139*D139*(1+GrowthMarketRent)^3,IF(I139="LeaseUp",LCNew*H139*D139*(1+GrowthMarketRent)^3,IF(I139="Option",LCRenewal*H139*D139*(1+GrowthMarketRent)^3,0))))),0))),0)</f>
        <v/>
      </c>
      <c r="AC139" s="14">
        <f>IFERROR(IF(AND(I139="LeaseUp",4=0),(IF(I139="Vacate",TINew*D139,IF(I139="Market",Retention*TIRenewal*D139+(1-Retention)*TINew*D139,IF(I139="LeaseUp",TINew*D139,IF(I139="Option",TIRenewal*D139,0)))))+(IF(I139="Vacate",LCNew*H139*D139*(1+GrowthMarketRent)^4,IF(I139="Market",Retention*LCRenewal*H139*D139*(1+GrowthMarketRent)^4+(1-Retention)*LCNew*H139*D139*(1+GrowthMarketRent)^4,IF(I139="LeaseUp",LCNew*H139*D139*(1+GrowthMarketRent)^4,IF(I139="Option",LCRenewal*H139*D139*(1+GrowthMarketRent)^4,0))))),IF(F139="",0,IF(AND(F139&gt;=DATE(2026+4,5,1),F139&lt;=DATE(2027+4,4,30)),(IF(I139="Vacate",TINew*D139,IF(I139="Market",Retention*TIRenewal*D139+(1-Retention)*TINew*D139,IF(I139="LeaseUp",TINew*D139,IF(I139="Option",TIRenewal*D139,0)))))+(IF(I139="Vacate",LCNew*H139*D139*(1+GrowthMarketRent)^4,IF(I139="Market",Retention*LCRenewal*H139*D139*(1+GrowthMarketRent)^4+(1-Retention)*LCNew*H139*D139*(1+GrowthMarketRent)^4,IF(I139="LeaseUp",LCNew*H139*D139*(1+GrowthMarketRent)^4,IF(I139="Option",LCRenewal*H139*D139*(1+GrowthMarketRent)^4,0))))),0))),0)</f>
        <v/>
      </c>
      <c r="AD139" s="14">
        <f>IFERROR(IF(AND(I139="LeaseUp",5=0),(IF(I139="Vacate",TINew*D139,IF(I139="Market",Retention*TIRenewal*D139+(1-Retention)*TINew*D139,IF(I139="LeaseUp",TINew*D139,IF(I139="Option",TIRenewal*D139,0)))))+(IF(I139="Vacate",LCNew*H139*D139*(1+GrowthMarketRent)^5,IF(I139="Market",Retention*LCRenewal*H139*D139*(1+GrowthMarketRent)^5+(1-Retention)*LCNew*H139*D139*(1+GrowthMarketRent)^5,IF(I139="LeaseUp",LCNew*H139*D139*(1+GrowthMarketRent)^5,IF(I139="Option",LCRenewal*H139*D139*(1+GrowthMarketRent)^5,0))))),IF(F139="",0,IF(AND(F139&gt;=DATE(2026+5,5,1),F139&lt;=DATE(2027+5,4,30)),(IF(I139="Vacate",TINew*D139,IF(I139="Market",Retention*TIRenewal*D139+(1-Retention)*TINew*D139,IF(I139="LeaseUp",TINew*D139,IF(I139="Option",TIRenewal*D139,0)))))+(IF(I139="Vacate",LCNew*H139*D139*(1+GrowthMarketRent)^5,IF(I139="Market",Retention*LCRenewal*H139*D139*(1+GrowthMarketRent)^5+(1-Retention)*LCNew*H139*D139*(1+GrowthMarketRent)^5,IF(I139="LeaseUp",LCNew*H139*D139*(1+GrowthMarketRent)^5,IF(I139="Option",LCRenewal*H139*D139*(1+GrowthMarketRent)^5,0))))),0))),0)</f>
        <v/>
      </c>
      <c r="AE139" s="14">
        <f>IFERROR(IF(AND(I139="LeaseUp",6=0),(IF(I139="Vacate",TINew*D139,IF(I139="Market",Retention*TIRenewal*D139+(1-Retention)*TINew*D139,IF(I139="LeaseUp",TINew*D139,IF(I139="Option",TIRenewal*D139,0)))))+(IF(I139="Vacate",LCNew*H139*D139*(1+GrowthMarketRent)^6,IF(I139="Market",Retention*LCRenewal*H139*D139*(1+GrowthMarketRent)^6+(1-Retention)*LCNew*H139*D139*(1+GrowthMarketRent)^6,IF(I139="LeaseUp",LCNew*H139*D139*(1+GrowthMarketRent)^6,IF(I139="Option",LCRenewal*H139*D139*(1+GrowthMarketRent)^6,0))))),IF(F139="",0,IF(AND(F139&gt;=DATE(2026+6,5,1),F139&lt;=DATE(2027+6,4,30)),(IF(I139="Vacate",TINew*D139,IF(I139="Market",Retention*TIRenewal*D139+(1-Retention)*TINew*D139,IF(I139="LeaseUp",TINew*D139,IF(I139="Option",TIRenewal*D139,0)))))+(IF(I139="Vacate",LCNew*H139*D139*(1+GrowthMarketRent)^6,IF(I139="Market",Retention*LCRenewal*H139*D139*(1+GrowthMarketRent)^6+(1-Retention)*LCNew*H139*D139*(1+GrowthMarketRent)^6,IF(I139="LeaseUp",LCNew*H139*D139*(1+GrowthMarketRent)^6,IF(I139="Option",LCRenewal*H139*D139*(1+GrowthMarketRent)^6,0))))),0))),0)</f>
        <v/>
      </c>
      <c r="AF139" s="14">
        <f>IFERROR(IF(AND(I139="LeaseUp",7=0),(IF(I139="Vacate",TINew*D139,IF(I139="Market",Retention*TIRenewal*D139+(1-Retention)*TINew*D139,IF(I139="LeaseUp",TINew*D139,IF(I139="Option",TIRenewal*D139,0)))))+(IF(I139="Vacate",LCNew*H139*D139*(1+GrowthMarketRent)^7,IF(I139="Market",Retention*LCRenewal*H139*D139*(1+GrowthMarketRent)^7+(1-Retention)*LCNew*H139*D139*(1+GrowthMarketRent)^7,IF(I139="LeaseUp",LCNew*H139*D139*(1+GrowthMarketRent)^7,IF(I139="Option",LCRenewal*H139*D139*(1+GrowthMarketRent)^7,0))))),IF(F139="",0,IF(AND(F139&gt;=DATE(2026+7,5,1),F139&lt;=DATE(2027+7,4,30)),(IF(I139="Vacate",TINew*D139,IF(I139="Market",Retention*TIRenewal*D139+(1-Retention)*TINew*D139,IF(I139="LeaseUp",TINew*D139,IF(I139="Option",TIRenewal*D139,0)))))+(IF(I139="Vacate",LCNew*H139*D139*(1+GrowthMarketRent)^7,IF(I139="Market",Retention*LCRenewal*H139*D139*(1+GrowthMarketRent)^7+(1-Retention)*LCNew*H139*D139*(1+GrowthMarketRent)^7,IF(I139="LeaseUp",LCNew*H139*D139*(1+GrowthMarketRent)^7,IF(I139="Option",LCRenewal*H139*D139*(1+GrowthMarketRent)^7,0))))),0))),0)</f>
        <v/>
      </c>
      <c r="AG139" s="14">
        <f>IFERROR(IF(AND(I139="LeaseUp",8=0),(IF(I139="Vacate",TINew*D139,IF(I139="Market",Retention*TIRenewal*D139+(1-Retention)*TINew*D139,IF(I139="LeaseUp",TINew*D139,IF(I139="Option",TIRenewal*D139,0)))))+(IF(I139="Vacate",LCNew*H139*D139*(1+GrowthMarketRent)^8,IF(I139="Market",Retention*LCRenewal*H139*D139*(1+GrowthMarketRent)^8+(1-Retention)*LCNew*H139*D139*(1+GrowthMarketRent)^8,IF(I139="LeaseUp",LCNew*H139*D139*(1+GrowthMarketRent)^8,IF(I139="Option",LCRenewal*H139*D139*(1+GrowthMarketRent)^8,0))))),IF(F139="",0,IF(AND(F139&gt;=DATE(2026+8,5,1),F139&lt;=DATE(2027+8,4,30)),(IF(I139="Vacate",TINew*D139,IF(I139="Market",Retention*TIRenewal*D139+(1-Retention)*TINew*D139,IF(I139="LeaseUp",TINew*D139,IF(I139="Option",TIRenewal*D139,0)))))+(IF(I139="Vacate",LCNew*H139*D139*(1+GrowthMarketRent)^8,IF(I139="Market",Retention*LCRenewal*H139*D139*(1+GrowthMarketRent)^8+(1-Retention)*LCNew*H139*D139*(1+GrowthMarketRent)^8,IF(I139="LeaseUp",LCNew*H139*D139*(1+GrowthMarketRent)^8,IF(I139="Option",LCRenewal*H139*D139*(1+GrowthMarketRent)^8,0))))),0))),0)</f>
        <v/>
      </c>
      <c r="AH139" s="14">
        <f>IFERROR(IF(AND(I139="LeaseUp",9=0),(IF(I139="Vacate",TINew*D139,IF(I139="Market",Retention*TIRenewal*D139+(1-Retention)*TINew*D139,IF(I139="LeaseUp",TINew*D139,IF(I139="Option",TIRenewal*D139,0)))))+(IF(I139="Vacate",LCNew*H139*D139*(1+GrowthMarketRent)^9,IF(I139="Market",Retention*LCRenewal*H139*D139*(1+GrowthMarketRent)^9+(1-Retention)*LCNew*H139*D139*(1+GrowthMarketRent)^9,IF(I139="LeaseUp",LCNew*H139*D139*(1+GrowthMarketRent)^9,IF(I139="Option",LCRenewal*H139*D139*(1+GrowthMarketRent)^9,0))))),IF(F139="",0,IF(AND(F139&gt;=DATE(2026+9,5,1),F139&lt;=DATE(2027+9,4,30)),(IF(I139="Vacate",TINew*D139,IF(I139="Market",Retention*TIRenewal*D139+(1-Retention)*TINew*D139,IF(I139="LeaseUp",TINew*D139,IF(I139="Option",TIRenewal*D139,0)))))+(IF(I139="Vacate",LCNew*H139*D139*(1+GrowthMarketRent)^9,IF(I139="Market",Retention*LCRenewal*H139*D139*(1+GrowthMarketRent)^9+(1-Retention)*LCNew*H139*D139*(1+GrowthMarketRent)^9,IF(I139="LeaseUp",LCNew*H139*D139*(1+GrowthMarketRent)^9,IF(I139="Option",LCRenewal*H139*D139*(1+GrowthMarketRent)^9,0))))),0))),0)</f>
        <v/>
      </c>
      <c r="AI139" s="14">
        <f>IFERROR(IF(AND(I139="LeaseUp",10=0),(IF(I139="Vacate",TINew*D139,IF(I139="Market",Retention*TIRenewal*D139+(1-Retention)*TINew*D139,IF(I139="LeaseUp",TINew*D139,IF(I139="Option",TIRenewal*D139,0)))))+(IF(I139="Vacate",LCNew*H139*D139*(1+GrowthMarketRent)^10,IF(I139="Market",Retention*LCRenewal*H139*D139*(1+GrowthMarketRent)^10+(1-Retention)*LCNew*H139*D139*(1+GrowthMarketRent)^10,IF(I139="LeaseUp",LCNew*H139*D139*(1+GrowthMarketRent)^10,IF(I139="Option",LCRenewal*H139*D139*(1+GrowthMarketRent)^10,0))))),IF(F139="",0,IF(AND(F139&gt;=DATE(2026+10,5,1),F139&lt;=DATE(2027+10,4,30)),(IF(I139="Vacate",TINew*D139,IF(I139="Market",Retention*TIRenewal*D139+(1-Retention)*TINew*D139,IF(I139="LeaseUp",TINew*D139,IF(I139="Option",TIRenewal*D139,0)))))+(IF(I139="Vacate",LCNew*H139*D139*(1+GrowthMarketRent)^10,IF(I139="Market",Retention*LCRenewal*H139*D139*(1+GrowthMarketRent)^10+(1-Retention)*LCNew*H139*D139*(1+GrowthMarketRent)^10,IF(I139="LeaseUp",LCNew*H139*D139*(1+GrowthMarketRent)^10,IF(I139="Option",LCRenewal*H139*D139*(1+GrowthMarketRent)^10,0))))),0))),0)</f>
        <v/>
      </c>
    </row>
    <row r="140">
      <c r="A140" t="inlineStr">
        <is>
          <t>Plano</t>
        </is>
      </c>
      <c r="B140" t="inlineStr">
        <is>
          <t>104</t>
        </is>
      </c>
      <c r="C140" t="inlineStr">
        <is>
          <t>Chickadee Lane Estate and Moving Sales LLC</t>
        </is>
      </c>
      <c r="D140" s="32" t="n">
        <v>2600</v>
      </c>
      <c r="E140" s="33" t="n">
        <v>45809</v>
      </c>
      <c r="F140" s="33" t="n">
        <v>47058</v>
      </c>
      <c r="G140" s="34" t="n">
        <v>19</v>
      </c>
      <c r="H140" s="16">
        <f>VLOOKUP(A140,MLA!$A$5:$L$11,3,FALSE)</f>
        <v/>
      </c>
      <c r="I140" s="11" t="inlineStr">
        <is>
          <t>Option</t>
        </is>
      </c>
      <c r="J140" t="inlineStr">
        <is>
          <t>Shop</t>
        </is>
      </c>
      <c r="K140" t="inlineStr">
        <is>
          <t>Occupied</t>
        </is>
      </c>
      <c r="L140" t="inlineStr">
        <is>
          <t>Shop; Guarantor: Rebecca Davison; Two 3yr options @ FMV</t>
        </is>
      </c>
      <c r="M140" s="20">
        <f>IF(E140="",0,(AnalysisStart-E140)/365.25)</f>
        <v/>
      </c>
      <c r="N140" s="14">
        <f>IFERROR(IF(I140="LeaseUp",H140*D140*(1+GrowthMarketRent)^0*IF(0=0,(12-DowntimeNew)/12,1),IF(F140="",0,IF(F140&gt;=DATE(2027+0,4,30),G140*D140*(1+EscalatorInLease)^(0+M140),IF(F140&lt;DATE(2026+0,5,1),IF(I140="Vacate",H140*D140*(1+GrowthMarketRent)^0*IF(INT((DATE(2026+0,10,31)-F140)/365.25)=0,(12-DowntimeNew)/12,1),IF(I140="Option",G140*D140*1.025*(1+EscalatorInLease)^0,IF(I140="Market",Retention*G140*D140*(1+EscalatorInLease)^(0+M140)+(1-Retention)*H140*D140*(1+GrowthMarketRent)^0*IF(INT((DATE(2026+0,10,31)-F140)/365.25)=0,(12-DowntimeNew)/12,1),IF(I140="LeaseUp",H140*D140*(1+GrowthMarketRent)^0*IF(0=0,(12-DowntimeNew)/12,1),0)))),((F140-DATE(2026+0,5,1))/365.25)*G140*D140*(1+EscalatorInLease)^(0+M140)+((DATE(2027+0,4,30)-F140)/365.25)*IF(I140="Vacate",H140*D140*(1+GrowthMarketRent)^0*IF(INT((DATE(2026+0,10,31)-F140)/365.25)=0,(12-DowntimeNew)/12,1),IF(I140="Option",G140*D140*1.025*(1+EscalatorInLease)^0,IF(I140="Market",Retention*G140*D140*(1+EscalatorInLease)^(0+M140)+(1-Retention)*H140*D140*(1+GrowthMarketRent)^0*IF(INT((DATE(2026+0,10,31)-F140)/365.25)=0,(12-DowntimeNew)/12,1),IF(I140="LeaseUp",H140*D140*(1+GrowthMarketRent)^0*IF(0=0,(12-DowntimeNew)/12,1),0)))))))),0)</f>
        <v/>
      </c>
      <c r="O140" s="14">
        <f>IFERROR(IF(I140="LeaseUp",H140*D140*(1+GrowthMarketRent)^1*IF(1=0,(12-DowntimeNew)/12,1),IF(F140="",0,IF(F140&gt;=DATE(2027+1,4,30),G140*D140*(1+EscalatorInLease)^(1+M140),IF(F140&lt;DATE(2026+1,5,1),IF(I140="Vacate",H140*D140*(1+GrowthMarketRent)^1*IF(INT((DATE(2026+1,10,31)-F140)/365.25)=0,(12-DowntimeNew)/12,1),IF(I140="Option",G140*D140*1.025*(1+EscalatorInLease)^1,IF(I140="Market",Retention*G140*D140*(1+EscalatorInLease)^(1+M140)+(1-Retention)*H140*D140*(1+GrowthMarketRent)^1*IF(INT((DATE(2026+1,10,31)-F140)/365.25)=0,(12-DowntimeNew)/12,1),IF(I140="LeaseUp",H140*D140*(1+GrowthMarketRent)^1*IF(1=0,(12-DowntimeNew)/12,1),0)))),((F140-DATE(2026+1,5,1))/365.25)*G140*D140*(1+EscalatorInLease)^(1+M140)+((DATE(2027+1,4,30)-F140)/365.25)*IF(I140="Vacate",H140*D140*(1+GrowthMarketRent)^1*IF(INT((DATE(2026+1,10,31)-F140)/365.25)=0,(12-DowntimeNew)/12,1),IF(I140="Option",G140*D140*1.025*(1+EscalatorInLease)^1,IF(I140="Market",Retention*G140*D140*(1+EscalatorInLease)^(1+M140)+(1-Retention)*H140*D140*(1+GrowthMarketRent)^1*IF(INT((DATE(2026+1,10,31)-F140)/365.25)=0,(12-DowntimeNew)/12,1),IF(I140="LeaseUp",H140*D140*(1+GrowthMarketRent)^1*IF(1=0,(12-DowntimeNew)/12,1),0)))))))),0)</f>
        <v/>
      </c>
      <c r="P140" s="14">
        <f>IFERROR(IF(I140="LeaseUp",H140*D140*(1+GrowthMarketRent)^2*IF(2=0,(12-DowntimeNew)/12,1),IF(F140="",0,IF(F140&gt;=DATE(2027+2,4,30),G140*D140*(1+EscalatorInLease)^(2+M140),IF(F140&lt;DATE(2026+2,5,1),IF(I140="Vacate",H140*D140*(1+GrowthMarketRent)^2*IF(INT((DATE(2026+2,10,31)-F140)/365.25)=0,(12-DowntimeNew)/12,1),IF(I140="Option",G140*D140*1.025*(1+EscalatorInLease)^2,IF(I140="Market",Retention*G140*D140*(1+EscalatorInLease)^(2+M140)+(1-Retention)*H140*D140*(1+GrowthMarketRent)^2*IF(INT((DATE(2026+2,10,31)-F140)/365.25)=0,(12-DowntimeNew)/12,1),IF(I140="LeaseUp",H140*D140*(1+GrowthMarketRent)^2*IF(2=0,(12-DowntimeNew)/12,1),0)))),((F140-DATE(2026+2,5,1))/365.25)*G140*D140*(1+EscalatorInLease)^(2+M140)+((DATE(2027+2,4,30)-F140)/365.25)*IF(I140="Vacate",H140*D140*(1+GrowthMarketRent)^2*IF(INT((DATE(2026+2,10,31)-F140)/365.25)=0,(12-DowntimeNew)/12,1),IF(I140="Option",G140*D140*1.025*(1+EscalatorInLease)^2,IF(I140="Market",Retention*G140*D140*(1+EscalatorInLease)^(2+M140)+(1-Retention)*H140*D140*(1+GrowthMarketRent)^2*IF(INT((DATE(2026+2,10,31)-F140)/365.25)=0,(12-DowntimeNew)/12,1),IF(I140="LeaseUp",H140*D140*(1+GrowthMarketRent)^2*IF(2=0,(12-DowntimeNew)/12,1),0)))))))),0)</f>
        <v/>
      </c>
      <c r="Q140" s="14">
        <f>IFERROR(IF(I140="LeaseUp",H140*D140*(1+GrowthMarketRent)^3*IF(3=0,(12-DowntimeNew)/12,1),IF(F140="",0,IF(F140&gt;=DATE(2027+3,4,30),G140*D140*(1+EscalatorInLease)^(3+M140),IF(F140&lt;DATE(2026+3,5,1),IF(I140="Vacate",H140*D140*(1+GrowthMarketRent)^3*IF(INT((DATE(2026+3,10,31)-F140)/365.25)=0,(12-DowntimeNew)/12,1),IF(I140="Option",G140*D140*1.025*(1+EscalatorInLease)^3,IF(I140="Market",Retention*G140*D140*(1+EscalatorInLease)^(3+M140)+(1-Retention)*H140*D140*(1+GrowthMarketRent)^3*IF(INT((DATE(2026+3,10,31)-F140)/365.25)=0,(12-DowntimeNew)/12,1),IF(I140="LeaseUp",H140*D140*(1+GrowthMarketRent)^3*IF(3=0,(12-DowntimeNew)/12,1),0)))),((F140-DATE(2026+3,5,1))/365.25)*G140*D140*(1+EscalatorInLease)^(3+M140)+((DATE(2027+3,4,30)-F140)/365.25)*IF(I140="Vacate",H140*D140*(1+GrowthMarketRent)^3*IF(INT((DATE(2026+3,10,31)-F140)/365.25)=0,(12-DowntimeNew)/12,1),IF(I140="Option",G140*D140*1.025*(1+EscalatorInLease)^3,IF(I140="Market",Retention*G140*D140*(1+EscalatorInLease)^(3+M140)+(1-Retention)*H140*D140*(1+GrowthMarketRent)^3*IF(INT((DATE(2026+3,10,31)-F140)/365.25)=0,(12-DowntimeNew)/12,1),IF(I140="LeaseUp",H140*D140*(1+GrowthMarketRent)^3*IF(3=0,(12-DowntimeNew)/12,1),0)))))))),0)</f>
        <v/>
      </c>
      <c r="R140" s="14">
        <f>IFERROR(IF(I140="LeaseUp",H140*D140*(1+GrowthMarketRent)^4*IF(4=0,(12-DowntimeNew)/12,1),IF(F140="",0,IF(F140&gt;=DATE(2027+4,4,30),G140*D140*(1+EscalatorInLease)^(4+M140),IF(F140&lt;DATE(2026+4,5,1),IF(I140="Vacate",H140*D140*(1+GrowthMarketRent)^4*IF(INT((DATE(2026+4,10,31)-F140)/365.25)=0,(12-DowntimeNew)/12,1),IF(I140="Option",G140*D140*1.025*(1+EscalatorInLease)^4,IF(I140="Market",Retention*G140*D140*(1+EscalatorInLease)^(4+M140)+(1-Retention)*H140*D140*(1+GrowthMarketRent)^4*IF(INT((DATE(2026+4,10,31)-F140)/365.25)=0,(12-DowntimeNew)/12,1),IF(I140="LeaseUp",H140*D140*(1+GrowthMarketRent)^4*IF(4=0,(12-DowntimeNew)/12,1),0)))),((F140-DATE(2026+4,5,1))/365.25)*G140*D140*(1+EscalatorInLease)^(4+M140)+((DATE(2027+4,4,30)-F140)/365.25)*IF(I140="Vacate",H140*D140*(1+GrowthMarketRent)^4*IF(INT((DATE(2026+4,10,31)-F140)/365.25)=0,(12-DowntimeNew)/12,1),IF(I140="Option",G140*D140*1.025*(1+EscalatorInLease)^4,IF(I140="Market",Retention*G140*D140*(1+EscalatorInLease)^(4+M140)+(1-Retention)*H140*D140*(1+GrowthMarketRent)^4*IF(INT((DATE(2026+4,10,31)-F140)/365.25)=0,(12-DowntimeNew)/12,1),IF(I140="LeaseUp",H140*D140*(1+GrowthMarketRent)^4*IF(4=0,(12-DowntimeNew)/12,1),0)))))))),0)</f>
        <v/>
      </c>
      <c r="S140" s="14">
        <f>IFERROR(IF(I140="LeaseUp",H140*D140*(1+GrowthMarketRent)^5*IF(5=0,(12-DowntimeNew)/12,1),IF(F140="",0,IF(F140&gt;=DATE(2027+5,4,30),G140*D140*(1+EscalatorInLease)^(5+M140),IF(F140&lt;DATE(2026+5,5,1),IF(I140="Vacate",H140*D140*(1+GrowthMarketRent)^5*IF(INT((DATE(2026+5,10,31)-F140)/365.25)=0,(12-DowntimeNew)/12,1),IF(I140="Option",G140*D140*1.025*(1+EscalatorInLease)^5,IF(I140="Market",Retention*G140*D140*(1+EscalatorInLease)^(5+M140)+(1-Retention)*H140*D140*(1+GrowthMarketRent)^5*IF(INT((DATE(2026+5,10,31)-F140)/365.25)=0,(12-DowntimeNew)/12,1),IF(I140="LeaseUp",H140*D140*(1+GrowthMarketRent)^5*IF(5=0,(12-DowntimeNew)/12,1),0)))),((F140-DATE(2026+5,5,1))/365.25)*G140*D140*(1+EscalatorInLease)^(5+M140)+((DATE(2027+5,4,30)-F140)/365.25)*IF(I140="Vacate",H140*D140*(1+GrowthMarketRent)^5*IF(INT((DATE(2026+5,10,31)-F140)/365.25)=0,(12-DowntimeNew)/12,1),IF(I140="Option",G140*D140*1.025*(1+EscalatorInLease)^5,IF(I140="Market",Retention*G140*D140*(1+EscalatorInLease)^(5+M140)+(1-Retention)*H140*D140*(1+GrowthMarketRent)^5*IF(INT((DATE(2026+5,10,31)-F140)/365.25)=0,(12-DowntimeNew)/12,1),IF(I140="LeaseUp",H140*D140*(1+GrowthMarketRent)^5*IF(5=0,(12-DowntimeNew)/12,1),0)))))))),0)</f>
        <v/>
      </c>
      <c r="T140" s="14">
        <f>IFERROR(IF(I140="LeaseUp",H140*D140*(1+GrowthMarketRent)^6*IF(6=0,(12-DowntimeNew)/12,1),IF(F140="",0,IF(F140&gt;=DATE(2027+6,4,30),G140*D140*(1+EscalatorInLease)^(6+M140),IF(F140&lt;DATE(2026+6,5,1),IF(I140="Vacate",H140*D140*(1+GrowthMarketRent)^6*IF(INT((DATE(2026+6,10,31)-F140)/365.25)=0,(12-DowntimeNew)/12,1),IF(I140="Option",G140*D140*1.025*(1+EscalatorInLease)^6,IF(I140="Market",Retention*G140*D140*(1+EscalatorInLease)^(6+M140)+(1-Retention)*H140*D140*(1+GrowthMarketRent)^6*IF(INT((DATE(2026+6,10,31)-F140)/365.25)=0,(12-DowntimeNew)/12,1),IF(I140="LeaseUp",H140*D140*(1+GrowthMarketRent)^6*IF(6=0,(12-DowntimeNew)/12,1),0)))),((F140-DATE(2026+6,5,1))/365.25)*G140*D140*(1+EscalatorInLease)^(6+M140)+((DATE(2027+6,4,30)-F140)/365.25)*IF(I140="Vacate",H140*D140*(1+GrowthMarketRent)^6*IF(INT((DATE(2026+6,10,31)-F140)/365.25)=0,(12-DowntimeNew)/12,1),IF(I140="Option",G140*D140*1.025*(1+EscalatorInLease)^6,IF(I140="Market",Retention*G140*D140*(1+EscalatorInLease)^(6+M140)+(1-Retention)*H140*D140*(1+GrowthMarketRent)^6*IF(INT((DATE(2026+6,10,31)-F140)/365.25)=0,(12-DowntimeNew)/12,1),IF(I140="LeaseUp",H140*D140*(1+GrowthMarketRent)^6*IF(6=0,(12-DowntimeNew)/12,1),0)))))))),0)</f>
        <v/>
      </c>
      <c r="U140" s="14">
        <f>IFERROR(IF(I140="LeaseUp",H140*D140*(1+GrowthMarketRent)^7*IF(7=0,(12-DowntimeNew)/12,1),IF(F140="",0,IF(F140&gt;=DATE(2027+7,4,30),G140*D140*(1+EscalatorInLease)^(7+M140),IF(F140&lt;DATE(2026+7,5,1),IF(I140="Vacate",H140*D140*(1+GrowthMarketRent)^7*IF(INT((DATE(2026+7,10,31)-F140)/365.25)=0,(12-DowntimeNew)/12,1),IF(I140="Option",G140*D140*1.025*(1+EscalatorInLease)^7,IF(I140="Market",Retention*G140*D140*(1+EscalatorInLease)^(7+M140)+(1-Retention)*H140*D140*(1+GrowthMarketRent)^7*IF(INT((DATE(2026+7,10,31)-F140)/365.25)=0,(12-DowntimeNew)/12,1),IF(I140="LeaseUp",H140*D140*(1+GrowthMarketRent)^7*IF(7=0,(12-DowntimeNew)/12,1),0)))),((F140-DATE(2026+7,5,1))/365.25)*G140*D140*(1+EscalatorInLease)^(7+M140)+((DATE(2027+7,4,30)-F140)/365.25)*IF(I140="Vacate",H140*D140*(1+GrowthMarketRent)^7*IF(INT((DATE(2026+7,10,31)-F140)/365.25)=0,(12-DowntimeNew)/12,1),IF(I140="Option",G140*D140*1.025*(1+EscalatorInLease)^7,IF(I140="Market",Retention*G140*D140*(1+EscalatorInLease)^(7+M140)+(1-Retention)*H140*D140*(1+GrowthMarketRent)^7*IF(INT((DATE(2026+7,10,31)-F140)/365.25)=0,(12-DowntimeNew)/12,1),IF(I140="LeaseUp",H140*D140*(1+GrowthMarketRent)^7*IF(7=0,(12-DowntimeNew)/12,1),0)))))))),0)</f>
        <v/>
      </c>
      <c r="V140" s="14">
        <f>IFERROR(IF(I140="LeaseUp",H140*D140*(1+GrowthMarketRent)^8*IF(8=0,(12-DowntimeNew)/12,1),IF(F140="",0,IF(F140&gt;=DATE(2027+8,4,30),G140*D140*(1+EscalatorInLease)^(8+M140),IF(F140&lt;DATE(2026+8,5,1),IF(I140="Vacate",H140*D140*(1+GrowthMarketRent)^8*IF(INT((DATE(2026+8,10,31)-F140)/365.25)=0,(12-DowntimeNew)/12,1),IF(I140="Option",G140*D140*1.025*(1+EscalatorInLease)^8,IF(I140="Market",Retention*G140*D140*(1+EscalatorInLease)^(8+M140)+(1-Retention)*H140*D140*(1+GrowthMarketRent)^8*IF(INT((DATE(2026+8,10,31)-F140)/365.25)=0,(12-DowntimeNew)/12,1),IF(I140="LeaseUp",H140*D140*(1+GrowthMarketRent)^8*IF(8=0,(12-DowntimeNew)/12,1),0)))),((F140-DATE(2026+8,5,1))/365.25)*G140*D140*(1+EscalatorInLease)^(8+M140)+((DATE(2027+8,4,30)-F140)/365.25)*IF(I140="Vacate",H140*D140*(1+GrowthMarketRent)^8*IF(INT((DATE(2026+8,10,31)-F140)/365.25)=0,(12-DowntimeNew)/12,1),IF(I140="Option",G140*D140*1.025*(1+EscalatorInLease)^8,IF(I140="Market",Retention*G140*D140*(1+EscalatorInLease)^(8+M140)+(1-Retention)*H140*D140*(1+GrowthMarketRent)^8*IF(INT((DATE(2026+8,10,31)-F140)/365.25)=0,(12-DowntimeNew)/12,1),IF(I140="LeaseUp",H140*D140*(1+GrowthMarketRent)^8*IF(8=0,(12-DowntimeNew)/12,1),0)))))))),0)</f>
        <v/>
      </c>
      <c r="W140" s="14">
        <f>IFERROR(IF(I140="LeaseUp",H140*D140*(1+GrowthMarketRent)^9*IF(9=0,(12-DowntimeNew)/12,1),IF(F140="",0,IF(F140&gt;=DATE(2027+9,4,30),G140*D140*(1+EscalatorInLease)^(9+M140),IF(F140&lt;DATE(2026+9,5,1),IF(I140="Vacate",H140*D140*(1+GrowthMarketRent)^9*IF(INT((DATE(2026+9,10,31)-F140)/365.25)=0,(12-DowntimeNew)/12,1),IF(I140="Option",G140*D140*1.025*(1+EscalatorInLease)^9,IF(I140="Market",Retention*G140*D140*(1+EscalatorInLease)^(9+M140)+(1-Retention)*H140*D140*(1+GrowthMarketRent)^9*IF(INT((DATE(2026+9,10,31)-F140)/365.25)=0,(12-DowntimeNew)/12,1),IF(I140="LeaseUp",H140*D140*(1+GrowthMarketRent)^9*IF(9=0,(12-DowntimeNew)/12,1),0)))),((F140-DATE(2026+9,5,1))/365.25)*G140*D140*(1+EscalatorInLease)^(9+M140)+((DATE(2027+9,4,30)-F140)/365.25)*IF(I140="Vacate",H140*D140*(1+GrowthMarketRent)^9*IF(INT((DATE(2026+9,10,31)-F140)/365.25)=0,(12-DowntimeNew)/12,1),IF(I140="Option",G140*D140*1.025*(1+EscalatorInLease)^9,IF(I140="Market",Retention*G140*D140*(1+EscalatorInLease)^(9+M140)+(1-Retention)*H140*D140*(1+GrowthMarketRent)^9*IF(INT((DATE(2026+9,10,31)-F140)/365.25)=0,(12-DowntimeNew)/12,1),IF(I140="LeaseUp",H140*D140*(1+GrowthMarketRent)^9*IF(9=0,(12-DowntimeNew)/12,1),0)))))))),0)</f>
        <v/>
      </c>
      <c r="X140" s="14">
        <f>IFERROR(IF(I140="LeaseUp",H140*D140*(1+GrowthMarketRent)^10*IF(10=0,(12-DowntimeNew)/12,1),IF(F140="",0,IF(F140&gt;=DATE(2027+10,4,30),G140*D140*(1+EscalatorInLease)^(10+M140),IF(F140&lt;DATE(2026+10,5,1),IF(I140="Vacate",H140*D140*(1+GrowthMarketRent)^10*IF(INT((DATE(2026+10,10,31)-F140)/365.25)=0,(12-DowntimeNew)/12,1),IF(I140="Option",G140*D140*1.025*(1+EscalatorInLease)^10,IF(I140="Market",Retention*G140*D140*(1+EscalatorInLease)^(10+M140)+(1-Retention)*H140*D140*(1+GrowthMarketRent)^10*IF(INT((DATE(2026+10,10,31)-F140)/365.25)=0,(12-DowntimeNew)/12,1),IF(I140="LeaseUp",H140*D140*(1+GrowthMarketRent)^10*IF(10=0,(12-DowntimeNew)/12,1),0)))),((F140-DATE(2026+10,5,1))/365.25)*G140*D140*(1+EscalatorInLease)^(10+M140)+((DATE(2027+10,4,30)-F140)/365.25)*IF(I140="Vacate",H140*D140*(1+GrowthMarketRent)^10*IF(INT((DATE(2026+10,10,31)-F140)/365.25)=0,(12-DowntimeNew)/12,1),IF(I140="Option",G140*D140*1.025*(1+EscalatorInLease)^10,IF(I140="Market",Retention*G140*D140*(1+EscalatorInLease)^(10+M140)+(1-Retention)*H140*D140*(1+GrowthMarketRent)^10*IF(INT((DATE(2026+10,10,31)-F140)/365.25)=0,(12-DowntimeNew)/12,1),IF(I140="LeaseUp",H140*D140*(1+GrowthMarketRent)^10*IF(10=0,(12-DowntimeNew)/12,1),0)))))))),0)</f>
        <v/>
      </c>
      <c r="Y140" s="14">
        <f>IFERROR(IF(AND(I140="LeaseUp",0=0),(IF(I140="Vacate",TINew*D140,IF(I140="Market",Retention*TIRenewal*D140+(1-Retention)*TINew*D140,IF(I140="LeaseUp",TINew*D140,IF(I140="Option",TIRenewal*D140,0)))))+(IF(I140="Vacate",LCNew*H140*D140*(1+GrowthMarketRent)^0,IF(I140="Market",Retention*LCRenewal*H140*D140*(1+GrowthMarketRent)^0+(1-Retention)*LCNew*H140*D140*(1+GrowthMarketRent)^0,IF(I140="LeaseUp",LCNew*H140*D140*(1+GrowthMarketRent)^0,IF(I140="Option",LCRenewal*H140*D140*(1+GrowthMarketRent)^0,0))))),IF(F140="",0,IF(AND(F140&gt;=DATE(2026+0,5,1),F140&lt;=DATE(2027+0,4,30)),(IF(I140="Vacate",TINew*D140,IF(I140="Market",Retention*TIRenewal*D140+(1-Retention)*TINew*D140,IF(I140="LeaseUp",TINew*D140,IF(I140="Option",TIRenewal*D140,0)))))+(IF(I140="Vacate",LCNew*H140*D140*(1+GrowthMarketRent)^0,IF(I140="Market",Retention*LCRenewal*H140*D140*(1+GrowthMarketRent)^0+(1-Retention)*LCNew*H140*D140*(1+GrowthMarketRent)^0,IF(I140="LeaseUp",LCNew*H140*D140*(1+GrowthMarketRent)^0,IF(I140="Option",LCRenewal*H140*D140*(1+GrowthMarketRent)^0,0))))),0))),0)</f>
        <v/>
      </c>
      <c r="Z140" s="14">
        <f>IFERROR(IF(AND(I140="LeaseUp",1=0),(IF(I140="Vacate",TINew*D140,IF(I140="Market",Retention*TIRenewal*D140+(1-Retention)*TINew*D140,IF(I140="LeaseUp",TINew*D140,IF(I140="Option",TIRenewal*D140,0)))))+(IF(I140="Vacate",LCNew*H140*D140*(1+GrowthMarketRent)^1,IF(I140="Market",Retention*LCRenewal*H140*D140*(1+GrowthMarketRent)^1+(1-Retention)*LCNew*H140*D140*(1+GrowthMarketRent)^1,IF(I140="LeaseUp",LCNew*H140*D140*(1+GrowthMarketRent)^1,IF(I140="Option",LCRenewal*H140*D140*(1+GrowthMarketRent)^1,0))))),IF(F140="",0,IF(AND(F140&gt;=DATE(2026+1,5,1),F140&lt;=DATE(2027+1,4,30)),(IF(I140="Vacate",TINew*D140,IF(I140="Market",Retention*TIRenewal*D140+(1-Retention)*TINew*D140,IF(I140="LeaseUp",TINew*D140,IF(I140="Option",TIRenewal*D140,0)))))+(IF(I140="Vacate",LCNew*H140*D140*(1+GrowthMarketRent)^1,IF(I140="Market",Retention*LCRenewal*H140*D140*(1+GrowthMarketRent)^1+(1-Retention)*LCNew*H140*D140*(1+GrowthMarketRent)^1,IF(I140="LeaseUp",LCNew*H140*D140*(1+GrowthMarketRent)^1,IF(I140="Option",LCRenewal*H140*D140*(1+GrowthMarketRent)^1,0))))),0))),0)</f>
        <v/>
      </c>
      <c r="AA140" s="14">
        <f>IFERROR(IF(AND(I140="LeaseUp",2=0),(IF(I140="Vacate",TINew*D140,IF(I140="Market",Retention*TIRenewal*D140+(1-Retention)*TINew*D140,IF(I140="LeaseUp",TINew*D140,IF(I140="Option",TIRenewal*D140,0)))))+(IF(I140="Vacate",LCNew*H140*D140*(1+GrowthMarketRent)^2,IF(I140="Market",Retention*LCRenewal*H140*D140*(1+GrowthMarketRent)^2+(1-Retention)*LCNew*H140*D140*(1+GrowthMarketRent)^2,IF(I140="LeaseUp",LCNew*H140*D140*(1+GrowthMarketRent)^2,IF(I140="Option",LCRenewal*H140*D140*(1+GrowthMarketRent)^2,0))))),IF(F140="",0,IF(AND(F140&gt;=DATE(2026+2,5,1),F140&lt;=DATE(2027+2,4,30)),(IF(I140="Vacate",TINew*D140,IF(I140="Market",Retention*TIRenewal*D140+(1-Retention)*TINew*D140,IF(I140="LeaseUp",TINew*D140,IF(I140="Option",TIRenewal*D140,0)))))+(IF(I140="Vacate",LCNew*H140*D140*(1+GrowthMarketRent)^2,IF(I140="Market",Retention*LCRenewal*H140*D140*(1+GrowthMarketRent)^2+(1-Retention)*LCNew*H140*D140*(1+GrowthMarketRent)^2,IF(I140="LeaseUp",LCNew*H140*D140*(1+GrowthMarketRent)^2,IF(I140="Option",LCRenewal*H140*D140*(1+GrowthMarketRent)^2,0))))),0))),0)</f>
        <v/>
      </c>
      <c r="AB140" s="14">
        <f>IFERROR(IF(AND(I140="LeaseUp",3=0),(IF(I140="Vacate",TINew*D140,IF(I140="Market",Retention*TIRenewal*D140+(1-Retention)*TINew*D140,IF(I140="LeaseUp",TINew*D140,IF(I140="Option",TIRenewal*D140,0)))))+(IF(I140="Vacate",LCNew*H140*D140*(1+GrowthMarketRent)^3,IF(I140="Market",Retention*LCRenewal*H140*D140*(1+GrowthMarketRent)^3+(1-Retention)*LCNew*H140*D140*(1+GrowthMarketRent)^3,IF(I140="LeaseUp",LCNew*H140*D140*(1+GrowthMarketRent)^3,IF(I140="Option",LCRenewal*H140*D140*(1+GrowthMarketRent)^3,0))))),IF(F140="",0,IF(AND(F140&gt;=DATE(2026+3,5,1),F140&lt;=DATE(2027+3,4,30)),(IF(I140="Vacate",TINew*D140,IF(I140="Market",Retention*TIRenewal*D140+(1-Retention)*TINew*D140,IF(I140="LeaseUp",TINew*D140,IF(I140="Option",TIRenewal*D140,0)))))+(IF(I140="Vacate",LCNew*H140*D140*(1+GrowthMarketRent)^3,IF(I140="Market",Retention*LCRenewal*H140*D140*(1+GrowthMarketRent)^3+(1-Retention)*LCNew*H140*D140*(1+GrowthMarketRent)^3,IF(I140="LeaseUp",LCNew*H140*D140*(1+GrowthMarketRent)^3,IF(I140="Option",LCRenewal*H140*D140*(1+GrowthMarketRent)^3,0))))),0))),0)</f>
        <v/>
      </c>
      <c r="AC140" s="14">
        <f>IFERROR(IF(AND(I140="LeaseUp",4=0),(IF(I140="Vacate",TINew*D140,IF(I140="Market",Retention*TIRenewal*D140+(1-Retention)*TINew*D140,IF(I140="LeaseUp",TINew*D140,IF(I140="Option",TIRenewal*D140,0)))))+(IF(I140="Vacate",LCNew*H140*D140*(1+GrowthMarketRent)^4,IF(I140="Market",Retention*LCRenewal*H140*D140*(1+GrowthMarketRent)^4+(1-Retention)*LCNew*H140*D140*(1+GrowthMarketRent)^4,IF(I140="LeaseUp",LCNew*H140*D140*(1+GrowthMarketRent)^4,IF(I140="Option",LCRenewal*H140*D140*(1+GrowthMarketRent)^4,0))))),IF(F140="",0,IF(AND(F140&gt;=DATE(2026+4,5,1),F140&lt;=DATE(2027+4,4,30)),(IF(I140="Vacate",TINew*D140,IF(I140="Market",Retention*TIRenewal*D140+(1-Retention)*TINew*D140,IF(I140="LeaseUp",TINew*D140,IF(I140="Option",TIRenewal*D140,0)))))+(IF(I140="Vacate",LCNew*H140*D140*(1+GrowthMarketRent)^4,IF(I140="Market",Retention*LCRenewal*H140*D140*(1+GrowthMarketRent)^4+(1-Retention)*LCNew*H140*D140*(1+GrowthMarketRent)^4,IF(I140="LeaseUp",LCNew*H140*D140*(1+GrowthMarketRent)^4,IF(I140="Option",LCRenewal*H140*D140*(1+GrowthMarketRent)^4,0))))),0))),0)</f>
        <v/>
      </c>
      <c r="AD140" s="14">
        <f>IFERROR(IF(AND(I140="LeaseUp",5=0),(IF(I140="Vacate",TINew*D140,IF(I140="Market",Retention*TIRenewal*D140+(1-Retention)*TINew*D140,IF(I140="LeaseUp",TINew*D140,IF(I140="Option",TIRenewal*D140,0)))))+(IF(I140="Vacate",LCNew*H140*D140*(1+GrowthMarketRent)^5,IF(I140="Market",Retention*LCRenewal*H140*D140*(1+GrowthMarketRent)^5+(1-Retention)*LCNew*H140*D140*(1+GrowthMarketRent)^5,IF(I140="LeaseUp",LCNew*H140*D140*(1+GrowthMarketRent)^5,IF(I140="Option",LCRenewal*H140*D140*(1+GrowthMarketRent)^5,0))))),IF(F140="",0,IF(AND(F140&gt;=DATE(2026+5,5,1),F140&lt;=DATE(2027+5,4,30)),(IF(I140="Vacate",TINew*D140,IF(I140="Market",Retention*TIRenewal*D140+(1-Retention)*TINew*D140,IF(I140="LeaseUp",TINew*D140,IF(I140="Option",TIRenewal*D140,0)))))+(IF(I140="Vacate",LCNew*H140*D140*(1+GrowthMarketRent)^5,IF(I140="Market",Retention*LCRenewal*H140*D140*(1+GrowthMarketRent)^5+(1-Retention)*LCNew*H140*D140*(1+GrowthMarketRent)^5,IF(I140="LeaseUp",LCNew*H140*D140*(1+GrowthMarketRent)^5,IF(I140="Option",LCRenewal*H140*D140*(1+GrowthMarketRent)^5,0))))),0))),0)</f>
        <v/>
      </c>
      <c r="AE140" s="14">
        <f>IFERROR(IF(AND(I140="LeaseUp",6=0),(IF(I140="Vacate",TINew*D140,IF(I140="Market",Retention*TIRenewal*D140+(1-Retention)*TINew*D140,IF(I140="LeaseUp",TINew*D140,IF(I140="Option",TIRenewal*D140,0)))))+(IF(I140="Vacate",LCNew*H140*D140*(1+GrowthMarketRent)^6,IF(I140="Market",Retention*LCRenewal*H140*D140*(1+GrowthMarketRent)^6+(1-Retention)*LCNew*H140*D140*(1+GrowthMarketRent)^6,IF(I140="LeaseUp",LCNew*H140*D140*(1+GrowthMarketRent)^6,IF(I140="Option",LCRenewal*H140*D140*(1+GrowthMarketRent)^6,0))))),IF(F140="",0,IF(AND(F140&gt;=DATE(2026+6,5,1),F140&lt;=DATE(2027+6,4,30)),(IF(I140="Vacate",TINew*D140,IF(I140="Market",Retention*TIRenewal*D140+(1-Retention)*TINew*D140,IF(I140="LeaseUp",TINew*D140,IF(I140="Option",TIRenewal*D140,0)))))+(IF(I140="Vacate",LCNew*H140*D140*(1+GrowthMarketRent)^6,IF(I140="Market",Retention*LCRenewal*H140*D140*(1+GrowthMarketRent)^6+(1-Retention)*LCNew*H140*D140*(1+GrowthMarketRent)^6,IF(I140="LeaseUp",LCNew*H140*D140*(1+GrowthMarketRent)^6,IF(I140="Option",LCRenewal*H140*D140*(1+GrowthMarketRent)^6,0))))),0))),0)</f>
        <v/>
      </c>
      <c r="AF140" s="14">
        <f>IFERROR(IF(AND(I140="LeaseUp",7=0),(IF(I140="Vacate",TINew*D140,IF(I140="Market",Retention*TIRenewal*D140+(1-Retention)*TINew*D140,IF(I140="LeaseUp",TINew*D140,IF(I140="Option",TIRenewal*D140,0)))))+(IF(I140="Vacate",LCNew*H140*D140*(1+GrowthMarketRent)^7,IF(I140="Market",Retention*LCRenewal*H140*D140*(1+GrowthMarketRent)^7+(1-Retention)*LCNew*H140*D140*(1+GrowthMarketRent)^7,IF(I140="LeaseUp",LCNew*H140*D140*(1+GrowthMarketRent)^7,IF(I140="Option",LCRenewal*H140*D140*(1+GrowthMarketRent)^7,0))))),IF(F140="",0,IF(AND(F140&gt;=DATE(2026+7,5,1),F140&lt;=DATE(2027+7,4,30)),(IF(I140="Vacate",TINew*D140,IF(I140="Market",Retention*TIRenewal*D140+(1-Retention)*TINew*D140,IF(I140="LeaseUp",TINew*D140,IF(I140="Option",TIRenewal*D140,0)))))+(IF(I140="Vacate",LCNew*H140*D140*(1+GrowthMarketRent)^7,IF(I140="Market",Retention*LCRenewal*H140*D140*(1+GrowthMarketRent)^7+(1-Retention)*LCNew*H140*D140*(1+GrowthMarketRent)^7,IF(I140="LeaseUp",LCNew*H140*D140*(1+GrowthMarketRent)^7,IF(I140="Option",LCRenewal*H140*D140*(1+GrowthMarketRent)^7,0))))),0))),0)</f>
        <v/>
      </c>
      <c r="AG140" s="14">
        <f>IFERROR(IF(AND(I140="LeaseUp",8=0),(IF(I140="Vacate",TINew*D140,IF(I140="Market",Retention*TIRenewal*D140+(1-Retention)*TINew*D140,IF(I140="LeaseUp",TINew*D140,IF(I140="Option",TIRenewal*D140,0)))))+(IF(I140="Vacate",LCNew*H140*D140*(1+GrowthMarketRent)^8,IF(I140="Market",Retention*LCRenewal*H140*D140*(1+GrowthMarketRent)^8+(1-Retention)*LCNew*H140*D140*(1+GrowthMarketRent)^8,IF(I140="LeaseUp",LCNew*H140*D140*(1+GrowthMarketRent)^8,IF(I140="Option",LCRenewal*H140*D140*(1+GrowthMarketRent)^8,0))))),IF(F140="",0,IF(AND(F140&gt;=DATE(2026+8,5,1),F140&lt;=DATE(2027+8,4,30)),(IF(I140="Vacate",TINew*D140,IF(I140="Market",Retention*TIRenewal*D140+(1-Retention)*TINew*D140,IF(I140="LeaseUp",TINew*D140,IF(I140="Option",TIRenewal*D140,0)))))+(IF(I140="Vacate",LCNew*H140*D140*(1+GrowthMarketRent)^8,IF(I140="Market",Retention*LCRenewal*H140*D140*(1+GrowthMarketRent)^8+(1-Retention)*LCNew*H140*D140*(1+GrowthMarketRent)^8,IF(I140="LeaseUp",LCNew*H140*D140*(1+GrowthMarketRent)^8,IF(I140="Option",LCRenewal*H140*D140*(1+GrowthMarketRent)^8,0))))),0))),0)</f>
        <v/>
      </c>
      <c r="AH140" s="14">
        <f>IFERROR(IF(AND(I140="LeaseUp",9=0),(IF(I140="Vacate",TINew*D140,IF(I140="Market",Retention*TIRenewal*D140+(1-Retention)*TINew*D140,IF(I140="LeaseUp",TINew*D140,IF(I140="Option",TIRenewal*D140,0)))))+(IF(I140="Vacate",LCNew*H140*D140*(1+GrowthMarketRent)^9,IF(I140="Market",Retention*LCRenewal*H140*D140*(1+GrowthMarketRent)^9+(1-Retention)*LCNew*H140*D140*(1+GrowthMarketRent)^9,IF(I140="LeaseUp",LCNew*H140*D140*(1+GrowthMarketRent)^9,IF(I140="Option",LCRenewal*H140*D140*(1+GrowthMarketRent)^9,0))))),IF(F140="",0,IF(AND(F140&gt;=DATE(2026+9,5,1),F140&lt;=DATE(2027+9,4,30)),(IF(I140="Vacate",TINew*D140,IF(I140="Market",Retention*TIRenewal*D140+(1-Retention)*TINew*D140,IF(I140="LeaseUp",TINew*D140,IF(I140="Option",TIRenewal*D140,0)))))+(IF(I140="Vacate",LCNew*H140*D140*(1+GrowthMarketRent)^9,IF(I140="Market",Retention*LCRenewal*H140*D140*(1+GrowthMarketRent)^9+(1-Retention)*LCNew*H140*D140*(1+GrowthMarketRent)^9,IF(I140="LeaseUp",LCNew*H140*D140*(1+GrowthMarketRent)^9,IF(I140="Option",LCRenewal*H140*D140*(1+GrowthMarketRent)^9,0))))),0))),0)</f>
        <v/>
      </c>
      <c r="AI140" s="14">
        <f>IFERROR(IF(AND(I140="LeaseUp",10=0),(IF(I140="Vacate",TINew*D140,IF(I140="Market",Retention*TIRenewal*D140+(1-Retention)*TINew*D140,IF(I140="LeaseUp",TINew*D140,IF(I140="Option",TIRenewal*D140,0)))))+(IF(I140="Vacate",LCNew*H140*D140*(1+GrowthMarketRent)^10,IF(I140="Market",Retention*LCRenewal*H140*D140*(1+GrowthMarketRent)^10+(1-Retention)*LCNew*H140*D140*(1+GrowthMarketRent)^10,IF(I140="LeaseUp",LCNew*H140*D140*(1+GrowthMarketRent)^10,IF(I140="Option",LCRenewal*H140*D140*(1+GrowthMarketRent)^10,0))))),IF(F140="",0,IF(AND(F140&gt;=DATE(2026+10,5,1),F140&lt;=DATE(2027+10,4,30)),(IF(I140="Vacate",TINew*D140,IF(I140="Market",Retention*TIRenewal*D140+(1-Retention)*TINew*D140,IF(I140="LeaseUp",TINew*D140,IF(I140="Option",TIRenewal*D140,0)))))+(IF(I140="Vacate",LCNew*H140*D140*(1+GrowthMarketRent)^10,IF(I140="Market",Retention*LCRenewal*H140*D140*(1+GrowthMarketRent)^10+(1-Retention)*LCNew*H140*D140*(1+GrowthMarketRent)^10,IF(I140="LeaseUp",LCNew*H140*D140*(1+GrowthMarketRent)^10,IF(I140="Option",LCRenewal*H140*D140*(1+GrowthMarketRent)^10,0))))),0))),0)</f>
        <v/>
      </c>
    </row>
    <row r="141">
      <c r="A141" t="inlineStr">
        <is>
          <t>Plano</t>
        </is>
      </c>
      <c r="B141" t="inlineStr">
        <is>
          <t>105</t>
        </is>
      </c>
      <c r="C141" t="inlineStr">
        <is>
          <t>Amy Chandy Consulting LLC</t>
        </is>
      </c>
      <c r="D141" s="32" t="n">
        <v>2600</v>
      </c>
      <c r="E141" s="33" t="n">
        <v>44958</v>
      </c>
      <c r="F141" s="33" t="n">
        <v>46204</v>
      </c>
      <c r="G141" s="34" t="n">
        <v>15.0765384615385</v>
      </c>
      <c r="H141" s="16">
        <f>VLOOKUP(A141,MLA!$A$5:$L$11,3,FALSE)</f>
        <v/>
      </c>
      <c r="I141" s="11" t="inlineStr">
        <is>
          <t>Option</t>
        </is>
      </c>
      <c r="J141" t="inlineStr">
        <is>
          <t>Shop</t>
        </is>
      </c>
      <c r="K141" t="inlineStr">
        <is>
          <t>Occupied</t>
        </is>
      </c>
      <c r="L141" t="inlineStr">
        <is>
          <t>Shop; Guarantor: Amy Chandy; Two 3yr options @ 102.5%</t>
        </is>
      </c>
      <c r="M141" s="20">
        <f>IF(E141="",0,(AnalysisStart-E141)/365.25)</f>
        <v/>
      </c>
      <c r="N141" s="14">
        <f>IFERROR(IF(I141="LeaseUp",H141*D141*(1+GrowthMarketRent)^0*IF(0=0,(12-DowntimeNew)/12,1),IF(F141="",0,IF(F141&gt;=DATE(2027+0,4,30),G141*D141*(1+EscalatorInLease)^(0+M141),IF(F141&lt;DATE(2026+0,5,1),IF(I141="Vacate",H141*D141*(1+GrowthMarketRent)^0*IF(INT((DATE(2026+0,10,31)-F141)/365.25)=0,(12-DowntimeNew)/12,1),IF(I141="Option",G141*D141*1.025*(1+EscalatorInLease)^0,IF(I141="Market",Retention*G141*D141*(1+EscalatorInLease)^(0+M141)+(1-Retention)*H141*D141*(1+GrowthMarketRent)^0*IF(INT((DATE(2026+0,10,31)-F141)/365.25)=0,(12-DowntimeNew)/12,1),IF(I141="LeaseUp",H141*D141*(1+GrowthMarketRent)^0*IF(0=0,(12-DowntimeNew)/12,1),0)))),((F141-DATE(2026+0,5,1))/365.25)*G141*D141*(1+EscalatorInLease)^(0+M141)+((DATE(2027+0,4,30)-F141)/365.25)*IF(I141="Vacate",H141*D141*(1+GrowthMarketRent)^0*IF(INT((DATE(2026+0,10,31)-F141)/365.25)=0,(12-DowntimeNew)/12,1),IF(I141="Option",G141*D141*1.025*(1+EscalatorInLease)^0,IF(I141="Market",Retention*G141*D141*(1+EscalatorInLease)^(0+M141)+(1-Retention)*H141*D141*(1+GrowthMarketRent)^0*IF(INT((DATE(2026+0,10,31)-F141)/365.25)=0,(12-DowntimeNew)/12,1),IF(I141="LeaseUp",H141*D141*(1+GrowthMarketRent)^0*IF(0=0,(12-DowntimeNew)/12,1),0)))))))),0)</f>
        <v/>
      </c>
      <c r="O141" s="14">
        <f>IFERROR(IF(I141="LeaseUp",H141*D141*(1+GrowthMarketRent)^1*IF(1=0,(12-DowntimeNew)/12,1),IF(F141="",0,IF(F141&gt;=DATE(2027+1,4,30),G141*D141*(1+EscalatorInLease)^(1+M141),IF(F141&lt;DATE(2026+1,5,1),IF(I141="Vacate",H141*D141*(1+GrowthMarketRent)^1*IF(INT((DATE(2026+1,10,31)-F141)/365.25)=0,(12-DowntimeNew)/12,1),IF(I141="Option",G141*D141*1.025*(1+EscalatorInLease)^1,IF(I141="Market",Retention*G141*D141*(1+EscalatorInLease)^(1+M141)+(1-Retention)*H141*D141*(1+GrowthMarketRent)^1*IF(INT((DATE(2026+1,10,31)-F141)/365.25)=0,(12-DowntimeNew)/12,1),IF(I141="LeaseUp",H141*D141*(1+GrowthMarketRent)^1*IF(1=0,(12-DowntimeNew)/12,1),0)))),((F141-DATE(2026+1,5,1))/365.25)*G141*D141*(1+EscalatorInLease)^(1+M141)+((DATE(2027+1,4,30)-F141)/365.25)*IF(I141="Vacate",H141*D141*(1+GrowthMarketRent)^1*IF(INT((DATE(2026+1,10,31)-F141)/365.25)=0,(12-DowntimeNew)/12,1),IF(I141="Option",G141*D141*1.025*(1+EscalatorInLease)^1,IF(I141="Market",Retention*G141*D141*(1+EscalatorInLease)^(1+M141)+(1-Retention)*H141*D141*(1+GrowthMarketRent)^1*IF(INT((DATE(2026+1,10,31)-F141)/365.25)=0,(12-DowntimeNew)/12,1),IF(I141="LeaseUp",H141*D141*(1+GrowthMarketRent)^1*IF(1=0,(12-DowntimeNew)/12,1),0)))))))),0)</f>
        <v/>
      </c>
      <c r="P141" s="14">
        <f>IFERROR(IF(I141="LeaseUp",H141*D141*(1+GrowthMarketRent)^2*IF(2=0,(12-DowntimeNew)/12,1),IF(F141="",0,IF(F141&gt;=DATE(2027+2,4,30),G141*D141*(1+EscalatorInLease)^(2+M141),IF(F141&lt;DATE(2026+2,5,1),IF(I141="Vacate",H141*D141*(1+GrowthMarketRent)^2*IF(INT((DATE(2026+2,10,31)-F141)/365.25)=0,(12-DowntimeNew)/12,1),IF(I141="Option",G141*D141*1.025*(1+EscalatorInLease)^2,IF(I141="Market",Retention*G141*D141*(1+EscalatorInLease)^(2+M141)+(1-Retention)*H141*D141*(1+GrowthMarketRent)^2*IF(INT((DATE(2026+2,10,31)-F141)/365.25)=0,(12-DowntimeNew)/12,1),IF(I141="LeaseUp",H141*D141*(1+GrowthMarketRent)^2*IF(2=0,(12-DowntimeNew)/12,1),0)))),((F141-DATE(2026+2,5,1))/365.25)*G141*D141*(1+EscalatorInLease)^(2+M141)+((DATE(2027+2,4,30)-F141)/365.25)*IF(I141="Vacate",H141*D141*(1+GrowthMarketRent)^2*IF(INT((DATE(2026+2,10,31)-F141)/365.25)=0,(12-DowntimeNew)/12,1),IF(I141="Option",G141*D141*1.025*(1+EscalatorInLease)^2,IF(I141="Market",Retention*G141*D141*(1+EscalatorInLease)^(2+M141)+(1-Retention)*H141*D141*(1+GrowthMarketRent)^2*IF(INT((DATE(2026+2,10,31)-F141)/365.25)=0,(12-DowntimeNew)/12,1),IF(I141="LeaseUp",H141*D141*(1+GrowthMarketRent)^2*IF(2=0,(12-DowntimeNew)/12,1),0)))))))),0)</f>
        <v/>
      </c>
      <c r="Q141" s="14">
        <f>IFERROR(IF(I141="LeaseUp",H141*D141*(1+GrowthMarketRent)^3*IF(3=0,(12-DowntimeNew)/12,1),IF(F141="",0,IF(F141&gt;=DATE(2027+3,4,30),G141*D141*(1+EscalatorInLease)^(3+M141),IF(F141&lt;DATE(2026+3,5,1),IF(I141="Vacate",H141*D141*(1+GrowthMarketRent)^3*IF(INT((DATE(2026+3,10,31)-F141)/365.25)=0,(12-DowntimeNew)/12,1),IF(I141="Option",G141*D141*1.025*(1+EscalatorInLease)^3,IF(I141="Market",Retention*G141*D141*(1+EscalatorInLease)^(3+M141)+(1-Retention)*H141*D141*(1+GrowthMarketRent)^3*IF(INT((DATE(2026+3,10,31)-F141)/365.25)=0,(12-DowntimeNew)/12,1),IF(I141="LeaseUp",H141*D141*(1+GrowthMarketRent)^3*IF(3=0,(12-DowntimeNew)/12,1),0)))),((F141-DATE(2026+3,5,1))/365.25)*G141*D141*(1+EscalatorInLease)^(3+M141)+((DATE(2027+3,4,30)-F141)/365.25)*IF(I141="Vacate",H141*D141*(1+GrowthMarketRent)^3*IF(INT((DATE(2026+3,10,31)-F141)/365.25)=0,(12-DowntimeNew)/12,1),IF(I141="Option",G141*D141*1.025*(1+EscalatorInLease)^3,IF(I141="Market",Retention*G141*D141*(1+EscalatorInLease)^(3+M141)+(1-Retention)*H141*D141*(1+GrowthMarketRent)^3*IF(INT((DATE(2026+3,10,31)-F141)/365.25)=0,(12-DowntimeNew)/12,1),IF(I141="LeaseUp",H141*D141*(1+GrowthMarketRent)^3*IF(3=0,(12-DowntimeNew)/12,1),0)))))))),0)</f>
        <v/>
      </c>
      <c r="R141" s="14">
        <f>IFERROR(IF(I141="LeaseUp",H141*D141*(1+GrowthMarketRent)^4*IF(4=0,(12-DowntimeNew)/12,1),IF(F141="",0,IF(F141&gt;=DATE(2027+4,4,30),G141*D141*(1+EscalatorInLease)^(4+M141),IF(F141&lt;DATE(2026+4,5,1),IF(I141="Vacate",H141*D141*(1+GrowthMarketRent)^4*IF(INT((DATE(2026+4,10,31)-F141)/365.25)=0,(12-DowntimeNew)/12,1),IF(I141="Option",G141*D141*1.025*(1+EscalatorInLease)^4,IF(I141="Market",Retention*G141*D141*(1+EscalatorInLease)^(4+M141)+(1-Retention)*H141*D141*(1+GrowthMarketRent)^4*IF(INT((DATE(2026+4,10,31)-F141)/365.25)=0,(12-DowntimeNew)/12,1),IF(I141="LeaseUp",H141*D141*(1+GrowthMarketRent)^4*IF(4=0,(12-DowntimeNew)/12,1),0)))),((F141-DATE(2026+4,5,1))/365.25)*G141*D141*(1+EscalatorInLease)^(4+M141)+((DATE(2027+4,4,30)-F141)/365.25)*IF(I141="Vacate",H141*D141*(1+GrowthMarketRent)^4*IF(INT((DATE(2026+4,10,31)-F141)/365.25)=0,(12-DowntimeNew)/12,1),IF(I141="Option",G141*D141*1.025*(1+EscalatorInLease)^4,IF(I141="Market",Retention*G141*D141*(1+EscalatorInLease)^(4+M141)+(1-Retention)*H141*D141*(1+GrowthMarketRent)^4*IF(INT((DATE(2026+4,10,31)-F141)/365.25)=0,(12-DowntimeNew)/12,1),IF(I141="LeaseUp",H141*D141*(1+GrowthMarketRent)^4*IF(4=0,(12-DowntimeNew)/12,1),0)))))))),0)</f>
        <v/>
      </c>
      <c r="S141" s="14">
        <f>IFERROR(IF(I141="LeaseUp",H141*D141*(1+GrowthMarketRent)^5*IF(5=0,(12-DowntimeNew)/12,1),IF(F141="",0,IF(F141&gt;=DATE(2027+5,4,30),G141*D141*(1+EscalatorInLease)^(5+M141),IF(F141&lt;DATE(2026+5,5,1),IF(I141="Vacate",H141*D141*(1+GrowthMarketRent)^5*IF(INT((DATE(2026+5,10,31)-F141)/365.25)=0,(12-DowntimeNew)/12,1),IF(I141="Option",G141*D141*1.025*(1+EscalatorInLease)^5,IF(I141="Market",Retention*G141*D141*(1+EscalatorInLease)^(5+M141)+(1-Retention)*H141*D141*(1+GrowthMarketRent)^5*IF(INT((DATE(2026+5,10,31)-F141)/365.25)=0,(12-DowntimeNew)/12,1),IF(I141="LeaseUp",H141*D141*(1+GrowthMarketRent)^5*IF(5=0,(12-DowntimeNew)/12,1),0)))),((F141-DATE(2026+5,5,1))/365.25)*G141*D141*(1+EscalatorInLease)^(5+M141)+((DATE(2027+5,4,30)-F141)/365.25)*IF(I141="Vacate",H141*D141*(1+GrowthMarketRent)^5*IF(INT((DATE(2026+5,10,31)-F141)/365.25)=0,(12-DowntimeNew)/12,1),IF(I141="Option",G141*D141*1.025*(1+EscalatorInLease)^5,IF(I141="Market",Retention*G141*D141*(1+EscalatorInLease)^(5+M141)+(1-Retention)*H141*D141*(1+GrowthMarketRent)^5*IF(INT((DATE(2026+5,10,31)-F141)/365.25)=0,(12-DowntimeNew)/12,1),IF(I141="LeaseUp",H141*D141*(1+GrowthMarketRent)^5*IF(5=0,(12-DowntimeNew)/12,1),0)))))))),0)</f>
        <v/>
      </c>
      <c r="T141" s="14">
        <f>IFERROR(IF(I141="LeaseUp",H141*D141*(1+GrowthMarketRent)^6*IF(6=0,(12-DowntimeNew)/12,1),IF(F141="",0,IF(F141&gt;=DATE(2027+6,4,30),G141*D141*(1+EscalatorInLease)^(6+M141),IF(F141&lt;DATE(2026+6,5,1),IF(I141="Vacate",H141*D141*(1+GrowthMarketRent)^6*IF(INT((DATE(2026+6,10,31)-F141)/365.25)=0,(12-DowntimeNew)/12,1),IF(I141="Option",G141*D141*1.025*(1+EscalatorInLease)^6,IF(I141="Market",Retention*G141*D141*(1+EscalatorInLease)^(6+M141)+(1-Retention)*H141*D141*(1+GrowthMarketRent)^6*IF(INT((DATE(2026+6,10,31)-F141)/365.25)=0,(12-DowntimeNew)/12,1),IF(I141="LeaseUp",H141*D141*(1+GrowthMarketRent)^6*IF(6=0,(12-DowntimeNew)/12,1),0)))),((F141-DATE(2026+6,5,1))/365.25)*G141*D141*(1+EscalatorInLease)^(6+M141)+((DATE(2027+6,4,30)-F141)/365.25)*IF(I141="Vacate",H141*D141*(1+GrowthMarketRent)^6*IF(INT((DATE(2026+6,10,31)-F141)/365.25)=0,(12-DowntimeNew)/12,1),IF(I141="Option",G141*D141*1.025*(1+EscalatorInLease)^6,IF(I141="Market",Retention*G141*D141*(1+EscalatorInLease)^(6+M141)+(1-Retention)*H141*D141*(1+GrowthMarketRent)^6*IF(INT((DATE(2026+6,10,31)-F141)/365.25)=0,(12-DowntimeNew)/12,1),IF(I141="LeaseUp",H141*D141*(1+GrowthMarketRent)^6*IF(6=0,(12-DowntimeNew)/12,1),0)))))))),0)</f>
        <v/>
      </c>
      <c r="U141" s="14">
        <f>IFERROR(IF(I141="LeaseUp",H141*D141*(1+GrowthMarketRent)^7*IF(7=0,(12-DowntimeNew)/12,1),IF(F141="",0,IF(F141&gt;=DATE(2027+7,4,30),G141*D141*(1+EscalatorInLease)^(7+M141),IF(F141&lt;DATE(2026+7,5,1),IF(I141="Vacate",H141*D141*(1+GrowthMarketRent)^7*IF(INT((DATE(2026+7,10,31)-F141)/365.25)=0,(12-DowntimeNew)/12,1),IF(I141="Option",G141*D141*1.025*(1+EscalatorInLease)^7,IF(I141="Market",Retention*G141*D141*(1+EscalatorInLease)^(7+M141)+(1-Retention)*H141*D141*(1+GrowthMarketRent)^7*IF(INT((DATE(2026+7,10,31)-F141)/365.25)=0,(12-DowntimeNew)/12,1),IF(I141="LeaseUp",H141*D141*(1+GrowthMarketRent)^7*IF(7=0,(12-DowntimeNew)/12,1),0)))),((F141-DATE(2026+7,5,1))/365.25)*G141*D141*(1+EscalatorInLease)^(7+M141)+((DATE(2027+7,4,30)-F141)/365.25)*IF(I141="Vacate",H141*D141*(1+GrowthMarketRent)^7*IF(INT((DATE(2026+7,10,31)-F141)/365.25)=0,(12-DowntimeNew)/12,1),IF(I141="Option",G141*D141*1.025*(1+EscalatorInLease)^7,IF(I141="Market",Retention*G141*D141*(1+EscalatorInLease)^(7+M141)+(1-Retention)*H141*D141*(1+GrowthMarketRent)^7*IF(INT((DATE(2026+7,10,31)-F141)/365.25)=0,(12-DowntimeNew)/12,1),IF(I141="LeaseUp",H141*D141*(1+GrowthMarketRent)^7*IF(7=0,(12-DowntimeNew)/12,1),0)))))))),0)</f>
        <v/>
      </c>
      <c r="V141" s="14">
        <f>IFERROR(IF(I141="LeaseUp",H141*D141*(1+GrowthMarketRent)^8*IF(8=0,(12-DowntimeNew)/12,1),IF(F141="",0,IF(F141&gt;=DATE(2027+8,4,30),G141*D141*(1+EscalatorInLease)^(8+M141),IF(F141&lt;DATE(2026+8,5,1),IF(I141="Vacate",H141*D141*(1+GrowthMarketRent)^8*IF(INT((DATE(2026+8,10,31)-F141)/365.25)=0,(12-DowntimeNew)/12,1),IF(I141="Option",G141*D141*1.025*(1+EscalatorInLease)^8,IF(I141="Market",Retention*G141*D141*(1+EscalatorInLease)^(8+M141)+(1-Retention)*H141*D141*(1+GrowthMarketRent)^8*IF(INT((DATE(2026+8,10,31)-F141)/365.25)=0,(12-DowntimeNew)/12,1),IF(I141="LeaseUp",H141*D141*(1+GrowthMarketRent)^8*IF(8=0,(12-DowntimeNew)/12,1),0)))),((F141-DATE(2026+8,5,1))/365.25)*G141*D141*(1+EscalatorInLease)^(8+M141)+((DATE(2027+8,4,30)-F141)/365.25)*IF(I141="Vacate",H141*D141*(1+GrowthMarketRent)^8*IF(INT((DATE(2026+8,10,31)-F141)/365.25)=0,(12-DowntimeNew)/12,1),IF(I141="Option",G141*D141*1.025*(1+EscalatorInLease)^8,IF(I141="Market",Retention*G141*D141*(1+EscalatorInLease)^(8+M141)+(1-Retention)*H141*D141*(1+GrowthMarketRent)^8*IF(INT((DATE(2026+8,10,31)-F141)/365.25)=0,(12-DowntimeNew)/12,1),IF(I141="LeaseUp",H141*D141*(1+GrowthMarketRent)^8*IF(8=0,(12-DowntimeNew)/12,1),0)))))))),0)</f>
        <v/>
      </c>
      <c r="W141" s="14">
        <f>IFERROR(IF(I141="LeaseUp",H141*D141*(1+GrowthMarketRent)^9*IF(9=0,(12-DowntimeNew)/12,1),IF(F141="",0,IF(F141&gt;=DATE(2027+9,4,30),G141*D141*(1+EscalatorInLease)^(9+M141),IF(F141&lt;DATE(2026+9,5,1),IF(I141="Vacate",H141*D141*(1+GrowthMarketRent)^9*IF(INT((DATE(2026+9,10,31)-F141)/365.25)=0,(12-DowntimeNew)/12,1),IF(I141="Option",G141*D141*1.025*(1+EscalatorInLease)^9,IF(I141="Market",Retention*G141*D141*(1+EscalatorInLease)^(9+M141)+(1-Retention)*H141*D141*(1+GrowthMarketRent)^9*IF(INT((DATE(2026+9,10,31)-F141)/365.25)=0,(12-DowntimeNew)/12,1),IF(I141="LeaseUp",H141*D141*(1+GrowthMarketRent)^9*IF(9=0,(12-DowntimeNew)/12,1),0)))),((F141-DATE(2026+9,5,1))/365.25)*G141*D141*(1+EscalatorInLease)^(9+M141)+((DATE(2027+9,4,30)-F141)/365.25)*IF(I141="Vacate",H141*D141*(1+GrowthMarketRent)^9*IF(INT((DATE(2026+9,10,31)-F141)/365.25)=0,(12-DowntimeNew)/12,1),IF(I141="Option",G141*D141*1.025*(1+EscalatorInLease)^9,IF(I141="Market",Retention*G141*D141*(1+EscalatorInLease)^(9+M141)+(1-Retention)*H141*D141*(1+GrowthMarketRent)^9*IF(INT((DATE(2026+9,10,31)-F141)/365.25)=0,(12-DowntimeNew)/12,1),IF(I141="LeaseUp",H141*D141*(1+GrowthMarketRent)^9*IF(9=0,(12-DowntimeNew)/12,1),0)))))))),0)</f>
        <v/>
      </c>
      <c r="X141" s="14">
        <f>IFERROR(IF(I141="LeaseUp",H141*D141*(1+GrowthMarketRent)^10*IF(10=0,(12-DowntimeNew)/12,1),IF(F141="",0,IF(F141&gt;=DATE(2027+10,4,30),G141*D141*(1+EscalatorInLease)^(10+M141),IF(F141&lt;DATE(2026+10,5,1),IF(I141="Vacate",H141*D141*(1+GrowthMarketRent)^10*IF(INT((DATE(2026+10,10,31)-F141)/365.25)=0,(12-DowntimeNew)/12,1),IF(I141="Option",G141*D141*1.025*(1+EscalatorInLease)^10,IF(I141="Market",Retention*G141*D141*(1+EscalatorInLease)^(10+M141)+(1-Retention)*H141*D141*(1+GrowthMarketRent)^10*IF(INT((DATE(2026+10,10,31)-F141)/365.25)=0,(12-DowntimeNew)/12,1),IF(I141="LeaseUp",H141*D141*(1+GrowthMarketRent)^10*IF(10=0,(12-DowntimeNew)/12,1),0)))),((F141-DATE(2026+10,5,1))/365.25)*G141*D141*(1+EscalatorInLease)^(10+M141)+((DATE(2027+10,4,30)-F141)/365.25)*IF(I141="Vacate",H141*D141*(1+GrowthMarketRent)^10*IF(INT((DATE(2026+10,10,31)-F141)/365.25)=0,(12-DowntimeNew)/12,1),IF(I141="Option",G141*D141*1.025*(1+EscalatorInLease)^10,IF(I141="Market",Retention*G141*D141*(1+EscalatorInLease)^(10+M141)+(1-Retention)*H141*D141*(1+GrowthMarketRent)^10*IF(INT((DATE(2026+10,10,31)-F141)/365.25)=0,(12-DowntimeNew)/12,1),IF(I141="LeaseUp",H141*D141*(1+GrowthMarketRent)^10*IF(10=0,(12-DowntimeNew)/12,1),0)))))))),0)</f>
        <v/>
      </c>
      <c r="Y141" s="14">
        <f>IFERROR(IF(AND(I141="LeaseUp",0=0),(IF(I141="Vacate",TINew*D141,IF(I141="Market",Retention*TIRenewal*D141+(1-Retention)*TINew*D141,IF(I141="LeaseUp",TINew*D141,IF(I141="Option",TIRenewal*D141,0)))))+(IF(I141="Vacate",LCNew*H141*D141*(1+GrowthMarketRent)^0,IF(I141="Market",Retention*LCRenewal*H141*D141*(1+GrowthMarketRent)^0+(1-Retention)*LCNew*H141*D141*(1+GrowthMarketRent)^0,IF(I141="LeaseUp",LCNew*H141*D141*(1+GrowthMarketRent)^0,IF(I141="Option",LCRenewal*H141*D141*(1+GrowthMarketRent)^0,0))))),IF(F141="",0,IF(AND(F141&gt;=DATE(2026+0,5,1),F141&lt;=DATE(2027+0,4,30)),(IF(I141="Vacate",TINew*D141,IF(I141="Market",Retention*TIRenewal*D141+(1-Retention)*TINew*D141,IF(I141="LeaseUp",TINew*D141,IF(I141="Option",TIRenewal*D141,0)))))+(IF(I141="Vacate",LCNew*H141*D141*(1+GrowthMarketRent)^0,IF(I141="Market",Retention*LCRenewal*H141*D141*(1+GrowthMarketRent)^0+(1-Retention)*LCNew*H141*D141*(1+GrowthMarketRent)^0,IF(I141="LeaseUp",LCNew*H141*D141*(1+GrowthMarketRent)^0,IF(I141="Option",LCRenewal*H141*D141*(1+GrowthMarketRent)^0,0))))),0))),0)</f>
        <v/>
      </c>
      <c r="Z141" s="14">
        <f>IFERROR(IF(AND(I141="LeaseUp",1=0),(IF(I141="Vacate",TINew*D141,IF(I141="Market",Retention*TIRenewal*D141+(1-Retention)*TINew*D141,IF(I141="LeaseUp",TINew*D141,IF(I141="Option",TIRenewal*D141,0)))))+(IF(I141="Vacate",LCNew*H141*D141*(1+GrowthMarketRent)^1,IF(I141="Market",Retention*LCRenewal*H141*D141*(1+GrowthMarketRent)^1+(1-Retention)*LCNew*H141*D141*(1+GrowthMarketRent)^1,IF(I141="LeaseUp",LCNew*H141*D141*(1+GrowthMarketRent)^1,IF(I141="Option",LCRenewal*H141*D141*(1+GrowthMarketRent)^1,0))))),IF(F141="",0,IF(AND(F141&gt;=DATE(2026+1,5,1),F141&lt;=DATE(2027+1,4,30)),(IF(I141="Vacate",TINew*D141,IF(I141="Market",Retention*TIRenewal*D141+(1-Retention)*TINew*D141,IF(I141="LeaseUp",TINew*D141,IF(I141="Option",TIRenewal*D141,0)))))+(IF(I141="Vacate",LCNew*H141*D141*(1+GrowthMarketRent)^1,IF(I141="Market",Retention*LCRenewal*H141*D141*(1+GrowthMarketRent)^1+(1-Retention)*LCNew*H141*D141*(1+GrowthMarketRent)^1,IF(I141="LeaseUp",LCNew*H141*D141*(1+GrowthMarketRent)^1,IF(I141="Option",LCRenewal*H141*D141*(1+GrowthMarketRent)^1,0))))),0))),0)</f>
        <v/>
      </c>
      <c r="AA141" s="14">
        <f>IFERROR(IF(AND(I141="LeaseUp",2=0),(IF(I141="Vacate",TINew*D141,IF(I141="Market",Retention*TIRenewal*D141+(1-Retention)*TINew*D141,IF(I141="LeaseUp",TINew*D141,IF(I141="Option",TIRenewal*D141,0)))))+(IF(I141="Vacate",LCNew*H141*D141*(1+GrowthMarketRent)^2,IF(I141="Market",Retention*LCRenewal*H141*D141*(1+GrowthMarketRent)^2+(1-Retention)*LCNew*H141*D141*(1+GrowthMarketRent)^2,IF(I141="LeaseUp",LCNew*H141*D141*(1+GrowthMarketRent)^2,IF(I141="Option",LCRenewal*H141*D141*(1+GrowthMarketRent)^2,0))))),IF(F141="",0,IF(AND(F141&gt;=DATE(2026+2,5,1),F141&lt;=DATE(2027+2,4,30)),(IF(I141="Vacate",TINew*D141,IF(I141="Market",Retention*TIRenewal*D141+(1-Retention)*TINew*D141,IF(I141="LeaseUp",TINew*D141,IF(I141="Option",TIRenewal*D141,0)))))+(IF(I141="Vacate",LCNew*H141*D141*(1+GrowthMarketRent)^2,IF(I141="Market",Retention*LCRenewal*H141*D141*(1+GrowthMarketRent)^2+(1-Retention)*LCNew*H141*D141*(1+GrowthMarketRent)^2,IF(I141="LeaseUp",LCNew*H141*D141*(1+GrowthMarketRent)^2,IF(I141="Option",LCRenewal*H141*D141*(1+GrowthMarketRent)^2,0))))),0))),0)</f>
        <v/>
      </c>
      <c r="AB141" s="14">
        <f>IFERROR(IF(AND(I141="LeaseUp",3=0),(IF(I141="Vacate",TINew*D141,IF(I141="Market",Retention*TIRenewal*D141+(1-Retention)*TINew*D141,IF(I141="LeaseUp",TINew*D141,IF(I141="Option",TIRenewal*D141,0)))))+(IF(I141="Vacate",LCNew*H141*D141*(1+GrowthMarketRent)^3,IF(I141="Market",Retention*LCRenewal*H141*D141*(1+GrowthMarketRent)^3+(1-Retention)*LCNew*H141*D141*(1+GrowthMarketRent)^3,IF(I141="LeaseUp",LCNew*H141*D141*(1+GrowthMarketRent)^3,IF(I141="Option",LCRenewal*H141*D141*(1+GrowthMarketRent)^3,0))))),IF(F141="",0,IF(AND(F141&gt;=DATE(2026+3,5,1),F141&lt;=DATE(2027+3,4,30)),(IF(I141="Vacate",TINew*D141,IF(I141="Market",Retention*TIRenewal*D141+(1-Retention)*TINew*D141,IF(I141="LeaseUp",TINew*D141,IF(I141="Option",TIRenewal*D141,0)))))+(IF(I141="Vacate",LCNew*H141*D141*(1+GrowthMarketRent)^3,IF(I141="Market",Retention*LCRenewal*H141*D141*(1+GrowthMarketRent)^3+(1-Retention)*LCNew*H141*D141*(1+GrowthMarketRent)^3,IF(I141="LeaseUp",LCNew*H141*D141*(1+GrowthMarketRent)^3,IF(I141="Option",LCRenewal*H141*D141*(1+GrowthMarketRent)^3,0))))),0))),0)</f>
        <v/>
      </c>
      <c r="AC141" s="14">
        <f>IFERROR(IF(AND(I141="LeaseUp",4=0),(IF(I141="Vacate",TINew*D141,IF(I141="Market",Retention*TIRenewal*D141+(1-Retention)*TINew*D141,IF(I141="LeaseUp",TINew*D141,IF(I141="Option",TIRenewal*D141,0)))))+(IF(I141="Vacate",LCNew*H141*D141*(1+GrowthMarketRent)^4,IF(I141="Market",Retention*LCRenewal*H141*D141*(1+GrowthMarketRent)^4+(1-Retention)*LCNew*H141*D141*(1+GrowthMarketRent)^4,IF(I141="LeaseUp",LCNew*H141*D141*(1+GrowthMarketRent)^4,IF(I141="Option",LCRenewal*H141*D141*(1+GrowthMarketRent)^4,0))))),IF(F141="",0,IF(AND(F141&gt;=DATE(2026+4,5,1),F141&lt;=DATE(2027+4,4,30)),(IF(I141="Vacate",TINew*D141,IF(I141="Market",Retention*TIRenewal*D141+(1-Retention)*TINew*D141,IF(I141="LeaseUp",TINew*D141,IF(I141="Option",TIRenewal*D141,0)))))+(IF(I141="Vacate",LCNew*H141*D141*(1+GrowthMarketRent)^4,IF(I141="Market",Retention*LCRenewal*H141*D141*(1+GrowthMarketRent)^4+(1-Retention)*LCNew*H141*D141*(1+GrowthMarketRent)^4,IF(I141="LeaseUp",LCNew*H141*D141*(1+GrowthMarketRent)^4,IF(I141="Option",LCRenewal*H141*D141*(1+GrowthMarketRent)^4,0))))),0))),0)</f>
        <v/>
      </c>
      <c r="AD141" s="14">
        <f>IFERROR(IF(AND(I141="LeaseUp",5=0),(IF(I141="Vacate",TINew*D141,IF(I141="Market",Retention*TIRenewal*D141+(1-Retention)*TINew*D141,IF(I141="LeaseUp",TINew*D141,IF(I141="Option",TIRenewal*D141,0)))))+(IF(I141="Vacate",LCNew*H141*D141*(1+GrowthMarketRent)^5,IF(I141="Market",Retention*LCRenewal*H141*D141*(1+GrowthMarketRent)^5+(1-Retention)*LCNew*H141*D141*(1+GrowthMarketRent)^5,IF(I141="LeaseUp",LCNew*H141*D141*(1+GrowthMarketRent)^5,IF(I141="Option",LCRenewal*H141*D141*(1+GrowthMarketRent)^5,0))))),IF(F141="",0,IF(AND(F141&gt;=DATE(2026+5,5,1),F141&lt;=DATE(2027+5,4,30)),(IF(I141="Vacate",TINew*D141,IF(I141="Market",Retention*TIRenewal*D141+(1-Retention)*TINew*D141,IF(I141="LeaseUp",TINew*D141,IF(I141="Option",TIRenewal*D141,0)))))+(IF(I141="Vacate",LCNew*H141*D141*(1+GrowthMarketRent)^5,IF(I141="Market",Retention*LCRenewal*H141*D141*(1+GrowthMarketRent)^5+(1-Retention)*LCNew*H141*D141*(1+GrowthMarketRent)^5,IF(I141="LeaseUp",LCNew*H141*D141*(1+GrowthMarketRent)^5,IF(I141="Option",LCRenewal*H141*D141*(1+GrowthMarketRent)^5,0))))),0))),0)</f>
        <v/>
      </c>
      <c r="AE141" s="14">
        <f>IFERROR(IF(AND(I141="LeaseUp",6=0),(IF(I141="Vacate",TINew*D141,IF(I141="Market",Retention*TIRenewal*D141+(1-Retention)*TINew*D141,IF(I141="LeaseUp",TINew*D141,IF(I141="Option",TIRenewal*D141,0)))))+(IF(I141="Vacate",LCNew*H141*D141*(1+GrowthMarketRent)^6,IF(I141="Market",Retention*LCRenewal*H141*D141*(1+GrowthMarketRent)^6+(1-Retention)*LCNew*H141*D141*(1+GrowthMarketRent)^6,IF(I141="LeaseUp",LCNew*H141*D141*(1+GrowthMarketRent)^6,IF(I141="Option",LCRenewal*H141*D141*(1+GrowthMarketRent)^6,0))))),IF(F141="",0,IF(AND(F141&gt;=DATE(2026+6,5,1),F141&lt;=DATE(2027+6,4,30)),(IF(I141="Vacate",TINew*D141,IF(I141="Market",Retention*TIRenewal*D141+(1-Retention)*TINew*D141,IF(I141="LeaseUp",TINew*D141,IF(I141="Option",TIRenewal*D141,0)))))+(IF(I141="Vacate",LCNew*H141*D141*(1+GrowthMarketRent)^6,IF(I141="Market",Retention*LCRenewal*H141*D141*(1+GrowthMarketRent)^6+(1-Retention)*LCNew*H141*D141*(1+GrowthMarketRent)^6,IF(I141="LeaseUp",LCNew*H141*D141*(1+GrowthMarketRent)^6,IF(I141="Option",LCRenewal*H141*D141*(1+GrowthMarketRent)^6,0))))),0))),0)</f>
        <v/>
      </c>
      <c r="AF141" s="14">
        <f>IFERROR(IF(AND(I141="LeaseUp",7=0),(IF(I141="Vacate",TINew*D141,IF(I141="Market",Retention*TIRenewal*D141+(1-Retention)*TINew*D141,IF(I141="LeaseUp",TINew*D141,IF(I141="Option",TIRenewal*D141,0)))))+(IF(I141="Vacate",LCNew*H141*D141*(1+GrowthMarketRent)^7,IF(I141="Market",Retention*LCRenewal*H141*D141*(1+GrowthMarketRent)^7+(1-Retention)*LCNew*H141*D141*(1+GrowthMarketRent)^7,IF(I141="LeaseUp",LCNew*H141*D141*(1+GrowthMarketRent)^7,IF(I141="Option",LCRenewal*H141*D141*(1+GrowthMarketRent)^7,0))))),IF(F141="",0,IF(AND(F141&gt;=DATE(2026+7,5,1),F141&lt;=DATE(2027+7,4,30)),(IF(I141="Vacate",TINew*D141,IF(I141="Market",Retention*TIRenewal*D141+(1-Retention)*TINew*D141,IF(I141="LeaseUp",TINew*D141,IF(I141="Option",TIRenewal*D141,0)))))+(IF(I141="Vacate",LCNew*H141*D141*(1+GrowthMarketRent)^7,IF(I141="Market",Retention*LCRenewal*H141*D141*(1+GrowthMarketRent)^7+(1-Retention)*LCNew*H141*D141*(1+GrowthMarketRent)^7,IF(I141="LeaseUp",LCNew*H141*D141*(1+GrowthMarketRent)^7,IF(I141="Option",LCRenewal*H141*D141*(1+GrowthMarketRent)^7,0))))),0))),0)</f>
        <v/>
      </c>
      <c r="AG141" s="14">
        <f>IFERROR(IF(AND(I141="LeaseUp",8=0),(IF(I141="Vacate",TINew*D141,IF(I141="Market",Retention*TIRenewal*D141+(1-Retention)*TINew*D141,IF(I141="LeaseUp",TINew*D141,IF(I141="Option",TIRenewal*D141,0)))))+(IF(I141="Vacate",LCNew*H141*D141*(1+GrowthMarketRent)^8,IF(I141="Market",Retention*LCRenewal*H141*D141*(1+GrowthMarketRent)^8+(1-Retention)*LCNew*H141*D141*(1+GrowthMarketRent)^8,IF(I141="LeaseUp",LCNew*H141*D141*(1+GrowthMarketRent)^8,IF(I141="Option",LCRenewal*H141*D141*(1+GrowthMarketRent)^8,0))))),IF(F141="",0,IF(AND(F141&gt;=DATE(2026+8,5,1),F141&lt;=DATE(2027+8,4,30)),(IF(I141="Vacate",TINew*D141,IF(I141="Market",Retention*TIRenewal*D141+(1-Retention)*TINew*D141,IF(I141="LeaseUp",TINew*D141,IF(I141="Option",TIRenewal*D141,0)))))+(IF(I141="Vacate",LCNew*H141*D141*(1+GrowthMarketRent)^8,IF(I141="Market",Retention*LCRenewal*H141*D141*(1+GrowthMarketRent)^8+(1-Retention)*LCNew*H141*D141*(1+GrowthMarketRent)^8,IF(I141="LeaseUp",LCNew*H141*D141*(1+GrowthMarketRent)^8,IF(I141="Option",LCRenewal*H141*D141*(1+GrowthMarketRent)^8,0))))),0))),0)</f>
        <v/>
      </c>
      <c r="AH141" s="14">
        <f>IFERROR(IF(AND(I141="LeaseUp",9=0),(IF(I141="Vacate",TINew*D141,IF(I141="Market",Retention*TIRenewal*D141+(1-Retention)*TINew*D141,IF(I141="LeaseUp",TINew*D141,IF(I141="Option",TIRenewal*D141,0)))))+(IF(I141="Vacate",LCNew*H141*D141*(1+GrowthMarketRent)^9,IF(I141="Market",Retention*LCRenewal*H141*D141*(1+GrowthMarketRent)^9+(1-Retention)*LCNew*H141*D141*(1+GrowthMarketRent)^9,IF(I141="LeaseUp",LCNew*H141*D141*(1+GrowthMarketRent)^9,IF(I141="Option",LCRenewal*H141*D141*(1+GrowthMarketRent)^9,0))))),IF(F141="",0,IF(AND(F141&gt;=DATE(2026+9,5,1),F141&lt;=DATE(2027+9,4,30)),(IF(I141="Vacate",TINew*D141,IF(I141="Market",Retention*TIRenewal*D141+(1-Retention)*TINew*D141,IF(I141="LeaseUp",TINew*D141,IF(I141="Option",TIRenewal*D141,0)))))+(IF(I141="Vacate",LCNew*H141*D141*(1+GrowthMarketRent)^9,IF(I141="Market",Retention*LCRenewal*H141*D141*(1+GrowthMarketRent)^9+(1-Retention)*LCNew*H141*D141*(1+GrowthMarketRent)^9,IF(I141="LeaseUp",LCNew*H141*D141*(1+GrowthMarketRent)^9,IF(I141="Option",LCRenewal*H141*D141*(1+GrowthMarketRent)^9,0))))),0))),0)</f>
        <v/>
      </c>
      <c r="AI141" s="14">
        <f>IFERROR(IF(AND(I141="LeaseUp",10=0),(IF(I141="Vacate",TINew*D141,IF(I141="Market",Retention*TIRenewal*D141+(1-Retention)*TINew*D141,IF(I141="LeaseUp",TINew*D141,IF(I141="Option",TIRenewal*D141,0)))))+(IF(I141="Vacate",LCNew*H141*D141*(1+GrowthMarketRent)^10,IF(I141="Market",Retention*LCRenewal*H141*D141*(1+GrowthMarketRent)^10+(1-Retention)*LCNew*H141*D141*(1+GrowthMarketRent)^10,IF(I141="LeaseUp",LCNew*H141*D141*(1+GrowthMarketRent)^10,IF(I141="Option",LCRenewal*H141*D141*(1+GrowthMarketRent)^10,0))))),IF(F141="",0,IF(AND(F141&gt;=DATE(2026+10,5,1),F141&lt;=DATE(2027+10,4,30)),(IF(I141="Vacate",TINew*D141,IF(I141="Market",Retention*TIRenewal*D141+(1-Retention)*TINew*D141,IF(I141="LeaseUp",TINew*D141,IF(I141="Option",TIRenewal*D141,0)))))+(IF(I141="Vacate",LCNew*H141*D141*(1+GrowthMarketRent)^10,IF(I141="Market",Retention*LCRenewal*H141*D141*(1+GrowthMarketRent)^10+(1-Retention)*LCNew*H141*D141*(1+GrowthMarketRent)^10,IF(I141="LeaseUp",LCNew*H141*D141*(1+GrowthMarketRent)^10,IF(I141="Option",LCRenewal*H141*D141*(1+GrowthMarketRent)^10,0))))),0))),0)</f>
        <v/>
      </c>
    </row>
    <row r="142">
      <c r="A142" t="inlineStr">
        <is>
          <t>Plano</t>
        </is>
      </c>
      <c r="B142" t="inlineStr">
        <is>
          <t>106</t>
        </is>
      </c>
      <c r="C142" t="inlineStr">
        <is>
          <t>Amy Chandy Consulting LLC</t>
        </is>
      </c>
      <c r="D142" s="32" t="n">
        <v>2600</v>
      </c>
      <c r="E142" s="33" t="n">
        <v>44958</v>
      </c>
      <c r="F142" s="33" t="n">
        <v>46204</v>
      </c>
      <c r="G142" s="34" t="n">
        <v>15.0765384615385</v>
      </c>
      <c r="H142" s="16">
        <f>VLOOKUP(A142,MLA!$A$5:$L$11,3,FALSE)</f>
        <v/>
      </c>
      <c r="I142" s="11" t="inlineStr">
        <is>
          <t>Option</t>
        </is>
      </c>
      <c r="J142" t="inlineStr">
        <is>
          <t>Shop</t>
        </is>
      </c>
      <c r="K142" t="inlineStr">
        <is>
          <t>Occupied</t>
        </is>
      </c>
      <c r="L142" t="inlineStr">
        <is>
          <t>Shop; Guarantor: Amy Chandy; Two 3yr options @ 102.5%</t>
        </is>
      </c>
      <c r="M142" s="20">
        <f>IF(E142="",0,(AnalysisStart-E142)/365.25)</f>
        <v/>
      </c>
      <c r="N142" s="14">
        <f>IFERROR(IF(I142="LeaseUp",H142*D142*(1+GrowthMarketRent)^0*IF(0=0,(12-DowntimeNew)/12,1),IF(F142="",0,IF(F142&gt;=DATE(2027+0,4,30),G142*D142*(1+EscalatorInLease)^(0+M142),IF(F142&lt;DATE(2026+0,5,1),IF(I142="Vacate",H142*D142*(1+GrowthMarketRent)^0*IF(INT((DATE(2026+0,10,31)-F142)/365.25)=0,(12-DowntimeNew)/12,1),IF(I142="Option",G142*D142*1.025*(1+EscalatorInLease)^0,IF(I142="Market",Retention*G142*D142*(1+EscalatorInLease)^(0+M142)+(1-Retention)*H142*D142*(1+GrowthMarketRent)^0*IF(INT((DATE(2026+0,10,31)-F142)/365.25)=0,(12-DowntimeNew)/12,1),IF(I142="LeaseUp",H142*D142*(1+GrowthMarketRent)^0*IF(0=0,(12-DowntimeNew)/12,1),0)))),((F142-DATE(2026+0,5,1))/365.25)*G142*D142*(1+EscalatorInLease)^(0+M142)+((DATE(2027+0,4,30)-F142)/365.25)*IF(I142="Vacate",H142*D142*(1+GrowthMarketRent)^0*IF(INT((DATE(2026+0,10,31)-F142)/365.25)=0,(12-DowntimeNew)/12,1),IF(I142="Option",G142*D142*1.025*(1+EscalatorInLease)^0,IF(I142="Market",Retention*G142*D142*(1+EscalatorInLease)^(0+M142)+(1-Retention)*H142*D142*(1+GrowthMarketRent)^0*IF(INT((DATE(2026+0,10,31)-F142)/365.25)=0,(12-DowntimeNew)/12,1),IF(I142="LeaseUp",H142*D142*(1+GrowthMarketRent)^0*IF(0=0,(12-DowntimeNew)/12,1),0)))))))),0)</f>
        <v/>
      </c>
      <c r="O142" s="14">
        <f>IFERROR(IF(I142="LeaseUp",H142*D142*(1+GrowthMarketRent)^1*IF(1=0,(12-DowntimeNew)/12,1),IF(F142="",0,IF(F142&gt;=DATE(2027+1,4,30),G142*D142*(1+EscalatorInLease)^(1+M142),IF(F142&lt;DATE(2026+1,5,1),IF(I142="Vacate",H142*D142*(1+GrowthMarketRent)^1*IF(INT((DATE(2026+1,10,31)-F142)/365.25)=0,(12-DowntimeNew)/12,1),IF(I142="Option",G142*D142*1.025*(1+EscalatorInLease)^1,IF(I142="Market",Retention*G142*D142*(1+EscalatorInLease)^(1+M142)+(1-Retention)*H142*D142*(1+GrowthMarketRent)^1*IF(INT((DATE(2026+1,10,31)-F142)/365.25)=0,(12-DowntimeNew)/12,1),IF(I142="LeaseUp",H142*D142*(1+GrowthMarketRent)^1*IF(1=0,(12-DowntimeNew)/12,1),0)))),((F142-DATE(2026+1,5,1))/365.25)*G142*D142*(1+EscalatorInLease)^(1+M142)+((DATE(2027+1,4,30)-F142)/365.25)*IF(I142="Vacate",H142*D142*(1+GrowthMarketRent)^1*IF(INT((DATE(2026+1,10,31)-F142)/365.25)=0,(12-DowntimeNew)/12,1),IF(I142="Option",G142*D142*1.025*(1+EscalatorInLease)^1,IF(I142="Market",Retention*G142*D142*(1+EscalatorInLease)^(1+M142)+(1-Retention)*H142*D142*(1+GrowthMarketRent)^1*IF(INT((DATE(2026+1,10,31)-F142)/365.25)=0,(12-DowntimeNew)/12,1),IF(I142="LeaseUp",H142*D142*(1+GrowthMarketRent)^1*IF(1=0,(12-DowntimeNew)/12,1),0)))))))),0)</f>
        <v/>
      </c>
      <c r="P142" s="14">
        <f>IFERROR(IF(I142="LeaseUp",H142*D142*(1+GrowthMarketRent)^2*IF(2=0,(12-DowntimeNew)/12,1),IF(F142="",0,IF(F142&gt;=DATE(2027+2,4,30),G142*D142*(1+EscalatorInLease)^(2+M142),IF(F142&lt;DATE(2026+2,5,1),IF(I142="Vacate",H142*D142*(1+GrowthMarketRent)^2*IF(INT((DATE(2026+2,10,31)-F142)/365.25)=0,(12-DowntimeNew)/12,1),IF(I142="Option",G142*D142*1.025*(1+EscalatorInLease)^2,IF(I142="Market",Retention*G142*D142*(1+EscalatorInLease)^(2+M142)+(1-Retention)*H142*D142*(1+GrowthMarketRent)^2*IF(INT((DATE(2026+2,10,31)-F142)/365.25)=0,(12-DowntimeNew)/12,1),IF(I142="LeaseUp",H142*D142*(1+GrowthMarketRent)^2*IF(2=0,(12-DowntimeNew)/12,1),0)))),((F142-DATE(2026+2,5,1))/365.25)*G142*D142*(1+EscalatorInLease)^(2+M142)+((DATE(2027+2,4,30)-F142)/365.25)*IF(I142="Vacate",H142*D142*(1+GrowthMarketRent)^2*IF(INT((DATE(2026+2,10,31)-F142)/365.25)=0,(12-DowntimeNew)/12,1),IF(I142="Option",G142*D142*1.025*(1+EscalatorInLease)^2,IF(I142="Market",Retention*G142*D142*(1+EscalatorInLease)^(2+M142)+(1-Retention)*H142*D142*(1+GrowthMarketRent)^2*IF(INT((DATE(2026+2,10,31)-F142)/365.25)=0,(12-DowntimeNew)/12,1),IF(I142="LeaseUp",H142*D142*(1+GrowthMarketRent)^2*IF(2=0,(12-DowntimeNew)/12,1),0)))))))),0)</f>
        <v/>
      </c>
      <c r="Q142" s="14">
        <f>IFERROR(IF(I142="LeaseUp",H142*D142*(1+GrowthMarketRent)^3*IF(3=0,(12-DowntimeNew)/12,1),IF(F142="",0,IF(F142&gt;=DATE(2027+3,4,30),G142*D142*(1+EscalatorInLease)^(3+M142),IF(F142&lt;DATE(2026+3,5,1),IF(I142="Vacate",H142*D142*(1+GrowthMarketRent)^3*IF(INT((DATE(2026+3,10,31)-F142)/365.25)=0,(12-DowntimeNew)/12,1),IF(I142="Option",G142*D142*1.025*(1+EscalatorInLease)^3,IF(I142="Market",Retention*G142*D142*(1+EscalatorInLease)^(3+M142)+(1-Retention)*H142*D142*(1+GrowthMarketRent)^3*IF(INT((DATE(2026+3,10,31)-F142)/365.25)=0,(12-DowntimeNew)/12,1),IF(I142="LeaseUp",H142*D142*(1+GrowthMarketRent)^3*IF(3=0,(12-DowntimeNew)/12,1),0)))),((F142-DATE(2026+3,5,1))/365.25)*G142*D142*(1+EscalatorInLease)^(3+M142)+((DATE(2027+3,4,30)-F142)/365.25)*IF(I142="Vacate",H142*D142*(1+GrowthMarketRent)^3*IF(INT((DATE(2026+3,10,31)-F142)/365.25)=0,(12-DowntimeNew)/12,1),IF(I142="Option",G142*D142*1.025*(1+EscalatorInLease)^3,IF(I142="Market",Retention*G142*D142*(1+EscalatorInLease)^(3+M142)+(1-Retention)*H142*D142*(1+GrowthMarketRent)^3*IF(INT((DATE(2026+3,10,31)-F142)/365.25)=0,(12-DowntimeNew)/12,1),IF(I142="LeaseUp",H142*D142*(1+GrowthMarketRent)^3*IF(3=0,(12-DowntimeNew)/12,1),0)))))))),0)</f>
        <v/>
      </c>
      <c r="R142" s="14">
        <f>IFERROR(IF(I142="LeaseUp",H142*D142*(1+GrowthMarketRent)^4*IF(4=0,(12-DowntimeNew)/12,1),IF(F142="",0,IF(F142&gt;=DATE(2027+4,4,30),G142*D142*(1+EscalatorInLease)^(4+M142),IF(F142&lt;DATE(2026+4,5,1),IF(I142="Vacate",H142*D142*(1+GrowthMarketRent)^4*IF(INT((DATE(2026+4,10,31)-F142)/365.25)=0,(12-DowntimeNew)/12,1),IF(I142="Option",G142*D142*1.025*(1+EscalatorInLease)^4,IF(I142="Market",Retention*G142*D142*(1+EscalatorInLease)^(4+M142)+(1-Retention)*H142*D142*(1+GrowthMarketRent)^4*IF(INT((DATE(2026+4,10,31)-F142)/365.25)=0,(12-DowntimeNew)/12,1),IF(I142="LeaseUp",H142*D142*(1+GrowthMarketRent)^4*IF(4=0,(12-DowntimeNew)/12,1),0)))),((F142-DATE(2026+4,5,1))/365.25)*G142*D142*(1+EscalatorInLease)^(4+M142)+((DATE(2027+4,4,30)-F142)/365.25)*IF(I142="Vacate",H142*D142*(1+GrowthMarketRent)^4*IF(INT((DATE(2026+4,10,31)-F142)/365.25)=0,(12-DowntimeNew)/12,1),IF(I142="Option",G142*D142*1.025*(1+EscalatorInLease)^4,IF(I142="Market",Retention*G142*D142*(1+EscalatorInLease)^(4+M142)+(1-Retention)*H142*D142*(1+GrowthMarketRent)^4*IF(INT((DATE(2026+4,10,31)-F142)/365.25)=0,(12-DowntimeNew)/12,1),IF(I142="LeaseUp",H142*D142*(1+GrowthMarketRent)^4*IF(4=0,(12-DowntimeNew)/12,1),0)))))))),0)</f>
        <v/>
      </c>
      <c r="S142" s="14">
        <f>IFERROR(IF(I142="LeaseUp",H142*D142*(1+GrowthMarketRent)^5*IF(5=0,(12-DowntimeNew)/12,1),IF(F142="",0,IF(F142&gt;=DATE(2027+5,4,30),G142*D142*(1+EscalatorInLease)^(5+M142),IF(F142&lt;DATE(2026+5,5,1),IF(I142="Vacate",H142*D142*(1+GrowthMarketRent)^5*IF(INT((DATE(2026+5,10,31)-F142)/365.25)=0,(12-DowntimeNew)/12,1),IF(I142="Option",G142*D142*1.025*(1+EscalatorInLease)^5,IF(I142="Market",Retention*G142*D142*(1+EscalatorInLease)^(5+M142)+(1-Retention)*H142*D142*(1+GrowthMarketRent)^5*IF(INT((DATE(2026+5,10,31)-F142)/365.25)=0,(12-DowntimeNew)/12,1),IF(I142="LeaseUp",H142*D142*(1+GrowthMarketRent)^5*IF(5=0,(12-DowntimeNew)/12,1),0)))),((F142-DATE(2026+5,5,1))/365.25)*G142*D142*(1+EscalatorInLease)^(5+M142)+((DATE(2027+5,4,30)-F142)/365.25)*IF(I142="Vacate",H142*D142*(1+GrowthMarketRent)^5*IF(INT((DATE(2026+5,10,31)-F142)/365.25)=0,(12-DowntimeNew)/12,1),IF(I142="Option",G142*D142*1.025*(1+EscalatorInLease)^5,IF(I142="Market",Retention*G142*D142*(1+EscalatorInLease)^(5+M142)+(1-Retention)*H142*D142*(1+GrowthMarketRent)^5*IF(INT((DATE(2026+5,10,31)-F142)/365.25)=0,(12-DowntimeNew)/12,1),IF(I142="LeaseUp",H142*D142*(1+GrowthMarketRent)^5*IF(5=0,(12-DowntimeNew)/12,1),0)))))))),0)</f>
        <v/>
      </c>
      <c r="T142" s="14">
        <f>IFERROR(IF(I142="LeaseUp",H142*D142*(1+GrowthMarketRent)^6*IF(6=0,(12-DowntimeNew)/12,1),IF(F142="",0,IF(F142&gt;=DATE(2027+6,4,30),G142*D142*(1+EscalatorInLease)^(6+M142),IF(F142&lt;DATE(2026+6,5,1),IF(I142="Vacate",H142*D142*(1+GrowthMarketRent)^6*IF(INT((DATE(2026+6,10,31)-F142)/365.25)=0,(12-DowntimeNew)/12,1),IF(I142="Option",G142*D142*1.025*(1+EscalatorInLease)^6,IF(I142="Market",Retention*G142*D142*(1+EscalatorInLease)^(6+M142)+(1-Retention)*H142*D142*(1+GrowthMarketRent)^6*IF(INT((DATE(2026+6,10,31)-F142)/365.25)=0,(12-DowntimeNew)/12,1),IF(I142="LeaseUp",H142*D142*(1+GrowthMarketRent)^6*IF(6=0,(12-DowntimeNew)/12,1),0)))),((F142-DATE(2026+6,5,1))/365.25)*G142*D142*(1+EscalatorInLease)^(6+M142)+((DATE(2027+6,4,30)-F142)/365.25)*IF(I142="Vacate",H142*D142*(1+GrowthMarketRent)^6*IF(INT((DATE(2026+6,10,31)-F142)/365.25)=0,(12-DowntimeNew)/12,1),IF(I142="Option",G142*D142*1.025*(1+EscalatorInLease)^6,IF(I142="Market",Retention*G142*D142*(1+EscalatorInLease)^(6+M142)+(1-Retention)*H142*D142*(1+GrowthMarketRent)^6*IF(INT((DATE(2026+6,10,31)-F142)/365.25)=0,(12-DowntimeNew)/12,1),IF(I142="LeaseUp",H142*D142*(1+GrowthMarketRent)^6*IF(6=0,(12-DowntimeNew)/12,1),0)))))))),0)</f>
        <v/>
      </c>
      <c r="U142" s="14">
        <f>IFERROR(IF(I142="LeaseUp",H142*D142*(1+GrowthMarketRent)^7*IF(7=0,(12-DowntimeNew)/12,1),IF(F142="",0,IF(F142&gt;=DATE(2027+7,4,30),G142*D142*(1+EscalatorInLease)^(7+M142),IF(F142&lt;DATE(2026+7,5,1),IF(I142="Vacate",H142*D142*(1+GrowthMarketRent)^7*IF(INT((DATE(2026+7,10,31)-F142)/365.25)=0,(12-DowntimeNew)/12,1),IF(I142="Option",G142*D142*1.025*(1+EscalatorInLease)^7,IF(I142="Market",Retention*G142*D142*(1+EscalatorInLease)^(7+M142)+(1-Retention)*H142*D142*(1+GrowthMarketRent)^7*IF(INT((DATE(2026+7,10,31)-F142)/365.25)=0,(12-DowntimeNew)/12,1),IF(I142="LeaseUp",H142*D142*(1+GrowthMarketRent)^7*IF(7=0,(12-DowntimeNew)/12,1),0)))),((F142-DATE(2026+7,5,1))/365.25)*G142*D142*(1+EscalatorInLease)^(7+M142)+((DATE(2027+7,4,30)-F142)/365.25)*IF(I142="Vacate",H142*D142*(1+GrowthMarketRent)^7*IF(INT((DATE(2026+7,10,31)-F142)/365.25)=0,(12-DowntimeNew)/12,1),IF(I142="Option",G142*D142*1.025*(1+EscalatorInLease)^7,IF(I142="Market",Retention*G142*D142*(1+EscalatorInLease)^(7+M142)+(1-Retention)*H142*D142*(1+GrowthMarketRent)^7*IF(INT((DATE(2026+7,10,31)-F142)/365.25)=0,(12-DowntimeNew)/12,1),IF(I142="LeaseUp",H142*D142*(1+GrowthMarketRent)^7*IF(7=0,(12-DowntimeNew)/12,1),0)))))))),0)</f>
        <v/>
      </c>
      <c r="V142" s="14">
        <f>IFERROR(IF(I142="LeaseUp",H142*D142*(1+GrowthMarketRent)^8*IF(8=0,(12-DowntimeNew)/12,1),IF(F142="",0,IF(F142&gt;=DATE(2027+8,4,30),G142*D142*(1+EscalatorInLease)^(8+M142),IF(F142&lt;DATE(2026+8,5,1),IF(I142="Vacate",H142*D142*(1+GrowthMarketRent)^8*IF(INT((DATE(2026+8,10,31)-F142)/365.25)=0,(12-DowntimeNew)/12,1),IF(I142="Option",G142*D142*1.025*(1+EscalatorInLease)^8,IF(I142="Market",Retention*G142*D142*(1+EscalatorInLease)^(8+M142)+(1-Retention)*H142*D142*(1+GrowthMarketRent)^8*IF(INT((DATE(2026+8,10,31)-F142)/365.25)=0,(12-DowntimeNew)/12,1),IF(I142="LeaseUp",H142*D142*(1+GrowthMarketRent)^8*IF(8=0,(12-DowntimeNew)/12,1),0)))),((F142-DATE(2026+8,5,1))/365.25)*G142*D142*(1+EscalatorInLease)^(8+M142)+((DATE(2027+8,4,30)-F142)/365.25)*IF(I142="Vacate",H142*D142*(1+GrowthMarketRent)^8*IF(INT((DATE(2026+8,10,31)-F142)/365.25)=0,(12-DowntimeNew)/12,1),IF(I142="Option",G142*D142*1.025*(1+EscalatorInLease)^8,IF(I142="Market",Retention*G142*D142*(1+EscalatorInLease)^(8+M142)+(1-Retention)*H142*D142*(1+GrowthMarketRent)^8*IF(INT((DATE(2026+8,10,31)-F142)/365.25)=0,(12-DowntimeNew)/12,1),IF(I142="LeaseUp",H142*D142*(1+GrowthMarketRent)^8*IF(8=0,(12-DowntimeNew)/12,1),0)))))))),0)</f>
        <v/>
      </c>
      <c r="W142" s="14">
        <f>IFERROR(IF(I142="LeaseUp",H142*D142*(1+GrowthMarketRent)^9*IF(9=0,(12-DowntimeNew)/12,1),IF(F142="",0,IF(F142&gt;=DATE(2027+9,4,30),G142*D142*(1+EscalatorInLease)^(9+M142),IF(F142&lt;DATE(2026+9,5,1),IF(I142="Vacate",H142*D142*(1+GrowthMarketRent)^9*IF(INT((DATE(2026+9,10,31)-F142)/365.25)=0,(12-DowntimeNew)/12,1),IF(I142="Option",G142*D142*1.025*(1+EscalatorInLease)^9,IF(I142="Market",Retention*G142*D142*(1+EscalatorInLease)^(9+M142)+(1-Retention)*H142*D142*(1+GrowthMarketRent)^9*IF(INT((DATE(2026+9,10,31)-F142)/365.25)=0,(12-DowntimeNew)/12,1),IF(I142="LeaseUp",H142*D142*(1+GrowthMarketRent)^9*IF(9=0,(12-DowntimeNew)/12,1),0)))),((F142-DATE(2026+9,5,1))/365.25)*G142*D142*(1+EscalatorInLease)^(9+M142)+((DATE(2027+9,4,30)-F142)/365.25)*IF(I142="Vacate",H142*D142*(1+GrowthMarketRent)^9*IF(INT((DATE(2026+9,10,31)-F142)/365.25)=0,(12-DowntimeNew)/12,1),IF(I142="Option",G142*D142*1.025*(1+EscalatorInLease)^9,IF(I142="Market",Retention*G142*D142*(1+EscalatorInLease)^(9+M142)+(1-Retention)*H142*D142*(1+GrowthMarketRent)^9*IF(INT((DATE(2026+9,10,31)-F142)/365.25)=0,(12-DowntimeNew)/12,1),IF(I142="LeaseUp",H142*D142*(1+GrowthMarketRent)^9*IF(9=0,(12-DowntimeNew)/12,1),0)))))))),0)</f>
        <v/>
      </c>
      <c r="X142" s="14">
        <f>IFERROR(IF(I142="LeaseUp",H142*D142*(1+GrowthMarketRent)^10*IF(10=0,(12-DowntimeNew)/12,1),IF(F142="",0,IF(F142&gt;=DATE(2027+10,4,30),G142*D142*(1+EscalatorInLease)^(10+M142),IF(F142&lt;DATE(2026+10,5,1),IF(I142="Vacate",H142*D142*(1+GrowthMarketRent)^10*IF(INT((DATE(2026+10,10,31)-F142)/365.25)=0,(12-DowntimeNew)/12,1),IF(I142="Option",G142*D142*1.025*(1+EscalatorInLease)^10,IF(I142="Market",Retention*G142*D142*(1+EscalatorInLease)^(10+M142)+(1-Retention)*H142*D142*(1+GrowthMarketRent)^10*IF(INT((DATE(2026+10,10,31)-F142)/365.25)=0,(12-DowntimeNew)/12,1),IF(I142="LeaseUp",H142*D142*(1+GrowthMarketRent)^10*IF(10=0,(12-DowntimeNew)/12,1),0)))),((F142-DATE(2026+10,5,1))/365.25)*G142*D142*(1+EscalatorInLease)^(10+M142)+((DATE(2027+10,4,30)-F142)/365.25)*IF(I142="Vacate",H142*D142*(1+GrowthMarketRent)^10*IF(INT((DATE(2026+10,10,31)-F142)/365.25)=0,(12-DowntimeNew)/12,1),IF(I142="Option",G142*D142*1.025*(1+EscalatorInLease)^10,IF(I142="Market",Retention*G142*D142*(1+EscalatorInLease)^(10+M142)+(1-Retention)*H142*D142*(1+GrowthMarketRent)^10*IF(INT((DATE(2026+10,10,31)-F142)/365.25)=0,(12-DowntimeNew)/12,1),IF(I142="LeaseUp",H142*D142*(1+GrowthMarketRent)^10*IF(10=0,(12-DowntimeNew)/12,1),0)))))))),0)</f>
        <v/>
      </c>
      <c r="Y142" s="14">
        <f>IFERROR(IF(AND(I142="LeaseUp",0=0),(IF(I142="Vacate",TINew*D142,IF(I142="Market",Retention*TIRenewal*D142+(1-Retention)*TINew*D142,IF(I142="LeaseUp",TINew*D142,IF(I142="Option",TIRenewal*D142,0)))))+(IF(I142="Vacate",LCNew*H142*D142*(1+GrowthMarketRent)^0,IF(I142="Market",Retention*LCRenewal*H142*D142*(1+GrowthMarketRent)^0+(1-Retention)*LCNew*H142*D142*(1+GrowthMarketRent)^0,IF(I142="LeaseUp",LCNew*H142*D142*(1+GrowthMarketRent)^0,IF(I142="Option",LCRenewal*H142*D142*(1+GrowthMarketRent)^0,0))))),IF(F142="",0,IF(AND(F142&gt;=DATE(2026+0,5,1),F142&lt;=DATE(2027+0,4,30)),(IF(I142="Vacate",TINew*D142,IF(I142="Market",Retention*TIRenewal*D142+(1-Retention)*TINew*D142,IF(I142="LeaseUp",TINew*D142,IF(I142="Option",TIRenewal*D142,0)))))+(IF(I142="Vacate",LCNew*H142*D142*(1+GrowthMarketRent)^0,IF(I142="Market",Retention*LCRenewal*H142*D142*(1+GrowthMarketRent)^0+(1-Retention)*LCNew*H142*D142*(1+GrowthMarketRent)^0,IF(I142="LeaseUp",LCNew*H142*D142*(1+GrowthMarketRent)^0,IF(I142="Option",LCRenewal*H142*D142*(1+GrowthMarketRent)^0,0))))),0))),0)</f>
        <v/>
      </c>
      <c r="Z142" s="14">
        <f>IFERROR(IF(AND(I142="LeaseUp",1=0),(IF(I142="Vacate",TINew*D142,IF(I142="Market",Retention*TIRenewal*D142+(1-Retention)*TINew*D142,IF(I142="LeaseUp",TINew*D142,IF(I142="Option",TIRenewal*D142,0)))))+(IF(I142="Vacate",LCNew*H142*D142*(1+GrowthMarketRent)^1,IF(I142="Market",Retention*LCRenewal*H142*D142*(1+GrowthMarketRent)^1+(1-Retention)*LCNew*H142*D142*(1+GrowthMarketRent)^1,IF(I142="LeaseUp",LCNew*H142*D142*(1+GrowthMarketRent)^1,IF(I142="Option",LCRenewal*H142*D142*(1+GrowthMarketRent)^1,0))))),IF(F142="",0,IF(AND(F142&gt;=DATE(2026+1,5,1),F142&lt;=DATE(2027+1,4,30)),(IF(I142="Vacate",TINew*D142,IF(I142="Market",Retention*TIRenewal*D142+(1-Retention)*TINew*D142,IF(I142="LeaseUp",TINew*D142,IF(I142="Option",TIRenewal*D142,0)))))+(IF(I142="Vacate",LCNew*H142*D142*(1+GrowthMarketRent)^1,IF(I142="Market",Retention*LCRenewal*H142*D142*(1+GrowthMarketRent)^1+(1-Retention)*LCNew*H142*D142*(1+GrowthMarketRent)^1,IF(I142="LeaseUp",LCNew*H142*D142*(1+GrowthMarketRent)^1,IF(I142="Option",LCRenewal*H142*D142*(1+GrowthMarketRent)^1,0))))),0))),0)</f>
        <v/>
      </c>
      <c r="AA142" s="14">
        <f>IFERROR(IF(AND(I142="LeaseUp",2=0),(IF(I142="Vacate",TINew*D142,IF(I142="Market",Retention*TIRenewal*D142+(1-Retention)*TINew*D142,IF(I142="LeaseUp",TINew*D142,IF(I142="Option",TIRenewal*D142,0)))))+(IF(I142="Vacate",LCNew*H142*D142*(1+GrowthMarketRent)^2,IF(I142="Market",Retention*LCRenewal*H142*D142*(1+GrowthMarketRent)^2+(1-Retention)*LCNew*H142*D142*(1+GrowthMarketRent)^2,IF(I142="LeaseUp",LCNew*H142*D142*(1+GrowthMarketRent)^2,IF(I142="Option",LCRenewal*H142*D142*(1+GrowthMarketRent)^2,0))))),IF(F142="",0,IF(AND(F142&gt;=DATE(2026+2,5,1),F142&lt;=DATE(2027+2,4,30)),(IF(I142="Vacate",TINew*D142,IF(I142="Market",Retention*TIRenewal*D142+(1-Retention)*TINew*D142,IF(I142="LeaseUp",TINew*D142,IF(I142="Option",TIRenewal*D142,0)))))+(IF(I142="Vacate",LCNew*H142*D142*(1+GrowthMarketRent)^2,IF(I142="Market",Retention*LCRenewal*H142*D142*(1+GrowthMarketRent)^2+(1-Retention)*LCNew*H142*D142*(1+GrowthMarketRent)^2,IF(I142="LeaseUp",LCNew*H142*D142*(1+GrowthMarketRent)^2,IF(I142="Option",LCRenewal*H142*D142*(1+GrowthMarketRent)^2,0))))),0))),0)</f>
        <v/>
      </c>
      <c r="AB142" s="14">
        <f>IFERROR(IF(AND(I142="LeaseUp",3=0),(IF(I142="Vacate",TINew*D142,IF(I142="Market",Retention*TIRenewal*D142+(1-Retention)*TINew*D142,IF(I142="LeaseUp",TINew*D142,IF(I142="Option",TIRenewal*D142,0)))))+(IF(I142="Vacate",LCNew*H142*D142*(1+GrowthMarketRent)^3,IF(I142="Market",Retention*LCRenewal*H142*D142*(1+GrowthMarketRent)^3+(1-Retention)*LCNew*H142*D142*(1+GrowthMarketRent)^3,IF(I142="LeaseUp",LCNew*H142*D142*(1+GrowthMarketRent)^3,IF(I142="Option",LCRenewal*H142*D142*(1+GrowthMarketRent)^3,0))))),IF(F142="",0,IF(AND(F142&gt;=DATE(2026+3,5,1),F142&lt;=DATE(2027+3,4,30)),(IF(I142="Vacate",TINew*D142,IF(I142="Market",Retention*TIRenewal*D142+(1-Retention)*TINew*D142,IF(I142="LeaseUp",TINew*D142,IF(I142="Option",TIRenewal*D142,0)))))+(IF(I142="Vacate",LCNew*H142*D142*(1+GrowthMarketRent)^3,IF(I142="Market",Retention*LCRenewal*H142*D142*(1+GrowthMarketRent)^3+(1-Retention)*LCNew*H142*D142*(1+GrowthMarketRent)^3,IF(I142="LeaseUp",LCNew*H142*D142*(1+GrowthMarketRent)^3,IF(I142="Option",LCRenewal*H142*D142*(1+GrowthMarketRent)^3,0))))),0))),0)</f>
        <v/>
      </c>
      <c r="AC142" s="14">
        <f>IFERROR(IF(AND(I142="LeaseUp",4=0),(IF(I142="Vacate",TINew*D142,IF(I142="Market",Retention*TIRenewal*D142+(1-Retention)*TINew*D142,IF(I142="LeaseUp",TINew*D142,IF(I142="Option",TIRenewal*D142,0)))))+(IF(I142="Vacate",LCNew*H142*D142*(1+GrowthMarketRent)^4,IF(I142="Market",Retention*LCRenewal*H142*D142*(1+GrowthMarketRent)^4+(1-Retention)*LCNew*H142*D142*(1+GrowthMarketRent)^4,IF(I142="LeaseUp",LCNew*H142*D142*(1+GrowthMarketRent)^4,IF(I142="Option",LCRenewal*H142*D142*(1+GrowthMarketRent)^4,0))))),IF(F142="",0,IF(AND(F142&gt;=DATE(2026+4,5,1),F142&lt;=DATE(2027+4,4,30)),(IF(I142="Vacate",TINew*D142,IF(I142="Market",Retention*TIRenewal*D142+(1-Retention)*TINew*D142,IF(I142="LeaseUp",TINew*D142,IF(I142="Option",TIRenewal*D142,0)))))+(IF(I142="Vacate",LCNew*H142*D142*(1+GrowthMarketRent)^4,IF(I142="Market",Retention*LCRenewal*H142*D142*(1+GrowthMarketRent)^4+(1-Retention)*LCNew*H142*D142*(1+GrowthMarketRent)^4,IF(I142="LeaseUp",LCNew*H142*D142*(1+GrowthMarketRent)^4,IF(I142="Option",LCRenewal*H142*D142*(1+GrowthMarketRent)^4,0))))),0))),0)</f>
        <v/>
      </c>
      <c r="AD142" s="14">
        <f>IFERROR(IF(AND(I142="LeaseUp",5=0),(IF(I142="Vacate",TINew*D142,IF(I142="Market",Retention*TIRenewal*D142+(1-Retention)*TINew*D142,IF(I142="LeaseUp",TINew*D142,IF(I142="Option",TIRenewal*D142,0)))))+(IF(I142="Vacate",LCNew*H142*D142*(1+GrowthMarketRent)^5,IF(I142="Market",Retention*LCRenewal*H142*D142*(1+GrowthMarketRent)^5+(1-Retention)*LCNew*H142*D142*(1+GrowthMarketRent)^5,IF(I142="LeaseUp",LCNew*H142*D142*(1+GrowthMarketRent)^5,IF(I142="Option",LCRenewal*H142*D142*(1+GrowthMarketRent)^5,0))))),IF(F142="",0,IF(AND(F142&gt;=DATE(2026+5,5,1),F142&lt;=DATE(2027+5,4,30)),(IF(I142="Vacate",TINew*D142,IF(I142="Market",Retention*TIRenewal*D142+(1-Retention)*TINew*D142,IF(I142="LeaseUp",TINew*D142,IF(I142="Option",TIRenewal*D142,0)))))+(IF(I142="Vacate",LCNew*H142*D142*(1+GrowthMarketRent)^5,IF(I142="Market",Retention*LCRenewal*H142*D142*(1+GrowthMarketRent)^5+(1-Retention)*LCNew*H142*D142*(1+GrowthMarketRent)^5,IF(I142="LeaseUp",LCNew*H142*D142*(1+GrowthMarketRent)^5,IF(I142="Option",LCRenewal*H142*D142*(1+GrowthMarketRent)^5,0))))),0))),0)</f>
        <v/>
      </c>
      <c r="AE142" s="14">
        <f>IFERROR(IF(AND(I142="LeaseUp",6=0),(IF(I142="Vacate",TINew*D142,IF(I142="Market",Retention*TIRenewal*D142+(1-Retention)*TINew*D142,IF(I142="LeaseUp",TINew*D142,IF(I142="Option",TIRenewal*D142,0)))))+(IF(I142="Vacate",LCNew*H142*D142*(1+GrowthMarketRent)^6,IF(I142="Market",Retention*LCRenewal*H142*D142*(1+GrowthMarketRent)^6+(1-Retention)*LCNew*H142*D142*(1+GrowthMarketRent)^6,IF(I142="LeaseUp",LCNew*H142*D142*(1+GrowthMarketRent)^6,IF(I142="Option",LCRenewal*H142*D142*(1+GrowthMarketRent)^6,0))))),IF(F142="",0,IF(AND(F142&gt;=DATE(2026+6,5,1),F142&lt;=DATE(2027+6,4,30)),(IF(I142="Vacate",TINew*D142,IF(I142="Market",Retention*TIRenewal*D142+(1-Retention)*TINew*D142,IF(I142="LeaseUp",TINew*D142,IF(I142="Option",TIRenewal*D142,0)))))+(IF(I142="Vacate",LCNew*H142*D142*(1+GrowthMarketRent)^6,IF(I142="Market",Retention*LCRenewal*H142*D142*(1+GrowthMarketRent)^6+(1-Retention)*LCNew*H142*D142*(1+GrowthMarketRent)^6,IF(I142="LeaseUp",LCNew*H142*D142*(1+GrowthMarketRent)^6,IF(I142="Option",LCRenewal*H142*D142*(1+GrowthMarketRent)^6,0))))),0))),0)</f>
        <v/>
      </c>
      <c r="AF142" s="14">
        <f>IFERROR(IF(AND(I142="LeaseUp",7=0),(IF(I142="Vacate",TINew*D142,IF(I142="Market",Retention*TIRenewal*D142+(1-Retention)*TINew*D142,IF(I142="LeaseUp",TINew*D142,IF(I142="Option",TIRenewal*D142,0)))))+(IF(I142="Vacate",LCNew*H142*D142*(1+GrowthMarketRent)^7,IF(I142="Market",Retention*LCRenewal*H142*D142*(1+GrowthMarketRent)^7+(1-Retention)*LCNew*H142*D142*(1+GrowthMarketRent)^7,IF(I142="LeaseUp",LCNew*H142*D142*(1+GrowthMarketRent)^7,IF(I142="Option",LCRenewal*H142*D142*(1+GrowthMarketRent)^7,0))))),IF(F142="",0,IF(AND(F142&gt;=DATE(2026+7,5,1),F142&lt;=DATE(2027+7,4,30)),(IF(I142="Vacate",TINew*D142,IF(I142="Market",Retention*TIRenewal*D142+(1-Retention)*TINew*D142,IF(I142="LeaseUp",TINew*D142,IF(I142="Option",TIRenewal*D142,0)))))+(IF(I142="Vacate",LCNew*H142*D142*(1+GrowthMarketRent)^7,IF(I142="Market",Retention*LCRenewal*H142*D142*(1+GrowthMarketRent)^7+(1-Retention)*LCNew*H142*D142*(1+GrowthMarketRent)^7,IF(I142="LeaseUp",LCNew*H142*D142*(1+GrowthMarketRent)^7,IF(I142="Option",LCRenewal*H142*D142*(1+GrowthMarketRent)^7,0))))),0))),0)</f>
        <v/>
      </c>
      <c r="AG142" s="14">
        <f>IFERROR(IF(AND(I142="LeaseUp",8=0),(IF(I142="Vacate",TINew*D142,IF(I142="Market",Retention*TIRenewal*D142+(1-Retention)*TINew*D142,IF(I142="LeaseUp",TINew*D142,IF(I142="Option",TIRenewal*D142,0)))))+(IF(I142="Vacate",LCNew*H142*D142*(1+GrowthMarketRent)^8,IF(I142="Market",Retention*LCRenewal*H142*D142*(1+GrowthMarketRent)^8+(1-Retention)*LCNew*H142*D142*(1+GrowthMarketRent)^8,IF(I142="LeaseUp",LCNew*H142*D142*(1+GrowthMarketRent)^8,IF(I142="Option",LCRenewal*H142*D142*(1+GrowthMarketRent)^8,0))))),IF(F142="",0,IF(AND(F142&gt;=DATE(2026+8,5,1),F142&lt;=DATE(2027+8,4,30)),(IF(I142="Vacate",TINew*D142,IF(I142="Market",Retention*TIRenewal*D142+(1-Retention)*TINew*D142,IF(I142="LeaseUp",TINew*D142,IF(I142="Option",TIRenewal*D142,0)))))+(IF(I142="Vacate",LCNew*H142*D142*(1+GrowthMarketRent)^8,IF(I142="Market",Retention*LCRenewal*H142*D142*(1+GrowthMarketRent)^8+(1-Retention)*LCNew*H142*D142*(1+GrowthMarketRent)^8,IF(I142="LeaseUp",LCNew*H142*D142*(1+GrowthMarketRent)^8,IF(I142="Option",LCRenewal*H142*D142*(1+GrowthMarketRent)^8,0))))),0))),0)</f>
        <v/>
      </c>
      <c r="AH142" s="14">
        <f>IFERROR(IF(AND(I142="LeaseUp",9=0),(IF(I142="Vacate",TINew*D142,IF(I142="Market",Retention*TIRenewal*D142+(1-Retention)*TINew*D142,IF(I142="LeaseUp",TINew*D142,IF(I142="Option",TIRenewal*D142,0)))))+(IF(I142="Vacate",LCNew*H142*D142*(1+GrowthMarketRent)^9,IF(I142="Market",Retention*LCRenewal*H142*D142*(1+GrowthMarketRent)^9+(1-Retention)*LCNew*H142*D142*(1+GrowthMarketRent)^9,IF(I142="LeaseUp",LCNew*H142*D142*(1+GrowthMarketRent)^9,IF(I142="Option",LCRenewal*H142*D142*(1+GrowthMarketRent)^9,0))))),IF(F142="",0,IF(AND(F142&gt;=DATE(2026+9,5,1),F142&lt;=DATE(2027+9,4,30)),(IF(I142="Vacate",TINew*D142,IF(I142="Market",Retention*TIRenewal*D142+(1-Retention)*TINew*D142,IF(I142="LeaseUp",TINew*D142,IF(I142="Option",TIRenewal*D142,0)))))+(IF(I142="Vacate",LCNew*H142*D142*(1+GrowthMarketRent)^9,IF(I142="Market",Retention*LCRenewal*H142*D142*(1+GrowthMarketRent)^9+(1-Retention)*LCNew*H142*D142*(1+GrowthMarketRent)^9,IF(I142="LeaseUp",LCNew*H142*D142*(1+GrowthMarketRent)^9,IF(I142="Option",LCRenewal*H142*D142*(1+GrowthMarketRent)^9,0))))),0))),0)</f>
        <v/>
      </c>
      <c r="AI142" s="14">
        <f>IFERROR(IF(AND(I142="LeaseUp",10=0),(IF(I142="Vacate",TINew*D142,IF(I142="Market",Retention*TIRenewal*D142+(1-Retention)*TINew*D142,IF(I142="LeaseUp",TINew*D142,IF(I142="Option",TIRenewal*D142,0)))))+(IF(I142="Vacate",LCNew*H142*D142*(1+GrowthMarketRent)^10,IF(I142="Market",Retention*LCRenewal*H142*D142*(1+GrowthMarketRent)^10+(1-Retention)*LCNew*H142*D142*(1+GrowthMarketRent)^10,IF(I142="LeaseUp",LCNew*H142*D142*(1+GrowthMarketRent)^10,IF(I142="Option",LCRenewal*H142*D142*(1+GrowthMarketRent)^10,0))))),IF(F142="",0,IF(AND(F142&gt;=DATE(2026+10,5,1),F142&lt;=DATE(2027+10,4,30)),(IF(I142="Vacate",TINew*D142,IF(I142="Market",Retention*TIRenewal*D142+(1-Retention)*TINew*D142,IF(I142="LeaseUp",TINew*D142,IF(I142="Option",TIRenewal*D142,0)))))+(IF(I142="Vacate",LCNew*H142*D142*(1+GrowthMarketRent)^10,IF(I142="Market",Retention*LCRenewal*H142*D142*(1+GrowthMarketRent)^10+(1-Retention)*LCNew*H142*D142*(1+GrowthMarketRent)^10,IF(I142="LeaseUp",LCNew*H142*D142*(1+GrowthMarketRent)^10,IF(I142="Option",LCRenewal*H142*D142*(1+GrowthMarketRent)^10,0))))),0))),0)</f>
        <v/>
      </c>
    </row>
    <row r="143">
      <c r="A143" t="inlineStr">
        <is>
          <t>Plano</t>
        </is>
      </c>
      <c r="B143" t="inlineStr">
        <is>
          <t>107</t>
        </is>
      </c>
      <c r="C143" t="inlineStr">
        <is>
          <t>VACANT</t>
        </is>
      </c>
      <c r="D143" s="32" t="n">
        <v>2600</v>
      </c>
      <c r="E143" s="33" t="n">
        <v>45352</v>
      </c>
      <c r="F143" s="33" t="n">
        <v>46600</v>
      </c>
      <c r="G143" s="34" t="n">
        <v>0</v>
      </c>
      <c r="H143" s="16">
        <f>VLOOKUP(A143,MLA!$A$5:$L$11,3,FALSE)</f>
        <v/>
      </c>
      <c r="I143" s="11" t="inlineStr">
        <is>
          <t>LeaseUp</t>
        </is>
      </c>
      <c r="J143" t="inlineStr">
        <is>
          <t>Shop</t>
        </is>
      </c>
      <c r="K143" t="inlineStr">
        <is>
          <t>Vacant</t>
        </is>
      </c>
      <c r="L143" t="inlineStr">
        <is>
          <t>Shop; future lease-up Nov-2026</t>
        </is>
      </c>
      <c r="M143" s="20">
        <f>IF(E143="",0,(AnalysisStart-E143)/365.25)</f>
        <v/>
      </c>
      <c r="N143" s="14">
        <f>IFERROR(IF(I143="LeaseUp",H143*D143*(1+GrowthMarketRent)^0*IF(0=0,(12-DowntimeNew)/12,1),IF(F143="",0,IF(F143&gt;=DATE(2027+0,4,30),G143*D143*(1+EscalatorInLease)^(0+M143),IF(F143&lt;DATE(2026+0,5,1),IF(I143="Vacate",H143*D143*(1+GrowthMarketRent)^0*IF(INT((DATE(2026+0,10,31)-F143)/365.25)=0,(12-DowntimeNew)/12,1),IF(I143="Option",G143*D143*1.025*(1+EscalatorInLease)^0,IF(I143="Market",Retention*G143*D143*(1+EscalatorInLease)^(0+M143)+(1-Retention)*H143*D143*(1+GrowthMarketRent)^0*IF(INT((DATE(2026+0,10,31)-F143)/365.25)=0,(12-DowntimeNew)/12,1),IF(I143="LeaseUp",H143*D143*(1+GrowthMarketRent)^0*IF(0=0,(12-DowntimeNew)/12,1),0)))),((F143-DATE(2026+0,5,1))/365.25)*G143*D143*(1+EscalatorInLease)^(0+M143)+((DATE(2027+0,4,30)-F143)/365.25)*IF(I143="Vacate",H143*D143*(1+GrowthMarketRent)^0*IF(INT((DATE(2026+0,10,31)-F143)/365.25)=0,(12-DowntimeNew)/12,1),IF(I143="Option",G143*D143*1.025*(1+EscalatorInLease)^0,IF(I143="Market",Retention*G143*D143*(1+EscalatorInLease)^(0+M143)+(1-Retention)*H143*D143*(1+GrowthMarketRent)^0*IF(INT((DATE(2026+0,10,31)-F143)/365.25)=0,(12-DowntimeNew)/12,1),IF(I143="LeaseUp",H143*D143*(1+GrowthMarketRent)^0*IF(0=0,(12-DowntimeNew)/12,1),0)))))))),0)</f>
        <v/>
      </c>
      <c r="O143" s="14">
        <f>IFERROR(IF(I143="LeaseUp",H143*D143*(1+GrowthMarketRent)^1*IF(1=0,(12-DowntimeNew)/12,1),IF(F143="",0,IF(F143&gt;=DATE(2027+1,4,30),G143*D143*(1+EscalatorInLease)^(1+M143),IF(F143&lt;DATE(2026+1,5,1),IF(I143="Vacate",H143*D143*(1+GrowthMarketRent)^1*IF(INT((DATE(2026+1,10,31)-F143)/365.25)=0,(12-DowntimeNew)/12,1),IF(I143="Option",G143*D143*1.025*(1+EscalatorInLease)^1,IF(I143="Market",Retention*G143*D143*(1+EscalatorInLease)^(1+M143)+(1-Retention)*H143*D143*(1+GrowthMarketRent)^1*IF(INT((DATE(2026+1,10,31)-F143)/365.25)=0,(12-DowntimeNew)/12,1),IF(I143="LeaseUp",H143*D143*(1+GrowthMarketRent)^1*IF(1=0,(12-DowntimeNew)/12,1),0)))),((F143-DATE(2026+1,5,1))/365.25)*G143*D143*(1+EscalatorInLease)^(1+M143)+((DATE(2027+1,4,30)-F143)/365.25)*IF(I143="Vacate",H143*D143*(1+GrowthMarketRent)^1*IF(INT((DATE(2026+1,10,31)-F143)/365.25)=0,(12-DowntimeNew)/12,1),IF(I143="Option",G143*D143*1.025*(1+EscalatorInLease)^1,IF(I143="Market",Retention*G143*D143*(1+EscalatorInLease)^(1+M143)+(1-Retention)*H143*D143*(1+GrowthMarketRent)^1*IF(INT((DATE(2026+1,10,31)-F143)/365.25)=0,(12-DowntimeNew)/12,1),IF(I143="LeaseUp",H143*D143*(1+GrowthMarketRent)^1*IF(1=0,(12-DowntimeNew)/12,1),0)))))))),0)</f>
        <v/>
      </c>
      <c r="P143" s="14">
        <f>IFERROR(IF(I143="LeaseUp",H143*D143*(1+GrowthMarketRent)^2*IF(2=0,(12-DowntimeNew)/12,1),IF(F143="",0,IF(F143&gt;=DATE(2027+2,4,30),G143*D143*(1+EscalatorInLease)^(2+M143),IF(F143&lt;DATE(2026+2,5,1),IF(I143="Vacate",H143*D143*(1+GrowthMarketRent)^2*IF(INT((DATE(2026+2,10,31)-F143)/365.25)=0,(12-DowntimeNew)/12,1),IF(I143="Option",G143*D143*1.025*(1+EscalatorInLease)^2,IF(I143="Market",Retention*G143*D143*(1+EscalatorInLease)^(2+M143)+(1-Retention)*H143*D143*(1+GrowthMarketRent)^2*IF(INT((DATE(2026+2,10,31)-F143)/365.25)=0,(12-DowntimeNew)/12,1),IF(I143="LeaseUp",H143*D143*(1+GrowthMarketRent)^2*IF(2=0,(12-DowntimeNew)/12,1),0)))),((F143-DATE(2026+2,5,1))/365.25)*G143*D143*(1+EscalatorInLease)^(2+M143)+((DATE(2027+2,4,30)-F143)/365.25)*IF(I143="Vacate",H143*D143*(1+GrowthMarketRent)^2*IF(INT((DATE(2026+2,10,31)-F143)/365.25)=0,(12-DowntimeNew)/12,1),IF(I143="Option",G143*D143*1.025*(1+EscalatorInLease)^2,IF(I143="Market",Retention*G143*D143*(1+EscalatorInLease)^(2+M143)+(1-Retention)*H143*D143*(1+GrowthMarketRent)^2*IF(INT((DATE(2026+2,10,31)-F143)/365.25)=0,(12-DowntimeNew)/12,1),IF(I143="LeaseUp",H143*D143*(1+GrowthMarketRent)^2*IF(2=0,(12-DowntimeNew)/12,1),0)))))))),0)</f>
        <v/>
      </c>
      <c r="Q143" s="14">
        <f>IFERROR(IF(I143="LeaseUp",H143*D143*(1+GrowthMarketRent)^3*IF(3=0,(12-DowntimeNew)/12,1),IF(F143="",0,IF(F143&gt;=DATE(2027+3,4,30),G143*D143*(1+EscalatorInLease)^(3+M143),IF(F143&lt;DATE(2026+3,5,1),IF(I143="Vacate",H143*D143*(1+GrowthMarketRent)^3*IF(INT((DATE(2026+3,10,31)-F143)/365.25)=0,(12-DowntimeNew)/12,1),IF(I143="Option",G143*D143*1.025*(1+EscalatorInLease)^3,IF(I143="Market",Retention*G143*D143*(1+EscalatorInLease)^(3+M143)+(1-Retention)*H143*D143*(1+GrowthMarketRent)^3*IF(INT((DATE(2026+3,10,31)-F143)/365.25)=0,(12-DowntimeNew)/12,1),IF(I143="LeaseUp",H143*D143*(1+GrowthMarketRent)^3*IF(3=0,(12-DowntimeNew)/12,1),0)))),((F143-DATE(2026+3,5,1))/365.25)*G143*D143*(1+EscalatorInLease)^(3+M143)+((DATE(2027+3,4,30)-F143)/365.25)*IF(I143="Vacate",H143*D143*(1+GrowthMarketRent)^3*IF(INT((DATE(2026+3,10,31)-F143)/365.25)=0,(12-DowntimeNew)/12,1),IF(I143="Option",G143*D143*1.025*(1+EscalatorInLease)^3,IF(I143="Market",Retention*G143*D143*(1+EscalatorInLease)^(3+M143)+(1-Retention)*H143*D143*(1+GrowthMarketRent)^3*IF(INT((DATE(2026+3,10,31)-F143)/365.25)=0,(12-DowntimeNew)/12,1),IF(I143="LeaseUp",H143*D143*(1+GrowthMarketRent)^3*IF(3=0,(12-DowntimeNew)/12,1),0)))))))),0)</f>
        <v/>
      </c>
      <c r="R143" s="14">
        <f>IFERROR(IF(I143="LeaseUp",H143*D143*(1+GrowthMarketRent)^4*IF(4=0,(12-DowntimeNew)/12,1),IF(F143="",0,IF(F143&gt;=DATE(2027+4,4,30),G143*D143*(1+EscalatorInLease)^(4+M143),IF(F143&lt;DATE(2026+4,5,1),IF(I143="Vacate",H143*D143*(1+GrowthMarketRent)^4*IF(INT((DATE(2026+4,10,31)-F143)/365.25)=0,(12-DowntimeNew)/12,1),IF(I143="Option",G143*D143*1.025*(1+EscalatorInLease)^4,IF(I143="Market",Retention*G143*D143*(1+EscalatorInLease)^(4+M143)+(1-Retention)*H143*D143*(1+GrowthMarketRent)^4*IF(INT((DATE(2026+4,10,31)-F143)/365.25)=0,(12-DowntimeNew)/12,1),IF(I143="LeaseUp",H143*D143*(1+GrowthMarketRent)^4*IF(4=0,(12-DowntimeNew)/12,1),0)))),((F143-DATE(2026+4,5,1))/365.25)*G143*D143*(1+EscalatorInLease)^(4+M143)+((DATE(2027+4,4,30)-F143)/365.25)*IF(I143="Vacate",H143*D143*(1+GrowthMarketRent)^4*IF(INT((DATE(2026+4,10,31)-F143)/365.25)=0,(12-DowntimeNew)/12,1),IF(I143="Option",G143*D143*1.025*(1+EscalatorInLease)^4,IF(I143="Market",Retention*G143*D143*(1+EscalatorInLease)^(4+M143)+(1-Retention)*H143*D143*(1+GrowthMarketRent)^4*IF(INT((DATE(2026+4,10,31)-F143)/365.25)=0,(12-DowntimeNew)/12,1),IF(I143="LeaseUp",H143*D143*(1+GrowthMarketRent)^4*IF(4=0,(12-DowntimeNew)/12,1),0)))))))),0)</f>
        <v/>
      </c>
      <c r="S143" s="14">
        <f>IFERROR(IF(I143="LeaseUp",H143*D143*(1+GrowthMarketRent)^5*IF(5=0,(12-DowntimeNew)/12,1),IF(F143="",0,IF(F143&gt;=DATE(2027+5,4,30),G143*D143*(1+EscalatorInLease)^(5+M143),IF(F143&lt;DATE(2026+5,5,1),IF(I143="Vacate",H143*D143*(1+GrowthMarketRent)^5*IF(INT((DATE(2026+5,10,31)-F143)/365.25)=0,(12-DowntimeNew)/12,1),IF(I143="Option",G143*D143*1.025*(1+EscalatorInLease)^5,IF(I143="Market",Retention*G143*D143*(1+EscalatorInLease)^(5+M143)+(1-Retention)*H143*D143*(1+GrowthMarketRent)^5*IF(INT((DATE(2026+5,10,31)-F143)/365.25)=0,(12-DowntimeNew)/12,1),IF(I143="LeaseUp",H143*D143*(1+GrowthMarketRent)^5*IF(5=0,(12-DowntimeNew)/12,1),0)))),((F143-DATE(2026+5,5,1))/365.25)*G143*D143*(1+EscalatorInLease)^(5+M143)+((DATE(2027+5,4,30)-F143)/365.25)*IF(I143="Vacate",H143*D143*(1+GrowthMarketRent)^5*IF(INT((DATE(2026+5,10,31)-F143)/365.25)=0,(12-DowntimeNew)/12,1),IF(I143="Option",G143*D143*1.025*(1+EscalatorInLease)^5,IF(I143="Market",Retention*G143*D143*(1+EscalatorInLease)^(5+M143)+(1-Retention)*H143*D143*(1+GrowthMarketRent)^5*IF(INT((DATE(2026+5,10,31)-F143)/365.25)=0,(12-DowntimeNew)/12,1),IF(I143="LeaseUp",H143*D143*(1+GrowthMarketRent)^5*IF(5=0,(12-DowntimeNew)/12,1),0)))))))),0)</f>
        <v/>
      </c>
      <c r="T143" s="14">
        <f>IFERROR(IF(I143="LeaseUp",H143*D143*(1+GrowthMarketRent)^6*IF(6=0,(12-DowntimeNew)/12,1),IF(F143="",0,IF(F143&gt;=DATE(2027+6,4,30),G143*D143*(1+EscalatorInLease)^(6+M143),IF(F143&lt;DATE(2026+6,5,1),IF(I143="Vacate",H143*D143*(1+GrowthMarketRent)^6*IF(INT((DATE(2026+6,10,31)-F143)/365.25)=0,(12-DowntimeNew)/12,1),IF(I143="Option",G143*D143*1.025*(1+EscalatorInLease)^6,IF(I143="Market",Retention*G143*D143*(1+EscalatorInLease)^(6+M143)+(1-Retention)*H143*D143*(1+GrowthMarketRent)^6*IF(INT((DATE(2026+6,10,31)-F143)/365.25)=0,(12-DowntimeNew)/12,1),IF(I143="LeaseUp",H143*D143*(1+GrowthMarketRent)^6*IF(6=0,(12-DowntimeNew)/12,1),0)))),((F143-DATE(2026+6,5,1))/365.25)*G143*D143*(1+EscalatorInLease)^(6+M143)+((DATE(2027+6,4,30)-F143)/365.25)*IF(I143="Vacate",H143*D143*(1+GrowthMarketRent)^6*IF(INT((DATE(2026+6,10,31)-F143)/365.25)=0,(12-DowntimeNew)/12,1),IF(I143="Option",G143*D143*1.025*(1+EscalatorInLease)^6,IF(I143="Market",Retention*G143*D143*(1+EscalatorInLease)^(6+M143)+(1-Retention)*H143*D143*(1+GrowthMarketRent)^6*IF(INT((DATE(2026+6,10,31)-F143)/365.25)=0,(12-DowntimeNew)/12,1),IF(I143="LeaseUp",H143*D143*(1+GrowthMarketRent)^6*IF(6=0,(12-DowntimeNew)/12,1),0)))))))),0)</f>
        <v/>
      </c>
      <c r="U143" s="14">
        <f>IFERROR(IF(I143="LeaseUp",H143*D143*(1+GrowthMarketRent)^7*IF(7=0,(12-DowntimeNew)/12,1),IF(F143="",0,IF(F143&gt;=DATE(2027+7,4,30),G143*D143*(1+EscalatorInLease)^(7+M143),IF(F143&lt;DATE(2026+7,5,1),IF(I143="Vacate",H143*D143*(1+GrowthMarketRent)^7*IF(INT((DATE(2026+7,10,31)-F143)/365.25)=0,(12-DowntimeNew)/12,1),IF(I143="Option",G143*D143*1.025*(1+EscalatorInLease)^7,IF(I143="Market",Retention*G143*D143*(1+EscalatorInLease)^(7+M143)+(1-Retention)*H143*D143*(1+GrowthMarketRent)^7*IF(INT((DATE(2026+7,10,31)-F143)/365.25)=0,(12-DowntimeNew)/12,1),IF(I143="LeaseUp",H143*D143*(1+GrowthMarketRent)^7*IF(7=0,(12-DowntimeNew)/12,1),0)))),((F143-DATE(2026+7,5,1))/365.25)*G143*D143*(1+EscalatorInLease)^(7+M143)+((DATE(2027+7,4,30)-F143)/365.25)*IF(I143="Vacate",H143*D143*(1+GrowthMarketRent)^7*IF(INT((DATE(2026+7,10,31)-F143)/365.25)=0,(12-DowntimeNew)/12,1),IF(I143="Option",G143*D143*1.025*(1+EscalatorInLease)^7,IF(I143="Market",Retention*G143*D143*(1+EscalatorInLease)^(7+M143)+(1-Retention)*H143*D143*(1+GrowthMarketRent)^7*IF(INT((DATE(2026+7,10,31)-F143)/365.25)=0,(12-DowntimeNew)/12,1),IF(I143="LeaseUp",H143*D143*(1+GrowthMarketRent)^7*IF(7=0,(12-DowntimeNew)/12,1),0)))))))),0)</f>
        <v/>
      </c>
      <c r="V143" s="14">
        <f>IFERROR(IF(I143="LeaseUp",H143*D143*(1+GrowthMarketRent)^8*IF(8=0,(12-DowntimeNew)/12,1),IF(F143="",0,IF(F143&gt;=DATE(2027+8,4,30),G143*D143*(1+EscalatorInLease)^(8+M143),IF(F143&lt;DATE(2026+8,5,1),IF(I143="Vacate",H143*D143*(1+GrowthMarketRent)^8*IF(INT((DATE(2026+8,10,31)-F143)/365.25)=0,(12-DowntimeNew)/12,1),IF(I143="Option",G143*D143*1.025*(1+EscalatorInLease)^8,IF(I143="Market",Retention*G143*D143*(1+EscalatorInLease)^(8+M143)+(1-Retention)*H143*D143*(1+GrowthMarketRent)^8*IF(INT((DATE(2026+8,10,31)-F143)/365.25)=0,(12-DowntimeNew)/12,1),IF(I143="LeaseUp",H143*D143*(1+GrowthMarketRent)^8*IF(8=0,(12-DowntimeNew)/12,1),0)))),((F143-DATE(2026+8,5,1))/365.25)*G143*D143*(1+EscalatorInLease)^(8+M143)+((DATE(2027+8,4,30)-F143)/365.25)*IF(I143="Vacate",H143*D143*(1+GrowthMarketRent)^8*IF(INT((DATE(2026+8,10,31)-F143)/365.25)=0,(12-DowntimeNew)/12,1),IF(I143="Option",G143*D143*1.025*(1+EscalatorInLease)^8,IF(I143="Market",Retention*G143*D143*(1+EscalatorInLease)^(8+M143)+(1-Retention)*H143*D143*(1+GrowthMarketRent)^8*IF(INT((DATE(2026+8,10,31)-F143)/365.25)=0,(12-DowntimeNew)/12,1),IF(I143="LeaseUp",H143*D143*(1+GrowthMarketRent)^8*IF(8=0,(12-DowntimeNew)/12,1),0)))))))),0)</f>
        <v/>
      </c>
      <c r="W143" s="14">
        <f>IFERROR(IF(I143="LeaseUp",H143*D143*(1+GrowthMarketRent)^9*IF(9=0,(12-DowntimeNew)/12,1),IF(F143="",0,IF(F143&gt;=DATE(2027+9,4,30),G143*D143*(1+EscalatorInLease)^(9+M143),IF(F143&lt;DATE(2026+9,5,1),IF(I143="Vacate",H143*D143*(1+GrowthMarketRent)^9*IF(INT((DATE(2026+9,10,31)-F143)/365.25)=0,(12-DowntimeNew)/12,1),IF(I143="Option",G143*D143*1.025*(1+EscalatorInLease)^9,IF(I143="Market",Retention*G143*D143*(1+EscalatorInLease)^(9+M143)+(1-Retention)*H143*D143*(1+GrowthMarketRent)^9*IF(INT((DATE(2026+9,10,31)-F143)/365.25)=0,(12-DowntimeNew)/12,1),IF(I143="LeaseUp",H143*D143*(1+GrowthMarketRent)^9*IF(9=0,(12-DowntimeNew)/12,1),0)))),((F143-DATE(2026+9,5,1))/365.25)*G143*D143*(1+EscalatorInLease)^(9+M143)+((DATE(2027+9,4,30)-F143)/365.25)*IF(I143="Vacate",H143*D143*(1+GrowthMarketRent)^9*IF(INT((DATE(2026+9,10,31)-F143)/365.25)=0,(12-DowntimeNew)/12,1),IF(I143="Option",G143*D143*1.025*(1+EscalatorInLease)^9,IF(I143="Market",Retention*G143*D143*(1+EscalatorInLease)^(9+M143)+(1-Retention)*H143*D143*(1+GrowthMarketRent)^9*IF(INT((DATE(2026+9,10,31)-F143)/365.25)=0,(12-DowntimeNew)/12,1),IF(I143="LeaseUp",H143*D143*(1+GrowthMarketRent)^9*IF(9=0,(12-DowntimeNew)/12,1),0)))))))),0)</f>
        <v/>
      </c>
      <c r="X143" s="14">
        <f>IFERROR(IF(I143="LeaseUp",H143*D143*(1+GrowthMarketRent)^10*IF(10=0,(12-DowntimeNew)/12,1),IF(F143="",0,IF(F143&gt;=DATE(2027+10,4,30),G143*D143*(1+EscalatorInLease)^(10+M143),IF(F143&lt;DATE(2026+10,5,1),IF(I143="Vacate",H143*D143*(1+GrowthMarketRent)^10*IF(INT((DATE(2026+10,10,31)-F143)/365.25)=0,(12-DowntimeNew)/12,1),IF(I143="Option",G143*D143*1.025*(1+EscalatorInLease)^10,IF(I143="Market",Retention*G143*D143*(1+EscalatorInLease)^(10+M143)+(1-Retention)*H143*D143*(1+GrowthMarketRent)^10*IF(INT((DATE(2026+10,10,31)-F143)/365.25)=0,(12-DowntimeNew)/12,1),IF(I143="LeaseUp",H143*D143*(1+GrowthMarketRent)^10*IF(10=0,(12-DowntimeNew)/12,1),0)))),((F143-DATE(2026+10,5,1))/365.25)*G143*D143*(1+EscalatorInLease)^(10+M143)+((DATE(2027+10,4,30)-F143)/365.25)*IF(I143="Vacate",H143*D143*(1+GrowthMarketRent)^10*IF(INT((DATE(2026+10,10,31)-F143)/365.25)=0,(12-DowntimeNew)/12,1),IF(I143="Option",G143*D143*1.025*(1+EscalatorInLease)^10,IF(I143="Market",Retention*G143*D143*(1+EscalatorInLease)^(10+M143)+(1-Retention)*H143*D143*(1+GrowthMarketRent)^10*IF(INT((DATE(2026+10,10,31)-F143)/365.25)=0,(12-DowntimeNew)/12,1),IF(I143="LeaseUp",H143*D143*(1+GrowthMarketRent)^10*IF(10=0,(12-DowntimeNew)/12,1),0)))))))),0)</f>
        <v/>
      </c>
      <c r="Y143" s="14">
        <f>IFERROR(IF(AND(I143="LeaseUp",0=0),(IF(I143="Vacate",TINew*D143,IF(I143="Market",Retention*TIRenewal*D143+(1-Retention)*TINew*D143,IF(I143="LeaseUp",TINew*D143,IF(I143="Option",TIRenewal*D143,0)))))+(IF(I143="Vacate",LCNew*H143*D143*(1+GrowthMarketRent)^0,IF(I143="Market",Retention*LCRenewal*H143*D143*(1+GrowthMarketRent)^0+(1-Retention)*LCNew*H143*D143*(1+GrowthMarketRent)^0,IF(I143="LeaseUp",LCNew*H143*D143*(1+GrowthMarketRent)^0,IF(I143="Option",LCRenewal*H143*D143*(1+GrowthMarketRent)^0,0))))),IF(F143="",0,IF(AND(F143&gt;=DATE(2026+0,5,1),F143&lt;=DATE(2027+0,4,30)),(IF(I143="Vacate",TINew*D143,IF(I143="Market",Retention*TIRenewal*D143+(1-Retention)*TINew*D143,IF(I143="LeaseUp",TINew*D143,IF(I143="Option",TIRenewal*D143,0)))))+(IF(I143="Vacate",LCNew*H143*D143*(1+GrowthMarketRent)^0,IF(I143="Market",Retention*LCRenewal*H143*D143*(1+GrowthMarketRent)^0+(1-Retention)*LCNew*H143*D143*(1+GrowthMarketRent)^0,IF(I143="LeaseUp",LCNew*H143*D143*(1+GrowthMarketRent)^0,IF(I143="Option",LCRenewal*H143*D143*(1+GrowthMarketRent)^0,0))))),0))),0)</f>
        <v/>
      </c>
      <c r="Z143" s="14">
        <f>IFERROR(IF(AND(I143="LeaseUp",1=0),(IF(I143="Vacate",TINew*D143,IF(I143="Market",Retention*TIRenewal*D143+(1-Retention)*TINew*D143,IF(I143="LeaseUp",TINew*D143,IF(I143="Option",TIRenewal*D143,0)))))+(IF(I143="Vacate",LCNew*H143*D143*(1+GrowthMarketRent)^1,IF(I143="Market",Retention*LCRenewal*H143*D143*(1+GrowthMarketRent)^1+(1-Retention)*LCNew*H143*D143*(1+GrowthMarketRent)^1,IF(I143="LeaseUp",LCNew*H143*D143*(1+GrowthMarketRent)^1,IF(I143="Option",LCRenewal*H143*D143*(1+GrowthMarketRent)^1,0))))),IF(F143="",0,IF(AND(F143&gt;=DATE(2026+1,5,1),F143&lt;=DATE(2027+1,4,30)),(IF(I143="Vacate",TINew*D143,IF(I143="Market",Retention*TIRenewal*D143+(1-Retention)*TINew*D143,IF(I143="LeaseUp",TINew*D143,IF(I143="Option",TIRenewal*D143,0)))))+(IF(I143="Vacate",LCNew*H143*D143*(1+GrowthMarketRent)^1,IF(I143="Market",Retention*LCRenewal*H143*D143*(1+GrowthMarketRent)^1+(1-Retention)*LCNew*H143*D143*(1+GrowthMarketRent)^1,IF(I143="LeaseUp",LCNew*H143*D143*(1+GrowthMarketRent)^1,IF(I143="Option",LCRenewal*H143*D143*(1+GrowthMarketRent)^1,0))))),0))),0)</f>
        <v/>
      </c>
      <c r="AA143" s="14">
        <f>IFERROR(IF(AND(I143="LeaseUp",2=0),(IF(I143="Vacate",TINew*D143,IF(I143="Market",Retention*TIRenewal*D143+(1-Retention)*TINew*D143,IF(I143="LeaseUp",TINew*D143,IF(I143="Option",TIRenewal*D143,0)))))+(IF(I143="Vacate",LCNew*H143*D143*(1+GrowthMarketRent)^2,IF(I143="Market",Retention*LCRenewal*H143*D143*(1+GrowthMarketRent)^2+(1-Retention)*LCNew*H143*D143*(1+GrowthMarketRent)^2,IF(I143="LeaseUp",LCNew*H143*D143*(1+GrowthMarketRent)^2,IF(I143="Option",LCRenewal*H143*D143*(1+GrowthMarketRent)^2,0))))),IF(F143="",0,IF(AND(F143&gt;=DATE(2026+2,5,1),F143&lt;=DATE(2027+2,4,30)),(IF(I143="Vacate",TINew*D143,IF(I143="Market",Retention*TIRenewal*D143+(1-Retention)*TINew*D143,IF(I143="LeaseUp",TINew*D143,IF(I143="Option",TIRenewal*D143,0)))))+(IF(I143="Vacate",LCNew*H143*D143*(1+GrowthMarketRent)^2,IF(I143="Market",Retention*LCRenewal*H143*D143*(1+GrowthMarketRent)^2+(1-Retention)*LCNew*H143*D143*(1+GrowthMarketRent)^2,IF(I143="LeaseUp",LCNew*H143*D143*(1+GrowthMarketRent)^2,IF(I143="Option",LCRenewal*H143*D143*(1+GrowthMarketRent)^2,0))))),0))),0)</f>
        <v/>
      </c>
      <c r="AB143" s="14">
        <f>IFERROR(IF(AND(I143="LeaseUp",3=0),(IF(I143="Vacate",TINew*D143,IF(I143="Market",Retention*TIRenewal*D143+(1-Retention)*TINew*D143,IF(I143="LeaseUp",TINew*D143,IF(I143="Option",TIRenewal*D143,0)))))+(IF(I143="Vacate",LCNew*H143*D143*(1+GrowthMarketRent)^3,IF(I143="Market",Retention*LCRenewal*H143*D143*(1+GrowthMarketRent)^3+(1-Retention)*LCNew*H143*D143*(1+GrowthMarketRent)^3,IF(I143="LeaseUp",LCNew*H143*D143*(1+GrowthMarketRent)^3,IF(I143="Option",LCRenewal*H143*D143*(1+GrowthMarketRent)^3,0))))),IF(F143="",0,IF(AND(F143&gt;=DATE(2026+3,5,1),F143&lt;=DATE(2027+3,4,30)),(IF(I143="Vacate",TINew*D143,IF(I143="Market",Retention*TIRenewal*D143+(1-Retention)*TINew*D143,IF(I143="LeaseUp",TINew*D143,IF(I143="Option",TIRenewal*D143,0)))))+(IF(I143="Vacate",LCNew*H143*D143*(1+GrowthMarketRent)^3,IF(I143="Market",Retention*LCRenewal*H143*D143*(1+GrowthMarketRent)^3+(1-Retention)*LCNew*H143*D143*(1+GrowthMarketRent)^3,IF(I143="LeaseUp",LCNew*H143*D143*(1+GrowthMarketRent)^3,IF(I143="Option",LCRenewal*H143*D143*(1+GrowthMarketRent)^3,0))))),0))),0)</f>
        <v/>
      </c>
      <c r="AC143" s="14">
        <f>IFERROR(IF(AND(I143="LeaseUp",4=0),(IF(I143="Vacate",TINew*D143,IF(I143="Market",Retention*TIRenewal*D143+(1-Retention)*TINew*D143,IF(I143="LeaseUp",TINew*D143,IF(I143="Option",TIRenewal*D143,0)))))+(IF(I143="Vacate",LCNew*H143*D143*(1+GrowthMarketRent)^4,IF(I143="Market",Retention*LCRenewal*H143*D143*(1+GrowthMarketRent)^4+(1-Retention)*LCNew*H143*D143*(1+GrowthMarketRent)^4,IF(I143="LeaseUp",LCNew*H143*D143*(1+GrowthMarketRent)^4,IF(I143="Option",LCRenewal*H143*D143*(1+GrowthMarketRent)^4,0))))),IF(F143="",0,IF(AND(F143&gt;=DATE(2026+4,5,1),F143&lt;=DATE(2027+4,4,30)),(IF(I143="Vacate",TINew*D143,IF(I143="Market",Retention*TIRenewal*D143+(1-Retention)*TINew*D143,IF(I143="LeaseUp",TINew*D143,IF(I143="Option",TIRenewal*D143,0)))))+(IF(I143="Vacate",LCNew*H143*D143*(1+GrowthMarketRent)^4,IF(I143="Market",Retention*LCRenewal*H143*D143*(1+GrowthMarketRent)^4+(1-Retention)*LCNew*H143*D143*(1+GrowthMarketRent)^4,IF(I143="LeaseUp",LCNew*H143*D143*(1+GrowthMarketRent)^4,IF(I143="Option",LCRenewal*H143*D143*(1+GrowthMarketRent)^4,0))))),0))),0)</f>
        <v/>
      </c>
      <c r="AD143" s="14">
        <f>IFERROR(IF(AND(I143="LeaseUp",5=0),(IF(I143="Vacate",TINew*D143,IF(I143="Market",Retention*TIRenewal*D143+(1-Retention)*TINew*D143,IF(I143="LeaseUp",TINew*D143,IF(I143="Option",TIRenewal*D143,0)))))+(IF(I143="Vacate",LCNew*H143*D143*(1+GrowthMarketRent)^5,IF(I143="Market",Retention*LCRenewal*H143*D143*(1+GrowthMarketRent)^5+(1-Retention)*LCNew*H143*D143*(1+GrowthMarketRent)^5,IF(I143="LeaseUp",LCNew*H143*D143*(1+GrowthMarketRent)^5,IF(I143="Option",LCRenewal*H143*D143*(1+GrowthMarketRent)^5,0))))),IF(F143="",0,IF(AND(F143&gt;=DATE(2026+5,5,1),F143&lt;=DATE(2027+5,4,30)),(IF(I143="Vacate",TINew*D143,IF(I143="Market",Retention*TIRenewal*D143+(1-Retention)*TINew*D143,IF(I143="LeaseUp",TINew*D143,IF(I143="Option",TIRenewal*D143,0)))))+(IF(I143="Vacate",LCNew*H143*D143*(1+GrowthMarketRent)^5,IF(I143="Market",Retention*LCRenewal*H143*D143*(1+GrowthMarketRent)^5+(1-Retention)*LCNew*H143*D143*(1+GrowthMarketRent)^5,IF(I143="LeaseUp",LCNew*H143*D143*(1+GrowthMarketRent)^5,IF(I143="Option",LCRenewal*H143*D143*(1+GrowthMarketRent)^5,0))))),0))),0)</f>
        <v/>
      </c>
      <c r="AE143" s="14">
        <f>IFERROR(IF(AND(I143="LeaseUp",6=0),(IF(I143="Vacate",TINew*D143,IF(I143="Market",Retention*TIRenewal*D143+(1-Retention)*TINew*D143,IF(I143="LeaseUp",TINew*D143,IF(I143="Option",TIRenewal*D143,0)))))+(IF(I143="Vacate",LCNew*H143*D143*(1+GrowthMarketRent)^6,IF(I143="Market",Retention*LCRenewal*H143*D143*(1+GrowthMarketRent)^6+(1-Retention)*LCNew*H143*D143*(1+GrowthMarketRent)^6,IF(I143="LeaseUp",LCNew*H143*D143*(1+GrowthMarketRent)^6,IF(I143="Option",LCRenewal*H143*D143*(1+GrowthMarketRent)^6,0))))),IF(F143="",0,IF(AND(F143&gt;=DATE(2026+6,5,1),F143&lt;=DATE(2027+6,4,30)),(IF(I143="Vacate",TINew*D143,IF(I143="Market",Retention*TIRenewal*D143+(1-Retention)*TINew*D143,IF(I143="LeaseUp",TINew*D143,IF(I143="Option",TIRenewal*D143,0)))))+(IF(I143="Vacate",LCNew*H143*D143*(1+GrowthMarketRent)^6,IF(I143="Market",Retention*LCRenewal*H143*D143*(1+GrowthMarketRent)^6+(1-Retention)*LCNew*H143*D143*(1+GrowthMarketRent)^6,IF(I143="LeaseUp",LCNew*H143*D143*(1+GrowthMarketRent)^6,IF(I143="Option",LCRenewal*H143*D143*(1+GrowthMarketRent)^6,0))))),0))),0)</f>
        <v/>
      </c>
      <c r="AF143" s="14">
        <f>IFERROR(IF(AND(I143="LeaseUp",7=0),(IF(I143="Vacate",TINew*D143,IF(I143="Market",Retention*TIRenewal*D143+(1-Retention)*TINew*D143,IF(I143="LeaseUp",TINew*D143,IF(I143="Option",TIRenewal*D143,0)))))+(IF(I143="Vacate",LCNew*H143*D143*(1+GrowthMarketRent)^7,IF(I143="Market",Retention*LCRenewal*H143*D143*(1+GrowthMarketRent)^7+(1-Retention)*LCNew*H143*D143*(1+GrowthMarketRent)^7,IF(I143="LeaseUp",LCNew*H143*D143*(1+GrowthMarketRent)^7,IF(I143="Option",LCRenewal*H143*D143*(1+GrowthMarketRent)^7,0))))),IF(F143="",0,IF(AND(F143&gt;=DATE(2026+7,5,1),F143&lt;=DATE(2027+7,4,30)),(IF(I143="Vacate",TINew*D143,IF(I143="Market",Retention*TIRenewal*D143+(1-Retention)*TINew*D143,IF(I143="LeaseUp",TINew*D143,IF(I143="Option",TIRenewal*D143,0)))))+(IF(I143="Vacate",LCNew*H143*D143*(1+GrowthMarketRent)^7,IF(I143="Market",Retention*LCRenewal*H143*D143*(1+GrowthMarketRent)^7+(1-Retention)*LCNew*H143*D143*(1+GrowthMarketRent)^7,IF(I143="LeaseUp",LCNew*H143*D143*(1+GrowthMarketRent)^7,IF(I143="Option",LCRenewal*H143*D143*(1+GrowthMarketRent)^7,0))))),0))),0)</f>
        <v/>
      </c>
      <c r="AG143" s="14">
        <f>IFERROR(IF(AND(I143="LeaseUp",8=0),(IF(I143="Vacate",TINew*D143,IF(I143="Market",Retention*TIRenewal*D143+(1-Retention)*TINew*D143,IF(I143="LeaseUp",TINew*D143,IF(I143="Option",TIRenewal*D143,0)))))+(IF(I143="Vacate",LCNew*H143*D143*(1+GrowthMarketRent)^8,IF(I143="Market",Retention*LCRenewal*H143*D143*(1+GrowthMarketRent)^8+(1-Retention)*LCNew*H143*D143*(1+GrowthMarketRent)^8,IF(I143="LeaseUp",LCNew*H143*D143*(1+GrowthMarketRent)^8,IF(I143="Option",LCRenewal*H143*D143*(1+GrowthMarketRent)^8,0))))),IF(F143="",0,IF(AND(F143&gt;=DATE(2026+8,5,1),F143&lt;=DATE(2027+8,4,30)),(IF(I143="Vacate",TINew*D143,IF(I143="Market",Retention*TIRenewal*D143+(1-Retention)*TINew*D143,IF(I143="LeaseUp",TINew*D143,IF(I143="Option",TIRenewal*D143,0)))))+(IF(I143="Vacate",LCNew*H143*D143*(1+GrowthMarketRent)^8,IF(I143="Market",Retention*LCRenewal*H143*D143*(1+GrowthMarketRent)^8+(1-Retention)*LCNew*H143*D143*(1+GrowthMarketRent)^8,IF(I143="LeaseUp",LCNew*H143*D143*(1+GrowthMarketRent)^8,IF(I143="Option",LCRenewal*H143*D143*(1+GrowthMarketRent)^8,0))))),0))),0)</f>
        <v/>
      </c>
      <c r="AH143" s="14">
        <f>IFERROR(IF(AND(I143="LeaseUp",9=0),(IF(I143="Vacate",TINew*D143,IF(I143="Market",Retention*TIRenewal*D143+(1-Retention)*TINew*D143,IF(I143="LeaseUp",TINew*D143,IF(I143="Option",TIRenewal*D143,0)))))+(IF(I143="Vacate",LCNew*H143*D143*(1+GrowthMarketRent)^9,IF(I143="Market",Retention*LCRenewal*H143*D143*(1+GrowthMarketRent)^9+(1-Retention)*LCNew*H143*D143*(1+GrowthMarketRent)^9,IF(I143="LeaseUp",LCNew*H143*D143*(1+GrowthMarketRent)^9,IF(I143="Option",LCRenewal*H143*D143*(1+GrowthMarketRent)^9,0))))),IF(F143="",0,IF(AND(F143&gt;=DATE(2026+9,5,1),F143&lt;=DATE(2027+9,4,30)),(IF(I143="Vacate",TINew*D143,IF(I143="Market",Retention*TIRenewal*D143+(1-Retention)*TINew*D143,IF(I143="LeaseUp",TINew*D143,IF(I143="Option",TIRenewal*D143,0)))))+(IF(I143="Vacate",LCNew*H143*D143*(1+GrowthMarketRent)^9,IF(I143="Market",Retention*LCRenewal*H143*D143*(1+GrowthMarketRent)^9+(1-Retention)*LCNew*H143*D143*(1+GrowthMarketRent)^9,IF(I143="LeaseUp",LCNew*H143*D143*(1+GrowthMarketRent)^9,IF(I143="Option",LCRenewal*H143*D143*(1+GrowthMarketRent)^9,0))))),0))),0)</f>
        <v/>
      </c>
      <c r="AI143" s="14">
        <f>IFERROR(IF(AND(I143="LeaseUp",10=0),(IF(I143="Vacate",TINew*D143,IF(I143="Market",Retention*TIRenewal*D143+(1-Retention)*TINew*D143,IF(I143="LeaseUp",TINew*D143,IF(I143="Option",TIRenewal*D143,0)))))+(IF(I143="Vacate",LCNew*H143*D143*(1+GrowthMarketRent)^10,IF(I143="Market",Retention*LCRenewal*H143*D143*(1+GrowthMarketRent)^10+(1-Retention)*LCNew*H143*D143*(1+GrowthMarketRent)^10,IF(I143="LeaseUp",LCNew*H143*D143*(1+GrowthMarketRent)^10,IF(I143="Option",LCRenewal*H143*D143*(1+GrowthMarketRent)^10,0))))),IF(F143="",0,IF(AND(F143&gt;=DATE(2026+10,5,1),F143&lt;=DATE(2027+10,4,30)),(IF(I143="Vacate",TINew*D143,IF(I143="Market",Retention*TIRenewal*D143+(1-Retention)*TINew*D143,IF(I143="LeaseUp",TINew*D143,IF(I143="Option",TIRenewal*D143,0)))))+(IF(I143="Vacate",LCNew*H143*D143*(1+GrowthMarketRent)^10,IF(I143="Market",Retention*LCRenewal*H143*D143*(1+GrowthMarketRent)^10+(1-Retention)*LCNew*H143*D143*(1+GrowthMarketRent)^10,IF(I143="LeaseUp",LCNew*H143*D143*(1+GrowthMarketRent)^10,IF(I143="Option",LCRenewal*H143*D143*(1+GrowthMarketRent)^10,0))))),0))),0)</f>
        <v/>
      </c>
    </row>
    <row r="144">
      <c r="A144" t="inlineStr">
        <is>
          <t>Plano</t>
        </is>
      </c>
      <c r="B144" t="inlineStr">
        <is>
          <t>108</t>
        </is>
      </c>
      <c r="C144" t="inlineStr">
        <is>
          <t>Ipomoea Build Co LLC</t>
        </is>
      </c>
      <c r="D144" s="32" t="n">
        <v>2600</v>
      </c>
      <c r="E144" s="33" t="n">
        <v>44958</v>
      </c>
      <c r="F144" s="33" t="n">
        <v>46204</v>
      </c>
      <c r="G144" s="34" t="n">
        <v>15.0765384615385</v>
      </c>
      <c r="H144" s="16">
        <f>VLOOKUP(A144,MLA!$A$5:$L$11,3,FALSE)</f>
        <v/>
      </c>
      <c r="I144" s="11" t="inlineStr">
        <is>
          <t>Option</t>
        </is>
      </c>
      <c r="J144" t="inlineStr">
        <is>
          <t>Shop</t>
        </is>
      </c>
      <c r="K144" t="inlineStr">
        <is>
          <t>Occupied</t>
        </is>
      </c>
      <c r="L144" t="inlineStr">
        <is>
          <t>Shop; Two 3yr options @ 102.5%</t>
        </is>
      </c>
      <c r="M144" s="20">
        <f>IF(E144="",0,(AnalysisStart-E144)/365.25)</f>
        <v/>
      </c>
      <c r="N144" s="14">
        <f>IFERROR(IF(I144="LeaseUp",H144*D144*(1+GrowthMarketRent)^0*IF(0=0,(12-DowntimeNew)/12,1),IF(F144="",0,IF(F144&gt;=DATE(2027+0,4,30),G144*D144*(1+EscalatorInLease)^(0+M144),IF(F144&lt;DATE(2026+0,5,1),IF(I144="Vacate",H144*D144*(1+GrowthMarketRent)^0*IF(INT((DATE(2026+0,10,31)-F144)/365.25)=0,(12-DowntimeNew)/12,1),IF(I144="Option",G144*D144*1.025*(1+EscalatorInLease)^0,IF(I144="Market",Retention*G144*D144*(1+EscalatorInLease)^(0+M144)+(1-Retention)*H144*D144*(1+GrowthMarketRent)^0*IF(INT((DATE(2026+0,10,31)-F144)/365.25)=0,(12-DowntimeNew)/12,1),IF(I144="LeaseUp",H144*D144*(1+GrowthMarketRent)^0*IF(0=0,(12-DowntimeNew)/12,1),0)))),((F144-DATE(2026+0,5,1))/365.25)*G144*D144*(1+EscalatorInLease)^(0+M144)+((DATE(2027+0,4,30)-F144)/365.25)*IF(I144="Vacate",H144*D144*(1+GrowthMarketRent)^0*IF(INT((DATE(2026+0,10,31)-F144)/365.25)=0,(12-DowntimeNew)/12,1),IF(I144="Option",G144*D144*1.025*(1+EscalatorInLease)^0,IF(I144="Market",Retention*G144*D144*(1+EscalatorInLease)^(0+M144)+(1-Retention)*H144*D144*(1+GrowthMarketRent)^0*IF(INT((DATE(2026+0,10,31)-F144)/365.25)=0,(12-DowntimeNew)/12,1),IF(I144="LeaseUp",H144*D144*(1+GrowthMarketRent)^0*IF(0=0,(12-DowntimeNew)/12,1),0)))))))),0)</f>
        <v/>
      </c>
      <c r="O144" s="14">
        <f>IFERROR(IF(I144="LeaseUp",H144*D144*(1+GrowthMarketRent)^1*IF(1=0,(12-DowntimeNew)/12,1),IF(F144="",0,IF(F144&gt;=DATE(2027+1,4,30),G144*D144*(1+EscalatorInLease)^(1+M144),IF(F144&lt;DATE(2026+1,5,1),IF(I144="Vacate",H144*D144*(1+GrowthMarketRent)^1*IF(INT((DATE(2026+1,10,31)-F144)/365.25)=0,(12-DowntimeNew)/12,1),IF(I144="Option",G144*D144*1.025*(1+EscalatorInLease)^1,IF(I144="Market",Retention*G144*D144*(1+EscalatorInLease)^(1+M144)+(1-Retention)*H144*D144*(1+GrowthMarketRent)^1*IF(INT((DATE(2026+1,10,31)-F144)/365.25)=0,(12-DowntimeNew)/12,1),IF(I144="LeaseUp",H144*D144*(1+GrowthMarketRent)^1*IF(1=0,(12-DowntimeNew)/12,1),0)))),((F144-DATE(2026+1,5,1))/365.25)*G144*D144*(1+EscalatorInLease)^(1+M144)+((DATE(2027+1,4,30)-F144)/365.25)*IF(I144="Vacate",H144*D144*(1+GrowthMarketRent)^1*IF(INT((DATE(2026+1,10,31)-F144)/365.25)=0,(12-DowntimeNew)/12,1),IF(I144="Option",G144*D144*1.025*(1+EscalatorInLease)^1,IF(I144="Market",Retention*G144*D144*(1+EscalatorInLease)^(1+M144)+(1-Retention)*H144*D144*(1+GrowthMarketRent)^1*IF(INT((DATE(2026+1,10,31)-F144)/365.25)=0,(12-DowntimeNew)/12,1),IF(I144="LeaseUp",H144*D144*(1+GrowthMarketRent)^1*IF(1=0,(12-DowntimeNew)/12,1),0)))))))),0)</f>
        <v/>
      </c>
      <c r="P144" s="14">
        <f>IFERROR(IF(I144="LeaseUp",H144*D144*(1+GrowthMarketRent)^2*IF(2=0,(12-DowntimeNew)/12,1),IF(F144="",0,IF(F144&gt;=DATE(2027+2,4,30),G144*D144*(1+EscalatorInLease)^(2+M144),IF(F144&lt;DATE(2026+2,5,1),IF(I144="Vacate",H144*D144*(1+GrowthMarketRent)^2*IF(INT((DATE(2026+2,10,31)-F144)/365.25)=0,(12-DowntimeNew)/12,1),IF(I144="Option",G144*D144*1.025*(1+EscalatorInLease)^2,IF(I144="Market",Retention*G144*D144*(1+EscalatorInLease)^(2+M144)+(1-Retention)*H144*D144*(1+GrowthMarketRent)^2*IF(INT((DATE(2026+2,10,31)-F144)/365.25)=0,(12-DowntimeNew)/12,1),IF(I144="LeaseUp",H144*D144*(1+GrowthMarketRent)^2*IF(2=0,(12-DowntimeNew)/12,1),0)))),((F144-DATE(2026+2,5,1))/365.25)*G144*D144*(1+EscalatorInLease)^(2+M144)+((DATE(2027+2,4,30)-F144)/365.25)*IF(I144="Vacate",H144*D144*(1+GrowthMarketRent)^2*IF(INT((DATE(2026+2,10,31)-F144)/365.25)=0,(12-DowntimeNew)/12,1),IF(I144="Option",G144*D144*1.025*(1+EscalatorInLease)^2,IF(I144="Market",Retention*G144*D144*(1+EscalatorInLease)^(2+M144)+(1-Retention)*H144*D144*(1+GrowthMarketRent)^2*IF(INT((DATE(2026+2,10,31)-F144)/365.25)=0,(12-DowntimeNew)/12,1),IF(I144="LeaseUp",H144*D144*(1+GrowthMarketRent)^2*IF(2=0,(12-DowntimeNew)/12,1),0)))))))),0)</f>
        <v/>
      </c>
      <c r="Q144" s="14">
        <f>IFERROR(IF(I144="LeaseUp",H144*D144*(1+GrowthMarketRent)^3*IF(3=0,(12-DowntimeNew)/12,1),IF(F144="",0,IF(F144&gt;=DATE(2027+3,4,30),G144*D144*(1+EscalatorInLease)^(3+M144),IF(F144&lt;DATE(2026+3,5,1),IF(I144="Vacate",H144*D144*(1+GrowthMarketRent)^3*IF(INT((DATE(2026+3,10,31)-F144)/365.25)=0,(12-DowntimeNew)/12,1),IF(I144="Option",G144*D144*1.025*(1+EscalatorInLease)^3,IF(I144="Market",Retention*G144*D144*(1+EscalatorInLease)^(3+M144)+(1-Retention)*H144*D144*(1+GrowthMarketRent)^3*IF(INT((DATE(2026+3,10,31)-F144)/365.25)=0,(12-DowntimeNew)/12,1),IF(I144="LeaseUp",H144*D144*(1+GrowthMarketRent)^3*IF(3=0,(12-DowntimeNew)/12,1),0)))),((F144-DATE(2026+3,5,1))/365.25)*G144*D144*(1+EscalatorInLease)^(3+M144)+((DATE(2027+3,4,30)-F144)/365.25)*IF(I144="Vacate",H144*D144*(1+GrowthMarketRent)^3*IF(INT((DATE(2026+3,10,31)-F144)/365.25)=0,(12-DowntimeNew)/12,1),IF(I144="Option",G144*D144*1.025*(1+EscalatorInLease)^3,IF(I144="Market",Retention*G144*D144*(1+EscalatorInLease)^(3+M144)+(1-Retention)*H144*D144*(1+GrowthMarketRent)^3*IF(INT((DATE(2026+3,10,31)-F144)/365.25)=0,(12-DowntimeNew)/12,1),IF(I144="LeaseUp",H144*D144*(1+GrowthMarketRent)^3*IF(3=0,(12-DowntimeNew)/12,1),0)))))))),0)</f>
        <v/>
      </c>
      <c r="R144" s="14">
        <f>IFERROR(IF(I144="LeaseUp",H144*D144*(1+GrowthMarketRent)^4*IF(4=0,(12-DowntimeNew)/12,1),IF(F144="",0,IF(F144&gt;=DATE(2027+4,4,30),G144*D144*(1+EscalatorInLease)^(4+M144),IF(F144&lt;DATE(2026+4,5,1),IF(I144="Vacate",H144*D144*(1+GrowthMarketRent)^4*IF(INT((DATE(2026+4,10,31)-F144)/365.25)=0,(12-DowntimeNew)/12,1),IF(I144="Option",G144*D144*1.025*(1+EscalatorInLease)^4,IF(I144="Market",Retention*G144*D144*(1+EscalatorInLease)^(4+M144)+(1-Retention)*H144*D144*(1+GrowthMarketRent)^4*IF(INT((DATE(2026+4,10,31)-F144)/365.25)=0,(12-DowntimeNew)/12,1),IF(I144="LeaseUp",H144*D144*(1+GrowthMarketRent)^4*IF(4=0,(12-DowntimeNew)/12,1),0)))),((F144-DATE(2026+4,5,1))/365.25)*G144*D144*(1+EscalatorInLease)^(4+M144)+((DATE(2027+4,4,30)-F144)/365.25)*IF(I144="Vacate",H144*D144*(1+GrowthMarketRent)^4*IF(INT((DATE(2026+4,10,31)-F144)/365.25)=0,(12-DowntimeNew)/12,1),IF(I144="Option",G144*D144*1.025*(1+EscalatorInLease)^4,IF(I144="Market",Retention*G144*D144*(1+EscalatorInLease)^(4+M144)+(1-Retention)*H144*D144*(1+GrowthMarketRent)^4*IF(INT((DATE(2026+4,10,31)-F144)/365.25)=0,(12-DowntimeNew)/12,1),IF(I144="LeaseUp",H144*D144*(1+GrowthMarketRent)^4*IF(4=0,(12-DowntimeNew)/12,1),0)))))))),0)</f>
        <v/>
      </c>
      <c r="S144" s="14">
        <f>IFERROR(IF(I144="LeaseUp",H144*D144*(1+GrowthMarketRent)^5*IF(5=0,(12-DowntimeNew)/12,1),IF(F144="",0,IF(F144&gt;=DATE(2027+5,4,30),G144*D144*(1+EscalatorInLease)^(5+M144),IF(F144&lt;DATE(2026+5,5,1),IF(I144="Vacate",H144*D144*(1+GrowthMarketRent)^5*IF(INT((DATE(2026+5,10,31)-F144)/365.25)=0,(12-DowntimeNew)/12,1),IF(I144="Option",G144*D144*1.025*(1+EscalatorInLease)^5,IF(I144="Market",Retention*G144*D144*(1+EscalatorInLease)^(5+M144)+(1-Retention)*H144*D144*(1+GrowthMarketRent)^5*IF(INT((DATE(2026+5,10,31)-F144)/365.25)=0,(12-DowntimeNew)/12,1),IF(I144="LeaseUp",H144*D144*(1+GrowthMarketRent)^5*IF(5=0,(12-DowntimeNew)/12,1),0)))),((F144-DATE(2026+5,5,1))/365.25)*G144*D144*(1+EscalatorInLease)^(5+M144)+((DATE(2027+5,4,30)-F144)/365.25)*IF(I144="Vacate",H144*D144*(1+GrowthMarketRent)^5*IF(INT((DATE(2026+5,10,31)-F144)/365.25)=0,(12-DowntimeNew)/12,1),IF(I144="Option",G144*D144*1.025*(1+EscalatorInLease)^5,IF(I144="Market",Retention*G144*D144*(1+EscalatorInLease)^(5+M144)+(1-Retention)*H144*D144*(1+GrowthMarketRent)^5*IF(INT((DATE(2026+5,10,31)-F144)/365.25)=0,(12-DowntimeNew)/12,1),IF(I144="LeaseUp",H144*D144*(1+GrowthMarketRent)^5*IF(5=0,(12-DowntimeNew)/12,1),0)))))))),0)</f>
        <v/>
      </c>
      <c r="T144" s="14">
        <f>IFERROR(IF(I144="LeaseUp",H144*D144*(1+GrowthMarketRent)^6*IF(6=0,(12-DowntimeNew)/12,1),IF(F144="",0,IF(F144&gt;=DATE(2027+6,4,30),G144*D144*(1+EscalatorInLease)^(6+M144),IF(F144&lt;DATE(2026+6,5,1),IF(I144="Vacate",H144*D144*(1+GrowthMarketRent)^6*IF(INT((DATE(2026+6,10,31)-F144)/365.25)=0,(12-DowntimeNew)/12,1),IF(I144="Option",G144*D144*1.025*(1+EscalatorInLease)^6,IF(I144="Market",Retention*G144*D144*(1+EscalatorInLease)^(6+M144)+(1-Retention)*H144*D144*(1+GrowthMarketRent)^6*IF(INT((DATE(2026+6,10,31)-F144)/365.25)=0,(12-DowntimeNew)/12,1),IF(I144="LeaseUp",H144*D144*(1+GrowthMarketRent)^6*IF(6=0,(12-DowntimeNew)/12,1),0)))),((F144-DATE(2026+6,5,1))/365.25)*G144*D144*(1+EscalatorInLease)^(6+M144)+((DATE(2027+6,4,30)-F144)/365.25)*IF(I144="Vacate",H144*D144*(1+GrowthMarketRent)^6*IF(INT((DATE(2026+6,10,31)-F144)/365.25)=0,(12-DowntimeNew)/12,1),IF(I144="Option",G144*D144*1.025*(1+EscalatorInLease)^6,IF(I144="Market",Retention*G144*D144*(1+EscalatorInLease)^(6+M144)+(1-Retention)*H144*D144*(1+GrowthMarketRent)^6*IF(INT((DATE(2026+6,10,31)-F144)/365.25)=0,(12-DowntimeNew)/12,1),IF(I144="LeaseUp",H144*D144*(1+GrowthMarketRent)^6*IF(6=0,(12-DowntimeNew)/12,1),0)))))))),0)</f>
        <v/>
      </c>
      <c r="U144" s="14">
        <f>IFERROR(IF(I144="LeaseUp",H144*D144*(1+GrowthMarketRent)^7*IF(7=0,(12-DowntimeNew)/12,1),IF(F144="",0,IF(F144&gt;=DATE(2027+7,4,30),G144*D144*(1+EscalatorInLease)^(7+M144),IF(F144&lt;DATE(2026+7,5,1),IF(I144="Vacate",H144*D144*(1+GrowthMarketRent)^7*IF(INT((DATE(2026+7,10,31)-F144)/365.25)=0,(12-DowntimeNew)/12,1),IF(I144="Option",G144*D144*1.025*(1+EscalatorInLease)^7,IF(I144="Market",Retention*G144*D144*(1+EscalatorInLease)^(7+M144)+(1-Retention)*H144*D144*(1+GrowthMarketRent)^7*IF(INT((DATE(2026+7,10,31)-F144)/365.25)=0,(12-DowntimeNew)/12,1),IF(I144="LeaseUp",H144*D144*(1+GrowthMarketRent)^7*IF(7=0,(12-DowntimeNew)/12,1),0)))),((F144-DATE(2026+7,5,1))/365.25)*G144*D144*(1+EscalatorInLease)^(7+M144)+((DATE(2027+7,4,30)-F144)/365.25)*IF(I144="Vacate",H144*D144*(1+GrowthMarketRent)^7*IF(INT((DATE(2026+7,10,31)-F144)/365.25)=0,(12-DowntimeNew)/12,1),IF(I144="Option",G144*D144*1.025*(1+EscalatorInLease)^7,IF(I144="Market",Retention*G144*D144*(1+EscalatorInLease)^(7+M144)+(1-Retention)*H144*D144*(1+GrowthMarketRent)^7*IF(INT((DATE(2026+7,10,31)-F144)/365.25)=0,(12-DowntimeNew)/12,1),IF(I144="LeaseUp",H144*D144*(1+GrowthMarketRent)^7*IF(7=0,(12-DowntimeNew)/12,1),0)))))))),0)</f>
        <v/>
      </c>
      <c r="V144" s="14">
        <f>IFERROR(IF(I144="LeaseUp",H144*D144*(1+GrowthMarketRent)^8*IF(8=0,(12-DowntimeNew)/12,1),IF(F144="",0,IF(F144&gt;=DATE(2027+8,4,30),G144*D144*(1+EscalatorInLease)^(8+M144),IF(F144&lt;DATE(2026+8,5,1),IF(I144="Vacate",H144*D144*(1+GrowthMarketRent)^8*IF(INT((DATE(2026+8,10,31)-F144)/365.25)=0,(12-DowntimeNew)/12,1),IF(I144="Option",G144*D144*1.025*(1+EscalatorInLease)^8,IF(I144="Market",Retention*G144*D144*(1+EscalatorInLease)^(8+M144)+(1-Retention)*H144*D144*(1+GrowthMarketRent)^8*IF(INT((DATE(2026+8,10,31)-F144)/365.25)=0,(12-DowntimeNew)/12,1),IF(I144="LeaseUp",H144*D144*(1+GrowthMarketRent)^8*IF(8=0,(12-DowntimeNew)/12,1),0)))),((F144-DATE(2026+8,5,1))/365.25)*G144*D144*(1+EscalatorInLease)^(8+M144)+((DATE(2027+8,4,30)-F144)/365.25)*IF(I144="Vacate",H144*D144*(1+GrowthMarketRent)^8*IF(INT((DATE(2026+8,10,31)-F144)/365.25)=0,(12-DowntimeNew)/12,1),IF(I144="Option",G144*D144*1.025*(1+EscalatorInLease)^8,IF(I144="Market",Retention*G144*D144*(1+EscalatorInLease)^(8+M144)+(1-Retention)*H144*D144*(1+GrowthMarketRent)^8*IF(INT((DATE(2026+8,10,31)-F144)/365.25)=0,(12-DowntimeNew)/12,1),IF(I144="LeaseUp",H144*D144*(1+GrowthMarketRent)^8*IF(8=0,(12-DowntimeNew)/12,1),0)))))))),0)</f>
        <v/>
      </c>
      <c r="W144" s="14">
        <f>IFERROR(IF(I144="LeaseUp",H144*D144*(1+GrowthMarketRent)^9*IF(9=0,(12-DowntimeNew)/12,1),IF(F144="",0,IF(F144&gt;=DATE(2027+9,4,30),G144*D144*(1+EscalatorInLease)^(9+M144),IF(F144&lt;DATE(2026+9,5,1),IF(I144="Vacate",H144*D144*(1+GrowthMarketRent)^9*IF(INT((DATE(2026+9,10,31)-F144)/365.25)=0,(12-DowntimeNew)/12,1),IF(I144="Option",G144*D144*1.025*(1+EscalatorInLease)^9,IF(I144="Market",Retention*G144*D144*(1+EscalatorInLease)^(9+M144)+(1-Retention)*H144*D144*(1+GrowthMarketRent)^9*IF(INT((DATE(2026+9,10,31)-F144)/365.25)=0,(12-DowntimeNew)/12,1),IF(I144="LeaseUp",H144*D144*(1+GrowthMarketRent)^9*IF(9=0,(12-DowntimeNew)/12,1),0)))),((F144-DATE(2026+9,5,1))/365.25)*G144*D144*(1+EscalatorInLease)^(9+M144)+((DATE(2027+9,4,30)-F144)/365.25)*IF(I144="Vacate",H144*D144*(1+GrowthMarketRent)^9*IF(INT((DATE(2026+9,10,31)-F144)/365.25)=0,(12-DowntimeNew)/12,1),IF(I144="Option",G144*D144*1.025*(1+EscalatorInLease)^9,IF(I144="Market",Retention*G144*D144*(1+EscalatorInLease)^(9+M144)+(1-Retention)*H144*D144*(1+GrowthMarketRent)^9*IF(INT((DATE(2026+9,10,31)-F144)/365.25)=0,(12-DowntimeNew)/12,1),IF(I144="LeaseUp",H144*D144*(1+GrowthMarketRent)^9*IF(9=0,(12-DowntimeNew)/12,1),0)))))))),0)</f>
        <v/>
      </c>
      <c r="X144" s="14">
        <f>IFERROR(IF(I144="LeaseUp",H144*D144*(1+GrowthMarketRent)^10*IF(10=0,(12-DowntimeNew)/12,1),IF(F144="",0,IF(F144&gt;=DATE(2027+10,4,30),G144*D144*(1+EscalatorInLease)^(10+M144),IF(F144&lt;DATE(2026+10,5,1),IF(I144="Vacate",H144*D144*(1+GrowthMarketRent)^10*IF(INT((DATE(2026+10,10,31)-F144)/365.25)=0,(12-DowntimeNew)/12,1),IF(I144="Option",G144*D144*1.025*(1+EscalatorInLease)^10,IF(I144="Market",Retention*G144*D144*(1+EscalatorInLease)^(10+M144)+(1-Retention)*H144*D144*(1+GrowthMarketRent)^10*IF(INT((DATE(2026+10,10,31)-F144)/365.25)=0,(12-DowntimeNew)/12,1),IF(I144="LeaseUp",H144*D144*(1+GrowthMarketRent)^10*IF(10=0,(12-DowntimeNew)/12,1),0)))),((F144-DATE(2026+10,5,1))/365.25)*G144*D144*(1+EscalatorInLease)^(10+M144)+((DATE(2027+10,4,30)-F144)/365.25)*IF(I144="Vacate",H144*D144*(1+GrowthMarketRent)^10*IF(INT((DATE(2026+10,10,31)-F144)/365.25)=0,(12-DowntimeNew)/12,1),IF(I144="Option",G144*D144*1.025*(1+EscalatorInLease)^10,IF(I144="Market",Retention*G144*D144*(1+EscalatorInLease)^(10+M144)+(1-Retention)*H144*D144*(1+GrowthMarketRent)^10*IF(INT((DATE(2026+10,10,31)-F144)/365.25)=0,(12-DowntimeNew)/12,1),IF(I144="LeaseUp",H144*D144*(1+GrowthMarketRent)^10*IF(10=0,(12-DowntimeNew)/12,1),0)))))))),0)</f>
        <v/>
      </c>
      <c r="Y144" s="14">
        <f>IFERROR(IF(AND(I144="LeaseUp",0=0),(IF(I144="Vacate",TINew*D144,IF(I144="Market",Retention*TIRenewal*D144+(1-Retention)*TINew*D144,IF(I144="LeaseUp",TINew*D144,IF(I144="Option",TIRenewal*D144,0)))))+(IF(I144="Vacate",LCNew*H144*D144*(1+GrowthMarketRent)^0,IF(I144="Market",Retention*LCRenewal*H144*D144*(1+GrowthMarketRent)^0+(1-Retention)*LCNew*H144*D144*(1+GrowthMarketRent)^0,IF(I144="LeaseUp",LCNew*H144*D144*(1+GrowthMarketRent)^0,IF(I144="Option",LCRenewal*H144*D144*(1+GrowthMarketRent)^0,0))))),IF(F144="",0,IF(AND(F144&gt;=DATE(2026+0,5,1),F144&lt;=DATE(2027+0,4,30)),(IF(I144="Vacate",TINew*D144,IF(I144="Market",Retention*TIRenewal*D144+(1-Retention)*TINew*D144,IF(I144="LeaseUp",TINew*D144,IF(I144="Option",TIRenewal*D144,0)))))+(IF(I144="Vacate",LCNew*H144*D144*(1+GrowthMarketRent)^0,IF(I144="Market",Retention*LCRenewal*H144*D144*(1+GrowthMarketRent)^0+(1-Retention)*LCNew*H144*D144*(1+GrowthMarketRent)^0,IF(I144="LeaseUp",LCNew*H144*D144*(1+GrowthMarketRent)^0,IF(I144="Option",LCRenewal*H144*D144*(1+GrowthMarketRent)^0,0))))),0))),0)</f>
        <v/>
      </c>
      <c r="Z144" s="14">
        <f>IFERROR(IF(AND(I144="LeaseUp",1=0),(IF(I144="Vacate",TINew*D144,IF(I144="Market",Retention*TIRenewal*D144+(1-Retention)*TINew*D144,IF(I144="LeaseUp",TINew*D144,IF(I144="Option",TIRenewal*D144,0)))))+(IF(I144="Vacate",LCNew*H144*D144*(1+GrowthMarketRent)^1,IF(I144="Market",Retention*LCRenewal*H144*D144*(1+GrowthMarketRent)^1+(1-Retention)*LCNew*H144*D144*(1+GrowthMarketRent)^1,IF(I144="LeaseUp",LCNew*H144*D144*(1+GrowthMarketRent)^1,IF(I144="Option",LCRenewal*H144*D144*(1+GrowthMarketRent)^1,0))))),IF(F144="",0,IF(AND(F144&gt;=DATE(2026+1,5,1),F144&lt;=DATE(2027+1,4,30)),(IF(I144="Vacate",TINew*D144,IF(I144="Market",Retention*TIRenewal*D144+(1-Retention)*TINew*D144,IF(I144="LeaseUp",TINew*D144,IF(I144="Option",TIRenewal*D144,0)))))+(IF(I144="Vacate",LCNew*H144*D144*(1+GrowthMarketRent)^1,IF(I144="Market",Retention*LCRenewal*H144*D144*(1+GrowthMarketRent)^1+(1-Retention)*LCNew*H144*D144*(1+GrowthMarketRent)^1,IF(I144="LeaseUp",LCNew*H144*D144*(1+GrowthMarketRent)^1,IF(I144="Option",LCRenewal*H144*D144*(1+GrowthMarketRent)^1,0))))),0))),0)</f>
        <v/>
      </c>
      <c r="AA144" s="14">
        <f>IFERROR(IF(AND(I144="LeaseUp",2=0),(IF(I144="Vacate",TINew*D144,IF(I144="Market",Retention*TIRenewal*D144+(1-Retention)*TINew*D144,IF(I144="LeaseUp",TINew*D144,IF(I144="Option",TIRenewal*D144,0)))))+(IF(I144="Vacate",LCNew*H144*D144*(1+GrowthMarketRent)^2,IF(I144="Market",Retention*LCRenewal*H144*D144*(1+GrowthMarketRent)^2+(1-Retention)*LCNew*H144*D144*(1+GrowthMarketRent)^2,IF(I144="LeaseUp",LCNew*H144*D144*(1+GrowthMarketRent)^2,IF(I144="Option",LCRenewal*H144*D144*(1+GrowthMarketRent)^2,0))))),IF(F144="",0,IF(AND(F144&gt;=DATE(2026+2,5,1),F144&lt;=DATE(2027+2,4,30)),(IF(I144="Vacate",TINew*D144,IF(I144="Market",Retention*TIRenewal*D144+(1-Retention)*TINew*D144,IF(I144="LeaseUp",TINew*D144,IF(I144="Option",TIRenewal*D144,0)))))+(IF(I144="Vacate",LCNew*H144*D144*(1+GrowthMarketRent)^2,IF(I144="Market",Retention*LCRenewal*H144*D144*(1+GrowthMarketRent)^2+(1-Retention)*LCNew*H144*D144*(1+GrowthMarketRent)^2,IF(I144="LeaseUp",LCNew*H144*D144*(1+GrowthMarketRent)^2,IF(I144="Option",LCRenewal*H144*D144*(1+GrowthMarketRent)^2,0))))),0))),0)</f>
        <v/>
      </c>
      <c r="AB144" s="14">
        <f>IFERROR(IF(AND(I144="LeaseUp",3=0),(IF(I144="Vacate",TINew*D144,IF(I144="Market",Retention*TIRenewal*D144+(1-Retention)*TINew*D144,IF(I144="LeaseUp",TINew*D144,IF(I144="Option",TIRenewal*D144,0)))))+(IF(I144="Vacate",LCNew*H144*D144*(1+GrowthMarketRent)^3,IF(I144="Market",Retention*LCRenewal*H144*D144*(1+GrowthMarketRent)^3+(1-Retention)*LCNew*H144*D144*(1+GrowthMarketRent)^3,IF(I144="LeaseUp",LCNew*H144*D144*(1+GrowthMarketRent)^3,IF(I144="Option",LCRenewal*H144*D144*(1+GrowthMarketRent)^3,0))))),IF(F144="",0,IF(AND(F144&gt;=DATE(2026+3,5,1),F144&lt;=DATE(2027+3,4,30)),(IF(I144="Vacate",TINew*D144,IF(I144="Market",Retention*TIRenewal*D144+(1-Retention)*TINew*D144,IF(I144="LeaseUp",TINew*D144,IF(I144="Option",TIRenewal*D144,0)))))+(IF(I144="Vacate",LCNew*H144*D144*(1+GrowthMarketRent)^3,IF(I144="Market",Retention*LCRenewal*H144*D144*(1+GrowthMarketRent)^3+(1-Retention)*LCNew*H144*D144*(1+GrowthMarketRent)^3,IF(I144="LeaseUp",LCNew*H144*D144*(1+GrowthMarketRent)^3,IF(I144="Option",LCRenewal*H144*D144*(1+GrowthMarketRent)^3,0))))),0))),0)</f>
        <v/>
      </c>
      <c r="AC144" s="14">
        <f>IFERROR(IF(AND(I144="LeaseUp",4=0),(IF(I144="Vacate",TINew*D144,IF(I144="Market",Retention*TIRenewal*D144+(1-Retention)*TINew*D144,IF(I144="LeaseUp",TINew*D144,IF(I144="Option",TIRenewal*D144,0)))))+(IF(I144="Vacate",LCNew*H144*D144*(1+GrowthMarketRent)^4,IF(I144="Market",Retention*LCRenewal*H144*D144*(1+GrowthMarketRent)^4+(1-Retention)*LCNew*H144*D144*(1+GrowthMarketRent)^4,IF(I144="LeaseUp",LCNew*H144*D144*(1+GrowthMarketRent)^4,IF(I144="Option",LCRenewal*H144*D144*(1+GrowthMarketRent)^4,0))))),IF(F144="",0,IF(AND(F144&gt;=DATE(2026+4,5,1),F144&lt;=DATE(2027+4,4,30)),(IF(I144="Vacate",TINew*D144,IF(I144="Market",Retention*TIRenewal*D144+(1-Retention)*TINew*D144,IF(I144="LeaseUp",TINew*D144,IF(I144="Option",TIRenewal*D144,0)))))+(IF(I144="Vacate",LCNew*H144*D144*(1+GrowthMarketRent)^4,IF(I144="Market",Retention*LCRenewal*H144*D144*(1+GrowthMarketRent)^4+(1-Retention)*LCNew*H144*D144*(1+GrowthMarketRent)^4,IF(I144="LeaseUp",LCNew*H144*D144*(1+GrowthMarketRent)^4,IF(I144="Option",LCRenewal*H144*D144*(1+GrowthMarketRent)^4,0))))),0))),0)</f>
        <v/>
      </c>
      <c r="AD144" s="14">
        <f>IFERROR(IF(AND(I144="LeaseUp",5=0),(IF(I144="Vacate",TINew*D144,IF(I144="Market",Retention*TIRenewal*D144+(1-Retention)*TINew*D144,IF(I144="LeaseUp",TINew*D144,IF(I144="Option",TIRenewal*D144,0)))))+(IF(I144="Vacate",LCNew*H144*D144*(1+GrowthMarketRent)^5,IF(I144="Market",Retention*LCRenewal*H144*D144*(1+GrowthMarketRent)^5+(1-Retention)*LCNew*H144*D144*(1+GrowthMarketRent)^5,IF(I144="LeaseUp",LCNew*H144*D144*(1+GrowthMarketRent)^5,IF(I144="Option",LCRenewal*H144*D144*(1+GrowthMarketRent)^5,0))))),IF(F144="",0,IF(AND(F144&gt;=DATE(2026+5,5,1),F144&lt;=DATE(2027+5,4,30)),(IF(I144="Vacate",TINew*D144,IF(I144="Market",Retention*TIRenewal*D144+(1-Retention)*TINew*D144,IF(I144="LeaseUp",TINew*D144,IF(I144="Option",TIRenewal*D144,0)))))+(IF(I144="Vacate",LCNew*H144*D144*(1+GrowthMarketRent)^5,IF(I144="Market",Retention*LCRenewal*H144*D144*(1+GrowthMarketRent)^5+(1-Retention)*LCNew*H144*D144*(1+GrowthMarketRent)^5,IF(I144="LeaseUp",LCNew*H144*D144*(1+GrowthMarketRent)^5,IF(I144="Option",LCRenewal*H144*D144*(1+GrowthMarketRent)^5,0))))),0))),0)</f>
        <v/>
      </c>
      <c r="AE144" s="14">
        <f>IFERROR(IF(AND(I144="LeaseUp",6=0),(IF(I144="Vacate",TINew*D144,IF(I144="Market",Retention*TIRenewal*D144+(1-Retention)*TINew*D144,IF(I144="LeaseUp",TINew*D144,IF(I144="Option",TIRenewal*D144,0)))))+(IF(I144="Vacate",LCNew*H144*D144*(1+GrowthMarketRent)^6,IF(I144="Market",Retention*LCRenewal*H144*D144*(1+GrowthMarketRent)^6+(1-Retention)*LCNew*H144*D144*(1+GrowthMarketRent)^6,IF(I144="LeaseUp",LCNew*H144*D144*(1+GrowthMarketRent)^6,IF(I144="Option",LCRenewal*H144*D144*(1+GrowthMarketRent)^6,0))))),IF(F144="",0,IF(AND(F144&gt;=DATE(2026+6,5,1),F144&lt;=DATE(2027+6,4,30)),(IF(I144="Vacate",TINew*D144,IF(I144="Market",Retention*TIRenewal*D144+(1-Retention)*TINew*D144,IF(I144="LeaseUp",TINew*D144,IF(I144="Option",TIRenewal*D144,0)))))+(IF(I144="Vacate",LCNew*H144*D144*(1+GrowthMarketRent)^6,IF(I144="Market",Retention*LCRenewal*H144*D144*(1+GrowthMarketRent)^6+(1-Retention)*LCNew*H144*D144*(1+GrowthMarketRent)^6,IF(I144="LeaseUp",LCNew*H144*D144*(1+GrowthMarketRent)^6,IF(I144="Option",LCRenewal*H144*D144*(1+GrowthMarketRent)^6,0))))),0))),0)</f>
        <v/>
      </c>
      <c r="AF144" s="14">
        <f>IFERROR(IF(AND(I144="LeaseUp",7=0),(IF(I144="Vacate",TINew*D144,IF(I144="Market",Retention*TIRenewal*D144+(1-Retention)*TINew*D144,IF(I144="LeaseUp",TINew*D144,IF(I144="Option",TIRenewal*D144,0)))))+(IF(I144="Vacate",LCNew*H144*D144*(1+GrowthMarketRent)^7,IF(I144="Market",Retention*LCRenewal*H144*D144*(1+GrowthMarketRent)^7+(1-Retention)*LCNew*H144*D144*(1+GrowthMarketRent)^7,IF(I144="LeaseUp",LCNew*H144*D144*(1+GrowthMarketRent)^7,IF(I144="Option",LCRenewal*H144*D144*(1+GrowthMarketRent)^7,0))))),IF(F144="",0,IF(AND(F144&gt;=DATE(2026+7,5,1),F144&lt;=DATE(2027+7,4,30)),(IF(I144="Vacate",TINew*D144,IF(I144="Market",Retention*TIRenewal*D144+(1-Retention)*TINew*D144,IF(I144="LeaseUp",TINew*D144,IF(I144="Option",TIRenewal*D144,0)))))+(IF(I144="Vacate",LCNew*H144*D144*(1+GrowthMarketRent)^7,IF(I144="Market",Retention*LCRenewal*H144*D144*(1+GrowthMarketRent)^7+(1-Retention)*LCNew*H144*D144*(1+GrowthMarketRent)^7,IF(I144="LeaseUp",LCNew*H144*D144*(1+GrowthMarketRent)^7,IF(I144="Option",LCRenewal*H144*D144*(1+GrowthMarketRent)^7,0))))),0))),0)</f>
        <v/>
      </c>
      <c r="AG144" s="14">
        <f>IFERROR(IF(AND(I144="LeaseUp",8=0),(IF(I144="Vacate",TINew*D144,IF(I144="Market",Retention*TIRenewal*D144+(1-Retention)*TINew*D144,IF(I144="LeaseUp",TINew*D144,IF(I144="Option",TIRenewal*D144,0)))))+(IF(I144="Vacate",LCNew*H144*D144*(1+GrowthMarketRent)^8,IF(I144="Market",Retention*LCRenewal*H144*D144*(1+GrowthMarketRent)^8+(1-Retention)*LCNew*H144*D144*(1+GrowthMarketRent)^8,IF(I144="LeaseUp",LCNew*H144*D144*(1+GrowthMarketRent)^8,IF(I144="Option",LCRenewal*H144*D144*(1+GrowthMarketRent)^8,0))))),IF(F144="",0,IF(AND(F144&gt;=DATE(2026+8,5,1),F144&lt;=DATE(2027+8,4,30)),(IF(I144="Vacate",TINew*D144,IF(I144="Market",Retention*TIRenewal*D144+(1-Retention)*TINew*D144,IF(I144="LeaseUp",TINew*D144,IF(I144="Option",TIRenewal*D144,0)))))+(IF(I144="Vacate",LCNew*H144*D144*(1+GrowthMarketRent)^8,IF(I144="Market",Retention*LCRenewal*H144*D144*(1+GrowthMarketRent)^8+(1-Retention)*LCNew*H144*D144*(1+GrowthMarketRent)^8,IF(I144="LeaseUp",LCNew*H144*D144*(1+GrowthMarketRent)^8,IF(I144="Option",LCRenewal*H144*D144*(1+GrowthMarketRent)^8,0))))),0))),0)</f>
        <v/>
      </c>
      <c r="AH144" s="14">
        <f>IFERROR(IF(AND(I144="LeaseUp",9=0),(IF(I144="Vacate",TINew*D144,IF(I144="Market",Retention*TIRenewal*D144+(1-Retention)*TINew*D144,IF(I144="LeaseUp",TINew*D144,IF(I144="Option",TIRenewal*D144,0)))))+(IF(I144="Vacate",LCNew*H144*D144*(1+GrowthMarketRent)^9,IF(I144="Market",Retention*LCRenewal*H144*D144*(1+GrowthMarketRent)^9+(1-Retention)*LCNew*H144*D144*(1+GrowthMarketRent)^9,IF(I144="LeaseUp",LCNew*H144*D144*(1+GrowthMarketRent)^9,IF(I144="Option",LCRenewal*H144*D144*(1+GrowthMarketRent)^9,0))))),IF(F144="",0,IF(AND(F144&gt;=DATE(2026+9,5,1),F144&lt;=DATE(2027+9,4,30)),(IF(I144="Vacate",TINew*D144,IF(I144="Market",Retention*TIRenewal*D144+(1-Retention)*TINew*D144,IF(I144="LeaseUp",TINew*D144,IF(I144="Option",TIRenewal*D144,0)))))+(IF(I144="Vacate",LCNew*H144*D144*(1+GrowthMarketRent)^9,IF(I144="Market",Retention*LCRenewal*H144*D144*(1+GrowthMarketRent)^9+(1-Retention)*LCNew*H144*D144*(1+GrowthMarketRent)^9,IF(I144="LeaseUp",LCNew*H144*D144*(1+GrowthMarketRent)^9,IF(I144="Option",LCRenewal*H144*D144*(1+GrowthMarketRent)^9,0))))),0))),0)</f>
        <v/>
      </c>
      <c r="AI144" s="14">
        <f>IFERROR(IF(AND(I144="LeaseUp",10=0),(IF(I144="Vacate",TINew*D144,IF(I144="Market",Retention*TIRenewal*D144+(1-Retention)*TINew*D144,IF(I144="LeaseUp",TINew*D144,IF(I144="Option",TIRenewal*D144,0)))))+(IF(I144="Vacate",LCNew*H144*D144*(1+GrowthMarketRent)^10,IF(I144="Market",Retention*LCRenewal*H144*D144*(1+GrowthMarketRent)^10+(1-Retention)*LCNew*H144*D144*(1+GrowthMarketRent)^10,IF(I144="LeaseUp",LCNew*H144*D144*(1+GrowthMarketRent)^10,IF(I144="Option",LCRenewal*H144*D144*(1+GrowthMarketRent)^10,0))))),IF(F144="",0,IF(AND(F144&gt;=DATE(2026+10,5,1),F144&lt;=DATE(2027+10,4,30)),(IF(I144="Vacate",TINew*D144,IF(I144="Market",Retention*TIRenewal*D144+(1-Retention)*TINew*D144,IF(I144="LeaseUp",TINew*D144,IF(I144="Option",TIRenewal*D144,0)))))+(IF(I144="Vacate",LCNew*H144*D144*(1+GrowthMarketRent)^10,IF(I144="Market",Retention*LCRenewal*H144*D144*(1+GrowthMarketRent)^10+(1-Retention)*LCNew*H144*D144*(1+GrowthMarketRent)^10,IF(I144="LeaseUp",LCNew*H144*D144*(1+GrowthMarketRent)^10,IF(I144="Option",LCRenewal*H144*D144*(1+GrowthMarketRent)^10,0))))),0))),0)</f>
        <v/>
      </c>
    </row>
    <row r="145">
      <c r="A145" t="inlineStr">
        <is>
          <t>Plano</t>
        </is>
      </c>
      <c r="B145" t="inlineStr">
        <is>
          <t>109</t>
        </is>
      </c>
      <c r="C145" t="inlineStr">
        <is>
          <t>Humble Crew Auto Spa LLC</t>
        </is>
      </c>
      <c r="D145" s="32" t="n">
        <v>2600</v>
      </c>
      <c r="E145" s="33" t="n">
        <v>45717</v>
      </c>
      <c r="F145" s="33" t="n">
        <v>46419</v>
      </c>
      <c r="G145" s="34" t="n">
        <v>18.45</v>
      </c>
      <c r="H145" s="16">
        <f>VLOOKUP(A145,MLA!$A$5:$L$11,3,FALSE)</f>
        <v/>
      </c>
      <c r="I145" s="11" t="inlineStr">
        <is>
          <t>Option</t>
        </is>
      </c>
      <c r="J145" t="inlineStr">
        <is>
          <t>Shop</t>
        </is>
      </c>
      <c r="K145" t="inlineStr">
        <is>
          <t>Occupied</t>
        </is>
      </c>
      <c r="L145" t="inlineStr">
        <is>
          <t>Shop; Guarantor: Pran Shree; Two 3yr options @ FMV</t>
        </is>
      </c>
      <c r="M145" s="20">
        <f>IF(E145="",0,(AnalysisStart-E145)/365.25)</f>
        <v/>
      </c>
      <c r="N145" s="14">
        <f>IFERROR(IF(I145="LeaseUp",H145*D145*(1+GrowthMarketRent)^0*IF(0=0,(12-DowntimeNew)/12,1),IF(F145="",0,IF(F145&gt;=DATE(2027+0,4,30),G145*D145*(1+EscalatorInLease)^(0+M145),IF(F145&lt;DATE(2026+0,5,1),IF(I145="Vacate",H145*D145*(1+GrowthMarketRent)^0*IF(INT((DATE(2026+0,10,31)-F145)/365.25)=0,(12-DowntimeNew)/12,1),IF(I145="Option",G145*D145*1.025*(1+EscalatorInLease)^0,IF(I145="Market",Retention*G145*D145*(1+EscalatorInLease)^(0+M145)+(1-Retention)*H145*D145*(1+GrowthMarketRent)^0*IF(INT((DATE(2026+0,10,31)-F145)/365.25)=0,(12-DowntimeNew)/12,1),IF(I145="LeaseUp",H145*D145*(1+GrowthMarketRent)^0*IF(0=0,(12-DowntimeNew)/12,1),0)))),((F145-DATE(2026+0,5,1))/365.25)*G145*D145*(1+EscalatorInLease)^(0+M145)+((DATE(2027+0,4,30)-F145)/365.25)*IF(I145="Vacate",H145*D145*(1+GrowthMarketRent)^0*IF(INT((DATE(2026+0,10,31)-F145)/365.25)=0,(12-DowntimeNew)/12,1),IF(I145="Option",G145*D145*1.025*(1+EscalatorInLease)^0,IF(I145="Market",Retention*G145*D145*(1+EscalatorInLease)^(0+M145)+(1-Retention)*H145*D145*(1+GrowthMarketRent)^0*IF(INT((DATE(2026+0,10,31)-F145)/365.25)=0,(12-DowntimeNew)/12,1),IF(I145="LeaseUp",H145*D145*(1+GrowthMarketRent)^0*IF(0=0,(12-DowntimeNew)/12,1),0)))))))),0)</f>
        <v/>
      </c>
      <c r="O145" s="14">
        <f>IFERROR(IF(I145="LeaseUp",H145*D145*(1+GrowthMarketRent)^1*IF(1=0,(12-DowntimeNew)/12,1),IF(F145="",0,IF(F145&gt;=DATE(2027+1,4,30),G145*D145*(1+EscalatorInLease)^(1+M145),IF(F145&lt;DATE(2026+1,5,1),IF(I145="Vacate",H145*D145*(1+GrowthMarketRent)^1*IF(INT((DATE(2026+1,10,31)-F145)/365.25)=0,(12-DowntimeNew)/12,1),IF(I145="Option",G145*D145*1.025*(1+EscalatorInLease)^1,IF(I145="Market",Retention*G145*D145*(1+EscalatorInLease)^(1+M145)+(1-Retention)*H145*D145*(1+GrowthMarketRent)^1*IF(INT((DATE(2026+1,10,31)-F145)/365.25)=0,(12-DowntimeNew)/12,1),IF(I145="LeaseUp",H145*D145*(1+GrowthMarketRent)^1*IF(1=0,(12-DowntimeNew)/12,1),0)))),((F145-DATE(2026+1,5,1))/365.25)*G145*D145*(1+EscalatorInLease)^(1+M145)+((DATE(2027+1,4,30)-F145)/365.25)*IF(I145="Vacate",H145*D145*(1+GrowthMarketRent)^1*IF(INT((DATE(2026+1,10,31)-F145)/365.25)=0,(12-DowntimeNew)/12,1),IF(I145="Option",G145*D145*1.025*(1+EscalatorInLease)^1,IF(I145="Market",Retention*G145*D145*(1+EscalatorInLease)^(1+M145)+(1-Retention)*H145*D145*(1+GrowthMarketRent)^1*IF(INT((DATE(2026+1,10,31)-F145)/365.25)=0,(12-DowntimeNew)/12,1),IF(I145="LeaseUp",H145*D145*(1+GrowthMarketRent)^1*IF(1=0,(12-DowntimeNew)/12,1),0)))))))),0)</f>
        <v/>
      </c>
      <c r="P145" s="14">
        <f>IFERROR(IF(I145="LeaseUp",H145*D145*(1+GrowthMarketRent)^2*IF(2=0,(12-DowntimeNew)/12,1),IF(F145="",0,IF(F145&gt;=DATE(2027+2,4,30),G145*D145*(1+EscalatorInLease)^(2+M145),IF(F145&lt;DATE(2026+2,5,1),IF(I145="Vacate",H145*D145*(1+GrowthMarketRent)^2*IF(INT((DATE(2026+2,10,31)-F145)/365.25)=0,(12-DowntimeNew)/12,1),IF(I145="Option",G145*D145*1.025*(1+EscalatorInLease)^2,IF(I145="Market",Retention*G145*D145*(1+EscalatorInLease)^(2+M145)+(1-Retention)*H145*D145*(1+GrowthMarketRent)^2*IF(INT((DATE(2026+2,10,31)-F145)/365.25)=0,(12-DowntimeNew)/12,1),IF(I145="LeaseUp",H145*D145*(1+GrowthMarketRent)^2*IF(2=0,(12-DowntimeNew)/12,1),0)))),((F145-DATE(2026+2,5,1))/365.25)*G145*D145*(1+EscalatorInLease)^(2+M145)+((DATE(2027+2,4,30)-F145)/365.25)*IF(I145="Vacate",H145*D145*(1+GrowthMarketRent)^2*IF(INT((DATE(2026+2,10,31)-F145)/365.25)=0,(12-DowntimeNew)/12,1),IF(I145="Option",G145*D145*1.025*(1+EscalatorInLease)^2,IF(I145="Market",Retention*G145*D145*(1+EscalatorInLease)^(2+M145)+(1-Retention)*H145*D145*(1+GrowthMarketRent)^2*IF(INT((DATE(2026+2,10,31)-F145)/365.25)=0,(12-DowntimeNew)/12,1),IF(I145="LeaseUp",H145*D145*(1+GrowthMarketRent)^2*IF(2=0,(12-DowntimeNew)/12,1),0)))))))),0)</f>
        <v/>
      </c>
      <c r="Q145" s="14">
        <f>IFERROR(IF(I145="LeaseUp",H145*D145*(1+GrowthMarketRent)^3*IF(3=0,(12-DowntimeNew)/12,1),IF(F145="",0,IF(F145&gt;=DATE(2027+3,4,30),G145*D145*(1+EscalatorInLease)^(3+M145),IF(F145&lt;DATE(2026+3,5,1),IF(I145="Vacate",H145*D145*(1+GrowthMarketRent)^3*IF(INT((DATE(2026+3,10,31)-F145)/365.25)=0,(12-DowntimeNew)/12,1),IF(I145="Option",G145*D145*1.025*(1+EscalatorInLease)^3,IF(I145="Market",Retention*G145*D145*(1+EscalatorInLease)^(3+M145)+(1-Retention)*H145*D145*(1+GrowthMarketRent)^3*IF(INT((DATE(2026+3,10,31)-F145)/365.25)=0,(12-DowntimeNew)/12,1),IF(I145="LeaseUp",H145*D145*(1+GrowthMarketRent)^3*IF(3=0,(12-DowntimeNew)/12,1),0)))),((F145-DATE(2026+3,5,1))/365.25)*G145*D145*(1+EscalatorInLease)^(3+M145)+((DATE(2027+3,4,30)-F145)/365.25)*IF(I145="Vacate",H145*D145*(1+GrowthMarketRent)^3*IF(INT((DATE(2026+3,10,31)-F145)/365.25)=0,(12-DowntimeNew)/12,1),IF(I145="Option",G145*D145*1.025*(1+EscalatorInLease)^3,IF(I145="Market",Retention*G145*D145*(1+EscalatorInLease)^(3+M145)+(1-Retention)*H145*D145*(1+GrowthMarketRent)^3*IF(INT((DATE(2026+3,10,31)-F145)/365.25)=0,(12-DowntimeNew)/12,1),IF(I145="LeaseUp",H145*D145*(1+GrowthMarketRent)^3*IF(3=0,(12-DowntimeNew)/12,1),0)))))))),0)</f>
        <v/>
      </c>
      <c r="R145" s="14">
        <f>IFERROR(IF(I145="LeaseUp",H145*D145*(1+GrowthMarketRent)^4*IF(4=0,(12-DowntimeNew)/12,1),IF(F145="",0,IF(F145&gt;=DATE(2027+4,4,30),G145*D145*(1+EscalatorInLease)^(4+M145),IF(F145&lt;DATE(2026+4,5,1),IF(I145="Vacate",H145*D145*(1+GrowthMarketRent)^4*IF(INT((DATE(2026+4,10,31)-F145)/365.25)=0,(12-DowntimeNew)/12,1),IF(I145="Option",G145*D145*1.025*(1+EscalatorInLease)^4,IF(I145="Market",Retention*G145*D145*(1+EscalatorInLease)^(4+M145)+(1-Retention)*H145*D145*(1+GrowthMarketRent)^4*IF(INT((DATE(2026+4,10,31)-F145)/365.25)=0,(12-DowntimeNew)/12,1),IF(I145="LeaseUp",H145*D145*(1+GrowthMarketRent)^4*IF(4=0,(12-DowntimeNew)/12,1),0)))),((F145-DATE(2026+4,5,1))/365.25)*G145*D145*(1+EscalatorInLease)^(4+M145)+((DATE(2027+4,4,30)-F145)/365.25)*IF(I145="Vacate",H145*D145*(1+GrowthMarketRent)^4*IF(INT((DATE(2026+4,10,31)-F145)/365.25)=0,(12-DowntimeNew)/12,1),IF(I145="Option",G145*D145*1.025*(1+EscalatorInLease)^4,IF(I145="Market",Retention*G145*D145*(1+EscalatorInLease)^(4+M145)+(1-Retention)*H145*D145*(1+GrowthMarketRent)^4*IF(INT((DATE(2026+4,10,31)-F145)/365.25)=0,(12-DowntimeNew)/12,1),IF(I145="LeaseUp",H145*D145*(1+GrowthMarketRent)^4*IF(4=0,(12-DowntimeNew)/12,1),0)))))))),0)</f>
        <v/>
      </c>
      <c r="S145" s="14">
        <f>IFERROR(IF(I145="LeaseUp",H145*D145*(1+GrowthMarketRent)^5*IF(5=0,(12-DowntimeNew)/12,1),IF(F145="",0,IF(F145&gt;=DATE(2027+5,4,30),G145*D145*(1+EscalatorInLease)^(5+M145),IF(F145&lt;DATE(2026+5,5,1),IF(I145="Vacate",H145*D145*(1+GrowthMarketRent)^5*IF(INT((DATE(2026+5,10,31)-F145)/365.25)=0,(12-DowntimeNew)/12,1),IF(I145="Option",G145*D145*1.025*(1+EscalatorInLease)^5,IF(I145="Market",Retention*G145*D145*(1+EscalatorInLease)^(5+M145)+(1-Retention)*H145*D145*(1+GrowthMarketRent)^5*IF(INT((DATE(2026+5,10,31)-F145)/365.25)=0,(12-DowntimeNew)/12,1),IF(I145="LeaseUp",H145*D145*(1+GrowthMarketRent)^5*IF(5=0,(12-DowntimeNew)/12,1),0)))),((F145-DATE(2026+5,5,1))/365.25)*G145*D145*(1+EscalatorInLease)^(5+M145)+((DATE(2027+5,4,30)-F145)/365.25)*IF(I145="Vacate",H145*D145*(1+GrowthMarketRent)^5*IF(INT((DATE(2026+5,10,31)-F145)/365.25)=0,(12-DowntimeNew)/12,1),IF(I145="Option",G145*D145*1.025*(1+EscalatorInLease)^5,IF(I145="Market",Retention*G145*D145*(1+EscalatorInLease)^(5+M145)+(1-Retention)*H145*D145*(1+GrowthMarketRent)^5*IF(INT((DATE(2026+5,10,31)-F145)/365.25)=0,(12-DowntimeNew)/12,1),IF(I145="LeaseUp",H145*D145*(1+GrowthMarketRent)^5*IF(5=0,(12-DowntimeNew)/12,1),0)))))))),0)</f>
        <v/>
      </c>
      <c r="T145" s="14">
        <f>IFERROR(IF(I145="LeaseUp",H145*D145*(1+GrowthMarketRent)^6*IF(6=0,(12-DowntimeNew)/12,1),IF(F145="",0,IF(F145&gt;=DATE(2027+6,4,30),G145*D145*(1+EscalatorInLease)^(6+M145),IF(F145&lt;DATE(2026+6,5,1),IF(I145="Vacate",H145*D145*(1+GrowthMarketRent)^6*IF(INT((DATE(2026+6,10,31)-F145)/365.25)=0,(12-DowntimeNew)/12,1),IF(I145="Option",G145*D145*1.025*(1+EscalatorInLease)^6,IF(I145="Market",Retention*G145*D145*(1+EscalatorInLease)^(6+M145)+(1-Retention)*H145*D145*(1+GrowthMarketRent)^6*IF(INT((DATE(2026+6,10,31)-F145)/365.25)=0,(12-DowntimeNew)/12,1),IF(I145="LeaseUp",H145*D145*(1+GrowthMarketRent)^6*IF(6=0,(12-DowntimeNew)/12,1),0)))),((F145-DATE(2026+6,5,1))/365.25)*G145*D145*(1+EscalatorInLease)^(6+M145)+((DATE(2027+6,4,30)-F145)/365.25)*IF(I145="Vacate",H145*D145*(1+GrowthMarketRent)^6*IF(INT((DATE(2026+6,10,31)-F145)/365.25)=0,(12-DowntimeNew)/12,1),IF(I145="Option",G145*D145*1.025*(1+EscalatorInLease)^6,IF(I145="Market",Retention*G145*D145*(1+EscalatorInLease)^(6+M145)+(1-Retention)*H145*D145*(1+GrowthMarketRent)^6*IF(INT((DATE(2026+6,10,31)-F145)/365.25)=0,(12-DowntimeNew)/12,1),IF(I145="LeaseUp",H145*D145*(1+GrowthMarketRent)^6*IF(6=0,(12-DowntimeNew)/12,1),0)))))))),0)</f>
        <v/>
      </c>
      <c r="U145" s="14">
        <f>IFERROR(IF(I145="LeaseUp",H145*D145*(1+GrowthMarketRent)^7*IF(7=0,(12-DowntimeNew)/12,1),IF(F145="",0,IF(F145&gt;=DATE(2027+7,4,30),G145*D145*(1+EscalatorInLease)^(7+M145),IF(F145&lt;DATE(2026+7,5,1),IF(I145="Vacate",H145*D145*(1+GrowthMarketRent)^7*IF(INT((DATE(2026+7,10,31)-F145)/365.25)=0,(12-DowntimeNew)/12,1),IF(I145="Option",G145*D145*1.025*(1+EscalatorInLease)^7,IF(I145="Market",Retention*G145*D145*(1+EscalatorInLease)^(7+M145)+(1-Retention)*H145*D145*(1+GrowthMarketRent)^7*IF(INT((DATE(2026+7,10,31)-F145)/365.25)=0,(12-DowntimeNew)/12,1),IF(I145="LeaseUp",H145*D145*(1+GrowthMarketRent)^7*IF(7=0,(12-DowntimeNew)/12,1),0)))),((F145-DATE(2026+7,5,1))/365.25)*G145*D145*(1+EscalatorInLease)^(7+M145)+((DATE(2027+7,4,30)-F145)/365.25)*IF(I145="Vacate",H145*D145*(1+GrowthMarketRent)^7*IF(INT((DATE(2026+7,10,31)-F145)/365.25)=0,(12-DowntimeNew)/12,1),IF(I145="Option",G145*D145*1.025*(1+EscalatorInLease)^7,IF(I145="Market",Retention*G145*D145*(1+EscalatorInLease)^(7+M145)+(1-Retention)*H145*D145*(1+GrowthMarketRent)^7*IF(INT((DATE(2026+7,10,31)-F145)/365.25)=0,(12-DowntimeNew)/12,1),IF(I145="LeaseUp",H145*D145*(1+GrowthMarketRent)^7*IF(7=0,(12-DowntimeNew)/12,1),0)))))))),0)</f>
        <v/>
      </c>
      <c r="V145" s="14">
        <f>IFERROR(IF(I145="LeaseUp",H145*D145*(1+GrowthMarketRent)^8*IF(8=0,(12-DowntimeNew)/12,1),IF(F145="",0,IF(F145&gt;=DATE(2027+8,4,30),G145*D145*(1+EscalatorInLease)^(8+M145),IF(F145&lt;DATE(2026+8,5,1),IF(I145="Vacate",H145*D145*(1+GrowthMarketRent)^8*IF(INT((DATE(2026+8,10,31)-F145)/365.25)=0,(12-DowntimeNew)/12,1),IF(I145="Option",G145*D145*1.025*(1+EscalatorInLease)^8,IF(I145="Market",Retention*G145*D145*(1+EscalatorInLease)^(8+M145)+(1-Retention)*H145*D145*(1+GrowthMarketRent)^8*IF(INT((DATE(2026+8,10,31)-F145)/365.25)=0,(12-DowntimeNew)/12,1),IF(I145="LeaseUp",H145*D145*(1+GrowthMarketRent)^8*IF(8=0,(12-DowntimeNew)/12,1),0)))),((F145-DATE(2026+8,5,1))/365.25)*G145*D145*(1+EscalatorInLease)^(8+M145)+((DATE(2027+8,4,30)-F145)/365.25)*IF(I145="Vacate",H145*D145*(1+GrowthMarketRent)^8*IF(INT((DATE(2026+8,10,31)-F145)/365.25)=0,(12-DowntimeNew)/12,1),IF(I145="Option",G145*D145*1.025*(1+EscalatorInLease)^8,IF(I145="Market",Retention*G145*D145*(1+EscalatorInLease)^(8+M145)+(1-Retention)*H145*D145*(1+GrowthMarketRent)^8*IF(INT((DATE(2026+8,10,31)-F145)/365.25)=0,(12-DowntimeNew)/12,1),IF(I145="LeaseUp",H145*D145*(1+GrowthMarketRent)^8*IF(8=0,(12-DowntimeNew)/12,1),0)))))))),0)</f>
        <v/>
      </c>
      <c r="W145" s="14">
        <f>IFERROR(IF(I145="LeaseUp",H145*D145*(1+GrowthMarketRent)^9*IF(9=0,(12-DowntimeNew)/12,1),IF(F145="",0,IF(F145&gt;=DATE(2027+9,4,30),G145*D145*(1+EscalatorInLease)^(9+M145),IF(F145&lt;DATE(2026+9,5,1),IF(I145="Vacate",H145*D145*(1+GrowthMarketRent)^9*IF(INT((DATE(2026+9,10,31)-F145)/365.25)=0,(12-DowntimeNew)/12,1),IF(I145="Option",G145*D145*1.025*(1+EscalatorInLease)^9,IF(I145="Market",Retention*G145*D145*(1+EscalatorInLease)^(9+M145)+(1-Retention)*H145*D145*(1+GrowthMarketRent)^9*IF(INT((DATE(2026+9,10,31)-F145)/365.25)=0,(12-DowntimeNew)/12,1),IF(I145="LeaseUp",H145*D145*(1+GrowthMarketRent)^9*IF(9=0,(12-DowntimeNew)/12,1),0)))),((F145-DATE(2026+9,5,1))/365.25)*G145*D145*(1+EscalatorInLease)^(9+M145)+((DATE(2027+9,4,30)-F145)/365.25)*IF(I145="Vacate",H145*D145*(1+GrowthMarketRent)^9*IF(INT((DATE(2026+9,10,31)-F145)/365.25)=0,(12-DowntimeNew)/12,1),IF(I145="Option",G145*D145*1.025*(1+EscalatorInLease)^9,IF(I145="Market",Retention*G145*D145*(1+EscalatorInLease)^(9+M145)+(1-Retention)*H145*D145*(1+GrowthMarketRent)^9*IF(INT((DATE(2026+9,10,31)-F145)/365.25)=0,(12-DowntimeNew)/12,1),IF(I145="LeaseUp",H145*D145*(1+GrowthMarketRent)^9*IF(9=0,(12-DowntimeNew)/12,1),0)))))))),0)</f>
        <v/>
      </c>
      <c r="X145" s="14">
        <f>IFERROR(IF(I145="LeaseUp",H145*D145*(1+GrowthMarketRent)^10*IF(10=0,(12-DowntimeNew)/12,1),IF(F145="",0,IF(F145&gt;=DATE(2027+10,4,30),G145*D145*(1+EscalatorInLease)^(10+M145),IF(F145&lt;DATE(2026+10,5,1),IF(I145="Vacate",H145*D145*(1+GrowthMarketRent)^10*IF(INT((DATE(2026+10,10,31)-F145)/365.25)=0,(12-DowntimeNew)/12,1),IF(I145="Option",G145*D145*1.025*(1+EscalatorInLease)^10,IF(I145="Market",Retention*G145*D145*(1+EscalatorInLease)^(10+M145)+(1-Retention)*H145*D145*(1+GrowthMarketRent)^10*IF(INT((DATE(2026+10,10,31)-F145)/365.25)=0,(12-DowntimeNew)/12,1),IF(I145="LeaseUp",H145*D145*(1+GrowthMarketRent)^10*IF(10=0,(12-DowntimeNew)/12,1),0)))),((F145-DATE(2026+10,5,1))/365.25)*G145*D145*(1+EscalatorInLease)^(10+M145)+((DATE(2027+10,4,30)-F145)/365.25)*IF(I145="Vacate",H145*D145*(1+GrowthMarketRent)^10*IF(INT((DATE(2026+10,10,31)-F145)/365.25)=0,(12-DowntimeNew)/12,1),IF(I145="Option",G145*D145*1.025*(1+EscalatorInLease)^10,IF(I145="Market",Retention*G145*D145*(1+EscalatorInLease)^(10+M145)+(1-Retention)*H145*D145*(1+GrowthMarketRent)^10*IF(INT((DATE(2026+10,10,31)-F145)/365.25)=0,(12-DowntimeNew)/12,1),IF(I145="LeaseUp",H145*D145*(1+GrowthMarketRent)^10*IF(10=0,(12-DowntimeNew)/12,1),0)))))))),0)</f>
        <v/>
      </c>
      <c r="Y145" s="14">
        <f>IFERROR(IF(AND(I145="LeaseUp",0=0),(IF(I145="Vacate",TINew*D145,IF(I145="Market",Retention*TIRenewal*D145+(1-Retention)*TINew*D145,IF(I145="LeaseUp",TINew*D145,IF(I145="Option",TIRenewal*D145,0)))))+(IF(I145="Vacate",LCNew*H145*D145*(1+GrowthMarketRent)^0,IF(I145="Market",Retention*LCRenewal*H145*D145*(1+GrowthMarketRent)^0+(1-Retention)*LCNew*H145*D145*(1+GrowthMarketRent)^0,IF(I145="LeaseUp",LCNew*H145*D145*(1+GrowthMarketRent)^0,IF(I145="Option",LCRenewal*H145*D145*(1+GrowthMarketRent)^0,0))))),IF(F145="",0,IF(AND(F145&gt;=DATE(2026+0,5,1),F145&lt;=DATE(2027+0,4,30)),(IF(I145="Vacate",TINew*D145,IF(I145="Market",Retention*TIRenewal*D145+(1-Retention)*TINew*D145,IF(I145="LeaseUp",TINew*D145,IF(I145="Option",TIRenewal*D145,0)))))+(IF(I145="Vacate",LCNew*H145*D145*(1+GrowthMarketRent)^0,IF(I145="Market",Retention*LCRenewal*H145*D145*(1+GrowthMarketRent)^0+(1-Retention)*LCNew*H145*D145*(1+GrowthMarketRent)^0,IF(I145="LeaseUp",LCNew*H145*D145*(1+GrowthMarketRent)^0,IF(I145="Option",LCRenewal*H145*D145*(1+GrowthMarketRent)^0,0))))),0))),0)</f>
        <v/>
      </c>
      <c r="Z145" s="14">
        <f>IFERROR(IF(AND(I145="LeaseUp",1=0),(IF(I145="Vacate",TINew*D145,IF(I145="Market",Retention*TIRenewal*D145+(1-Retention)*TINew*D145,IF(I145="LeaseUp",TINew*D145,IF(I145="Option",TIRenewal*D145,0)))))+(IF(I145="Vacate",LCNew*H145*D145*(1+GrowthMarketRent)^1,IF(I145="Market",Retention*LCRenewal*H145*D145*(1+GrowthMarketRent)^1+(1-Retention)*LCNew*H145*D145*(1+GrowthMarketRent)^1,IF(I145="LeaseUp",LCNew*H145*D145*(1+GrowthMarketRent)^1,IF(I145="Option",LCRenewal*H145*D145*(1+GrowthMarketRent)^1,0))))),IF(F145="",0,IF(AND(F145&gt;=DATE(2026+1,5,1),F145&lt;=DATE(2027+1,4,30)),(IF(I145="Vacate",TINew*D145,IF(I145="Market",Retention*TIRenewal*D145+(1-Retention)*TINew*D145,IF(I145="LeaseUp",TINew*D145,IF(I145="Option",TIRenewal*D145,0)))))+(IF(I145="Vacate",LCNew*H145*D145*(1+GrowthMarketRent)^1,IF(I145="Market",Retention*LCRenewal*H145*D145*(1+GrowthMarketRent)^1+(1-Retention)*LCNew*H145*D145*(1+GrowthMarketRent)^1,IF(I145="LeaseUp",LCNew*H145*D145*(1+GrowthMarketRent)^1,IF(I145="Option",LCRenewal*H145*D145*(1+GrowthMarketRent)^1,0))))),0))),0)</f>
        <v/>
      </c>
      <c r="AA145" s="14">
        <f>IFERROR(IF(AND(I145="LeaseUp",2=0),(IF(I145="Vacate",TINew*D145,IF(I145="Market",Retention*TIRenewal*D145+(1-Retention)*TINew*D145,IF(I145="LeaseUp",TINew*D145,IF(I145="Option",TIRenewal*D145,0)))))+(IF(I145="Vacate",LCNew*H145*D145*(1+GrowthMarketRent)^2,IF(I145="Market",Retention*LCRenewal*H145*D145*(1+GrowthMarketRent)^2+(1-Retention)*LCNew*H145*D145*(1+GrowthMarketRent)^2,IF(I145="LeaseUp",LCNew*H145*D145*(1+GrowthMarketRent)^2,IF(I145="Option",LCRenewal*H145*D145*(1+GrowthMarketRent)^2,0))))),IF(F145="",0,IF(AND(F145&gt;=DATE(2026+2,5,1),F145&lt;=DATE(2027+2,4,30)),(IF(I145="Vacate",TINew*D145,IF(I145="Market",Retention*TIRenewal*D145+(1-Retention)*TINew*D145,IF(I145="LeaseUp",TINew*D145,IF(I145="Option",TIRenewal*D145,0)))))+(IF(I145="Vacate",LCNew*H145*D145*(1+GrowthMarketRent)^2,IF(I145="Market",Retention*LCRenewal*H145*D145*(1+GrowthMarketRent)^2+(1-Retention)*LCNew*H145*D145*(1+GrowthMarketRent)^2,IF(I145="LeaseUp",LCNew*H145*D145*(1+GrowthMarketRent)^2,IF(I145="Option",LCRenewal*H145*D145*(1+GrowthMarketRent)^2,0))))),0))),0)</f>
        <v/>
      </c>
      <c r="AB145" s="14">
        <f>IFERROR(IF(AND(I145="LeaseUp",3=0),(IF(I145="Vacate",TINew*D145,IF(I145="Market",Retention*TIRenewal*D145+(1-Retention)*TINew*D145,IF(I145="LeaseUp",TINew*D145,IF(I145="Option",TIRenewal*D145,0)))))+(IF(I145="Vacate",LCNew*H145*D145*(1+GrowthMarketRent)^3,IF(I145="Market",Retention*LCRenewal*H145*D145*(1+GrowthMarketRent)^3+(1-Retention)*LCNew*H145*D145*(1+GrowthMarketRent)^3,IF(I145="LeaseUp",LCNew*H145*D145*(1+GrowthMarketRent)^3,IF(I145="Option",LCRenewal*H145*D145*(1+GrowthMarketRent)^3,0))))),IF(F145="",0,IF(AND(F145&gt;=DATE(2026+3,5,1),F145&lt;=DATE(2027+3,4,30)),(IF(I145="Vacate",TINew*D145,IF(I145="Market",Retention*TIRenewal*D145+(1-Retention)*TINew*D145,IF(I145="LeaseUp",TINew*D145,IF(I145="Option",TIRenewal*D145,0)))))+(IF(I145="Vacate",LCNew*H145*D145*(1+GrowthMarketRent)^3,IF(I145="Market",Retention*LCRenewal*H145*D145*(1+GrowthMarketRent)^3+(1-Retention)*LCNew*H145*D145*(1+GrowthMarketRent)^3,IF(I145="LeaseUp",LCNew*H145*D145*(1+GrowthMarketRent)^3,IF(I145="Option",LCRenewal*H145*D145*(1+GrowthMarketRent)^3,0))))),0))),0)</f>
        <v/>
      </c>
      <c r="AC145" s="14">
        <f>IFERROR(IF(AND(I145="LeaseUp",4=0),(IF(I145="Vacate",TINew*D145,IF(I145="Market",Retention*TIRenewal*D145+(1-Retention)*TINew*D145,IF(I145="LeaseUp",TINew*D145,IF(I145="Option",TIRenewal*D145,0)))))+(IF(I145="Vacate",LCNew*H145*D145*(1+GrowthMarketRent)^4,IF(I145="Market",Retention*LCRenewal*H145*D145*(1+GrowthMarketRent)^4+(1-Retention)*LCNew*H145*D145*(1+GrowthMarketRent)^4,IF(I145="LeaseUp",LCNew*H145*D145*(1+GrowthMarketRent)^4,IF(I145="Option",LCRenewal*H145*D145*(1+GrowthMarketRent)^4,0))))),IF(F145="",0,IF(AND(F145&gt;=DATE(2026+4,5,1),F145&lt;=DATE(2027+4,4,30)),(IF(I145="Vacate",TINew*D145,IF(I145="Market",Retention*TIRenewal*D145+(1-Retention)*TINew*D145,IF(I145="LeaseUp",TINew*D145,IF(I145="Option",TIRenewal*D145,0)))))+(IF(I145="Vacate",LCNew*H145*D145*(1+GrowthMarketRent)^4,IF(I145="Market",Retention*LCRenewal*H145*D145*(1+GrowthMarketRent)^4+(1-Retention)*LCNew*H145*D145*(1+GrowthMarketRent)^4,IF(I145="LeaseUp",LCNew*H145*D145*(1+GrowthMarketRent)^4,IF(I145="Option",LCRenewal*H145*D145*(1+GrowthMarketRent)^4,0))))),0))),0)</f>
        <v/>
      </c>
      <c r="AD145" s="14">
        <f>IFERROR(IF(AND(I145="LeaseUp",5=0),(IF(I145="Vacate",TINew*D145,IF(I145="Market",Retention*TIRenewal*D145+(1-Retention)*TINew*D145,IF(I145="LeaseUp",TINew*D145,IF(I145="Option",TIRenewal*D145,0)))))+(IF(I145="Vacate",LCNew*H145*D145*(1+GrowthMarketRent)^5,IF(I145="Market",Retention*LCRenewal*H145*D145*(1+GrowthMarketRent)^5+(1-Retention)*LCNew*H145*D145*(1+GrowthMarketRent)^5,IF(I145="LeaseUp",LCNew*H145*D145*(1+GrowthMarketRent)^5,IF(I145="Option",LCRenewal*H145*D145*(1+GrowthMarketRent)^5,0))))),IF(F145="",0,IF(AND(F145&gt;=DATE(2026+5,5,1),F145&lt;=DATE(2027+5,4,30)),(IF(I145="Vacate",TINew*D145,IF(I145="Market",Retention*TIRenewal*D145+(1-Retention)*TINew*D145,IF(I145="LeaseUp",TINew*D145,IF(I145="Option",TIRenewal*D145,0)))))+(IF(I145="Vacate",LCNew*H145*D145*(1+GrowthMarketRent)^5,IF(I145="Market",Retention*LCRenewal*H145*D145*(1+GrowthMarketRent)^5+(1-Retention)*LCNew*H145*D145*(1+GrowthMarketRent)^5,IF(I145="LeaseUp",LCNew*H145*D145*(1+GrowthMarketRent)^5,IF(I145="Option",LCRenewal*H145*D145*(1+GrowthMarketRent)^5,0))))),0))),0)</f>
        <v/>
      </c>
      <c r="AE145" s="14">
        <f>IFERROR(IF(AND(I145="LeaseUp",6=0),(IF(I145="Vacate",TINew*D145,IF(I145="Market",Retention*TIRenewal*D145+(1-Retention)*TINew*D145,IF(I145="LeaseUp",TINew*D145,IF(I145="Option",TIRenewal*D145,0)))))+(IF(I145="Vacate",LCNew*H145*D145*(1+GrowthMarketRent)^6,IF(I145="Market",Retention*LCRenewal*H145*D145*(1+GrowthMarketRent)^6+(1-Retention)*LCNew*H145*D145*(1+GrowthMarketRent)^6,IF(I145="LeaseUp",LCNew*H145*D145*(1+GrowthMarketRent)^6,IF(I145="Option",LCRenewal*H145*D145*(1+GrowthMarketRent)^6,0))))),IF(F145="",0,IF(AND(F145&gt;=DATE(2026+6,5,1),F145&lt;=DATE(2027+6,4,30)),(IF(I145="Vacate",TINew*D145,IF(I145="Market",Retention*TIRenewal*D145+(1-Retention)*TINew*D145,IF(I145="LeaseUp",TINew*D145,IF(I145="Option",TIRenewal*D145,0)))))+(IF(I145="Vacate",LCNew*H145*D145*(1+GrowthMarketRent)^6,IF(I145="Market",Retention*LCRenewal*H145*D145*(1+GrowthMarketRent)^6+(1-Retention)*LCNew*H145*D145*(1+GrowthMarketRent)^6,IF(I145="LeaseUp",LCNew*H145*D145*(1+GrowthMarketRent)^6,IF(I145="Option",LCRenewal*H145*D145*(1+GrowthMarketRent)^6,0))))),0))),0)</f>
        <v/>
      </c>
      <c r="AF145" s="14">
        <f>IFERROR(IF(AND(I145="LeaseUp",7=0),(IF(I145="Vacate",TINew*D145,IF(I145="Market",Retention*TIRenewal*D145+(1-Retention)*TINew*D145,IF(I145="LeaseUp",TINew*D145,IF(I145="Option",TIRenewal*D145,0)))))+(IF(I145="Vacate",LCNew*H145*D145*(1+GrowthMarketRent)^7,IF(I145="Market",Retention*LCRenewal*H145*D145*(1+GrowthMarketRent)^7+(1-Retention)*LCNew*H145*D145*(1+GrowthMarketRent)^7,IF(I145="LeaseUp",LCNew*H145*D145*(1+GrowthMarketRent)^7,IF(I145="Option",LCRenewal*H145*D145*(1+GrowthMarketRent)^7,0))))),IF(F145="",0,IF(AND(F145&gt;=DATE(2026+7,5,1),F145&lt;=DATE(2027+7,4,30)),(IF(I145="Vacate",TINew*D145,IF(I145="Market",Retention*TIRenewal*D145+(1-Retention)*TINew*D145,IF(I145="LeaseUp",TINew*D145,IF(I145="Option",TIRenewal*D145,0)))))+(IF(I145="Vacate",LCNew*H145*D145*(1+GrowthMarketRent)^7,IF(I145="Market",Retention*LCRenewal*H145*D145*(1+GrowthMarketRent)^7+(1-Retention)*LCNew*H145*D145*(1+GrowthMarketRent)^7,IF(I145="LeaseUp",LCNew*H145*D145*(1+GrowthMarketRent)^7,IF(I145="Option",LCRenewal*H145*D145*(1+GrowthMarketRent)^7,0))))),0))),0)</f>
        <v/>
      </c>
      <c r="AG145" s="14">
        <f>IFERROR(IF(AND(I145="LeaseUp",8=0),(IF(I145="Vacate",TINew*D145,IF(I145="Market",Retention*TIRenewal*D145+(1-Retention)*TINew*D145,IF(I145="LeaseUp",TINew*D145,IF(I145="Option",TIRenewal*D145,0)))))+(IF(I145="Vacate",LCNew*H145*D145*(1+GrowthMarketRent)^8,IF(I145="Market",Retention*LCRenewal*H145*D145*(1+GrowthMarketRent)^8+(1-Retention)*LCNew*H145*D145*(1+GrowthMarketRent)^8,IF(I145="LeaseUp",LCNew*H145*D145*(1+GrowthMarketRent)^8,IF(I145="Option",LCRenewal*H145*D145*(1+GrowthMarketRent)^8,0))))),IF(F145="",0,IF(AND(F145&gt;=DATE(2026+8,5,1),F145&lt;=DATE(2027+8,4,30)),(IF(I145="Vacate",TINew*D145,IF(I145="Market",Retention*TIRenewal*D145+(1-Retention)*TINew*D145,IF(I145="LeaseUp",TINew*D145,IF(I145="Option",TIRenewal*D145,0)))))+(IF(I145="Vacate",LCNew*H145*D145*(1+GrowthMarketRent)^8,IF(I145="Market",Retention*LCRenewal*H145*D145*(1+GrowthMarketRent)^8+(1-Retention)*LCNew*H145*D145*(1+GrowthMarketRent)^8,IF(I145="LeaseUp",LCNew*H145*D145*(1+GrowthMarketRent)^8,IF(I145="Option",LCRenewal*H145*D145*(1+GrowthMarketRent)^8,0))))),0))),0)</f>
        <v/>
      </c>
      <c r="AH145" s="14">
        <f>IFERROR(IF(AND(I145="LeaseUp",9=0),(IF(I145="Vacate",TINew*D145,IF(I145="Market",Retention*TIRenewal*D145+(1-Retention)*TINew*D145,IF(I145="LeaseUp",TINew*D145,IF(I145="Option",TIRenewal*D145,0)))))+(IF(I145="Vacate",LCNew*H145*D145*(1+GrowthMarketRent)^9,IF(I145="Market",Retention*LCRenewal*H145*D145*(1+GrowthMarketRent)^9+(1-Retention)*LCNew*H145*D145*(1+GrowthMarketRent)^9,IF(I145="LeaseUp",LCNew*H145*D145*(1+GrowthMarketRent)^9,IF(I145="Option",LCRenewal*H145*D145*(1+GrowthMarketRent)^9,0))))),IF(F145="",0,IF(AND(F145&gt;=DATE(2026+9,5,1),F145&lt;=DATE(2027+9,4,30)),(IF(I145="Vacate",TINew*D145,IF(I145="Market",Retention*TIRenewal*D145+(1-Retention)*TINew*D145,IF(I145="LeaseUp",TINew*D145,IF(I145="Option",TIRenewal*D145,0)))))+(IF(I145="Vacate",LCNew*H145*D145*(1+GrowthMarketRent)^9,IF(I145="Market",Retention*LCRenewal*H145*D145*(1+GrowthMarketRent)^9+(1-Retention)*LCNew*H145*D145*(1+GrowthMarketRent)^9,IF(I145="LeaseUp",LCNew*H145*D145*(1+GrowthMarketRent)^9,IF(I145="Option",LCRenewal*H145*D145*(1+GrowthMarketRent)^9,0))))),0))),0)</f>
        <v/>
      </c>
      <c r="AI145" s="14">
        <f>IFERROR(IF(AND(I145="LeaseUp",10=0),(IF(I145="Vacate",TINew*D145,IF(I145="Market",Retention*TIRenewal*D145+(1-Retention)*TINew*D145,IF(I145="LeaseUp",TINew*D145,IF(I145="Option",TIRenewal*D145,0)))))+(IF(I145="Vacate",LCNew*H145*D145*(1+GrowthMarketRent)^10,IF(I145="Market",Retention*LCRenewal*H145*D145*(1+GrowthMarketRent)^10+(1-Retention)*LCNew*H145*D145*(1+GrowthMarketRent)^10,IF(I145="LeaseUp",LCNew*H145*D145*(1+GrowthMarketRent)^10,IF(I145="Option",LCRenewal*H145*D145*(1+GrowthMarketRent)^10,0))))),IF(F145="",0,IF(AND(F145&gt;=DATE(2026+10,5,1),F145&lt;=DATE(2027+10,4,30)),(IF(I145="Vacate",TINew*D145,IF(I145="Market",Retention*TIRenewal*D145+(1-Retention)*TINew*D145,IF(I145="LeaseUp",TINew*D145,IF(I145="Option",TIRenewal*D145,0)))))+(IF(I145="Vacate",LCNew*H145*D145*(1+GrowthMarketRent)^10,IF(I145="Market",Retention*LCRenewal*H145*D145*(1+GrowthMarketRent)^10+(1-Retention)*LCNew*H145*D145*(1+GrowthMarketRent)^10,IF(I145="LeaseUp",LCNew*H145*D145*(1+GrowthMarketRent)^10,IF(I145="Option",LCRenewal*H145*D145*(1+GrowthMarketRent)^10,0))))),0))),0)</f>
        <v/>
      </c>
    </row>
    <row r="146">
      <c r="A146" t="inlineStr">
        <is>
          <t>Plano</t>
        </is>
      </c>
      <c r="B146" t="inlineStr">
        <is>
          <t>110</t>
        </is>
      </c>
      <c r="C146" t="inlineStr">
        <is>
          <t>Xpress Restoration LLC</t>
        </is>
      </c>
      <c r="D146" s="32" t="n">
        <v>2600</v>
      </c>
      <c r="E146" s="33" t="n">
        <v>45078</v>
      </c>
      <c r="F146" s="33" t="n">
        <v>46327</v>
      </c>
      <c r="G146" s="34" t="n">
        <v>16.81</v>
      </c>
      <c r="H146" s="16">
        <f>VLOOKUP(A146,MLA!$A$5:$L$11,3,FALSE)</f>
        <v/>
      </c>
      <c r="I146" s="11" t="inlineStr">
        <is>
          <t>Option</t>
        </is>
      </c>
      <c r="J146" t="inlineStr">
        <is>
          <t>Shop</t>
        </is>
      </c>
      <c r="K146" t="inlineStr">
        <is>
          <t>Occupied</t>
        </is>
      </c>
      <c r="L146" t="inlineStr">
        <is>
          <t>Shop; Guarantor: Farhan Furniturewala; Two 3yr options @ 102.5%</t>
        </is>
      </c>
      <c r="M146" s="20">
        <f>IF(E146="",0,(AnalysisStart-E146)/365.25)</f>
        <v/>
      </c>
      <c r="N146" s="14">
        <f>IFERROR(IF(I146="LeaseUp",H146*D146*(1+GrowthMarketRent)^0*IF(0=0,(12-DowntimeNew)/12,1),IF(F146="",0,IF(F146&gt;=DATE(2027+0,4,30),G146*D146*(1+EscalatorInLease)^(0+M146),IF(F146&lt;DATE(2026+0,5,1),IF(I146="Vacate",H146*D146*(1+GrowthMarketRent)^0*IF(INT((DATE(2026+0,10,31)-F146)/365.25)=0,(12-DowntimeNew)/12,1),IF(I146="Option",G146*D146*1.025*(1+EscalatorInLease)^0,IF(I146="Market",Retention*G146*D146*(1+EscalatorInLease)^(0+M146)+(1-Retention)*H146*D146*(1+GrowthMarketRent)^0*IF(INT((DATE(2026+0,10,31)-F146)/365.25)=0,(12-DowntimeNew)/12,1),IF(I146="LeaseUp",H146*D146*(1+GrowthMarketRent)^0*IF(0=0,(12-DowntimeNew)/12,1),0)))),((F146-DATE(2026+0,5,1))/365.25)*G146*D146*(1+EscalatorInLease)^(0+M146)+((DATE(2027+0,4,30)-F146)/365.25)*IF(I146="Vacate",H146*D146*(1+GrowthMarketRent)^0*IF(INT((DATE(2026+0,10,31)-F146)/365.25)=0,(12-DowntimeNew)/12,1),IF(I146="Option",G146*D146*1.025*(1+EscalatorInLease)^0,IF(I146="Market",Retention*G146*D146*(1+EscalatorInLease)^(0+M146)+(1-Retention)*H146*D146*(1+GrowthMarketRent)^0*IF(INT((DATE(2026+0,10,31)-F146)/365.25)=0,(12-DowntimeNew)/12,1),IF(I146="LeaseUp",H146*D146*(1+GrowthMarketRent)^0*IF(0=0,(12-DowntimeNew)/12,1),0)))))))),0)</f>
        <v/>
      </c>
      <c r="O146" s="14">
        <f>IFERROR(IF(I146="LeaseUp",H146*D146*(1+GrowthMarketRent)^1*IF(1=0,(12-DowntimeNew)/12,1),IF(F146="",0,IF(F146&gt;=DATE(2027+1,4,30),G146*D146*(1+EscalatorInLease)^(1+M146),IF(F146&lt;DATE(2026+1,5,1),IF(I146="Vacate",H146*D146*(1+GrowthMarketRent)^1*IF(INT((DATE(2026+1,10,31)-F146)/365.25)=0,(12-DowntimeNew)/12,1),IF(I146="Option",G146*D146*1.025*(1+EscalatorInLease)^1,IF(I146="Market",Retention*G146*D146*(1+EscalatorInLease)^(1+M146)+(1-Retention)*H146*D146*(1+GrowthMarketRent)^1*IF(INT((DATE(2026+1,10,31)-F146)/365.25)=0,(12-DowntimeNew)/12,1),IF(I146="LeaseUp",H146*D146*(1+GrowthMarketRent)^1*IF(1=0,(12-DowntimeNew)/12,1),0)))),((F146-DATE(2026+1,5,1))/365.25)*G146*D146*(1+EscalatorInLease)^(1+M146)+((DATE(2027+1,4,30)-F146)/365.25)*IF(I146="Vacate",H146*D146*(1+GrowthMarketRent)^1*IF(INT((DATE(2026+1,10,31)-F146)/365.25)=0,(12-DowntimeNew)/12,1),IF(I146="Option",G146*D146*1.025*(1+EscalatorInLease)^1,IF(I146="Market",Retention*G146*D146*(1+EscalatorInLease)^(1+M146)+(1-Retention)*H146*D146*(1+GrowthMarketRent)^1*IF(INT((DATE(2026+1,10,31)-F146)/365.25)=0,(12-DowntimeNew)/12,1),IF(I146="LeaseUp",H146*D146*(1+GrowthMarketRent)^1*IF(1=0,(12-DowntimeNew)/12,1),0)))))))),0)</f>
        <v/>
      </c>
      <c r="P146" s="14">
        <f>IFERROR(IF(I146="LeaseUp",H146*D146*(1+GrowthMarketRent)^2*IF(2=0,(12-DowntimeNew)/12,1),IF(F146="",0,IF(F146&gt;=DATE(2027+2,4,30),G146*D146*(1+EscalatorInLease)^(2+M146),IF(F146&lt;DATE(2026+2,5,1),IF(I146="Vacate",H146*D146*(1+GrowthMarketRent)^2*IF(INT((DATE(2026+2,10,31)-F146)/365.25)=0,(12-DowntimeNew)/12,1),IF(I146="Option",G146*D146*1.025*(1+EscalatorInLease)^2,IF(I146="Market",Retention*G146*D146*(1+EscalatorInLease)^(2+M146)+(1-Retention)*H146*D146*(1+GrowthMarketRent)^2*IF(INT((DATE(2026+2,10,31)-F146)/365.25)=0,(12-DowntimeNew)/12,1),IF(I146="LeaseUp",H146*D146*(1+GrowthMarketRent)^2*IF(2=0,(12-DowntimeNew)/12,1),0)))),((F146-DATE(2026+2,5,1))/365.25)*G146*D146*(1+EscalatorInLease)^(2+M146)+((DATE(2027+2,4,30)-F146)/365.25)*IF(I146="Vacate",H146*D146*(1+GrowthMarketRent)^2*IF(INT((DATE(2026+2,10,31)-F146)/365.25)=0,(12-DowntimeNew)/12,1),IF(I146="Option",G146*D146*1.025*(1+EscalatorInLease)^2,IF(I146="Market",Retention*G146*D146*(1+EscalatorInLease)^(2+M146)+(1-Retention)*H146*D146*(1+GrowthMarketRent)^2*IF(INT((DATE(2026+2,10,31)-F146)/365.25)=0,(12-DowntimeNew)/12,1),IF(I146="LeaseUp",H146*D146*(1+GrowthMarketRent)^2*IF(2=0,(12-DowntimeNew)/12,1),0)))))))),0)</f>
        <v/>
      </c>
      <c r="Q146" s="14">
        <f>IFERROR(IF(I146="LeaseUp",H146*D146*(1+GrowthMarketRent)^3*IF(3=0,(12-DowntimeNew)/12,1),IF(F146="",0,IF(F146&gt;=DATE(2027+3,4,30),G146*D146*(1+EscalatorInLease)^(3+M146),IF(F146&lt;DATE(2026+3,5,1),IF(I146="Vacate",H146*D146*(1+GrowthMarketRent)^3*IF(INT((DATE(2026+3,10,31)-F146)/365.25)=0,(12-DowntimeNew)/12,1),IF(I146="Option",G146*D146*1.025*(1+EscalatorInLease)^3,IF(I146="Market",Retention*G146*D146*(1+EscalatorInLease)^(3+M146)+(1-Retention)*H146*D146*(1+GrowthMarketRent)^3*IF(INT((DATE(2026+3,10,31)-F146)/365.25)=0,(12-DowntimeNew)/12,1),IF(I146="LeaseUp",H146*D146*(1+GrowthMarketRent)^3*IF(3=0,(12-DowntimeNew)/12,1),0)))),((F146-DATE(2026+3,5,1))/365.25)*G146*D146*(1+EscalatorInLease)^(3+M146)+((DATE(2027+3,4,30)-F146)/365.25)*IF(I146="Vacate",H146*D146*(1+GrowthMarketRent)^3*IF(INT((DATE(2026+3,10,31)-F146)/365.25)=0,(12-DowntimeNew)/12,1),IF(I146="Option",G146*D146*1.025*(1+EscalatorInLease)^3,IF(I146="Market",Retention*G146*D146*(1+EscalatorInLease)^(3+M146)+(1-Retention)*H146*D146*(1+GrowthMarketRent)^3*IF(INT((DATE(2026+3,10,31)-F146)/365.25)=0,(12-DowntimeNew)/12,1),IF(I146="LeaseUp",H146*D146*(1+GrowthMarketRent)^3*IF(3=0,(12-DowntimeNew)/12,1),0)))))))),0)</f>
        <v/>
      </c>
      <c r="R146" s="14">
        <f>IFERROR(IF(I146="LeaseUp",H146*D146*(1+GrowthMarketRent)^4*IF(4=0,(12-DowntimeNew)/12,1),IF(F146="",0,IF(F146&gt;=DATE(2027+4,4,30),G146*D146*(1+EscalatorInLease)^(4+M146),IF(F146&lt;DATE(2026+4,5,1),IF(I146="Vacate",H146*D146*(1+GrowthMarketRent)^4*IF(INT((DATE(2026+4,10,31)-F146)/365.25)=0,(12-DowntimeNew)/12,1),IF(I146="Option",G146*D146*1.025*(1+EscalatorInLease)^4,IF(I146="Market",Retention*G146*D146*(1+EscalatorInLease)^(4+M146)+(1-Retention)*H146*D146*(1+GrowthMarketRent)^4*IF(INT((DATE(2026+4,10,31)-F146)/365.25)=0,(12-DowntimeNew)/12,1),IF(I146="LeaseUp",H146*D146*(1+GrowthMarketRent)^4*IF(4=0,(12-DowntimeNew)/12,1),0)))),((F146-DATE(2026+4,5,1))/365.25)*G146*D146*(1+EscalatorInLease)^(4+M146)+((DATE(2027+4,4,30)-F146)/365.25)*IF(I146="Vacate",H146*D146*(1+GrowthMarketRent)^4*IF(INT((DATE(2026+4,10,31)-F146)/365.25)=0,(12-DowntimeNew)/12,1),IF(I146="Option",G146*D146*1.025*(1+EscalatorInLease)^4,IF(I146="Market",Retention*G146*D146*(1+EscalatorInLease)^(4+M146)+(1-Retention)*H146*D146*(1+GrowthMarketRent)^4*IF(INT((DATE(2026+4,10,31)-F146)/365.25)=0,(12-DowntimeNew)/12,1),IF(I146="LeaseUp",H146*D146*(1+GrowthMarketRent)^4*IF(4=0,(12-DowntimeNew)/12,1),0)))))))),0)</f>
        <v/>
      </c>
      <c r="S146" s="14">
        <f>IFERROR(IF(I146="LeaseUp",H146*D146*(1+GrowthMarketRent)^5*IF(5=0,(12-DowntimeNew)/12,1),IF(F146="",0,IF(F146&gt;=DATE(2027+5,4,30),G146*D146*(1+EscalatorInLease)^(5+M146),IF(F146&lt;DATE(2026+5,5,1),IF(I146="Vacate",H146*D146*(1+GrowthMarketRent)^5*IF(INT((DATE(2026+5,10,31)-F146)/365.25)=0,(12-DowntimeNew)/12,1),IF(I146="Option",G146*D146*1.025*(1+EscalatorInLease)^5,IF(I146="Market",Retention*G146*D146*(1+EscalatorInLease)^(5+M146)+(1-Retention)*H146*D146*(1+GrowthMarketRent)^5*IF(INT((DATE(2026+5,10,31)-F146)/365.25)=0,(12-DowntimeNew)/12,1),IF(I146="LeaseUp",H146*D146*(1+GrowthMarketRent)^5*IF(5=0,(12-DowntimeNew)/12,1),0)))),((F146-DATE(2026+5,5,1))/365.25)*G146*D146*(1+EscalatorInLease)^(5+M146)+((DATE(2027+5,4,30)-F146)/365.25)*IF(I146="Vacate",H146*D146*(1+GrowthMarketRent)^5*IF(INT((DATE(2026+5,10,31)-F146)/365.25)=0,(12-DowntimeNew)/12,1),IF(I146="Option",G146*D146*1.025*(1+EscalatorInLease)^5,IF(I146="Market",Retention*G146*D146*(1+EscalatorInLease)^(5+M146)+(1-Retention)*H146*D146*(1+GrowthMarketRent)^5*IF(INT((DATE(2026+5,10,31)-F146)/365.25)=0,(12-DowntimeNew)/12,1),IF(I146="LeaseUp",H146*D146*(1+GrowthMarketRent)^5*IF(5=0,(12-DowntimeNew)/12,1),0)))))))),0)</f>
        <v/>
      </c>
      <c r="T146" s="14">
        <f>IFERROR(IF(I146="LeaseUp",H146*D146*(1+GrowthMarketRent)^6*IF(6=0,(12-DowntimeNew)/12,1),IF(F146="",0,IF(F146&gt;=DATE(2027+6,4,30),G146*D146*(1+EscalatorInLease)^(6+M146),IF(F146&lt;DATE(2026+6,5,1),IF(I146="Vacate",H146*D146*(1+GrowthMarketRent)^6*IF(INT((DATE(2026+6,10,31)-F146)/365.25)=0,(12-DowntimeNew)/12,1),IF(I146="Option",G146*D146*1.025*(1+EscalatorInLease)^6,IF(I146="Market",Retention*G146*D146*(1+EscalatorInLease)^(6+M146)+(1-Retention)*H146*D146*(1+GrowthMarketRent)^6*IF(INT((DATE(2026+6,10,31)-F146)/365.25)=0,(12-DowntimeNew)/12,1),IF(I146="LeaseUp",H146*D146*(1+GrowthMarketRent)^6*IF(6=0,(12-DowntimeNew)/12,1),0)))),((F146-DATE(2026+6,5,1))/365.25)*G146*D146*(1+EscalatorInLease)^(6+M146)+((DATE(2027+6,4,30)-F146)/365.25)*IF(I146="Vacate",H146*D146*(1+GrowthMarketRent)^6*IF(INT((DATE(2026+6,10,31)-F146)/365.25)=0,(12-DowntimeNew)/12,1),IF(I146="Option",G146*D146*1.025*(1+EscalatorInLease)^6,IF(I146="Market",Retention*G146*D146*(1+EscalatorInLease)^(6+M146)+(1-Retention)*H146*D146*(1+GrowthMarketRent)^6*IF(INT((DATE(2026+6,10,31)-F146)/365.25)=0,(12-DowntimeNew)/12,1),IF(I146="LeaseUp",H146*D146*(1+GrowthMarketRent)^6*IF(6=0,(12-DowntimeNew)/12,1),0)))))))),0)</f>
        <v/>
      </c>
      <c r="U146" s="14">
        <f>IFERROR(IF(I146="LeaseUp",H146*D146*(1+GrowthMarketRent)^7*IF(7=0,(12-DowntimeNew)/12,1),IF(F146="",0,IF(F146&gt;=DATE(2027+7,4,30),G146*D146*(1+EscalatorInLease)^(7+M146),IF(F146&lt;DATE(2026+7,5,1),IF(I146="Vacate",H146*D146*(1+GrowthMarketRent)^7*IF(INT((DATE(2026+7,10,31)-F146)/365.25)=0,(12-DowntimeNew)/12,1),IF(I146="Option",G146*D146*1.025*(1+EscalatorInLease)^7,IF(I146="Market",Retention*G146*D146*(1+EscalatorInLease)^(7+M146)+(1-Retention)*H146*D146*(1+GrowthMarketRent)^7*IF(INT((DATE(2026+7,10,31)-F146)/365.25)=0,(12-DowntimeNew)/12,1),IF(I146="LeaseUp",H146*D146*(1+GrowthMarketRent)^7*IF(7=0,(12-DowntimeNew)/12,1),0)))),((F146-DATE(2026+7,5,1))/365.25)*G146*D146*(1+EscalatorInLease)^(7+M146)+((DATE(2027+7,4,30)-F146)/365.25)*IF(I146="Vacate",H146*D146*(1+GrowthMarketRent)^7*IF(INT((DATE(2026+7,10,31)-F146)/365.25)=0,(12-DowntimeNew)/12,1),IF(I146="Option",G146*D146*1.025*(1+EscalatorInLease)^7,IF(I146="Market",Retention*G146*D146*(1+EscalatorInLease)^(7+M146)+(1-Retention)*H146*D146*(1+GrowthMarketRent)^7*IF(INT((DATE(2026+7,10,31)-F146)/365.25)=0,(12-DowntimeNew)/12,1),IF(I146="LeaseUp",H146*D146*(1+GrowthMarketRent)^7*IF(7=0,(12-DowntimeNew)/12,1),0)))))))),0)</f>
        <v/>
      </c>
      <c r="V146" s="14">
        <f>IFERROR(IF(I146="LeaseUp",H146*D146*(1+GrowthMarketRent)^8*IF(8=0,(12-DowntimeNew)/12,1),IF(F146="",0,IF(F146&gt;=DATE(2027+8,4,30),G146*D146*(1+EscalatorInLease)^(8+M146),IF(F146&lt;DATE(2026+8,5,1),IF(I146="Vacate",H146*D146*(1+GrowthMarketRent)^8*IF(INT((DATE(2026+8,10,31)-F146)/365.25)=0,(12-DowntimeNew)/12,1),IF(I146="Option",G146*D146*1.025*(1+EscalatorInLease)^8,IF(I146="Market",Retention*G146*D146*(1+EscalatorInLease)^(8+M146)+(1-Retention)*H146*D146*(1+GrowthMarketRent)^8*IF(INT((DATE(2026+8,10,31)-F146)/365.25)=0,(12-DowntimeNew)/12,1),IF(I146="LeaseUp",H146*D146*(1+GrowthMarketRent)^8*IF(8=0,(12-DowntimeNew)/12,1),0)))),((F146-DATE(2026+8,5,1))/365.25)*G146*D146*(1+EscalatorInLease)^(8+M146)+((DATE(2027+8,4,30)-F146)/365.25)*IF(I146="Vacate",H146*D146*(1+GrowthMarketRent)^8*IF(INT((DATE(2026+8,10,31)-F146)/365.25)=0,(12-DowntimeNew)/12,1),IF(I146="Option",G146*D146*1.025*(1+EscalatorInLease)^8,IF(I146="Market",Retention*G146*D146*(1+EscalatorInLease)^(8+M146)+(1-Retention)*H146*D146*(1+GrowthMarketRent)^8*IF(INT((DATE(2026+8,10,31)-F146)/365.25)=0,(12-DowntimeNew)/12,1),IF(I146="LeaseUp",H146*D146*(1+GrowthMarketRent)^8*IF(8=0,(12-DowntimeNew)/12,1),0)))))))),0)</f>
        <v/>
      </c>
      <c r="W146" s="14">
        <f>IFERROR(IF(I146="LeaseUp",H146*D146*(1+GrowthMarketRent)^9*IF(9=0,(12-DowntimeNew)/12,1),IF(F146="",0,IF(F146&gt;=DATE(2027+9,4,30),G146*D146*(1+EscalatorInLease)^(9+M146),IF(F146&lt;DATE(2026+9,5,1),IF(I146="Vacate",H146*D146*(1+GrowthMarketRent)^9*IF(INT((DATE(2026+9,10,31)-F146)/365.25)=0,(12-DowntimeNew)/12,1),IF(I146="Option",G146*D146*1.025*(1+EscalatorInLease)^9,IF(I146="Market",Retention*G146*D146*(1+EscalatorInLease)^(9+M146)+(1-Retention)*H146*D146*(1+GrowthMarketRent)^9*IF(INT((DATE(2026+9,10,31)-F146)/365.25)=0,(12-DowntimeNew)/12,1),IF(I146="LeaseUp",H146*D146*(1+GrowthMarketRent)^9*IF(9=0,(12-DowntimeNew)/12,1),0)))),((F146-DATE(2026+9,5,1))/365.25)*G146*D146*(1+EscalatorInLease)^(9+M146)+((DATE(2027+9,4,30)-F146)/365.25)*IF(I146="Vacate",H146*D146*(1+GrowthMarketRent)^9*IF(INT((DATE(2026+9,10,31)-F146)/365.25)=0,(12-DowntimeNew)/12,1),IF(I146="Option",G146*D146*1.025*(1+EscalatorInLease)^9,IF(I146="Market",Retention*G146*D146*(1+EscalatorInLease)^(9+M146)+(1-Retention)*H146*D146*(1+GrowthMarketRent)^9*IF(INT((DATE(2026+9,10,31)-F146)/365.25)=0,(12-DowntimeNew)/12,1),IF(I146="LeaseUp",H146*D146*(1+GrowthMarketRent)^9*IF(9=0,(12-DowntimeNew)/12,1),0)))))))),0)</f>
        <v/>
      </c>
      <c r="X146" s="14">
        <f>IFERROR(IF(I146="LeaseUp",H146*D146*(1+GrowthMarketRent)^10*IF(10=0,(12-DowntimeNew)/12,1),IF(F146="",0,IF(F146&gt;=DATE(2027+10,4,30),G146*D146*(1+EscalatorInLease)^(10+M146),IF(F146&lt;DATE(2026+10,5,1),IF(I146="Vacate",H146*D146*(1+GrowthMarketRent)^10*IF(INT((DATE(2026+10,10,31)-F146)/365.25)=0,(12-DowntimeNew)/12,1),IF(I146="Option",G146*D146*1.025*(1+EscalatorInLease)^10,IF(I146="Market",Retention*G146*D146*(1+EscalatorInLease)^(10+M146)+(1-Retention)*H146*D146*(1+GrowthMarketRent)^10*IF(INT((DATE(2026+10,10,31)-F146)/365.25)=0,(12-DowntimeNew)/12,1),IF(I146="LeaseUp",H146*D146*(1+GrowthMarketRent)^10*IF(10=0,(12-DowntimeNew)/12,1),0)))),((F146-DATE(2026+10,5,1))/365.25)*G146*D146*(1+EscalatorInLease)^(10+M146)+((DATE(2027+10,4,30)-F146)/365.25)*IF(I146="Vacate",H146*D146*(1+GrowthMarketRent)^10*IF(INT((DATE(2026+10,10,31)-F146)/365.25)=0,(12-DowntimeNew)/12,1),IF(I146="Option",G146*D146*1.025*(1+EscalatorInLease)^10,IF(I146="Market",Retention*G146*D146*(1+EscalatorInLease)^(10+M146)+(1-Retention)*H146*D146*(1+GrowthMarketRent)^10*IF(INT((DATE(2026+10,10,31)-F146)/365.25)=0,(12-DowntimeNew)/12,1),IF(I146="LeaseUp",H146*D146*(1+GrowthMarketRent)^10*IF(10=0,(12-DowntimeNew)/12,1),0)))))))),0)</f>
        <v/>
      </c>
      <c r="Y146" s="14">
        <f>IFERROR(IF(AND(I146="LeaseUp",0=0),(IF(I146="Vacate",TINew*D146,IF(I146="Market",Retention*TIRenewal*D146+(1-Retention)*TINew*D146,IF(I146="LeaseUp",TINew*D146,IF(I146="Option",TIRenewal*D146,0)))))+(IF(I146="Vacate",LCNew*H146*D146*(1+GrowthMarketRent)^0,IF(I146="Market",Retention*LCRenewal*H146*D146*(1+GrowthMarketRent)^0+(1-Retention)*LCNew*H146*D146*(1+GrowthMarketRent)^0,IF(I146="LeaseUp",LCNew*H146*D146*(1+GrowthMarketRent)^0,IF(I146="Option",LCRenewal*H146*D146*(1+GrowthMarketRent)^0,0))))),IF(F146="",0,IF(AND(F146&gt;=DATE(2026+0,5,1),F146&lt;=DATE(2027+0,4,30)),(IF(I146="Vacate",TINew*D146,IF(I146="Market",Retention*TIRenewal*D146+(1-Retention)*TINew*D146,IF(I146="LeaseUp",TINew*D146,IF(I146="Option",TIRenewal*D146,0)))))+(IF(I146="Vacate",LCNew*H146*D146*(1+GrowthMarketRent)^0,IF(I146="Market",Retention*LCRenewal*H146*D146*(1+GrowthMarketRent)^0+(1-Retention)*LCNew*H146*D146*(1+GrowthMarketRent)^0,IF(I146="LeaseUp",LCNew*H146*D146*(1+GrowthMarketRent)^0,IF(I146="Option",LCRenewal*H146*D146*(1+GrowthMarketRent)^0,0))))),0))),0)</f>
        <v/>
      </c>
      <c r="Z146" s="14">
        <f>IFERROR(IF(AND(I146="LeaseUp",1=0),(IF(I146="Vacate",TINew*D146,IF(I146="Market",Retention*TIRenewal*D146+(1-Retention)*TINew*D146,IF(I146="LeaseUp",TINew*D146,IF(I146="Option",TIRenewal*D146,0)))))+(IF(I146="Vacate",LCNew*H146*D146*(1+GrowthMarketRent)^1,IF(I146="Market",Retention*LCRenewal*H146*D146*(1+GrowthMarketRent)^1+(1-Retention)*LCNew*H146*D146*(1+GrowthMarketRent)^1,IF(I146="LeaseUp",LCNew*H146*D146*(1+GrowthMarketRent)^1,IF(I146="Option",LCRenewal*H146*D146*(1+GrowthMarketRent)^1,0))))),IF(F146="",0,IF(AND(F146&gt;=DATE(2026+1,5,1),F146&lt;=DATE(2027+1,4,30)),(IF(I146="Vacate",TINew*D146,IF(I146="Market",Retention*TIRenewal*D146+(1-Retention)*TINew*D146,IF(I146="LeaseUp",TINew*D146,IF(I146="Option",TIRenewal*D146,0)))))+(IF(I146="Vacate",LCNew*H146*D146*(1+GrowthMarketRent)^1,IF(I146="Market",Retention*LCRenewal*H146*D146*(1+GrowthMarketRent)^1+(1-Retention)*LCNew*H146*D146*(1+GrowthMarketRent)^1,IF(I146="LeaseUp",LCNew*H146*D146*(1+GrowthMarketRent)^1,IF(I146="Option",LCRenewal*H146*D146*(1+GrowthMarketRent)^1,0))))),0))),0)</f>
        <v/>
      </c>
      <c r="AA146" s="14">
        <f>IFERROR(IF(AND(I146="LeaseUp",2=0),(IF(I146="Vacate",TINew*D146,IF(I146="Market",Retention*TIRenewal*D146+(1-Retention)*TINew*D146,IF(I146="LeaseUp",TINew*D146,IF(I146="Option",TIRenewal*D146,0)))))+(IF(I146="Vacate",LCNew*H146*D146*(1+GrowthMarketRent)^2,IF(I146="Market",Retention*LCRenewal*H146*D146*(1+GrowthMarketRent)^2+(1-Retention)*LCNew*H146*D146*(1+GrowthMarketRent)^2,IF(I146="LeaseUp",LCNew*H146*D146*(1+GrowthMarketRent)^2,IF(I146="Option",LCRenewal*H146*D146*(1+GrowthMarketRent)^2,0))))),IF(F146="",0,IF(AND(F146&gt;=DATE(2026+2,5,1),F146&lt;=DATE(2027+2,4,30)),(IF(I146="Vacate",TINew*D146,IF(I146="Market",Retention*TIRenewal*D146+(1-Retention)*TINew*D146,IF(I146="LeaseUp",TINew*D146,IF(I146="Option",TIRenewal*D146,0)))))+(IF(I146="Vacate",LCNew*H146*D146*(1+GrowthMarketRent)^2,IF(I146="Market",Retention*LCRenewal*H146*D146*(1+GrowthMarketRent)^2+(1-Retention)*LCNew*H146*D146*(1+GrowthMarketRent)^2,IF(I146="LeaseUp",LCNew*H146*D146*(1+GrowthMarketRent)^2,IF(I146="Option",LCRenewal*H146*D146*(1+GrowthMarketRent)^2,0))))),0))),0)</f>
        <v/>
      </c>
      <c r="AB146" s="14">
        <f>IFERROR(IF(AND(I146="LeaseUp",3=0),(IF(I146="Vacate",TINew*D146,IF(I146="Market",Retention*TIRenewal*D146+(1-Retention)*TINew*D146,IF(I146="LeaseUp",TINew*D146,IF(I146="Option",TIRenewal*D146,0)))))+(IF(I146="Vacate",LCNew*H146*D146*(1+GrowthMarketRent)^3,IF(I146="Market",Retention*LCRenewal*H146*D146*(1+GrowthMarketRent)^3+(1-Retention)*LCNew*H146*D146*(1+GrowthMarketRent)^3,IF(I146="LeaseUp",LCNew*H146*D146*(1+GrowthMarketRent)^3,IF(I146="Option",LCRenewal*H146*D146*(1+GrowthMarketRent)^3,0))))),IF(F146="",0,IF(AND(F146&gt;=DATE(2026+3,5,1),F146&lt;=DATE(2027+3,4,30)),(IF(I146="Vacate",TINew*D146,IF(I146="Market",Retention*TIRenewal*D146+(1-Retention)*TINew*D146,IF(I146="LeaseUp",TINew*D146,IF(I146="Option",TIRenewal*D146,0)))))+(IF(I146="Vacate",LCNew*H146*D146*(1+GrowthMarketRent)^3,IF(I146="Market",Retention*LCRenewal*H146*D146*(1+GrowthMarketRent)^3+(1-Retention)*LCNew*H146*D146*(1+GrowthMarketRent)^3,IF(I146="LeaseUp",LCNew*H146*D146*(1+GrowthMarketRent)^3,IF(I146="Option",LCRenewal*H146*D146*(1+GrowthMarketRent)^3,0))))),0))),0)</f>
        <v/>
      </c>
      <c r="AC146" s="14">
        <f>IFERROR(IF(AND(I146="LeaseUp",4=0),(IF(I146="Vacate",TINew*D146,IF(I146="Market",Retention*TIRenewal*D146+(1-Retention)*TINew*D146,IF(I146="LeaseUp",TINew*D146,IF(I146="Option",TIRenewal*D146,0)))))+(IF(I146="Vacate",LCNew*H146*D146*(1+GrowthMarketRent)^4,IF(I146="Market",Retention*LCRenewal*H146*D146*(1+GrowthMarketRent)^4+(1-Retention)*LCNew*H146*D146*(1+GrowthMarketRent)^4,IF(I146="LeaseUp",LCNew*H146*D146*(1+GrowthMarketRent)^4,IF(I146="Option",LCRenewal*H146*D146*(1+GrowthMarketRent)^4,0))))),IF(F146="",0,IF(AND(F146&gt;=DATE(2026+4,5,1),F146&lt;=DATE(2027+4,4,30)),(IF(I146="Vacate",TINew*D146,IF(I146="Market",Retention*TIRenewal*D146+(1-Retention)*TINew*D146,IF(I146="LeaseUp",TINew*D146,IF(I146="Option",TIRenewal*D146,0)))))+(IF(I146="Vacate",LCNew*H146*D146*(1+GrowthMarketRent)^4,IF(I146="Market",Retention*LCRenewal*H146*D146*(1+GrowthMarketRent)^4+(1-Retention)*LCNew*H146*D146*(1+GrowthMarketRent)^4,IF(I146="LeaseUp",LCNew*H146*D146*(1+GrowthMarketRent)^4,IF(I146="Option",LCRenewal*H146*D146*(1+GrowthMarketRent)^4,0))))),0))),0)</f>
        <v/>
      </c>
      <c r="AD146" s="14">
        <f>IFERROR(IF(AND(I146="LeaseUp",5=0),(IF(I146="Vacate",TINew*D146,IF(I146="Market",Retention*TIRenewal*D146+(1-Retention)*TINew*D146,IF(I146="LeaseUp",TINew*D146,IF(I146="Option",TIRenewal*D146,0)))))+(IF(I146="Vacate",LCNew*H146*D146*(1+GrowthMarketRent)^5,IF(I146="Market",Retention*LCRenewal*H146*D146*(1+GrowthMarketRent)^5+(1-Retention)*LCNew*H146*D146*(1+GrowthMarketRent)^5,IF(I146="LeaseUp",LCNew*H146*D146*(1+GrowthMarketRent)^5,IF(I146="Option",LCRenewal*H146*D146*(1+GrowthMarketRent)^5,0))))),IF(F146="",0,IF(AND(F146&gt;=DATE(2026+5,5,1),F146&lt;=DATE(2027+5,4,30)),(IF(I146="Vacate",TINew*D146,IF(I146="Market",Retention*TIRenewal*D146+(1-Retention)*TINew*D146,IF(I146="LeaseUp",TINew*D146,IF(I146="Option",TIRenewal*D146,0)))))+(IF(I146="Vacate",LCNew*H146*D146*(1+GrowthMarketRent)^5,IF(I146="Market",Retention*LCRenewal*H146*D146*(1+GrowthMarketRent)^5+(1-Retention)*LCNew*H146*D146*(1+GrowthMarketRent)^5,IF(I146="LeaseUp",LCNew*H146*D146*(1+GrowthMarketRent)^5,IF(I146="Option",LCRenewal*H146*D146*(1+GrowthMarketRent)^5,0))))),0))),0)</f>
        <v/>
      </c>
      <c r="AE146" s="14">
        <f>IFERROR(IF(AND(I146="LeaseUp",6=0),(IF(I146="Vacate",TINew*D146,IF(I146="Market",Retention*TIRenewal*D146+(1-Retention)*TINew*D146,IF(I146="LeaseUp",TINew*D146,IF(I146="Option",TIRenewal*D146,0)))))+(IF(I146="Vacate",LCNew*H146*D146*(1+GrowthMarketRent)^6,IF(I146="Market",Retention*LCRenewal*H146*D146*(1+GrowthMarketRent)^6+(1-Retention)*LCNew*H146*D146*(1+GrowthMarketRent)^6,IF(I146="LeaseUp",LCNew*H146*D146*(1+GrowthMarketRent)^6,IF(I146="Option",LCRenewal*H146*D146*(1+GrowthMarketRent)^6,0))))),IF(F146="",0,IF(AND(F146&gt;=DATE(2026+6,5,1),F146&lt;=DATE(2027+6,4,30)),(IF(I146="Vacate",TINew*D146,IF(I146="Market",Retention*TIRenewal*D146+(1-Retention)*TINew*D146,IF(I146="LeaseUp",TINew*D146,IF(I146="Option",TIRenewal*D146,0)))))+(IF(I146="Vacate",LCNew*H146*D146*(1+GrowthMarketRent)^6,IF(I146="Market",Retention*LCRenewal*H146*D146*(1+GrowthMarketRent)^6+(1-Retention)*LCNew*H146*D146*(1+GrowthMarketRent)^6,IF(I146="LeaseUp",LCNew*H146*D146*(1+GrowthMarketRent)^6,IF(I146="Option",LCRenewal*H146*D146*(1+GrowthMarketRent)^6,0))))),0))),0)</f>
        <v/>
      </c>
      <c r="AF146" s="14">
        <f>IFERROR(IF(AND(I146="LeaseUp",7=0),(IF(I146="Vacate",TINew*D146,IF(I146="Market",Retention*TIRenewal*D146+(1-Retention)*TINew*D146,IF(I146="LeaseUp",TINew*D146,IF(I146="Option",TIRenewal*D146,0)))))+(IF(I146="Vacate",LCNew*H146*D146*(1+GrowthMarketRent)^7,IF(I146="Market",Retention*LCRenewal*H146*D146*(1+GrowthMarketRent)^7+(1-Retention)*LCNew*H146*D146*(1+GrowthMarketRent)^7,IF(I146="LeaseUp",LCNew*H146*D146*(1+GrowthMarketRent)^7,IF(I146="Option",LCRenewal*H146*D146*(1+GrowthMarketRent)^7,0))))),IF(F146="",0,IF(AND(F146&gt;=DATE(2026+7,5,1),F146&lt;=DATE(2027+7,4,30)),(IF(I146="Vacate",TINew*D146,IF(I146="Market",Retention*TIRenewal*D146+(1-Retention)*TINew*D146,IF(I146="LeaseUp",TINew*D146,IF(I146="Option",TIRenewal*D146,0)))))+(IF(I146="Vacate",LCNew*H146*D146*(1+GrowthMarketRent)^7,IF(I146="Market",Retention*LCRenewal*H146*D146*(1+GrowthMarketRent)^7+(1-Retention)*LCNew*H146*D146*(1+GrowthMarketRent)^7,IF(I146="LeaseUp",LCNew*H146*D146*(1+GrowthMarketRent)^7,IF(I146="Option",LCRenewal*H146*D146*(1+GrowthMarketRent)^7,0))))),0))),0)</f>
        <v/>
      </c>
      <c r="AG146" s="14">
        <f>IFERROR(IF(AND(I146="LeaseUp",8=0),(IF(I146="Vacate",TINew*D146,IF(I146="Market",Retention*TIRenewal*D146+(1-Retention)*TINew*D146,IF(I146="LeaseUp",TINew*D146,IF(I146="Option",TIRenewal*D146,0)))))+(IF(I146="Vacate",LCNew*H146*D146*(1+GrowthMarketRent)^8,IF(I146="Market",Retention*LCRenewal*H146*D146*(1+GrowthMarketRent)^8+(1-Retention)*LCNew*H146*D146*(1+GrowthMarketRent)^8,IF(I146="LeaseUp",LCNew*H146*D146*(1+GrowthMarketRent)^8,IF(I146="Option",LCRenewal*H146*D146*(1+GrowthMarketRent)^8,0))))),IF(F146="",0,IF(AND(F146&gt;=DATE(2026+8,5,1),F146&lt;=DATE(2027+8,4,30)),(IF(I146="Vacate",TINew*D146,IF(I146="Market",Retention*TIRenewal*D146+(1-Retention)*TINew*D146,IF(I146="LeaseUp",TINew*D146,IF(I146="Option",TIRenewal*D146,0)))))+(IF(I146="Vacate",LCNew*H146*D146*(1+GrowthMarketRent)^8,IF(I146="Market",Retention*LCRenewal*H146*D146*(1+GrowthMarketRent)^8+(1-Retention)*LCNew*H146*D146*(1+GrowthMarketRent)^8,IF(I146="LeaseUp",LCNew*H146*D146*(1+GrowthMarketRent)^8,IF(I146="Option",LCRenewal*H146*D146*(1+GrowthMarketRent)^8,0))))),0))),0)</f>
        <v/>
      </c>
      <c r="AH146" s="14">
        <f>IFERROR(IF(AND(I146="LeaseUp",9=0),(IF(I146="Vacate",TINew*D146,IF(I146="Market",Retention*TIRenewal*D146+(1-Retention)*TINew*D146,IF(I146="LeaseUp",TINew*D146,IF(I146="Option",TIRenewal*D146,0)))))+(IF(I146="Vacate",LCNew*H146*D146*(1+GrowthMarketRent)^9,IF(I146="Market",Retention*LCRenewal*H146*D146*(1+GrowthMarketRent)^9+(1-Retention)*LCNew*H146*D146*(1+GrowthMarketRent)^9,IF(I146="LeaseUp",LCNew*H146*D146*(1+GrowthMarketRent)^9,IF(I146="Option",LCRenewal*H146*D146*(1+GrowthMarketRent)^9,0))))),IF(F146="",0,IF(AND(F146&gt;=DATE(2026+9,5,1),F146&lt;=DATE(2027+9,4,30)),(IF(I146="Vacate",TINew*D146,IF(I146="Market",Retention*TIRenewal*D146+(1-Retention)*TINew*D146,IF(I146="LeaseUp",TINew*D146,IF(I146="Option",TIRenewal*D146,0)))))+(IF(I146="Vacate",LCNew*H146*D146*(1+GrowthMarketRent)^9,IF(I146="Market",Retention*LCRenewal*H146*D146*(1+GrowthMarketRent)^9+(1-Retention)*LCNew*H146*D146*(1+GrowthMarketRent)^9,IF(I146="LeaseUp",LCNew*H146*D146*(1+GrowthMarketRent)^9,IF(I146="Option",LCRenewal*H146*D146*(1+GrowthMarketRent)^9,0))))),0))),0)</f>
        <v/>
      </c>
      <c r="AI146" s="14">
        <f>IFERROR(IF(AND(I146="LeaseUp",10=0),(IF(I146="Vacate",TINew*D146,IF(I146="Market",Retention*TIRenewal*D146+(1-Retention)*TINew*D146,IF(I146="LeaseUp",TINew*D146,IF(I146="Option",TIRenewal*D146,0)))))+(IF(I146="Vacate",LCNew*H146*D146*(1+GrowthMarketRent)^10,IF(I146="Market",Retention*LCRenewal*H146*D146*(1+GrowthMarketRent)^10+(1-Retention)*LCNew*H146*D146*(1+GrowthMarketRent)^10,IF(I146="LeaseUp",LCNew*H146*D146*(1+GrowthMarketRent)^10,IF(I146="Option",LCRenewal*H146*D146*(1+GrowthMarketRent)^10,0))))),IF(F146="",0,IF(AND(F146&gt;=DATE(2026+10,5,1),F146&lt;=DATE(2027+10,4,30)),(IF(I146="Vacate",TINew*D146,IF(I146="Market",Retention*TIRenewal*D146+(1-Retention)*TINew*D146,IF(I146="LeaseUp",TINew*D146,IF(I146="Option",TIRenewal*D146,0)))))+(IF(I146="Vacate",LCNew*H146*D146*(1+GrowthMarketRent)^10,IF(I146="Market",Retention*LCRenewal*H146*D146*(1+GrowthMarketRent)^10+(1-Retention)*LCNew*H146*D146*(1+GrowthMarketRent)^10,IF(I146="LeaseUp",LCNew*H146*D146*(1+GrowthMarketRent)^10,IF(I146="Option",LCRenewal*H146*D146*(1+GrowthMarketRent)^10,0))))),0))),0)</f>
        <v/>
      </c>
    </row>
    <row r="147">
      <c r="A147" t="inlineStr">
        <is>
          <t>Plano</t>
        </is>
      </c>
      <c r="B147" t="inlineStr">
        <is>
          <t>111</t>
        </is>
      </c>
      <c r="C147" t="inlineStr">
        <is>
          <t>Sunstone Properties LLC</t>
        </is>
      </c>
      <c r="D147" s="32" t="n">
        <v>2600</v>
      </c>
      <c r="E147" s="33" t="n">
        <v>44958</v>
      </c>
      <c r="F147" s="33" t="n">
        <v>46204</v>
      </c>
      <c r="G147" s="34" t="n">
        <v>15.615</v>
      </c>
      <c r="H147" s="16">
        <f>VLOOKUP(A147,MLA!$A$5:$L$11,3,FALSE)</f>
        <v/>
      </c>
      <c r="I147" s="11" t="inlineStr">
        <is>
          <t>Option</t>
        </is>
      </c>
      <c r="J147" t="inlineStr">
        <is>
          <t>Shop</t>
        </is>
      </c>
      <c r="K147" t="inlineStr">
        <is>
          <t>Occupied</t>
        </is>
      </c>
      <c r="L147" t="inlineStr">
        <is>
          <t>Shop; Guarantor: Derek Shaw; Two 3yr options @ 102.5%</t>
        </is>
      </c>
      <c r="M147" s="20">
        <f>IF(E147="",0,(AnalysisStart-E147)/365.25)</f>
        <v/>
      </c>
      <c r="N147" s="14">
        <f>IFERROR(IF(I147="LeaseUp",H147*D147*(1+GrowthMarketRent)^0*IF(0=0,(12-DowntimeNew)/12,1),IF(F147="",0,IF(F147&gt;=DATE(2027+0,4,30),G147*D147*(1+EscalatorInLease)^(0+M147),IF(F147&lt;DATE(2026+0,5,1),IF(I147="Vacate",H147*D147*(1+GrowthMarketRent)^0*IF(INT((DATE(2026+0,10,31)-F147)/365.25)=0,(12-DowntimeNew)/12,1),IF(I147="Option",G147*D147*1.025*(1+EscalatorInLease)^0,IF(I147="Market",Retention*G147*D147*(1+EscalatorInLease)^(0+M147)+(1-Retention)*H147*D147*(1+GrowthMarketRent)^0*IF(INT((DATE(2026+0,10,31)-F147)/365.25)=0,(12-DowntimeNew)/12,1),IF(I147="LeaseUp",H147*D147*(1+GrowthMarketRent)^0*IF(0=0,(12-DowntimeNew)/12,1),0)))),((F147-DATE(2026+0,5,1))/365.25)*G147*D147*(1+EscalatorInLease)^(0+M147)+((DATE(2027+0,4,30)-F147)/365.25)*IF(I147="Vacate",H147*D147*(1+GrowthMarketRent)^0*IF(INT((DATE(2026+0,10,31)-F147)/365.25)=0,(12-DowntimeNew)/12,1),IF(I147="Option",G147*D147*1.025*(1+EscalatorInLease)^0,IF(I147="Market",Retention*G147*D147*(1+EscalatorInLease)^(0+M147)+(1-Retention)*H147*D147*(1+GrowthMarketRent)^0*IF(INT((DATE(2026+0,10,31)-F147)/365.25)=0,(12-DowntimeNew)/12,1),IF(I147="LeaseUp",H147*D147*(1+GrowthMarketRent)^0*IF(0=0,(12-DowntimeNew)/12,1),0)))))))),0)</f>
        <v/>
      </c>
      <c r="O147" s="14">
        <f>IFERROR(IF(I147="LeaseUp",H147*D147*(1+GrowthMarketRent)^1*IF(1=0,(12-DowntimeNew)/12,1),IF(F147="",0,IF(F147&gt;=DATE(2027+1,4,30),G147*D147*(1+EscalatorInLease)^(1+M147),IF(F147&lt;DATE(2026+1,5,1),IF(I147="Vacate",H147*D147*(1+GrowthMarketRent)^1*IF(INT((DATE(2026+1,10,31)-F147)/365.25)=0,(12-DowntimeNew)/12,1),IF(I147="Option",G147*D147*1.025*(1+EscalatorInLease)^1,IF(I147="Market",Retention*G147*D147*(1+EscalatorInLease)^(1+M147)+(1-Retention)*H147*D147*(1+GrowthMarketRent)^1*IF(INT((DATE(2026+1,10,31)-F147)/365.25)=0,(12-DowntimeNew)/12,1),IF(I147="LeaseUp",H147*D147*(1+GrowthMarketRent)^1*IF(1=0,(12-DowntimeNew)/12,1),0)))),((F147-DATE(2026+1,5,1))/365.25)*G147*D147*(1+EscalatorInLease)^(1+M147)+((DATE(2027+1,4,30)-F147)/365.25)*IF(I147="Vacate",H147*D147*(1+GrowthMarketRent)^1*IF(INT((DATE(2026+1,10,31)-F147)/365.25)=0,(12-DowntimeNew)/12,1),IF(I147="Option",G147*D147*1.025*(1+EscalatorInLease)^1,IF(I147="Market",Retention*G147*D147*(1+EscalatorInLease)^(1+M147)+(1-Retention)*H147*D147*(1+GrowthMarketRent)^1*IF(INT((DATE(2026+1,10,31)-F147)/365.25)=0,(12-DowntimeNew)/12,1),IF(I147="LeaseUp",H147*D147*(1+GrowthMarketRent)^1*IF(1=0,(12-DowntimeNew)/12,1),0)))))))),0)</f>
        <v/>
      </c>
      <c r="P147" s="14">
        <f>IFERROR(IF(I147="LeaseUp",H147*D147*(1+GrowthMarketRent)^2*IF(2=0,(12-DowntimeNew)/12,1),IF(F147="",0,IF(F147&gt;=DATE(2027+2,4,30),G147*D147*(1+EscalatorInLease)^(2+M147),IF(F147&lt;DATE(2026+2,5,1),IF(I147="Vacate",H147*D147*(1+GrowthMarketRent)^2*IF(INT((DATE(2026+2,10,31)-F147)/365.25)=0,(12-DowntimeNew)/12,1),IF(I147="Option",G147*D147*1.025*(1+EscalatorInLease)^2,IF(I147="Market",Retention*G147*D147*(1+EscalatorInLease)^(2+M147)+(1-Retention)*H147*D147*(1+GrowthMarketRent)^2*IF(INT((DATE(2026+2,10,31)-F147)/365.25)=0,(12-DowntimeNew)/12,1),IF(I147="LeaseUp",H147*D147*(1+GrowthMarketRent)^2*IF(2=0,(12-DowntimeNew)/12,1),0)))),((F147-DATE(2026+2,5,1))/365.25)*G147*D147*(1+EscalatorInLease)^(2+M147)+((DATE(2027+2,4,30)-F147)/365.25)*IF(I147="Vacate",H147*D147*(1+GrowthMarketRent)^2*IF(INT((DATE(2026+2,10,31)-F147)/365.25)=0,(12-DowntimeNew)/12,1),IF(I147="Option",G147*D147*1.025*(1+EscalatorInLease)^2,IF(I147="Market",Retention*G147*D147*(1+EscalatorInLease)^(2+M147)+(1-Retention)*H147*D147*(1+GrowthMarketRent)^2*IF(INT((DATE(2026+2,10,31)-F147)/365.25)=0,(12-DowntimeNew)/12,1),IF(I147="LeaseUp",H147*D147*(1+GrowthMarketRent)^2*IF(2=0,(12-DowntimeNew)/12,1),0)))))))),0)</f>
        <v/>
      </c>
      <c r="Q147" s="14">
        <f>IFERROR(IF(I147="LeaseUp",H147*D147*(1+GrowthMarketRent)^3*IF(3=0,(12-DowntimeNew)/12,1),IF(F147="",0,IF(F147&gt;=DATE(2027+3,4,30),G147*D147*(1+EscalatorInLease)^(3+M147),IF(F147&lt;DATE(2026+3,5,1),IF(I147="Vacate",H147*D147*(1+GrowthMarketRent)^3*IF(INT((DATE(2026+3,10,31)-F147)/365.25)=0,(12-DowntimeNew)/12,1),IF(I147="Option",G147*D147*1.025*(1+EscalatorInLease)^3,IF(I147="Market",Retention*G147*D147*(1+EscalatorInLease)^(3+M147)+(1-Retention)*H147*D147*(1+GrowthMarketRent)^3*IF(INT((DATE(2026+3,10,31)-F147)/365.25)=0,(12-DowntimeNew)/12,1),IF(I147="LeaseUp",H147*D147*(1+GrowthMarketRent)^3*IF(3=0,(12-DowntimeNew)/12,1),0)))),((F147-DATE(2026+3,5,1))/365.25)*G147*D147*(1+EscalatorInLease)^(3+M147)+((DATE(2027+3,4,30)-F147)/365.25)*IF(I147="Vacate",H147*D147*(1+GrowthMarketRent)^3*IF(INT((DATE(2026+3,10,31)-F147)/365.25)=0,(12-DowntimeNew)/12,1),IF(I147="Option",G147*D147*1.025*(1+EscalatorInLease)^3,IF(I147="Market",Retention*G147*D147*(1+EscalatorInLease)^(3+M147)+(1-Retention)*H147*D147*(1+GrowthMarketRent)^3*IF(INT((DATE(2026+3,10,31)-F147)/365.25)=0,(12-DowntimeNew)/12,1),IF(I147="LeaseUp",H147*D147*(1+GrowthMarketRent)^3*IF(3=0,(12-DowntimeNew)/12,1),0)))))))),0)</f>
        <v/>
      </c>
      <c r="R147" s="14">
        <f>IFERROR(IF(I147="LeaseUp",H147*D147*(1+GrowthMarketRent)^4*IF(4=0,(12-DowntimeNew)/12,1),IF(F147="",0,IF(F147&gt;=DATE(2027+4,4,30),G147*D147*(1+EscalatorInLease)^(4+M147),IF(F147&lt;DATE(2026+4,5,1),IF(I147="Vacate",H147*D147*(1+GrowthMarketRent)^4*IF(INT((DATE(2026+4,10,31)-F147)/365.25)=0,(12-DowntimeNew)/12,1),IF(I147="Option",G147*D147*1.025*(1+EscalatorInLease)^4,IF(I147="Market",Retention*G147*D147*(1+EscalatorInLease)^(4+M147)+(1-Retention)*H147*D147*(1+GrowthMarketRent)^4*IF(INT((DATE(2026+4,10,31)-F147)/365.25)=0,(12-DowntimeNew)/12,1),IF(I147="LeaseUp",H147*D147*(1+GrowthMarketRent)^4*IF(4=0,(12-DowntimeNew)/12,1),0)))),((F147-DATE(2026+4,5,1))/365.25)*G147*D147*(1+EscalatorInLease)^(4+M147)+((DATE(2027+4,4,30)-F147)/365.25)*IF(I147="Vacate",H147*D147*(1+GrowthMarketRent)^4*IF(INT((DATE(2026+4,10,31)-F147)/365.25)=0,(12-DowntimeNew)/12,1),IF(I147="Option",G147*D147*1.025*(1+EscalatorInLease)^4,IF(I147="Market",Retention*G147*D147*(1+EscalatorInLease)^(4+M147)+(1-Retention)*H147*D147*(1+GrowthMarketRent)^4*IF(INT((DATE(2026+4,10,31)-F147)/365.25)=0,(12-DowntimeNew)/12,1),IF(I147="LeaseUp",H147*D147*(1+GrowthMarketRent)^4*IF(4=0,(12-DowntimeNew)/12,1),0)))))))),0)</f>
        <v/>
      </c>
      <c r="S147" s="14">
        <f>IFERROR(IF(I147="LeaseUp",H147*D147*(1+GrowthMarketRent)^5*IF(5=0,(12-DowntimeNew)/12,1),IF(F147="",0,IF(F147&gt;=DATE(2027+5,4,30),G147*D147*(1+EscalatorInLease)^(5+M147),IF(F147&lt;DATE(2026+5,5,1),IF(I147="Vacate",H147*D147*(1+GrowthMarketRent)^5*IF(INT((DATE(2026+5,10,31)-F147)/365.25)=0,(12-DowntimeNew)/12,1),IF(I147="Option",G147*D147*1.025*(1+EscalatorInLease)^5,IF(I147="Market",Retention*G147*D147*(1+EscalatorInLease)^(5+M147)+(1-Retention)*H147*D147*(1+GrowthMarketRent)^5*IF(INT((DATE(2026+5,10,31)-F147)/365.25)=0,(12-DowntimeNew)/12,1),IF(I147="LeaseUp",H147*D147*(1+GrowthMarketRent)^5*IF(5=0,(12-DowntimeNew)/12,1),0)))),((F147-DATE(2026+5,5,1))/365.25)*G147*D147*(1+EscalatorInLease)^(5+M147)+((DATE(2027+5,4,30)-F147)/365.25)*IF(I147="Vacate",H147*D147*(1+GrowthMarketRent)^5*IF(INT((DATE(2026+5,10,31)-F147)/365.25)=0,(12-DowntimeNew)/12,1),IF(I147="Option",G147*D147*1.025*(1+EscalatorInLease)^5,IF(I147="Market",Retention*G147*D147*(1+EscalatorInLease)^(5+M147)+(1-Retention)*H147*D147*(1+GrowthMarketRent)^5*IF(INT((DATE(2026+5,10,31)-F147)/365.25)=0,(12-DowntimeNew)/12,1),IF(I147="LeaseUp",H147*D147*(1+GrowthMarketRent)^5*IF(5=0,(12-DowntimeNew)/12,1),0)))))))),0)</f>
        <v/>
      </c>
      <c r="T147" s="14">
        <f>IFERROR(IF(I147="LeaseUp",H147*D147*(1+GrowthMarketRent)^6*IF(6=0,(12-DowntimeNew)/12,1),IF(F147="",0,IF(F147&gt;=DATE(2027+6,4,30),G147*D147*(1+EscalatorInLease)^(6+M147),IF(F147&lt;DATE(2026+6,5,1),IF(I147="Vacate",H147*D147*(1+GrowthMarketRent)^6*IF(INT((DATE(2026+6,10,31)-F147)/365.25)=0,(12-DowntimeNew)/12,1),IF(I147="Option",G147*D147*1.025*(1+EscalatorInLease)^6,IF(I147="Market",Retention*G147*D147*(1+EscalatorInLease)^(6+M147)+(1-Retention)*H147*D147*(1+GrowthMarketRent)^6*IF(INT((DATE(2026+6,10,31)-F147)/365.25)=0,(12-DowntimeNew)/12,1),IF(I147="LeaseUp",H147*D147*(1+GrowthMarketRent)^6*IF(6=0,(12-DowntimeNew)/12,1),0)))),((F147-DATE(2026+6,5,1))/365.25)*G147*D147*(1+EscalatorInLease)^(6+M147)+((DATE(2027+6,4,30)-F147)/365.25)*IF(I147="Vacate",H147*D147*(1+GrowthMarketRent)^6*IF(INT((DATE(2026+6,10,31)-F147)/365.25)=0,(12-DowntimeNew)/12,1),IF(I147="Option",G147*D147*1.025*(1+EscalatorInLease)^6,IF(I147="Market",Retention*G147*D147*(1+EscalatorInLease)^(6+M147)+(1-Retention)*H147*D147*(1+GrowthMarketRent)^6*IF(INT((DATE(2026+6,10,31)-F147)/365.25)=0,(12-DowntimeNew)/12,1),IF(I147="LeaseUp",H147*D147*(1+GrowthMarketRent)^6*IF(6=0,(12-DowntimeNew)/12,1),0)))))))),0)</f>
        <v/>
      </c>
      <c r="U147" s="14">
        <f>IFERROR(IF(I147="LeaseUp",H147*D147*(1+GrowthMarketRent)^7*IF(7=0,(12-DowntimeNew)/12,1),IF(F147="",0,IF(F147&gt;=DATE(2027+7,4,30),G147*D147*(1+EscalatorInLease)^(7+M147),IF(F147&lt;DATE(2026+7,5,1),IF(I147="Vacate",H147*D147*(1+GrowthMarketRent)^7*IF(INT((DATE(2026+7,10,31)-F147)/365.25)=0,(12-DowntimeNew)/12,1),IF(I147="Option",G147*D147*1.025*(1+EscalatorInLease)^7,IF(I147="Market",Retention*G147*D147*(1+EscalatorInLease)^(7+M147)+(1-Retention)*H147*D147*(1+GrowthMarketRent)^7*IF(INT((DATE(2026+7,10,31)-F147)/365.25)=0,(12-DowntimeNew)/12,1),IF(I147="LeaseUp",H147*D147*(1+GrowthMarketRent)^7*IF(7=0,(12-DowntimeNew)/12,1),0)))),((F147-DATE(2026+7,5,1))/365.25)*G147*D147*(1+EscalatorInLease)^(7+M147)+((DATE(2027+7,4,30)-F147)/365.25)*IF(I147="Vacate",H147*D147*(1+GrowthMarketRent)^7*IF(INT((DATE(2026+7,10,31)-F147)/365.25)=0,(12-DowntimeNew)/12,1),IF(I147="Option",G147*D147*1.025*(1+EscalatorInLease)^7,IF(I147="Market",Retention*G147*D147*(1+EscalatorInLease)^(7+M147)+(1-Retention)*H147*D147*(1+GrowthMarketRent)^7*IF(INT((DATE(2026+7,10,31)-F147)/365.25)=0,(12-DowntimeNew)/12,1),IF(I147="LeaseUp",H147*D147*(1+GrowthMarketRent)^7*IF(7=0,(12-DowntimeNew)/12,1),0)))))))),0)</f>
        <v/>
      </c>
      <c r="V147" s="14">
        <f>IFERROR(IF(I147="LeaseUp",H147*D147*(1+GrowthMarketRent)^8*IF(8=0,(12-DowntimeNew)/12,1),IF(F147="",0,IF(F147&gt;=DATE(2027+8,4,30),G147*D147*(1+EscalatorInLease)^(8+M147),IF(F147&lt;DATE(2026+8,5,1),IF(I147="Vacate",H147*D147*(1+GrowthMarketRent)^8*IF(INT((DATE(2026+8,10,31)-F147)/365.25)=0,(12-DowntimeNew)/12,1),IF(I147="Option",G147*D147*1.025*(1+EscalatorInLease)^8,IF(I147="Market",Retention*G147*D147*(1+EscalatorInLease)^(8+M147)+(1-Retention)*H147*D147*(1+GrowthMarketRent)^8*IF(INT((DATE(2026+8,10,31)-F147)/365.25)=0,(12-DowntimeNew)/12,1),IF(I147="LeaseUp",H147*D147*(1+GrowthMarketRent)^8*IF(8=0,(12-DowntimeNew)/12,1),0)))),((F147-DATE(2026+8,5,1))/365.25)*G147*D147*(1+EscalatorInLease)^(8+M147)+((DATE(2027+8,4,30)-F147)/365.25)*IF(I147="Vacate",H147*D147*(1+GrowthMarketRent)^8*IF(INT((DATE(2026+8,10,31)-F147)/365.25)=0,(12-DowntimeNew)/12,1),IF(I147="Option",G147*D147*1.025*(1+EscalatorInLease)^8,IF(I147="Market",Retention*G147*D147*(1+EscalatorInLease)^(8+M147)+(1-Retention)*H147*D147*(1+GrowthMarketRent)^8*IF(INT((DATE(2026+8,10,31)-F147)/365.25)=0,(12-DowntimeNew)/12,1),IF(I147="LeaseUp",H147*D147*(1+GrowthMarketRent)^8*IF(8=0,(12-DowntimeNew)/12,1),0)))))))),0)</f>
        <v/>
      </c>
      <c r="W147" s="14">
        <f>IFERROR(IF(I147="LeaseUp",H147*D147*(1+GrowthMarketRent)^9*IF(9=0,(12-DowntimeNew)/12,1),IF(F147="",0,IF(F147&gt;=DATE(2027+9,4,30),G147*D147*(1+EscalatorInLease)^(9+M147),IF(F147&lt;DATE(2026+9,5,1),IF(I147="Vacate",H147*D147*(1+GrowthMarketRent)^9*IF(INT((DATE(2026+9,10,31)-F147)/365.25)=0,(12-DowntimeNew)/12,1),IF(I147="Option",G147*D147*1.025*(1+EscalatorInLease)^9,IF(I147="Market",Retention*G147*D147*(1+EscalatorInLease)^(9+M147)+(1-Retention)*H147*D147*(1+GrowthMarketRent)^9*IF(INT((DATE(2026+9,10,31)-F147)/365.25)=0,(12-DowntimeNew)/12,1),IF(I147="LeaseUp",H147*D147*(1+GrowthMarketRent)^9*IF(9=0,(12-DowntimeNew)/12,1),0)))),((F147-DATE(2026+9,5,1))/365.25)*G147*D147*(1+EscalatorInLease)^(9+M147)+((DATE(2027+9,4,30)-F147)/365.25)*IF(I147="Vacate",H147*D147*(1+GrowthMarketRent)^9*IF(INT((DATE(2026+9,10,31)-F147)/365.25)=0,(12-DowntimeNew)/12,1),IF(I147="Option",G147*D147*1.025*(1+EscalatorInLease)^9,IF(I147="Market",Retention*G147*D147*(1+EscalatorInLease)^(9+M147)+(1-Retention)*H147*D147*(1+GrowthMarketRent)^9*IF(INT((DATE(2026+9,10,31)-F147)/365.25)=0,(12-DowntimeNew)/12,1),IF(I147="LeaseUp",H147*D147*(1+GrowthMarketRent)^9*IF(9=0,(12-DowntimeNew)/12,1),0)))))))),0)</f>
        <v/>
      </c>
      <c r="X147" s="14">
        <f>IFERROR(IF(I147="LeaseUp",H147*D147*(1+GrowthMarketRent)^10*IF(10=0,(12-DowntimeNew)/12,1),IF(F147="",0,IF(F147&gt;=DATE(2027+10,4,30),G147*D147*(1+EscalatorInLease)^(10+M147),IF(F147&lt;DATE(2026+10,5,1),IF(I147="Vacate",H147*D147*(1+GrowthMarketRent)^10*IF(INT((DATE(2026+10,10,31)-F147)/365.25)=0,(12-DowntimeNew)/12,1),IF(I147="Option",G147*D147*1.025*(1+EscalatorInLease)^10,IF(I147="Market",Retention*G147*D147*(1+EscalatorInLease)^(10+M147)+(1-Retention)*H147*D147*(1+GrowthMarketRent)^10*IF(INT((DATE(2026+10,10,31)-F147)/365.25)=0,(12-DowntimeNew)/12,1),IF(I147="LeaseUp",H147*D147*(1+GrowthMarketRent)^10*IF(10=0,(12-DowntimeNew)/12,1),0)))),((F147-DATE(2026+10,5,1))/365.25)*G147*D147*(1+EscalatorInLease)^(10+M147)+((DATE(2027+10,4,30)-F147)/365.25)*IF(I147="Vacate",H147*D147*(1+GrowthMarketRent)^10*IF(INT((DATE(2026+10,10,31)-F147)/365.25)=0,(12-DowntimeNew)/12,1),IF(I147="Option",G147*D147*1.025*(1+EscalatorInLease)^10,IF(I147="Market",Retention*G147*D147*(1+EscalatorInLease)^(10+M147)+(1-Retention)*H147*D147*(1+GrowthMarketRent)^10*IF(INT((DATE(2026+10,10,31)-F147)/365.25)=0,(12-DowntimeNew)/12,1),IF(I147="LeaseUp",H147*D147*(1+GrowthMarketRent)^10*IF(10=0,(12-DowntimeNew)/12,1),0)))))))),0)</f>
        <v/>
      </c>
      <c r="Y147" s="14">
        <f>IFERROR(IF(AND(I147="LeaseUp",0=0),(IF(I147="Vacate",TINew*D147,IF(I147="Market",Retention*TIRenewal*D147+(1-Retention)*TINew*D147,IF(I147="LeaseUp",TINew*D147,IF(I147="Option",TIRenewal*D147,0)))))+(IF(I147="Vacate",LCNew*H147*D147*(1+GrowthMarketRent)^0,IF(I147="Market",Retention*LCRenewal*H147*D147*(1+GrowthMarketRent)^0+(1-Retention)*LCNew*H147*D147*(1+GrowthMarketRent)^0,IF(I147="LeaseUp",LCNew*H147*D147*(1+GrowthMarketRent)^0,IF(I147="Option",LCRenewal*H147*D147*(1+GrowthMarketRent)^0,0))))),IF(F147="",0,IF(AND(F147&gt;=DATE(2026+0,5,1),F147&lt;=DATE(2027+0,4,30)),(IF(I147="Vacate",TINew*D147,IF(I147="Market",Retention*TIRenewal*D147+(1-Retention)*TINew*D147,IF(I147="LeaseUp",TINew*D147,IF(I147="Option",TIRenewal*D147,0)))))+(IF(I147="Vacate",LCNew*H147*D147*(1+GrowthMarketRent)^0,IF(I147="Market",Retention*LCRenewal*H147*D147*(1+GrowthMarketRent)^0+(1-Retention)*LCNew*H147*D147*(1+GrowthMarketRent)^0,IF(I147="LeaseUp",LCNew*H147*D147*(1+GrowthMarketRent)^0,IF(I147="Option",LCRenewal*H147*D147*(1+GrowthMarketRent)^0,0))))),0))),0)</f>
        <v/>
      </c>
      <c r="Z147" s="14">
        <f>IFERROR(IF(AND(I147="LeaseUp",1=0),(IF(I147="Vacate",TINew*D147,IF(I147="Market",Retention*TIRenewal*D147+(1-Retention)*TINew*D147,IF(I147="LeaseUp",TINew*D147,IF(I147="Option",TIRenewal*D147,0)))))+(IF(I147="Vacate",LCNew*H147*D147*(1+GrowthMarketRent)^1,IF(I147="Market",Retention*LCRenewal*H147*D147*(1+GrowthMarketRent)^1+(1-Retention)*LCNew*H147*D147*(1+GrowthMarketRent)^1,IF(I147="LeaseUp",LCNew*H147*D147*(1+GrowthMarketRent)^1,IF(I147="Option",LCRenewal*H147*D147*(1+GrowthMarketRent)^1,0))))),IF(F147="",0,IF(AND(F147&gt;=DATE(2026+1,5,1),F147&lt;=DATE(2027+1,4,30)),(IF(I147="Vacate",TINew*D147,IF(I147="Market",Retention*TIRenewal*D147+(1-Retention)*TINew*D147,IF(I147="LeaseUp",TINew*D147,IF(I147="Option",TIRenewal*D147,0)))))+(IF(I147="Vacate",LCNew*H147*D147*(1+GrowthMarketRent)^1,IF(I147="Market",Retention*LCRenewal*H147*D147*(1+GrowthMarketRent)^1+(1-Retention)*LCNew*H147*D147*(1+GrowthMarketRent)^1,IF(I147="LeaseUp",LCNew*H147*D147*(1+GrowthMarketRent)^1,IF(I147="Option",LCRenewal*H147*D147*(1+GrowthMarketRent)^1,0))))),0))),0)</f>
        <v/>
      </c>
      <c r="AA147" s="14">
        <f>IFERROR(IF(AND(I147="LeaseUp",2=0),(IF(I147="Vacate",TINew*D147,IF(I147="Market",Retention*TIRenewal*D147+(1-Retention)*TINew*D147,IF(I147="LeaseUp",TINew*D147,IF(I147="Option",TIRenewal*D147,0)))))+(IF(I147="Vacate",LCNew*H147*D147*(1+GrowthMarketRent)^2,IF(I147="Market",Retention*LCRenewal*H147*D147*(1+GrowthMarketRent)^2+(1-Retention)*LCNew*H147*D147*(1+GrowthMarketRent)^2,IF(I147="LeaseUp",LCNew*H147*D147*(1+GrowthMarketRent)^2,IF(I147="Option",LCRenewal*H147*D147*(1+GrowthMarketRent)^2,0))))),IF(F147="",0,IF(AND(F147&gt;=DATE(2026+2,5,1),F147&lt;=DATE(2027+2,4,30)),(IF(I147="Vacate",TINew*D147,IF(I147="Market",Retention*TIRenewal*D147+(1-Retention)*TINew*D147,IF(I147="LeaseUp",TINew*D147,IF(I147="Option",TIRenewal*D147,0)))))+(IF(I147="Vacate",LCNew*H147*D147*(1+GrowthMarketRent)^2,IF(I147="Market",Retention*LCRenewal*H147*D147*(1+GrowthMarketRent)^2+(1-Retention)*LCNew*H147*D147*(1+GrowthMarketRent)^2,IF(I147="LeaseUp",LCNew*H147*D147*(1+GrowthMarketRent)^2,IF(I147="Option",LCRenewal*H147*D147*(1+GrowthMarketRent)^2,0))))),0))),0)</f>
        <v/>
      </c>
      <c r="AB147" s="14">
        <f>IFERROR(IF(AND(I147="LeaseUp",3=0),(IF(I147="Vacate",TINew*D147,IF(I147="Market",Retention*TIRenewal*D147+(1-Retention)*TINew*D147,IF(I147="LeaseUp",TINew*D147,IF(I147="Option",TIRenewal*D147,0)))))+(IF(I147="Vacate",LCNew*H147*D147*(1+GrowthMarketRent)^3,IF(I147="Market",Retention*LCRenewal*H147*D147*(1+GrowthMarketRent)^3+(1-Retention)*LCNew*H147*D147*(1+GrowthMarketRent)^3,IF(I147="LeaseUp",LCNew*H147*D147*(1+GrowthMarketRent)^3,IF(I147="Option",LCRenewal*H147*D147*(1+GrowthMarketRent)^3,0))))),IF(F147="",0,IF(AND(F147&gt;=DATE(2026+3,5,1),F147&lt;=DATE(2027+3,4,30)),(IF(I147="Vacate",TINew*D147,IF(I147="Market",Retention*TIRenewal*D147+(1-Retention)*TINew*D147,IF(I147="LeaseUp",TINew*D147,IF(I147="Option",TIRenewal*D147,0)))))+(IF(I147="Vacate",LCNew*H147*D147*(1+GrowthMarketRent)^3,IF(I147="Market",Retention*LCRenewal*H147*D147*(1+GrowthMarketRent)^3+(1-Retention)*LCNew*H147*D147*(1+GrowthMarketRent)^3,IF(I147="LeaseUp",LCNew*H147*D147*(1+GrowthMarketRent)^3,IF(I147="Option",LCRenewal*H147*D147*(1+GrowthMarketRent)^3,0))))),0))),0)</f>
        <v/>
      </c>
      <c r="AC147" s="14">
        <f>IFERROR(IF(AND(I147="LeaseUp",4=0),(IF(I147="Vacate",TINew*D147,IF(I147="Market",Retention*TIRenewal*D147+(1-Retention)*TINew*D147,IF(I147="LeaseUp",TINew*D147,IF(I147="Option",TIRenewal*D147,0)))))+(IF(I147="Vacate",LCNew*H147*D147*(1+GrowthMarketRent)^4,IF(I147="Market",Retention*LCRenewal*H147*D147*(1+GrowthMarketRent)^4+(1-Retention)*LCNew*H147*D147*(1+GrowthMarketRent)^4,IF(I147="LeaseUp",LCNew*H147*D147*(1+GrowthMarketRent)^4,IF(I147="Option",LCRenewal*H147*D147*(1+GrowthMarketRent)^4,0))))),IF(F147="",0,IF(AND(F147&gt;=DATE(2026+4,5,1),F147&lt;=DATE(2027+4,4,30)),(IF(I147="Vacate",TINew*D147,IF(I147="Market",Retention*TIRenewal*D147+(1-Retention)*TINew*D147,IF(I147="LeaseUp",TINew*D147,IF(I147="Option",TIRenewal*D147,0)))))+(IF(I147="Vacate",LCNew*H147*D147*(1+GrowthMarketRent)^4,IF(I147="Market",Retention*LCRenewal*H147*D147*(1+GrowthMarketRent)^4+(1-Retention)*LCNew*H147*D147*(1+GrowthMarketRent)^4,IF(I147="LeaseUp",LCNew*H147*D147*(1+GrowthMarketRent)^4,IF(I147="Option",LCRenewal*H147*D147*(1+GrowthMarketRent)^4,0))))),0))),0)</f>
        <v/>
      </c>
      <c r="AD147" s="14">
        <f>IFERROR(IF(AND(I147="LeaseUp",5=0),(IF(I147="Vacate",TINew*D147,IF(I147="Market",Retention*TIRenewal*D147+(1-Retention)*TINew*D147,IF(I147="LeaseUp",TINew*D147,IF(I147="Option",TIRenewal*D147,0)))))+(IF(I147="Vacate",LCNew*H147*D147*(1+GrowthMarketRent)^5,IF(I147="Market",Retention*LCRenewal*H147*D147*(1+GrowthMarketRent)^5+(1-Retention)*LCNew*H147*D147*(1+GrowthMarketRent)^5,IF(I147="LeaseUp",LCNew*H147*D147*(1+GrowthMarketRent)^5,IF(I147="Option",LCRenewal*H147*D147*(1+GrowthMarketRent)^5,0))))),IF(F147="",0,IF(AND(F147&gt;=DATE(2026+5,5,1),F147&lt;=DATE(2027+5,4,30)),(IF(I147="Vacate",TINew*D147,IF(I147="Market",Retention*TIRenewal*D147+(1-Retention)*TINew*D147,IF(I147="LeaseUp",TINew*D147,IF(I147="Option",TIRenewal*D147,0)))))+(IF(I147="Vacate",LCNew*H147*D147*(1+GrowthMarketRent)^5,IF(I147="Market",Retention*LCRenewal*H147*D147*(1+GrowthMarketRent)^5+(1-Retention)*LCNew*H147*D147*(1+GrowthMarketRent)^5,IF(I147="LeaseUp",LCNew*H147*D147*(1+GrowthMarketRent)^5,IF(I147="Option",LCRenewal*H147*D147*(1+GrowthMarketRent)^5,0))))),0))),0)</f>
        <v/>
      </c>
      <c r="AE147" s="14">
        <f>IFERROR(IF(AND(I147="LeaseUp",6=0),(IF(I147="Vacate",TINew*D147,IF(I147="Market",Retention*TIRenewal*D147+(1-Retention)*TINew*D147,IF(I147="LeaseUp",TINew*D147,IF(I147="Option",TIRenewal*D147,0)))))+(IF(I147="Vacate",LCNew*H147*D147*(1+GrowthMarketRent)^6,IF(I147="Market",Retention*LCRenewal*H147*D147*(1+GrowthMarketRent)^6+(1-Retention)*LCNew*H147*D147*(1+GrowthMarketRent)^6,IF(I147="LeaseUp",LCNew*H147*D147*(1+GrowthMarketRent)^6,IF(I147="Option",LCRenewal*H147*D147*(1+GrowthMarketRent)^6,0))))),IF(F147="",0,IF(AND(F147&gt;=DATE(2026+6,5,1),F147&lt;=DATE(2027+6,4,30)),(IF(I147="Vacate",TINew*D147,IF(I147="Market",Retention*TIRenewal*D147+(1-Retention)*TINew*D147,IF(I147="LeaseUp",TINew*D147,IF(I147="Option",TIRenewal*D147,0)))))+(IF(I147="Vacate",LCNew*H147*D147*(1+GrowthMarketRent)^6,IF(I147="Market",Retention*LCRenewal*H147*D147*(1+GrowthMarketRent)^6+(1-Retention)*LCNew*H147*D147*(1+GrowthMarketRent)^6,IF(I147="LeaseUp",LCNew*H147*D147*(1+GrowthMarketRent)^6,IF(I147="Option",LCRenewal*H147*D147*(1+GrowthMarketRent)^6,0))))),0))),0)</f>
        <v/>
      </c>
      <c r="AF147" s="14">
        <f>IFERROR(IF(AND(I147="LeaseUp",7=0),(IF(I147="Vacate",TINew*D147,IF(I147="Market",Retention*TIRenewal*D147+(1-Retention)*TINew*D147,IF(I147="LeaseUp",TINew*D147,IF(I147="Option",TIRenewal*D147,0)))))+(IF(I147="Vacate",LCNew*H147*D147*(1+GrowthMarketRent)^7,IF(I147="Market",Retention*LCRenewal*H147*D147*(1+GrowthMarketRent)^7+(1-Retention)*LCNew*H147*D147*(1+GrowthMarketRent)^7,IF(I147="LeaseUp",LCNew*H147*D147*(1+GrowthMarketRent)^7,IF(I147="Option",LCRenewal*H147*D147*(1+GrowthMarketRent)^7,0))))),IF(F147="",0,IF(AND(F147&gt;=DATE(2026+7,5,1),F147&lt;=DATE(2027+7,4,30)),(IF(I147="Vacate",TINew*D147,IF(I147="Market",Retention*TIRenewal*D147+(1-Retention)*TINew*D147,IF(I147="LeaseUp",TINew*D147,IF(I147="Option",TIRenewal*D147,0)))))+(IF(I147="Vacate",LCNew*H147*D147*(1+GrowthMarketRent)^7,IF(I147="Market",Retention*LCRenewal*H147*D147*(1+GrowthMarketRent)^7+(1-Retention)*LCNew*H147*D147*(1+GrowthMarketRent)^7,IF(I147="LeaseUp",LCNew*H147*D147*(1+GrowthMarketRent)^7,IF(I147="Option",LCRenewal*H147*D147*(1+GrowthMarketRent)^7,0))))),0))),0)</f>
        <v/>
      </c>
      <c r="AG147" s="14">
        <f>IFERROR(IF(AND(I147="LeaseUp",8=0),(IF(I147="Vacate",TINew*D147,IF(I147="Market",Retention*TIRenewal*D147+(1-Retention)*TINew*D147,IF(I147="LeaseUp",TINew*D147,IF(I147="Option",TIRenewal*D147,0)))))+(IF(I147="Vacate",LCNew*H147*D147*(1+GrowthMarketRent)^8,IF(I147="Market",Retention*LCRenewal*H147*D147*(1+GrowthMarketRent)^8+(1-Retention)*LCNew*H147*D147*(1+GrowthMarketRent)^8,IF(I147="LeaseUp",LCNew*H147*D147*(1+GrowthMarketRent)^8,IF(I147="Option",LCRenewal*H147*D147*(1+GrowthMarketRent)^8,0))))),IF(F147="",0,IF(AND(F147&gt;=DATE(2026+8,5,1),F147&lt;=DATE(2027+8,4,30)),(IF(I147="Vacate",TINew*D147,IF(I147="Market",Retention*TIRenewal*D147+(1-Retention)*TINew*D147,IF(I147="LeaseUp",TINew*D147,IF(I147="Option",TIRenewal*D147,0)))))+(IF(I147="Vacate",LCNew*H147*D147*(1+GrowthMarketRent)^8,IF(I147="Market",Retention*LCRenewal*H147*D147*(1+GrowthMarketRent)^8+(1-Retention)*LCNew*H147*D147*(1+GrowthMarketRent)^8,IF(I147="LeaseUp",LCNew*H147*D147*(1+GrowthMarketRent)^8,IF(I147="Option",LCRenewal*H147*D147*(1+GrowthMarketRent)^8,0))))),0))),0)</f>
        <v/>
      </c>
      <c r="AH147" s="14">
        <f>IFERROR(IF(AND(I147="LeaseUp",9=0),(IF(I147="Vacate",TINew*D147,IF(I147="Market",Retention*TIRenewal*D147+(1-Retention)*TINew*D147,IF(I147="LeaseUp",TINew*D147,IF(I147="Option",TIRenewal*D147,0)))))+(IF(I147="Vacate",LCNew*H147*D147*(1+GrowthMarketRent)^9,IF(I147="Market",Retention*LCRenewal*H147*D147*(1+GrowthMarketRent)^9+(1-Retention)*LCNew*H147*D147*(1+GrowthMarketRent)^9,IF(I147="LeaseUp",LCNew*H147*D147*(1+GrowthMarketRent)^9,IF(I147="Option",LCRenewal*H147*D147*(1+GrowthMarketRent)^9,0))))),IF(F147="",0,IF(AND(F147&gt;=DATE(2026+9,5,1),F147&lt;=DATE(2027+9,4,30)),(IF(I147="Vacate",TINew*D147,IF(I147="Market",Retention*TIRenewal*D147+(1-Retention)*TINew*D147,IF(I147="LeaseUp",TINew*D147,IF(I147="Option",TIRenewal*D147,0)))))+(IF(I147="Vacate",LCNew*H147*D147*(1+GrowthMarketRent)^9,IF(I147="Market",Retention*LCRenewal*H147*D147*(1+GrowthMarketRent)^9+(1-Retention)*LCNew*H147*D147*(1+GrowthMarketRent)^9,IF(I147="LeaseUp",LCNew*H147*D147*(1+GrowthMarketRent)^9,IF(I147="Option",LCRenewal*H147*D147*(1+GrowthMarketRent)^9,0))))),0))),0)</f>
        <v/>
      </c>
      <c r="AI147" s="14">
        <f>IFERROR(IF(AND(I147="LeaseUp",10=0),(IF(I147="Vacate",TINew*D147,IF(I147="Market",Retention*TIRenewal*D147+(1-Retention)*TINew*D147,IF(I147="LeaseUp",TINew*D147,IF(I147="Option",TIRenewal*D147,0)))))+(IF(I147="Vacate",LCNew*H147*D147*(1+GrowthMarketRent)^10,IF(I147="Market",Retention*LCRenewal*H147*D147*(1+GrowthMarketRent)^10+(1-Retention)*LCNew*H147*D147*(1+GrowthMarketRent)^10,IF(I147="LeaseUp",LCNew*H147*D147*(1+GrowthMarketRent)^10,IF(I147="Option",LCRenewal*H147*D147*(1+GrowthMarketRent)^10,0))))),IF(F147="",0,IF(AND(F147&gt;=DATE(2026+10,5,1),F147&lt;=DATE(2027+10,4,30)),(IF(I147="Vacate",TINew*D147,IF(I147="Market",Retention*TIRenewal*D147+(1-Retention)*TINew*D147,IF(I147="LeaseUp",TINew*D147,IF(I147="Option",TIRenewal*D147,0)))))+(IF(I147="Vacate",LCNew*H147*D147*(1+GrowthMarketRent)^10,IF(I147="Market",Retention*LCRenewal*H147*D147*(1+GrowthMarketRent)^10+(1-Retention)*LCNew*H147*D147*(1+GrowthMarketRent)^10,IF(I147="LeaseUp",LCNew*H147*D147*(1+GrowthMarketRent)^10,IF(I147="Option",LCRenewal*H147*D147*(1+GrowthMarketRent)^10,0))))),0))),0)</f>
        <v/>
      </c>
    </row>
    <row r="148">
      <c r="A148" t="inlineStr">
        <is>
          <t>Plano</t>
        </is>
      </c>
      <c r="B148" t="inlineStr">
        <is>
          <t>112</t>
        </is>
      </c>
      <c r="C148" t="inlineStr">
        <is>
          <t>Grand Bazaar Dallas LLC</t>
        </is>
      </c>
      <c r="D148" s="32" t="n">
        <v>2600</v>
      </c>
      <c r="E148" s="33" t="n">
        <v>45292</v>
      </c>
      <c r="F148" s="33" t="n">
        <v>46539</v>
      </c>
      <c r="G148" s="34" t="n">
        <v>17.3353846153846</v>
      </c>
      <c r="H148" s="16">
        <f>VLOOKUP(A148,MLA!$A$5:$L$11,3,FALSE)</f>
        <v/>
      </c>
      <c r="I148" s="11" t="inlineStr">
        <is>
          <t>Vacate</t>
        </is>
      </c>
      <c r="J148" t="inlineStr">
        <is>
          <t>Shop</t>
        </is>
      </c>
      <c r="K148" t="inlineStr">
        <is>
          <t>Occupied</t>
        </is>
      </c>
      <c r="L148" t="inlineStr">
        <is>
          <t>Shop; assumed vacate 06/27; Guarantor: Darren Buttle</t>
        </is>
      </c>
      <c r="M148" s="20">
        <f>IF(E148="",0,(AnalysisStart-E148)/365.25)</f>
        <v/>
      </c>
      <c r="N148" s="14">
        <f>IFERROR(IF(I148="LeaseUp",H148*D148*(1+GrowthMarketRent)^0*IF(0=0,(12-DowntimeNew)/12,1),IF(F148="",0,IF(F148&gt;=DATE(2027+0,4,30),G148*D148*(1+EscalatorInLease)^(0+M148),IF(F148&lt;DATE(2026+0,5,1),IF(I148="Vacate",H148*D148*(1+GrowthMarketRent)^0*IF(INT((DATE(2026+0,10,31)-F148)/365.25)=0,(12-DowntimeNew)/12,1),IF(I148="Option",G148*D148*1.025*(1+EscalatorInLease)^0,IF(I148="Market",Retention*G148*D148*(1+EscalatorInLease)^(0+M148)+(1-Retention)*H148*D148*(1+GrowthMarketRent)^0*IF(INT((DATE(2026+0,10,31)-F148)/365.25)=0,(12-DowntimeNew)/12,1),IF(I148="LeaseUp",H148*D148*(1+GrowthMarketRent)^0*IF(0=0,(12-DowntimeNew)/12,1),0)))),((F148-DATE(2026+0,5,1))/365.25)*G148*D148*(1+EscalatorInLease)^(0+M148)+((DATE(2027+0,4,30)-F148)/365.25)*IF(I148="Vacate",H148*D148*(1+GrowthMarketRent)^0*IF(INT((DATE(2026+0,10,31)-F148)/365.25)=0,(12-DowntimeNew)/12,1),IF(I148="Option",G148*D148*1.025*(1+EscalatorInLease)^0,IF(I148="Market",Retention*G148*D148*(1+EscalatorInLease)^(0+M148)+(1-Retention)*H148*D148*(1+GrowthMarketRent)^0*IF(INT((DATE(2026+0,10,31)-F148)/365.25)=0,(12-DowntimeNew)/12,1),IF(I148="LeaseUp",H148*D148*(1+GrowthMarketRent)^0*IF(0=0,(12-DowntimeNew)/12,1),0)))))))),0)</f>
        <v/>
      </c>
      <c r="O148" s="14">
        <f>IFERROR(IF(I148="LeaseUp",H148*D148*(1+GrowthMarketRent)^1*IF(1=0,(12-DowntimeNew)/12,1),IF(F148="",0,IF(F148&gt;=DATE(2027+1,4,30),G148*D148*(1+EscalatorInLease)^(1+M148),IF(F148&lt;DATE(2026+1,5,1),IF(I148="Vacate",H148*D148*(1+GrowthMarketRent)^1*IF(INT((DATE(2026+1,10,31)-F148)/365.25)=0,(12-DowntimeNew)/12,1),IF(I148="Option",G148*D148*1.025*(1+EscalatorInLease)^1,IF(I148="Market",Retention*G148*D148*(1+EscalatorInLease)^(1+M148)+(1-Retention)*H148*D148*(1+GrowthMarketRent)^1*IF(INT((DATE(2026+1,10,31)-F148)/365.25)=0,(12-DowntimeNew)/12,1),IF(I148="LeaseUp",H148*D148*(1+GrowthMarketRent)^1*IF(1=0,(12-DowntimeNew)/12,1),0)))),((F148-DATE(2026+1,5,1))/365.25)*G148*D148*(1+EscalatorInLease)^(1+M148)+((DATE(2027+1,4,30)-F148)/365.25)*IF(I148="Vacate",H148*D148*(1+GrowthMarketRent)^1*IF(INT((DATE(2026+1,10,31)-F148)/365.25)=0,(12-DowntimeNew)/12,1),IF(I148="Option",G148*D148*1.025*(1+EscalatorInLease)^1,IF(I148="Market",Retention*G148*D148*(1+EscalatorInLease)^(1+M148)+(1-Retention)*H148*D148*(1+GrowthMarketRent)^1*IF(INT((DATE(2026+1,10,31)-F148)/365.25)=0,(12-DowntimeNew)/12,1),IF(I148="LeaseUp",H148*D148*(1+GrowthMarketRent)^1*IF(1=0,(12-DowntimeNew)/12,1),0)))))))),0)</f>
        <v/>
      </c>
      <c r="P148" s="14">
        <f>IFERROR(IF(I148="LeaseUp",H148*D148*(1+GrowthMarketRent)^2*IF(2=0,(12-DowntimeNew)/12,1),IF(F148="",0,IF(F148&gt;=DATE(2027+2,4,30),G148*D148*(1+EscalatorInLease)^(2+M148),IF(F148&lt;DATE(2026+2,5,1),IF(I148="Vacate",H148*D148*(1+GrowthMarketRent)^2*IF(INT((DATE(2026+2,10,31)-F148)/365.25)=0,(12-DowntimeNew)/12,1),IF(I148="Option",G148*D148*1.025*(1+EscalatorInLease)^2,IF(I148="Market",Retention*G148*D148*(1+EscalatorInLease)^(2+M148)+(1-Retention)*H148*D148*(1+GrowthMarketRent)^2*IF(INT((DATE(2026+2,10,31)-F148)/365.25)=0,(12-DowntimeNew)/12,1),IF(I148="LeaseUp",H148*D148*(1+GrowthMarketRent)^2*IF(2=0,(12-DowntimeNew)/12,1),0)))),((F148-DATE(2026+2,5,1))/365.25)*G148*D148*(1+EscalatorInLease)^(2+M148)+((DATE(2027+2,4,30)-F148)/365.25)*IF(I148="Vacate",H148*D148*(1+GrowthMarketRent)^2*IF(INT((DATE(2026+2,10,31)-F148)/365.25)=0,(12-DowntimeNew)/12,1),IF(I148="Option",G148*D148*1.025*(1+EscalatorInLease)^2,IF(I148="Market",Retention*G148*D148*(1+EscalatorInLease)^(2+M148)+(1-Retention)*H148*D148*(1+GrowthMarketRent)^2*IF(INT((DATE(2026+2,10,31)-F148)/365.25)=0,(12-DowntimeNew)/12,1),IF(I148="LeaseUp",H148*D148*(1+GrowthMarketRent)^2*IF(2=0,(12-DowntimeNew)/12,1),0)))))))),0)</f>
        <v/>
      </c>
      <c r="Q148" s="14">
        <f>IFERROR(IF(I148="LeaseUp",H148*D148*(1+GrowthMarketRent)^3*IF(3=0,(12-DowntimeNew)/12,1),IF(F148="",0,IF(F148&gt;=DATE(2027+3,4,30),G148*D148*(1+EscalatorInLease)^(3+M148),IF(F148&lt;DATE(2026+3,5,1),IF(I148="Vacate",H148*D148*(1+GrowthMarketRent)^3*IF(INT((DATE(2026+3,10,31)-F148)/365.25)=0,(12-DowntimeNew)/12,1),IF(I148="Option",G148*D148*1.025*(1+EscalatorInLease)^3,IF(I148="Market",Retention*G148*D148*(1+EscalatorInLease)^(3+M148)+(1-Retention)*H148*D148*(1+GrowthMarketRent)^3*IF(INT((DATE(2026+3,10,31)-F148)/365.25)=0,(12-DowntimeNew)/12,1),IF(I148="LeaseUp",H148*D148*(1+GrowthMarketRent)^3*IF(3=0,(12-DowntimeNew)/12,1),0)))),((F148-DATE(2026+3,5,1))/365.25)*G148*D148*(1+EscalatorInLease)^(3+M148)+((DATE(2027+3,4,30)-F148)/365.25)*IF(I148="Vacate",H148*D148*(1+GrowthMarketRent)^3*IF(INT((DATE(2026+3,10,31)-F148)/365.25)=0,(12-DowntimeNew)/12,1),IF(I148="Option",G148*D148*1.025*(1+EscalatorInLease)^3,IF(I148="Market",Retention*G148*D148*(1+EscalatorInLease)^(3+M148)+(1-Retention)*H148*D148*(1+GrowthMarketRent)^3*IF(INT((DATE(2026+3,10,31)-F148)/365.25)=0,(12-DowntimeNew)/12,1),IF(I148="LeaseUp",H148*D148*(1+GrowthMarketRent)^3*IF(3=0,(12-DowntimeNew)/12,1),0)))))))),0)</f>
        <v/>
      </c>
      <c r="R148" s="14">
        <f>IFERROR(IF(I148="LeaseUp",H148*D148*(1+GrowthMarketRent)^4*IF(4=0,(12-DowntimeNew)/12,1),IF(F148="",0,IF(F148&gt;=DATE(2027+4,4,30),G148*D148*(1+EscalatorInLease)^(4+M148),IF(F148&lt;DATE(2026+4,5,1),IF(I148="Vacate",H148*D148*(1+GrowthMarketRent)^4*IF(INT((DATE(2026+4,10,31)-F148)/365.25)=0,(12-DowntimeNew)/12,1),IF(I148="Option",G148*D148*1.025*(1+EscalatorInLease)^4,IF(I148="Market",Retention*G148*D148*(1+EscalatorInLease)^(4+M148)+(1-Retention)*H148*D148*(1+GrowthMarketRent)^4*IF(INT((DATE(2026+4,10,31)-F148)/365.25)=0,(12-DowntimeNew)/12,1),IF(I148="LeaseUp",H148*D148*(1+GrowthMarketRent)^4*IF(4=0,(12-DowntimeNew)/12,1),0)))),((F148-DATE(2026+4,5,1))/365.25)*G148*D148*(1+EscalatorInLease)^(4+M148)+((DATE(2027+4,4,30)-F148)/365.25)*IF(I148="Vacate",H148*D148*(1+GrowthMarketRent)^4*IF(INT((DATE(2026+4,10,31)-F148)/365.25)=0,(12-DowntimeNew)/12,1),IF(I148="Option",G148*D148*1.025*(1+EscalatorInLease)^4,IF(I148="Market",Retention*G148*D148*(1+EscalatorInLease)^(4+M148)+(1-Retention)*H148*D148*(1+GrowthMarketRent)^4*IF(INT((DATE(2026+4,10,31)-F148)/365.25)=0,(12-DowntimeNew)/12,1),IF(I148="LeaseUp",H148*D148*(1+GrowthMarketRent)^4*IF(4=0,(12-DowntimeNew)/12,1),0)))))))),0)</f>
        <v/>
      </c>
      <c r="S148" s="14">
        <f>IFERROR(IF(I148="LeaseUp",H148*D148*(1+GrowthMarketRent)^5*IF(5=0,(12-DowntimeNew)/12,1),IF(F148="",0,IF(F148&gt;=DATE(2027+5,4,30),G148*D148*(1+EscalatorInLease)^(5+M148),IF(F148&lt;DATE(2026+5,5,1),IF(I148="Vacate",H148*D148*(1+GrowthMarketRent)^5*IF(INT((DATE(2026+5,10,31)-F148)/365.25)=0,(12-DowntimeNew)/12,1),IF(I148="Option",G148*D148*1.025*(1+EscalatorInLease)^5,IF(I148="Market",Retention*G148*D148*(1+EscalatorInLease)^(5+M148)+(1-Retention)*H148*D148*(1+GrowthMarketRent)^5*IF(INT((DATE(2026+5,10,31)-F148)/365.25)=0,(12-DowntimeNew)/12,1),IF(I148="LeaseUp",H148*D148*(1+GrowthMarketRent)^5*IF(5=0,(12-DowntimeNew)/12,1),0)))),((F148-DATE(2026+5,5,1))/365.25)*G148*D148*(1+EscalatorInLease)^(5+M148)+((DATE(2027+5,4,30)-F148)/365.25)*IF(I148="Vacate",H148*D148*(1+GrowthMarketRent)^5*IF(INT((DATE(2026+5,10,31)-F148)/365.25)=0,(12-DowntimeNew)/12,1),IF(I148="Option",G148*D148*1.025*(1+EscalatorInLease)^5,IF(I148="Market",Retention*G148*D148*(1+EscalatorInLease)^(5+M148)+(1-Retention)*H148*D148*(1+GrowthMarketRent)^5*IF(INT((DATE(2026+5,10,31)-F148)/365.25)=0,(12-DowntimeNew)/12,1),IF(I148="LeaseUp",H148*D148*(1+GrowthMarketRent)^5*IF(5=0,(12-DowntimeNew)/12,1),0)))))))),0)</f>
        <v/>
      </c>
      <c r="T148" s="14">
        <f>IFERROR(IF(I148="LeaseUp",H148*D148*(1+GrowthMarketRent)^6*IF(6=0,(12-DowntimeNew)/12,1),IF(F148="",0,IF(F148&gt;=DATE(2027+6,4,30),G148*D148*(1+EscalatorInLease)^(6+M148),IF(F148&lt;DATE(2026+6,5,1),IF(I148="Vacate",H148*D148*(1+GrowthMarketRent)^6*IF(INT((DATE(2026+6,10,31)-F148)/365.25)=0,(12-DowntimeNew)/12,1),IF(I148="Option",G148*D148*1.025*(1+EscalatorInLease)^6,IF(I148="Market",Retention*G148*D148*(1+EscalatorInLease)^(6+M148)+(1-Retention)*H148*D148*(1+GrowthMarketRent)^6*IF(INT((DATE(2026+6,10,31)-F148)/365.25)=0,(12-DowntimeNew)/12,1),IF(I148="LeaseUp",H148*D148*(1+GrowthMarketRent)^6*IF(6=0,(12-DowntimeNew)/12,1),0)))),((F148-DATE(2026+6,5,1))/365.25)*G148*D148*(1+EscalatorInLease)^(6+M148)+((DATE(2027+6,4,30)-F148)/365.25)*IF(I148="Vacate",H148*D148*(1+GrowthMarketRent)^6*IF(INT((DATE(2026+6,10,31)-F148)/365.25)=0,(12-DowntimeNew)/12,1),IF(I148="Option",G148*D148*1.025*(1+EscalatorInLease)^6,IF(I148="Market",Retention*G148*D148*(1+EscalatorInLease)^(6+M148)+(1-Retention)*H148*D148*(1+GrowthMarketRent)^6*IF(INT((DATE(2026+6,10,31)-F148)/365.25)=0,(12-DowntimeNew)/12,1),IF(I148="LeaseUp",H148*D148*(1+GrowthMarketRent)^6*IF(6=0,(12-DowntimeNew)/12,1),0)))))))),0)</f>
        <v/>
      </c>
      <c r="U148" s="14">
        <f>IFERROR(IF(I148="LeaseUp",H148*D148*(1+GrowthMarketRent)^7*IF(7=0,(12-DowntimeNew)/12,1),IF(F148="",0,IF(F148&gt;=DATE(2027+7,4,30),G148*D148*(1+EscalatorInLease)^(7+M148),IF(F148&lt;DATE(2026+7,5,1),IF(I148="Vacate",H148*D148*(1+GrowthMarketRent)^7*IF(INT((DATE(2026+7,10,31)-F148)/365.25)=0,(12-DowntimeNew)/12,1),IF(I148="Option",G148*D148*1.025*(1+EscalatorInLease)^7,IF(I148="Market",Retention*G148*D148*(1+EscalatorInLease)^(7+M148)+(1-Retention)*H148*D148*(1+GrowthMarketRent)^7*IF(INT((DATE(2026+7,10,31)-F148)/365.25)=0,(12-DowntimeNew)/12,1),IF(I148="LeaseUp",H148*D148*(1+GrowthMarketRent)^7*IF(7=0,(12-DowntimeNew)/12,1),0)))),((F148-DATE(2026+7,5,1))/365.25)*G148*D148*(1+EscalatorInLease)^(7+M148)+((DATE(2027+7,4,30)-F148)/365.25)*IF(I148="Vacate",H148*D148*(1+GrowthMarketRent)^7*IF(INT((DATE(2026+7,10,31)-F148)/365.25)=0,(12-DowntimeNew)/12,1),IF(I148="Option",G148*D148*1.025*(1+EscalatorInLease)^7,IF(I148="Market",Retention*G148*D148*(1+EscalatorInLease)^(7+M148)+(1-Retention)*H148*D148*(1+GrowthMarketRent)^7*IF(INT((DATE(2026+7,10,31)-F148)/365.25)=0,(12-DowntimeNew)/12,1),IF(I148="LeaseUp",H148*D148*(1+GrowthMarketRent)^7*IF(7=0,(12-DowntimeNew)/12,1),0)))))))),0)</f>
        <v/>
      </c>
      <c r="V148" s="14">
        <f>IFERROR(IF(I148="LeaseUp",H148*D148*(1+GrowthMarketRent)^8*IF(8=0,(12-DowntimeNew)/12,1),IF(F148="",0,IF(F148&gt;=DATE(2027+8,4,30),G148*D148*(1+EscalatorInLease)^(8+M148),IF(F148&lt;DATE(2026+8,5,1),IF(I148="Vacate",H148*D148*(1+GrowthMarketRent)^8*IF(INT((DATE(2026+8,10,31)-F148)/365.25)=0,(12-DowntimeNew)/12,1),IF(I148="Option",G148*D148*1.025*(1+EscalatorInLease)^8,IF(I148="Market",Retention*G148*D148*(1+EscalatorInLease)^(8+M148)+(1-Retention)*H148*D148*(1+GrowthMarketRent)^8*IF(INT((DATE(2026+8,10,31)-F148)/365.25)=0,(12-DowntimeNew)/12,1),IF(I148="LeaseUp",H148*D148*(1+GrowthMarketRent)^8*IF(8=0,(12-DowntimeNew)/12,1),0)))),((F148-DATE(2026+8,5,1))/365.25)*G148*D148*(1+EscalatorInLease)^(8+M148)+((DATE(2027+8,4,30)-F148)/365.25)*IF(I148="Vacate",H148*D148*(1+GrowthMarketRent)^8*IF(INT((DATE(2026+8,10,31)-F148)/365.25)=0,(12-DowntimeNew)/12,1),IF(I148="Option",G148*D148*1.025*(1+EscalatorInLease)^8,IF(I148="Market",Retention*G148*D148*(1+EscalatorInLease)^(8+M148)+(1-Retention)*H148*D148*(1+GrowthMarketRent)^8*IF(INT((DATE(2026+8,10,31)-F148)/365.25)=0,(12-DowntimeNew)/12,1),IF(I148="LeaseUp",H148*D148*(1+GrowthMarketRent)^8*IF(8=0,(12-DowntimeNew)/12,1),0)))))))),0)</f>
        <v/>
      </c>
      <c r="W148" s="14">
        <f>IFERROR(IF(I148="LeaseUp",H148*D148*(1+GrowthMarketRent)^9*IF(9=0,(12-DowntimeNew)/12,1),IF(F148="",0,IF(F148&gt;=DATE(2027+9,4,30),G148*D148*(1+EscalatorInLease)^(9+M148),IF(F148&lt;DATE(2026+9,5,1),IF(I148="Vacate",H148*D148*(1+GrowthMarketRent)^9*IF(INT((DATE(2026+9,10,31)-F148)/365.25)=0,(12-DowntimeNew)/12,1),IF(I148="Option",G148*D148*1.025*(1+EscalatorInLease)^9,IF(I148="Market",Retention*G148*D148*(1+EscalatorInLease)^(9+M148)+(1-Retention)*H148*D148*(1+GrowthMarketRent)^9*IF(INT((DATE(2026+9,10,31)-F148)/365.25)=0,(12-DowntimeNew)/12,1),IF(I148="LeaseUp",H148*D148*(1+GrowthMarketRent)^9*IF(9=0,(12-DowntimeNew)/12,1),0)))),((F148-DATE(2026+9,5,1))/365.25)*G148*D148*(1+EscalatorInLease)^(9+M148)+((DATE(2027+9,4,30)-F148)/365.25)*IF(I148="Vacate",H148*D148*(1+GrowthMarketRent)^9*IF(INT((DATE(2026+9,10,31)-F148)/365.25)=0,(12-DowntimeNew)/12,1),IF(I148="Option",G148*D148*1.025*(1+EscalatorInLease)^9,IF(I148="Market",Retention*G148*D148*(1+EscalatorInLease)^(9+M148)+(1-Retention)*H148*D148*(1+GrowthMarketRent)^9*IF(INT((DATE(2026+9,10,31)-F148)/365.25)=0,(12-DowntimeNew)/12,1),IF(I148="LeaseUp",H148*D148*(1+GrowthMarketRent)^9*IF(9=0,(12-DowntimeNew)/12,1),0)))))))),0)</f>
        <v/>
      </c>
      <c r="X148" s="14">
        <f>IFERROR(IF(I148="LeaseUp",H148*D148*(1+GrowthMarketRent)^10*IF(10=0,(12-DowntimeNew)/12,1),IF(F148="",0,IF(F148&gt;=DATE(2027+10,4,30),G148*D148*(1+EscalatorInLease)^(10+M148),IF(F148&lt;DATE(2026+10,5,1),IF(I148="Vacate",H148*D148*(1+GrowthMarketRent)^10*IF(INT((DATE(2026+10,10,31)-F148)/365.25)=0,(12-DowntimeNew)/12,1),IF(I148="Option",G148*D148*1.025*(1+EscalatorInLease)^10,IF(I148="Market",Retention*G148*D148*(1+EscalatorInLease)^(10+M148)+(1-Retention)*H148*D148*(1+GrowthMarketRent)^10*IF(INT((DATE(2026+10,10,31)-F148)/365.25)=0,(12-DowntimeNew)/12,1),IF(I148="LeaseUp",H148*D148*(1+GrowthMarketRent)^10*IF(10=0,(12-DowntimeNew)/12,1),0)))),((F148-DATE(2026+10,5,1))/365.25)*G148*D148*(1+EscalatorInLease)^(10+M148)+((DATE(2027+10,4,30)-F148)/365.25)*IF(I148="Vacate",H148*D148*(1+GrowthMarketRent)^10*IF(INT((DATE(2026+10,10,31)-F148)/365.25)=0,(12-DowntimeNew)/12,1),IF(I148="Option",G148*D148*1.025*(1+EscalatorInLease)^10,IF(I148="Market",Retention*G148*D148*(1+EscalatorInLease)^(10+M148)+(1-Retention)*H148*D148*(1+GrowthMarketRent)^10*IF(INT((DATE(2026+10,10,31)-F148)/365.25)=0,(12-DowntimeNew)/12,1),IF(I148="LeaseUp",H148*D148*(1+GrowthMarketRent)^10*IF(10=0,(12-DowntimeNew)/12,1),0)))))))),0)</f>
        <v/>
      </c>
      <c r="Y148" s="14">
        <f>IFERROR(IF(AND(I148="LeaseUp",0=0),(IF(I148="Vacate",TINew*D148,IF(I148="Market",Retention*TIRenewal*D148+(1-Retention)*TINew*D148,IF(I148="LeaseUp",TINew*D148,IF(I148="Option",TIRenewal*D148,0)))))+(IF(I148="Vacate",LCNew*H148*D148*(1+GrowthMarketRent)^0,IF(I148="Market",Retention*LCRenewal*H148*D148*(1+GrowthMarketRent)^0+(1-Retention)*LCNew*H148*D148*(1+GrowthMarketRent)^0,IF(I148="LeaseUp",LCNew*H148*D148*(1+GrowthMarketRent)^0,IF(I148="Option",LCRenewal*H148*D148*(1+GrowthMarketRent)^0,0))))),IF(F148="",0,IF(AND(F148&gt;=DATE(2026+0,5,1),F148&lt;=DATE(2027+0,4,30)),(IF(I148="Vacate",TINew*D148,IF(I148="Market",Retention*TIRenewal*D148+(1-Retention)*TINew*D148,IF(I148="LeaseUp",TINew*D148,IF(I148="Option",TIRenewal*D148,0)))))+(IF(I148="Vacate",LCNew*H148*D148*(1+GrowthMarketRent)^0,IF(I148="Market",Retention*LCRenewal*H148*D148*(1+GrowthMarketRent)^0+(1-Retention)*LCNew*H148*D148*(1+GrowthMarketRent)^0,IF(I148="LeaseUp",LCNew*H148*D148*(1+GrowthMarketRent)^0,IF(I148="Option",LCRenewal*H148*D148*(1+GrowthMarketRent)^0,0))))),0))),0)</f>
        <v/>
      </c>
      <c r="Z148" s="14">
        <f>IFERROR(IF(AND(I148="LeaseUp",1=0),(IF(I148="Vacate",TINew*D148,IF(I148="Market",Retention*TIRenewal*D148+(1-Retention)*TINew*D148,IF(I148="LeaseUp",TINew*D148,IF(I148="Option",TIRenewal*D148,0)))))+(IF(I148="Vacate",LCNew*H148*D148*(1+GrowthMarketRent)^1,IF(I148="Market",Retention*LCRenewal*H148*D148*(1+GrowthMarketRent)^1+(1-Retention)*LCNew*H148*D148*(1+GrowthMarketRent)^1,IF(I148="LeaseUp",LCNew*H148*D148*(1+GrowthMarketRent)^1,IF(I148="Option",LCRenewal*H148*D148*(1+GrowthMarketRent)^1,0))))),IF(F148="",0,IF(AND(F148&gt;=DATE(2026+1,5,1),F148&lt;=DATE(2027+1,4,30)),(IF(I148="Vacate",TINew*D148,IF(I148="Market",Retention*TIRenewal*D148+(1-Retention)*TINew*D148,IF(I148="LeaseUp",TINew*D148,IF(I148="Option",TIRenewal*D148,0)))))+(IF(I148="Vacate",LCNew*H148*D148*(1+GrowthMarketRent)^1,IF(I148="Market",Retention*LCRenewal*H148*D148*(1+GrowthMarketRent)^1+(1-Retention)*LCNew*H148*D148*(1+GrowthMarketRent)^1,IF(I148="LeaseUp",LCNew*H148*D148*(1+GrowthMarketRent)^1,IF(I148="Option",LCRenewal*H148*D148*(1+GrowthMarketRent)^1,0))))),0))),0)</f>
        <v/>
      </c>
      <c r="AA148" s="14">
        <f>IFERROR(IF(AND(I148="LeaseUp",2=0),(IF(I148="Vacate",TINew*D148,IF(I148="Market",Retention*TIRenewal*D148+(1-Retention)*TINew*D148,IF(I148="LeaseUp",TINew*D148,IF(I148="Option",TIRenewal*D148,0)))))+(IF(I148="Vacate",LCNew*H148*D148*(1+GrowthMarketRent)^2,IF(I148="Market",Retention*LCRenewal*H148*D148*(1+GrowthMarketRent)^2+(1-Retention)*LCNew*H148*D148*(1+GrowthMarketRent)^2,IF(I148="LeaseUp",LCNew*H148*D148*(1+GrowthMarketRent)^2,IF(I148="Option",LCRenewal*H148*D148*(1+GrowthMarketRent)^2,0))))),IF(F148="",0,IF(AND(F148&gt;=DATE(2026+2,5,1),F148&lt;=DATE(2027+2,4,30)),(IF(I148="Vacate",TINew*D148,IF(I148="Market",Retention*TIRenewal*D148+(1-Retention)*TINew*D148,IF(I148="LeaseUp",TINew*D148,IF(I148="Option",TIRenewal*D148,0)))))+(IF(I148="Vacate",LCNew*H148*D148*(1+GrowthMarketRent)^2,IF(I148="Market",Retention*LCRenewal*H148*D148*(1+GrowthMarketRent)^2+(1-Retention)*LCNew*H148*D148*(1+GrowthMarketRent)^2,IF(I148="LeaseUp",LCNew*H148*D148*(1+GrowthMarketRent)^2,IF(I148="Option",LCRenewal*H148*D148*(1+GrowthMarketRent)^2,0))))),0))),0)</f>
        <v/>
      </c>
      <c r="AB148" s="14">
        <f>IFERROR(IF(AND(I148="LeaseUp",3=0),(IF(I148="Vacate",TINew*D148,IF(I148="Market",Retention*TIRenewal*D148+(1-Retention)*TINew*D148,IF(I148="LeaseUp",TINew*D148,IF(I148="Option",TIRenewal*D148,0)))))+(IF(I148="Vacate",LCNew*H148*D148*(1+GrowthMarketRent)^3,IF(I148="Market",Retention*LCRenewal*H148*D148*(1+GrowthMarketRent)^3+(1-Retention)*LCNew*H148*D148*(1+GrowthMarketRent)^3,IF(I148="LeaseUp",LCNew*H148*D148*(1+GrowthMarketRent)^3,IF(I148="Option",LCRenewal*H148*D148*(1+GrowthMarketRent)^3,0))))),IF(F148="",0,IF(AND(F148&gt;=DATE(2026+3,5,1),F148&lt;=DATE(2027+3,4,30)),(IF(I148="Vacate",TINew*D148,IF(I148="Market",Retention*TIRenewal*D148+(1-Retention)*TINew*D148,IF(I148="LeaseUp",TINew*D148,IF(I148="Option",TIRenewal*D148,0)))))+(IF(I148="Vacate",LCNew*H148*D148*(1+GrowthMarketRent)^3,IF(I148="Market",Retention*LCRenewal*H148*D148*(1+GrowthMarketRent)^3+(1-Retention)*LCNew*H148*D148*(1+GrowthMarketRent)^3,IF(I148="LeaseUp",LCNew*H148*D148*(1+GrowthMarketRent)^3,IF(I148="Option",LCRenewal*H148*D148*(1+GrowthMarketRent)^3,0))))),0))),0)</f>
        <v/>
      </c>
      <c r="AC148" s="14">
        <f>IFERROR(IF(AND(I148="LeaseUp",4=0),(IF(I148="Vacate",TINew*D148,IF(I148="Market",Retention*TIRenewal*D148+(1-Retention)*TINew*D148,IF(I148="LeaseUp",TINew*D148,IF(I148="Option",TIRenewal*D148,0)))))+(IF(I148="Vacate",LCNew*H148*D148*(1+GrowthMarketRent)^4,IF(I148="Market",Retention*LCRenewal*H148*D148*(1+GrowthMarketRent)^4+(1-Retention)*LCNew*H148*D148*(1+GrowthMarketRent)^4,IF(I148="LeaseUp",LCNew*H148*D148*(1+GrowthMarketRent)^4,IF(I148="Option",LCRenewal*H148*D148*(1+GrowthMarketRent)^4,0))))),IF(F148="",0,IF(AND(F148&gt;=DATE(2026+4,5,1),F148&lt;=DATE(2027+4,4,30)),(IF(I148="Vacate",TINew*D148,IF(I148="Market",Retention*TIRenewal*D148+(1-Retention)*TINew*D148,IF(I148="LeaseUp",TINew*D148,IF(I148="Option",TIRenewal*D148,0)))))+(IF(I148="Vacate",LCNew*H148*D148*(1+GrowthMarketRent)^4,IF(I148="Market",Retention*LCRenewal*H148*D148*(1+GrowthMarketRent)^4+(1-Retention)*LCNew*H148*D148*(1+GrowthMarketRent)^4,IF(I148="LeaseUp",LCNew*H148*D148*(1+GrowthMarketRent)^4,IF(I148="Option",LCRenewal*H148*D148*(1+GrowthMarketRent)^4,0))))),0))),0)</f>
        <v/>
      </c>
      <c r="AD148" s="14">
        <f>IFERROR(IF(AND(I148="LeaseUp",5=0),(IF(I148="Vacate",TINew*D148,IF(I148="Market",Retention*TIRenewal*D148+(1-Retention)*TINew*D148,IF(I148="LeaseUp",TINew*D148,IF(I148="Option",TIRenewal*D148,0)))))+(IF(I148="Vacate",LCNew*H148*D148*(1+GrowthMarketRent)^5,IF(I148="Market",Retention*LCRenewal*H148*D148*(1+GrowthMarketRent)^5+(1-Retention)*LCNew*H148*D148*(1+GrowthMarketRent)^5,IF(I148="LeaseUp",LCNew*H148*D148*(1+GrowthMarketRent)^5,IF(I148="Option",LCRenewal*H148*D148*(1+GrowthMarketRent)^5,0))))),IF(F148="",0,IF(AND(F148&gt;=DATE(2026+5,5,1),F148&lt;=DATE(2027+5,4,30)),(IF(I148="Vacate",TINew*D148,IF(I148="Market",Retention*TIRenewal*D148+(1-Retention)*TINew*D148,IF(I148="LeaseUp",TINew*D148,IF(I148="Option",TIRenewal*D148,0)))))+(IF(I148="Vacate",LCNew*H148*D148*(1+GrowthMarketRent)^5,IF(I148="Market",Retention*LCRenewal*H148*D148*(1+GrowthMarketRent)^5+(1-Retention)*LCNew*H148*D148*(1+GrowthMarketRent)^5,IF(I148="LeaseUp",LCNew*H148*D148*(1+GrowthMarketRent)^5,IF(I148="Option",LCRenewal*H148*D148*(1+GrowthMarketRent)^5,0))))),0))),0)</f>
        <v/>
      </c>
      <c r="AE148" s="14">
        <f>IFERROR(IF(AND(I148="LeaseUp",6=0),(IF(I148="Vacate",TINew*D148,IF(I148="Market",Retention*TIRenewal*D148+(1-Retention)*TINew*D148,IF(I148="LeaseUp",TINew*D148,IF(I148="Option",TIRenewal*D148,0)))))+(IF(I148="Vacate",LCNew*H148*D148*(1+GrowthMarketRent)^6,IF(I148="Market",Retention*LCRenewal*H148*D148*(1+GrowthMarketRent)^6+(1-Retention)*LCNew*H148*D148*(1+GrowthMarketRent)^6,IF(I148="LeaseUp",LCNew*H148*D148*(1+GrowthMarketRent)^6,IF(I148="Option",LCRenewal*H148*D148*(1+GrowthMarketRent)^6,0))))),IF(F148="",0,IF(AND(F148&gt;=DATE(2026+6,5,1),F148&lt;=DATE(2027+6,4,30)),(IF(I148="Vacate",TINew*D148,IF(I148="Market",Retention*TIRenewal*D148+(1-Retention)*TINew*D148,IF(I148="LeaseUp",TINew*D148,IF(I148="Option",TIRenewal*D148,0)))))+(IF(I148="Vacate",LCNew*H148*D148*(1+GrowthMarketRent)^6,IF(I148="Market",Retention*LCRenewal*H148*D148*(1+GrowthMarketRent)^6+(1-Retention)*LCNew*H148*D148*(1+GrowthMarketRent)^6,IF(I148="LeaseUp",LCNew*H148*D148*(1+GrowthMarketRent)^6,IF(I148="Option",LCRenewal*H148*D148*(1+GrowthMarketRent)^6,0))))),0))),0)</f>
        <v/>
      </c>
      <c r="AF148" s="14">
        <f>IFERROR(IF(AND(I148="LeaseUp",7=0),(IF(I148="Vacate",TINew*D148,IF(I148="Market",Retention*TIRenewal*D148+(1-Retention)*TINew*D148,IF(I148="LeaseUp",TINew*D148,IF(I148="Option",TIRenewal*D148,0)))))+(IF(I148="Vacate",LCNew*H148*D148*(1+GrowthMarketRent)^7,IF(I148="Market",Retention*LCRenewal*H148*D148*(1+GrowthMarketRent)^7+(1-Retention)*LCNew*H148*D148*(1+GrowthMarketRent)^7,IF(I148="LeaseUp",LCNew*H148*D148*(1+GrowthMarketRent)^7,IF(I148="Option",LCRenewal*H148*D148*(1+GrowthMarketRent)^7,0))))),IF(F148="",0,IF(AND(F148&gt;=DATE(2026+7,5,1),F148&lt;=DATE(2027+7,4,30)),(IF(I148="Vacate",TINew*D148,IF(I148="Market",Retention*TIRenewal*D148+(1-Retention)*TINew*D148,IF(I148="LeaseUp",TINew*D148,IF(I148="Option",TIRenewal*D148,0)))))+(IF(I148="Vacate",LCNew*H148*D148*(1+GrowthMarketRent)^7,IF(I148="Market",Retention*LCRenewal*H148*D148*(1+GrowthMarketRent)^7+(1-Retention)*LCNew*H148*D148*(1+GrowthMarketRent)^7,IF(I148="LeaseUp",LCNew*H148*D148*(1+GrowthMarketRent)^7,IF(I148="Option",LCRenewal*H148*D148*(1+GrowthMarketRent)^7,0))))),0))),0)</f>
        <v/>
      </c>
      <c r="AG148" s="14">
        <f>IFERROR(IF(AND(I148="LeaseUp",8=0),(IF(I148="Vacate",TINew*D148,IF(I148="Market",Retention*TIRenewal*D148+(1-Retention)*TINew*D148,IF(I148="LeaseUp",TINew*D148,IF(I148="Option",TIRenewal*D148,0)))))+(IF(I148="Vacate",LCNew*H148*D148*(1+GrowthMarketRent)^8,IF(I148="Market",Retention*LCRenewal*H148*D148*(1+GrowthMarketRent)^8+(1-Retention)*LCNew*H148*D148*(1+GrowthMarketRent)^8,IF(I148="LeaseUp",LCNew*H148*D148*(1+GrowthMarketRent)^8,IF(I148="Option",LCRenewal*H148*D148*(1+GrowthMarketRent)^8,0))))),IF(F148="",0,IF(AND(F148&gt;=DATE(2026+8,5,1),F148&lt;=DATE(2027+8,4,30)),(IF(I148="Vacate",TINew*D148,IF(I148="Market",Retention*TIRenewal*D148+(1-Retention)*TINew*D148,IF(I148="LeaseUp",TINew*D148,IF(I148="Option",TIRenewal*D148,0)))))+(IF(I148="Vacate",LCNew*H148*D148*(1+GrowthMarketRent)^8,IF(I148="Market",Retention*LCRenewal*H148*D148*(1+GrowthMarketRent)^8+(1-Retention)*LCNew*H148*D148*(1+GrowthMarketRent)^8,IF(I148="LeaseUp",LCNew*H148*D148*(1+GrowthMarketRent)^8,IF(I148="Option",LCRenewal*H148*D148*(1+GrowthMarketRent)^8,0))))),0))),0)</f>
        <v/>
      </c>
      <c r="AH148" s="14">
        <f>IFERROR(IF(AND(I148="LeaseUp",9=0),(IF(I148="Vacate",TINew*D148,IF(I148="Market",Retention*TIRenewal*D148+(1-Retention)*TINew*D148,IF(I148="LeaseUp",TINew*D148,IF(I148="Option",TIRenewal*D148,0)))))+(IF(I148="Vacate",LCNew*H148*D148*(1+GrowthMarketRent)^9,IF(I148="Market",Retention*LCRenewal*H148*D148*(1+GrowthMarketRent)^9+(1-Retention)*LCNew*H148*D148*(1+GrowthMarketRent)^9,IF(I148="LeaseUp",LCNew*H148*D148*(1+GrowthMarketRent)^9,IF(I148="Option",LCRenewal*H148*D148*(1+GrowthMarketRent)^9,0))))),IF(F148="",0,IF(AND(F148&gt;=DATE(2026+9,5,1),F148&lt;=DATE(2027+9,4,30)),(IF(I148="Vacate",TINew*D148,IF(I148="Market",Retention*TIRenewal*D148+(1-Retention)*TINew*D148,IF(I148="LeaseUp",TINew*D148,IF(I148="Option",TIRenewal*D148,0)))))+(IF(I148="Vacate",LCNew*H148*D148*(1+GrowthMarketRent)^9,IF(I148="Market",Retention*LCRenewal*H148*D148*(1+GrowthMarketRent)^9+(1-Retention)*LCNew*H148*D148*(1+GrowthMarketRent)^9,IF(I148="LeaseUp",LCNew*H148*D148*(1+GrowthMarketRent)^9,IF(I148="Option",LCRenewal*H148*D148*(1+GrowthMarketRent)^9,0))))),0))),0)</f>
        <v/>
      </c>
      <c r="AI148" s="14">
        <f>IFERROR(IF(AND(I148="LeaseUp",10=0),(IF(I148="Vacate",TINew*D148,IF(I148="Market",Retention*TIRenewal*D148+(1-Retention)*TINew*D148,IF(I148="LeaseUp",TINew*D148,IF(I148="Option",TIRenewal*D148,0)))))+(IF(I148="Vacate",LCNew*H148*D148*(1+GrowthMarketRent)^10,IF(I148="Market",Retention*LCRenewal*H148*D148*(1+GrowthMarketRent)^10+(1-Retention)*LCNew*H148*D148*(1+GrowthMarketRent)^10,IF(I148="LeaseUp",LCNew*H148*D148*(1+GrowthMarketRent)^10,IF(I148="Option",LCRenewal*H148*D148*(1+GrowthMarketRent)^10,0))))),IF(F148="",0,IF(AND(F148&gt;=DATE(2026+10,5,1),F148&lt;=DATE(2027+10,4,30)),(IF(I148="Vacate",TINew*D148,IF(I148="Market",Retention*TIRenewal*D148+(1-Retention)*TINew*D148,IF(I148="LeaseUp",TINew*D148,IF(I148="Option",TIRenewal*D148,0)))))+(IF(I148="Vacate",LCNew*H148*D148*(1+GrowthMarketRent)^10,IF(I148="Market",Retention*LCRenewal*H148*D148*(1+GrowthMarketRent)^10+(1-Retention)*LCNew*H148*D148*(1+GrowthMarketRent)^10,IF(I148="LeaseUp",LCNew*H148*D148*(1+GrowthMarketRent)^10,IF(I148="Option",LCRenewal*H148*D148*(1+GrowthMarketRent)^10,0))))),0))),0)</f>
        <v/>
      </c>
    </row>
    <row r="149">
      <c r="A149" t="inlineStr">
        <is>
          <t>Plano</t>
        </is>
      </c>
      <c r="B149" t="inlineStr">
        <is>
          <t>113</t>
        </is>
      </c>
      <c r="C149" t="inlineStr">
        <is>
          <t>ABF USA Ltd.</t>
        </is>
      </c>
      <c r="D149" s="32" t="n">
        <v>3450</v>
      </c>
      <c r="E149" s="33" t="n">
        <v>46082</v>
      </c>
      <c r="F149" s="33" t="n">
        <v>47331</v>
      </c>
      <c r="G149" s="34" t="n">
        <v>19</v>
      </c>
      <c r="H149" s="16">
        <f>VLOOKUP(A149,MLA!$A$5:$L$11,3,FALSE)</f>
        <v/>
      </c>
      <c r="I149" s="11" t="inlineStr">
        <is>
          <t>Option</t>
        </is>
      </c>
      <c r="J149" t="inlineStr">
        <is>
          <t>Shop</t>
        </is>
      </c>
      <c r="K149" t="inlineStr">
        <is>
          <t>Occupied</t>
        </is>
      </c>
      <c r="L149" t="inlineStr">
        <is>
          <t>Shop; Guarantor: Jesse Xiong; Two 3yr options @ FMV</t>
        </is>
      </c>
      <c r="M149" s="20">
        <f>IF(E149="",0,(AnalysisStart-E149)/365.25)</f>
        <v/>
      </c>
      <c r="N149" s="14">
        <f>IFERROR(IF(I149="LeaseUp",H149*D149*(1+GrowthMarketRent)^0*IF(0=0,(12-DowntimeNew)/12,1),IF(F149="",0,IF(F149&gt;=DATE(2027+0,4,30),G149*D149*(1+EscalatorInLease)^(0+M149),IF(F149&lt;DATE(2026+0,5,1),IF(I149="Vacate",H149*D149*(1+GrowthMarketRent)^0*IF(INT((DATE(2026+0,10,31)-F149)/365.25)=0,(12-DowntimeNew)/12,1),IF(I149="Option",G149*D149*1.025*(1+EscalatorInLease)^0,IF(I149="Market",Retention*G149*D149*(1+EscalatorInLease)^(0+M149)+(1-Retention)*H149*D149*(1+GrowthMarketRent)^0*IF(INT((DATE(2026+0,10,31)-F149)/365.25)=0,(12-DowntimeNew)/12,1),IF(I149="LeaseUp",H149*D149*(1+GrowthMarketRent)^0*IF(0=0,(12-DowntimeNew)/12,1),0)))),((F149-DATE(2026+0,5,1))/365.25)*G149*D149*(1+EscalatorInLease)^(0+M149)+((DATE(2027+0,4,30)-F149)/365.25)*IF(I149="Vacate",H149*D149*(1+GrowthMarketRent)^0*IF(INT((DATE(2026+0,10,31)-F149)/365.25)=0,(12-DowntimeNew)/12,1),IF(I149="Option",G149*D149*1.025*(1+EscalatorInLease)^0,IF(I149="Market",Retention*G149*D149*(1+EscalatorInLease)^(0+M149)+(1-Retention)*H149*D149*(1+GrowthMarketRent)^0*IF(INT((DATE(2026+0,10,31)-F149)/365.25)=0,(12-DowntimeNew)/12,1),IF(I149="LeaseUp",H149*D149*(1+GrowthMarketRent)^0*IF(0=0,(12-DowntimeNew)/12,1),0)))))))),0)</f>
        <v/>
      </c>
      <c r="O149" s="14">
        <f>IFERROR(IF(I149="LeaseUp",H149*D149*(1+GrowthMarketRent)^1*IF(1=0,(12-DowntimeNew)/12,1),IF(F149="",0,IF(F149&gt;=DATE(2027+1,4,30),G149*D149*(1+EscalatorInLease)^(1+M149),IF(F149&lt;DATE(2026+1,5,1),IF(I149="Vacate",H149*D149*(1+GrowthMarketRent)^1*IF(INT((DATE(2026+1,10,31)-F149)/365.25)=0,(12-DowntimeNew)/12,1),IF(I149="Option",G149*D149*1.025*(1+EscalatorInLease)^1,IF(I149="Market",Retention*G149*D149*(1+EscalatorInLease)^(1+M149)+(1-Retention)*H149*D149*(1+GrowthMarketRent)^1*IF(INT((DATE(2026+1,10,31)-F149)/365.25)=0,(12-DowntimeNew)/12,1),IF(I149="LeaseUp",H149*D149*(1+GrowthMarketRent)^1*IF(1=0,(12-DowntimeNew)/12,1),0)))),((F149-DATE(2026+1,5,1))/365.25)*G149*D149*(1+EscalatorInLease)^(1+M149)+((DATE(2027+1,4,30)-F149)/365.25)*IF(I149="Vacate",H149*D149*(1+GrowthMarketRent)^1*IF(INT((DATE(2026+1,10,31)-F149)/365.25)=0,(12-DowntimeNew)/12,1),IF(I149="Option",G149*D149*1.025*(1+EscalatorInLease)^1,IF(I149="Market",Retention*G149*D149*(1+EscalatorInLease)^(1+M149)+(1-Retention)*H149*D149*(1+GrowthMarketRent)^1*IF(INT((DATE(2026+1,10,31)-F149)/365.25)=0,(12-DowntimeNew)/12,1),IF(I149="LeaseUp",H149*D149*(1+GrowthMarketRent)^1*IF(1=0,(12-DowntimeNew)/12,1),0)))))))),0)</f>
        <v/>
      </c>
      <c r="P149" s="14">
        <f>IFERROR(IF(I149="LeaseUp",H149*D149*(1+GrowthMarketRent)^2*IF(2=0,(12-DowntimeNew)/12,1),IF(F149="",0,IF(F149&gt;=DATE(2027+2,4,30),G149*D149*(1+EscalatorInLease)^(2+M149),IF(F149&lt;DATE(2026+2,5,1),IF(I149="Vacate",H149*D149*(1+GrowthMarketRent)^2*IF(INT((DATE(2026+2,10,31)-F149)/365.25)=0,(12-DowntimeNew)/12,1),IF(I149="Option",G149*D149*1.025*(1+EscalatorInLease)^2,IF(I149="Market",Retention*G149*D149*(1+EscalatorInLease)^(2+M149)+(1-Retention)*H149*D149*(1+GrowthMarketRent)^2*IF(INT((DATE(2026+2,10,31)-F149)/365.25)=0,(12-DowntimeNew)/12,1),IF(I149="LeaseUp",H149*D149*(1+GrowthMarketRent)^2*IF(2=0,(12-DowntimeNew)/12,1),0)))),((F149-DATE(2026+2,5,1))/365.25)*G149*D149*(1+EscalatorInLease)^(2+M149)+((DATE(2027+2,4,30)-F149)/365.25)*IF(I149="Vacate",H149*D149*(1+GrowthMarketRent)^2*IF(INT((DATE(2026+2,10,31)-F149)/365.25)=0,(12-DowntimeNew)/12,1),IF(I149="Option",G149*D149*1.025*(1+EscalatorInLease)^2,IF(I149="Market",Retention*G149*D149*(1+EscalatorInLease)^(2+M149)+(1-Retention)*H149*D149*(1+GrowthMarketRent)^2*IF(INT((DATE(2026+2,10,31)-F149)/365.25)=0,(12-DowntimeNew)/12,1),IF(I149="LeaseUp",H149*D149*(1+GrowthMarketRent)^2*IF(2=0,(12-DowntimeNew)/12,1),0)))))))),0)</f>
        <v/>
      </c>
      <c r="Q149" s="14">
        <f>IFERROR(IF(I149="LeaseUp",H149*D149*(1+GrowthMarketRent)^3*IF(3=0,(12-DowntimeNew)/12,1),IF(F149="",0,IF(F149&gt;=DATE(2027+3,4,30),G149*D149*(1+EscalatorInLease)^(3+M149),IF(F149&lt;DATE(2026+3,5,1),IF(I149="Vacate",H149*D149*(1+GrowthMarketRent)^3*IF(INT((DATE(2026+3,10,31)-F149)/365.25)=0,(12-DowntimeNew)/12,1),IF(I149="Option",G149*D149*1.025*(1+EscalatorInLease)^3,IF(I149="Market",Retention*G149*D149*(1+EscalatorInLease)^(3+M149)+(1-Retention)*H149*D149*(1+GrowthMarketRent)^3*IF(INT((DATE(2026+3,10,31)-F149)/365.25)=0,(12-DowntimeNew)/12,1),IF(I149="LeaseUp",H149*D149*(1+GrowthMarketRent)^3*IF(3=0,(12-DowntimeNew)/12,1),0)))),((F149-DATE(2026+3,5,1))/365.25)*G149*D149*(1+EscalatorInLease)^(3+M149)+((DATE(2027+3,4,30)-F149)/365.25)*IF(I149="Vacate",H149*D149*(1+GrowthMarketRent)^3*IF(INT((DATE(2026+3,10,31)-F149)/365.25)=0,(12-DowntimeNew)/12,1),IF(I149="Option",G149*D149*1.025*(1+EscalatorInLease)^3,IF(I149="Market",Retention*G149*D149*(1+EscalatorInLease)^(3+M149)+(1-Retention)*H149*D149*(1+GrowthMarketRent)^3*IF(INT((DATE(2026+3,10,31)-F149)/365.25)=0,(12-DowntimeNew)/12,1),IF(I149="LeaseUp",H149*D149*(1+GrowthMarketRent)^3*IF(3=0,(12-DowntimeNew)/12,1),0)))))))),0)</f>
        <v/>
      </c>
      <c r="R149" s="14">
        <f>IFERROR(IF(I149="LeaseUp",H149*D149*(1+GrowthMarketRent)^4*IF(4=0,(12-DowntimeNew)/12,1),IF(F149="",0,IF(F149&gt;=DATE(2027+4,4,30),G149*D149*(1+EscalatorInLease)^(4+M149),IF(F149&lt;DATE(2026+4,5,1),IF(I149="Vacate",H149*D149*(1+GrowthMarketRent)^4*IF(INT((DATE(2026+4,10,31)-F149)/365.25)=0,(12-DowntimeNew)/12,1),IF(I149="Option",G149*D149*1.025*(1+EscalatorInLease)^4,IF(I149="Market",Retention*G149*D149*(1+EscalatorInLease)^(4+M149)+(1-Retention)*H149*D149*(1+GrowthMarketRent)^4*IF(INT((DATE(2026+4,10,31)-F149)/365.25)=0,(12-DowntimeNew)/12,1),IF(I149="LeaseUp",H149*D149*(1+GrowthMarketRent)^4*IF(4=0,(12-DowntimeNew)/12,1),0)))),((F149-DATE(2026+4,5,1))/365.25)*G149*D149*(1+EscalatorInLease)^(4+M149)+((DATE(2027+4,4,30)-F149)/365.25)*IF(I149="Vacate",H149*D149*(1+GrowthMarketRent)^4*IF(INT((DATE(2026+4,10,31)-F149)/365.25)=0,(12-DowntimeNew)/12,1),IF(I149="Option",G149*D149*1.025*(1+EscalatorInLease)^4,IF(I149="Market",Retention*G149*D149*(1+EscalatorInLease)^(4+M149)+(1-Retention)*H149*D149*(1+GrowthMarketRent)^4*IF(INT((DATE(2026+4,10,31)-F149)/365.25)=0,(12-DowntimeNew)/12,1),IF(I149="LeaseUp",H149*D149*(1+GrowthMarketRent)^4*IF(4=0,(12-DowntimeNew)/12,1),0)))))))),0)</f>
        <v/>
      </c>
      <c r="S149" s="14">
        <f>IFERROR(IF(I149="LeaseUp",H149*D149*(1+GrowthMarketRent)^5*IF(5=0,(12-DowntimeNew)/12,1),IF(F149="",0,IF(F149&gt;=DATE(2027+5,4,30),G149*D149*(1+EscalatorInLease)^(5+M149),IF(F149&lt;DATE(2026+5,5,1),IF(I149="Vacate",H149*D149*(1+GrowthMarketRent)^5*IF(INT((DATE(2026+5,10,31)-F149)/365.25)=0,(12-DowntimeNew)/12,1),IF(I149="Option",G149*D149*1.025*(1+EscalatorInLease)^5,IF(I149="Market",Retention*G149*D149*(1+EscalatorInLease)^(5+M149)+(1-Retention)*H149*D149*(1+GrowthMarketRent)^5*IF(INT((DATE(2026+5,10,31)-F149)/365.25)=0,(12-DowntimeNew)/12,1),IF(I149="LeaseUp",H149*D149*(1+GrowthMarketRent)^5*IF(5=0,(12-DowntimeNew)/12,1),0)))),((F149-DATE(2026+5,5,1))/365.25)*G149*D149*(1+EscalatorInLease)^(5+M149)+((DATE(2027+5,4,30)-F149)/365.25)*IF(I149="Vacate",H149*D149*(1+GrowthMarketRent)^5*IF(INT((DATE(2026+5,10,31)-F149)/365.25)=0,(12-DowntimeNew)/12,1),IF(I149="Option",G149*D149*1.025*(1+EscalatorInLease)^5,IF(I149="Market",Retention*G149*D149*(1+EscalatorInLease)^(5+M149)+(1-Retention)*H149*D149*(1+GrowthMarketRent)^5*IF(INT((DATE(2026+5,10,31)-F149)/365.25)=0,(12-DowntimeNew)/12,1),IF(I149="LeaseUp",H149*D149*(1+GrowthMarketRent)^5*IF(5=0,(12-DowntimeNew)/12,1),0)))))))),0)</f>
        <v/>
      </c>
      <c r="T149" s="14">
        <f>IFERROR(IF(I149="LeaseUp",H149*D149*(1+GrowthMarketRent)^6*IF(6=0,(12-DowntimeNew)/12,1),IF(F149="",0,IF(F149&gt;=DATE(2027+6,4,30),G149*D149*(1+EscalatorInLease)^(6+M149),IF(F149&lt;DATE(2026+6,5,1),IF(I149="Vacate",H149*D149*(1+GrowthMarketRent)^6*IF(INT((DATE(2026+6,10,31)-F149)/365.25)=0,(12-DowntimeNew)/12,1),IF(I149="Option",G149*D149*1.025*(1+EscalatorInLease)^6,IF(I149="Market",Retention*G149*D149*(1+EscalatorInLease)^(6+M149)+(1-Retention)*H149*D149*(1+GrowthMarketRent)^6*IF(INT((DATE(2026+6,10,31)-F149)/365.25)=0,(12-DowntimeNew)/12,1),IF(I149="LeaseUp",H149*D149*(1+GrowthMarketRent)^6*IF(6=0,(12-DowntimeNew)/12,1),0)))),((F149-DATE(2026+6,5,1))/365.25)*G149*D149*(1+EscalatorInLease)^(6+M149)+((DATE(2027+6,4,30)-F149)/365.25)*IF(I149="Vacate",H149*D149*(1+GrowthMarketRent)^6*IF(INT((DATE(2026+6,10,31)-F149)/365.25)=0,(12-DowntimeNew)/12,1),IF(I149="Option",G149*D149*1.025*(1+EscalatorInLease)^6,IF(I149="Market",Retention*G149*D149*(1+EscalatorInLease)^(6+M149)+(1-Retention)*H149*D149*(1+GrowthMarketRent)^6*IF(INT((DATE(2026+6,10,31)-F149)/365.25)=0,(12-DowntimeNew)/12,1),IF(I149="LeaseUp",H149*D149*(1+GrowthMarketRent)^6*IF(6=0,(12-DowntimeNew)/12,1),0)))))))),0)</f>
        <v/>
      </c>
      <c r="U149" s="14">
        <f>IFERROR(IF(I149="LeaseUp",H149*D149*(1+GrowthMarketRent)^7*IF(7=0,(12-DowntimeNew)/12,1),IF(F149="",0,IF(F149&gt;=DATE(2027+7,4,30),G149*D149*(1+EscalatorInLease)^(7+M149),IF(F149&lt;DATE(2026+7,5,1),IF(I149="Vacate",H149*D149*(1+GrowthMarketRent)^7*IF(INT((DATE(2026+7,10,31)-F149)/365.25)=0,(12-DowntimeNew)/12,1),IF(I149="Option",G149*D149*1.025*(1+EscalatorInLease)^7,IF(I149="Market",Retention*G149*D149*(1+EscalatorInLease)^(7+M149)+(1-Retention)*H149*D149*(1+GrowthMarketRent)^7*IF(INT((DATE(2026+7,10,31)-F149)/365.25)=0,(12-DowntimeNew)/12,1),IF(I149="LeaseUp",H149*D149*(1+GrowthMarketRent)^7*IF(7=0,(12-DowntimeNew)/12,1),0)))),((F149-DATE(2026+7,5,1))/365.25)*G149*D149*(1+EscalatorInLease)^(7+M149)+((DATE(2027+7,4,30)-F149)/365.25)*IF(I149="Vacate",H149*D149*(1+GrowthMarketRent)^7*IF(INT((DATE(2026+7,10,31)-F149)/365.25)=0,(12-DowntimeNew)/12,1),IF(I149="Option",G149*D149*1.025*(1+EscalatorInLease)^7,IF(I149="Market",Retention*G149*D149*(1+EscalatorInLease)^(7+M149)+(1-Retention)*H149*D149*(1+GrowthMarketRent)^7*IF(INT((DATE(2026+7,10,31)-F149)/365.25)=0,(12-DowntimeNew)/12,1),IF(I149="LeaseUp",H149*D149*(1+GrowthMarketRent)^7*IF(7=0,(12-DowntimeNew)/12,1),0)))))))),0)</f>
        <v/>
      </c>
      <c r="V149" s="14">
        <f>IFERROR(IF(I149="LeaseUp",H149*D149*(1+GrowthMarketRent)^8*IF(8=0,(12-DowntimeNew)/12,1),IF(F149="",0,IF(F149&gt;=DATE(2027+8,4,30),G149*D149*(1+EscalatorInLease)^(8+M149),IF(F149&lt;DATE(2026+8,5,1),IF(I149="Vacate",H149*D149*(1+GrowthMarketRent)^8*IF(INT((DATE(2026+8,10,31)-F149)/365.25)=0,(12-DowntimeNew)/12,1),IF(I149="Option",G149*D149*1.025*(1+EscalatorInLease)^8,IF(I149="Market",Retention*G149*D149*(1+EscalatorInLease)^(8+M149)+(1-Retention)*H149*D149*(1+GrowthMarketRent)^8*IF(INT((DATE(2026+8,10,31)-F149)/365.25)=0,(12-DowntimeNew)/12,1),IF(I149="LeaseUp",H149*D149*(1+GrowthMarketRent)^8*IF(8=0,(12-DowntimeNew)/12,1),0)))),((F149-DATE(2026+8,5,1))/365.25)*G149*D149*(1+EscalatorInLease)^(8+M149)+((DATE(2027+8,4,30)-F149)/365.25)*IF(I149="Vacate",H149*D149*(1+GrowthMarketRent)^8*IF(INT((DATE(2026+8,10,31)-F149)/365.25)=0,(12-DowntimeNew)/12,1),IF(I149="Option",G149*D149*1.025*(1+EscalatorInLease)^8,IF(I149="Market",Retention*G149*D149*(1+EscalatorInLease)^(8+M149)+(1-Retention)*H149*D149*(1+GrowthMarketRent)^8*IF(INT((DATE(2026+8,10,31)-F149)/365.25)=0,(12-DowntimeNew)/12,1),IF(I149="LeaseUp",H149*D149*(1+GrowthMarketRent)^8*IF(8=0,(12-DowntimeNew)/12,1),0)))))))),0)</f>
        <v/>
      </c>
      <c r="W149" s="14">
        <f>IFERROR(IF(I149="LeaseUp",H149*D149*(1+GrowthMarketRent)^9*IF(9=0,(12-DowntimeNew)/12,1),IF(F149="",0,IF(F149&gt;=DATE(2027+9,4,30),G149*D149*(1+EscalatorInLease)^(9+M149),IF(F149&lt;DATE(2026+9,5,1),IF(I149="Vacate",H149*D149*(1+GrowthMarketRent)^9*IF(INT((DATE(2026+9,10,31)-F149)/365.25)=0,(12-DowntimeNew)/12,1),IF(I149="Option",G149*D149*1.025*(1+EscalatorInLease)^9,IF(I149="Market",Retention*G149*D149*(1+EscalatorInLease)^(9+M149)+(1-Retention)*H149*D149*(1+GrowthMarketRent)^9*IF(INT((DATE(2026+9,10,31)-F149)/365.25)=0,(12-DowntimeNew)/12,1),IF(I149="LeaseUp",H149*D149*(1+GrowthMarketRent)^9*IF(9=0,(12-DowntimeNew)/12,1),0)))),((F149-DATE(2026+9,5,1))/365.25)*G149*D149*(1+EscalatorInLease)^(9+M149)+((DATE(2027+9,4,30)-F149)/365.25)*IF(I149="Vacate",H149*D149*(1+GrowthMarketRent)^9*IF(INT((DATE(2026+9,10,31)-F149)/365.25)=0,(12-DowntimeNew)/12,1),IF(I149="Option",G149*D149*1.025*(1+EscalatorInLease)^9,IF(I149="Market",Retention*G149*D149*(1+EscalatorInLease)^(9+M149)+(1-Retention)*H149*D149*(1+GrowthMarketRent)^9*IF(INT((DATE(2026+9,10,31)-F149)/365.25)=0,(12-DowntimeNew)/12,1),IF(I149="LeaseUp",H149*D149*(1+GrowthMarketRent)^9*IF(9=0,(12-DowntimeNew)/12,1),0)))))))),0)</f>
        <v/>
      </c>
      <c r="X149" s="14">
        <f>IFERROR(IF(I149="LeaseUp",H149*D149*(1+GrowthMarketRent)^10*IF(10=0,(12-DowntimeNew)/12,1),IF(F149="",0,IF(F149&gt;=DATE(2027+10,4,30),G149*D149*(1+EscalatorInLease)^(10+M149),IF(F149&lt;DATE(2026+10,5,1),IF(I149="Vacate",H149*D149*(1+GrowthMarketRent)^10*IF(INT((DATE(2026+10,10,31)-F149)/365.25)=0,(12-DowntimeNew)/12,1),IF(I149="Option",G149*D149*1.025*(1+EscalatorInLease)^10,IF(I149="Market",Retention*G149*D149*(1+EscalatorInLease)^(10+M149)+(1-Retention)*H149*D149*(1+GrowthMarketRent)^10*IF(INT((DATE(2026+10,10,31)-F149)/365.25)=0,(12-DowntimeNew)/12,1),IF(I149="LeaseUp",H149*D149*(1+GrowthMarketRent)^10*IF(10=0,(12-DowntimeNew)/12,1),0)))),((F149-DATE(2026+10,5,1))/365.25)*G149*D149*(1+EscalatorInLease)^(10+M149)+((DATE(2027+10,4,30)-F149)/365.25)*IF(I149="Vacate",H149*D149*(1+GrowthMarketRent)^10*IF(INT((DATE(2026+10,10,31)-F149)/365.25)=0,(12-DowntimeNew)/12,1),IF(I149="Option",G149*D149*1.025*(1+EscalatorInLease)^10,IF(I149="Market",Retention*G149*D149*(1+EscalatorInLease)^(10+M149)+(1-Retention)*H149*D149*(1+GrowthMarketRent)^10*IF(INT((DATE(2026+10,10,31)-F149)/365.25)=0,(12-DowntimeNew)/12,1),IF(I149="LeaseUp",H149*D149*(1+GrowthMarketRent)^10*IF(10=0,(12-DowntimeNew)/12,1),0)))))))),0)</f>
        <v/>
      </c>
      <c r="Y149" s="14">
        <f>IFERROR(IF(AND(I149="LeaseUp",0=0),(IF(I149="Vacate",TINew*D149,IF(I149="Market",Retention*TIRenewal*D149+(1-Retention)*TINew*D149,IF(I149="LeaseUp",TINew*D149,IF(I149="Option",TIRenewal*D149,0)))))+(IF(I149="Vacate",LCNew*H149*D149*(1+GrowthMarketRent)^0,IF(I149="Market",Retention*LCRenewal*H149*D149*(1+GrowthMarketRent)^0+(1-Retention)*LCNew*H149*D149*(1+GrowthMarketRent)^0,IF(I149="LeaseUp",LCNew*H149*D149*(1+GrowthMarketRent)^0,IF(I149="Option",LCRenewal*H149*D149*(1+GrowthMarketRent)^0,0))))),IF(F149="",0,IF(AND(F149&gt;=DATE(2026+0,5,1),F149&lt;=DATE(2027+0,4,30)),(IF(I149="Vacate",TINew*D149,IF(I149="Market",Retention*TIRenewal*D149+(1-Retention)*TINew*D149,IF(I149="LeaseUp",TINew*D149,IF(I149="Option",TIRenewal*D149,0)))))+(IF(I149="Vacate",LCNew*H149*D149*(1+GrowthMarketRent)^0,IF(I149="Market",Retention*LCRenewal*H149*D149*(1+GrowthMarketRent)^0+(1-Retention)*LCNew*H149*D149*(1+GrowthMarketRent)^0,IF(I149="LeaseUp",LCNew*H149*D149*(1+GrowthMarketRent)^0,IF(I149="Option",LCRenewal*H149*D149*(1+GrowthMarketRent)^0,0))))),0))),0)</f>
        <v/>
      </c>
      <c r="Z149" s="14">
        <f>IFERROR(IF(AND(I149="LeaseUp",1=0),(IF(I149="Vacate",TINew*D149,IF(I149="Market",Retention*TIRenewal*D149+(1-Retention)*TINew*D149,IF(I149="LeaseUp",TINew*D149,IF(I149="Option",TIRenewal*D149,0)))))+(IF(I149="Vacate",LCNew*H149*D149*(1+GrowthMarketRent)^1,IF(I149="Market",Retention*LCRenewal*H149*D149*(1+GrowthMarketRent)^1+(1-Retention)*LCNew*H149*D149*(1+GrowthMarketRent)^1,IF(I149="LeaseUp",LCNew*H149*D149*(1+GrowthMarketRent)^1,IF(I149="Option",LCRenewal*H149*D149*(1+GrowthMarketRent)^1,0))))),IF(F149="",0,IF(AND(F149&gt;=DATE(2026+1,5,1),F149&lt;=DATE(2027+1,4,30)),(IF(I149="Vacate",TINew*D149,IF(I149="Market",Retention*TIRenewal*D149+(1-Retention)*TINew*D149,IF(I149="LeaseUp",TINew*D149,IF(I149="Option",TIRenewal*D149,0)))))+(IF(I149="Vacate",LCNew*H149*D149*(1+GrowthMarketRent)^1,IF(I149="Market",Retention*LCRenewal*H149*D149*(1+GrowthMarketRent)^1+(1-Retention)*LCNew*H149*D149*(1+GrowthMarketRent)^1,IF(I149="LeaseUp",LCNew*H149*D149*(1+GrowthMarketRent)^1,IF(I149="Option",LCRenewal*H149*D149*(1+GrowthMarketRent)^1,0))))),0))),0)</f>
        <v/>
      </c>
      <c r="AA149" s="14">
        <f>IFERROR(IF(AND(I149="LeaseUp",2=0),(IF(I149="Vacate",TINew*D149,IF(I149="Market",Retention*TIRenewal*D149+(1-Retention)*TINew*D149,IF(I149="LeaseUp",TINew*D149,IF(I149="Option",TIRenewal*D149,0)))))+(IF(I149="Vacate",LCNew*H149*D149*(1+GrowthMarketRent)^2,IF(I149="Market",Retention*LCRenewal*H149*D149*(1+GrowthMarketRent)^2+(1-Retention)*LCNew*H149*D149*(1+GrowthMarketRent)^2,IF(I149="LeaseUp",LCNew*H149*D149*(1+GrowthMarketRent)^2,IF(I149="Option",LCRenewal*H149*D149*(1+GrowthMarketRent)^2,0))))),IF(F149="",0,IF(AND(F149&gt;=DATE(2026+2,5,1),F149&lt;=DATE(2027+2,4,30)),(IF(I149="Vacate",TINew*D149,IF(I149="Market",Retention*TIRenewal*D149+(1-Retention)*TINew*D149,IF(I149="LeaseUp",TINew*D149,IF(I149="Option",TIRenewal*D149,0)))))+(IF(I149="Vacate",LCNew*H149*D149*(1+GrowthMarketRent)^2,IF(I149="Market",Retention*LCRenewal*H149*D149*(1+GrowthMarketRent)^2+(1-Retention)*LCNew*H149*D149*(1+GrowthMarketRent)^2,IF(I149="LeaseUp",LCNew*H149*D149*(1+GrowthMarketRent)^2,IF(I149="Option",LCRenewal*H149*D149*(1+GrowthMarketRent)^2,0))))),0))),0)</f>
        <v/>
      </c>
      <c r="AB149" s="14">
        <f>IFERROR(IF(AND(I149="LeaseUp",3=0),(IF(I149="Vacate",TINew*D149,IF(I149="Market",Retention*TIRenewal*D149+(1-Retention)*TINew*D149,IF(I149="LeaseUp",TINew*D149,IF(I149="Option",TIRenewal*D149,0)))))+(IF(I149="Vacate",LCNew*H149*D149*(1+GrowthMarketRent)^3,IF(I149="Market",Retention*LCRenewal*H149*D149*(1+GrowthMarketRent)^3+(1-Retention)*LCNew*H149*D149*(1+GrowthMarketRent)^3,IF(I149="LeaseUp",LCNew*H149*D149*(1+GrowthMarketRent)^3,IF(I149="Option",LCRenewal*H149*D149*(1+GrowthMarketRent)^3,0))))),IF(F149="",0,IF(AND(F149&gt;=DATE(2026+3,5,1),F149&lt;=DATE(2027+3,4,30)),(IF(I149="Vacate",TINew*D149,IF(I149="Market",Retention*TIRenewal*D149+(1-Retention)*TINew*D149,IF(I149="LeaseUp",TINew*D149,IF(I149="Option",TIRenewal*D149,0)))))+(IF(I149="Vacate",LCNew*H149*D149*(1+GrowthMarketRent)^3,IF(I149="Market",Retention*LCRenewal*H149*D149*(1+GrowthMarketRent)^3+(1-Retention)*LCNew*H149*D149*(1+GrowthMarketRent)^3,IF(I149="LeaseUp",LCNew*H149*D149*(1+GrowthMarketRent)^3,IF(I149="Option",LCRenewal*H149*D149*(1+GrowthMarketRent)^3,0))))),0))),0)</f>
        <v/>
      </c>
      <c r="AC149" s="14">
        <f>IFERROR(IF(AND(I149="LeaseUp",4=0),(IF(I149="Vacate",TINew*D149,IF(I149="Market",Retention*TIRenewal*D149+(1-Retention)*TINew*D149,IF(I149="LeaseUp",TINew*D149,IF(I149="Option",TIRenewal*D149,0)))))+(IF(I149="Vacate",LCNew*H149*D149*(1+GrowthMarketRent)^4,IF(I149="Market",Retention*LCRenewal*H149*D149*(1+GrowthMarketRent)^4+(1-Retention)*LCNew*H149*D149*(1+GrowthMarketRent)^4,IF(I149="LeaseUp",LCNew*H149*D149*(1+GrowthMarketRent)^4,IF(I149="Option",LCRenewal*H149*D149*(1+GrowthMarketRent)^4,0))))),IF(F149="",0,IF(AND(F149&gt;=DATE(2026+4,5,1),F149&lt;=DATE(2027+4,4,30)),(IF(I149="Vacate",TINew*D149,IF(I149="Market",Retention*TIRenewal*D149+(1-Retention)*TINew*D149,IF(I149="LeaseUp",TINew*D149,IF(I149="Option",TIRenewal*D149,0)))))+(IF(I149="Vacate",LCNew*H149*D149*(1+GrowthMarketRent)^4,IF(I149="Market",Retention*LCRenewal*H149*D149*(1+GrowthMarketRent)^4+(1-Retention)*LCNew*H149*D149*(1+GrowthMarketRent)^4,IF(I149="LeaseUp",LCNew*H149*D149*(1+GrowthMarketRent)^4,IF(I149="Option",LCRenewal*H149*D149*(1+GrowthMarketRent)^4,0))))),0))),0)</f>
        <v/>
      </c>
      <c r="AD149" s="14">
        <f>IFERROR(IF(AND(I149="LeaseUp",5=0),(IF(I149="Vacate",TINew*D149,IF(I149="Market",Retention*TIRenewal*D149+(1-Retention)*TINew*D149,IF(I149="LeaseUp",TINew*D149,IF(I149="Option",TIRenewal*D149,0)))))+(IF(I149="Vacate",LCNew*H149*D149*(1+GrowthMarketRent)^5,IF(I149="Market",Retention*LCRenewal*H149*D149*(1+GrowthMarketRent)^5+(1-Retention)*LCNew*H149*D149*(1+GrowthMarketRent)^5,IF(I149="LeaseUp",LCNew*H149*D149*(1+GrowthMarketRent)^5,IF(I149="Option",LCRenewal*H149*D149*(1+GrowthMarketRent)^5,0))))),IF(F149="",0,IF(AND(F149&gt;=DATE(2026+5,5,1),F149&lt;=DATE(2027+5,4,30)),(IF(I149="Vacate",TINew*D149,IF(I149="Market",Retention*TIRenewal*D149+(1-Retention)*TINew*D149,IF(I149="LeaseUp",TINew*D149,IF(I149="Option",TIRenewal*D149,0)))))+(IF(I149="Vacate",LCNew*H149*D149*(1+GrowthMarketRent)^5,IF(I149="Market",Retention*LCRenewal*H149*D149*(1+GrowthMarketRent)^5+(1-Retention)*LCNew*H149*D149*(1+GrowthMarketRent)^5,IF(I149="LeaseUp",LCNew*H149*D149*(1+GrowthMarketRent)^5,IF(I149="Option",LCRenewal*H149*D149*(1+GrowthMarketRent)^5,0))))),0))),0)</f>
        <v/>
      </c>
      <c r="AE149" s="14">
        <f>IFERROR(IF(AND(I149="LeaseUp",6=0),(IF(I149="Vacate",TINew*D149,IF(I149="Market",Retention*TIRenewal*D149+(1-Retention)*TINew*D149,IF(I149="LeaseUp",TINew*D149,IF(I149="Option",TIRenewal*D149,0)))))+(IF(I149="Vacate",LCNew*H149*D149*(1+GrowthMarketRent)^6,IF(I149="Market",Retention*LCRenewal*H149*D149*(1+GrowthMarketRent)^6+(1-Retention)*LCNew*H149*D149*(1+GrowthMarketRent)^6,IF(I149="LeaseUp",LCNew*H149*D149*(1+GrowthMarketRent)^6,IF(I149="Option",LCRenewal*H149*D149*(1+GrowthMarketRent)^6,0))))),IF(F149="",0,IF(AND(F149&gt;=DATE(2026+6,5,1),F149&lt;=DATE(2027+6,4,30)),(IF(I149="Vacate",TINew*D149,IF(I149="Market",Retention*TIRenewal*D149+(1-Retention)*TINew*D149,IF(I149="LeaseUp",TINew*D149,IF(I149="Option",TIRenewal*D149,0)))))+(IF(I149="Vacate",LCNew*H149*D149*(1+GrowthMarketRent)^6,IF(I149="Market",Retention*LCRenewal*H149*D149*(1+GrowthMarketRent)^6+(1-Retention)*LCNew*H149*D149*(1+GrowthMarketRent)^6,IF(I149="LeaseUp",LCNew*H149*D149*(1+GrowthMarketRent)^6,IF(I149="Option",LCRenewal*H149*D149*(1+GrowthMarketRent)^6,0))))),0))),0)</f>
        <v/>
      </c>
      <c r="AF149" s="14">
        <f>IFERROR(IF(AND(I149="LeaseUp",7=0),(IF(I149="Vacate",TINew*D149,IF(I149="Market",Retention*TIRenewal*D149+(1-Retention)*TINew*D149,IF(I149="LeaseUp",TINew*D149,IF(I149="Option",TIRenewal*D149,0)))))+(IF(I149="Vacate",LCNew*H149*D149*(1+GrowthMarketRent)^7,IF(I149="Market",Retention*LCRenewal*H149*D149*(1+GrowthMarketRent)^7+(1-Retention)*LCNew*H149*D149*(1+GrowthMarketRent)^7,IF(I149="LeaseUp",LCNew*H149*D149*(1+GrowthMarketRent)^7,IF(I149="Option",LCRenewal*H149*D149*(1+GrowthMarketRent)^7,0))))),IF(F149="",0,IF(AND(F149&gt;=DATE(2026+7,5,1),F149&lt;=DATE(2027+7,4,30)),(IF(I149="Vacate",TINew*D149,IF(I149="Market",Retention*TIRenewal*D149+(1-Retention)*TINew*D149,IF(I149="LeaseUp",TINew*D149,IF(I149="Option",TIRenewal*D149,0)))))+(IF(I149="Vacate",LCNew*H149*D149*(1+GrowthMarketRent)^7,IF(I149="Market",Retention*LCRenewal*H149*D149*(1+GrowthMarketRent)^7+(1-Retention)*LCNew*H149*D149*(1+GrowthMarketRent)^7,IF(I149="LeaseUp",LCNew*H149*D149*(1+GrowthMarketRent)^7,IF(I149="Option",LCRenewal*H149*D149*(1+GrowthMarketRent)^7,0))))),0))),0)</f>
        <v/>
      </c>
      <c r="AG149" s="14">
        <f>IFERROR(IF(AND(I149="LeaseUp",8=0),(IF(I149="Vacate",TINew*D149,IF(I149="Market",Retention*TIRenewal*D149+(1-Retention)*TINew*D149,IF(I149="LeaseUp",TINew*D149,IF(I149="Option",TIRenewal*D149,0)))))+(IF(I149="Vacate",LCNew*H149*D149*(1+GrowthMarketRent)^8,IF(I149="Market",Retention*LCRenewal*H149*D149*(1+GrowthMarketRent)^8+(1-Retention)*LCNew*H149*D149*(1+GrowthMarketRent)^8,IF(I149="LeaseUp",LCNew*H149*D149*(1+GrowthMarketRent)^8,IF(I149="Option",LCRenewal*H149*D149*(1+GrowthMarketRent)^8,0))))),IF(F149="",0,IF(AND(F149&gt;=DATE(2026+8,5,1),F149&lt;=DATE(2027+8,4,30)),(IF(I149="Vacate",TINew*D149,IF(I149="Market",Retention*TIRenewal*D149+(1-Retention)*TINew*D149,IF(I149="LeaseUp",TINew*D149,IF(I149="Option",TIRenewal*D149,0)))))+(IF(I149="Vacate",LCNew*H149*D149*(1+GrowthMarketRent)^8,IF(I149="Market",Retention*LCRenewal*H149*D149*(1+GrowthMarketRent)^8+(1-Retention)*LCNew*H149*D149*(1+GrowthMarketRent)^8,IF(I149="LeaseUp",LCNew*H149*D149*(1+GrowthMarketRent)^8,IF(I149="Option",LCRenewal*H149*D149*(1+GrowthMarketRent)^8,0))))),0))),0)</f>
        <v/>
      </c>
      <c r="AH149" s="14">
        <f>IFERROR(IF(AND(I149="LeaseUp",9=0),(IF(I149="Vacate",TINew*D149,IF(I149="Market",Retention*TIRenewal*D149+(1-Retention)*TINew*D149,IF(I149="LeaseUp",TINew*D149,IF(I149="Option",TIRenewal*D149,0)))))+(IF(I149="Vacate",LCNew*H149*D149*(1+GrowthMarketRent)^9,IF(I149="Market",Retention*LCRenewal*H149*D149*(1+GrowthMarketRent)^9+(1-Retention)*LCNew*H149*D149*(1+GrowthMarketRent)^9,IF(I149="LeaseUp",LCNew*H149*D149*(1+GrowthMarketRent)^9,IF(I149="Option",LCRenewal*H149*D149*(1+GrowthMarketRent)^9,0))))),IF(F149="",0,IF(AND(F149&gt;=DATE(2026+9,5,1),F149&lt;=DATE(2027+9,4,30)),(IF(I149="Vacate",TINew*D149,IF(I149="Market",Retention*TIRenewal*D149+(1-Retention)*TINew*D149,IF(I149="LeaseUp",TINew*D149,IF(I149="Option",TIRenewal*D149,0)))))+(IF(I149="Vacate",LCNew*H149*D149*(1+GrowthMarketRent)^9,IF(I149="Market",Retention*LCRenewal*H149*D149*(1+GrowthMarketRent)^9+(1-Retention)*LCNew*H149*D149*(1+GrowthMarketRent)^9,IF(I149="LeaseUp",LCNew*H149*D149*(1+GrowthMarketRent)^9,IF(I149="Option",LCRenewal*H149*D149*(1+GrowthMarketRent)^9,0))))),0))),0)</f>
        <v/>
      </c>
      <c r="AI149" s="14">
        <f>IFERROR(IF(AND(I149="LeaseUp",10=0),(IF(I149="Vacate",TINew*D149,IF(I149="Market",Retention*TIRenewal*D149+(1-Retention)*TINew*D149,IF(I149="LeaseUp",TINew*D149,IF(I149="Option",TIRenewal*D149,0)))))+(IF(I149="Vacate",LCNew*H149*D149*(1+GrowthMarketRent)^10,IF(I149="Market",Retention*LCRenewal*H149*D149*(1+GrowthMarketRent)^10+(1-Retention)*LCNew*H149*D149*(1+GrowthMarketRent)^10,IF(I149="LeaseUp",LCNew*H149*D149*(1+GrowthMarketRent)^10,IF(I149="Option",LCRenewal*H149*D149*(1+GrowthMarketRent)^10,0))))),IF(F149="",0,IF(AND(F149&gt;=DATE(2026+10,5,1),F149&lt;=DATE(2027+10,4,30)),(IF(I149="Vacate",TINew*D149,IF(I149="Market",Retention*TIRenewal*D149+(1-Retention)*TINew*D149,IF(I149="LeaseUp",TINew*D149,IF(I149="Option",TIRenewal*D149,0)))))+(IF(I149="Vacate",LCNew*H149*D149*(1+GrowthMarketRent)^10,IF(I149="Market",Retention*LCRenewal*H149*D149*(1+GrowthMarketRent)^10+(1-Retention)*LCNew*H149*D149*(1+GrowthMarketRent)^10,IF(I149="LeaseUp",LCNew*H149*D149*(1+GrowthMarketRent)^10,IF(I149="Option",LCRenewal*H149*D149*(1+GrowthMarketRent)^10,0))))),0))),0)</f>
        <v/>
      </c>
    </row>
    <row r="150">
      <c r="A150" t="inlineStr">
        <is>
          <t>Plano</t>
        </is>
      </c>
      <c r="B150" t="inlineStr">
        <is>
          <t>201</t>
        </is>
      </c>
      <c r="C150" t="inlineStr">
        <is>
          <t>Thoughtful Integrations LLC</t>
        </is>
      </c>
      <c r="D150" s="32" t="n">
        <v>3450</v>
      </c>
      <c r="E150" s="33" t="n">
        <v>44958</v>
      </c>
      <c r="F150" s="33" t="n">
        <v>46204</v>
      </c>
      <c r="G150" s="34" t="n">
        <v>15.0765217391304</v>
      </c>
      <c r="H150" s="16">
        <f>VLOOKUP(A150,MLA!$A$5:$L$11,3,FALSE)</f>
        <v/>
      </c>
      <c r="I150" s="11" t="inlineStr">
        <is>
          <t>Vacate</t>
        </is>
      </c>
      <c r="J150" t="inlineStr">
        <is>
          <t>Shop</t>
        </is>
      </c>
      <c r="K150" t="inlineStr">
        <is>
          <t>Occupied</t>
        </is>
      </c>
      <c r="L150" t="inlineStr">
        <is>
          <t>Shop; assumed vacate 07/26; Guarantor: Cody Crossland</t>
        </is>
      </c>
      <c r="M150" s="20">
        <f>IF(E150="",0,(AnalysisStart-E150)/365.25)</f>
        <v/>
      </c>
      <c r="N150" s="14">
        <f>IFERROR(IF(I150="LeaseUp",H150*D150*(1+GrowthMarketRent)^0*IF(0=0,(12-DowntimeNew)/12,1),IF(F150="",0,IF(F150&gt;=DATE(2027+0,4,30),G150*D150*(1+EscalatorInLease)^(0+M150),IF(F150&lt;DATE(2026+0,5,1),IF(I150="Vacate",H150*D150*(1+GrowthMarketRent)^0*IF(INT((DATE(2026+0,10,31)-F150)/365.25)=0,(12-DowntimeNew)/12,1),IF(I150="Option",G150*D150*1.025*(1+EscalatorInLease)^0,IF(I150="Market",Retention*G150*D150*(1+EscalatorInLease)^(0+M150)+(1-Retention)*H150*D150*(1+GrowthMarketRent)^0*IF(INT((DATE(2026+0,10,31)-F150)/365.25)=0,(12-DowntimeNew)/12,1),IF(I150="LeaseUp",H150*D150*(1+GrowthMarketRent)^0*IF(0=0,(12-DowntimeNew)/12,1),0)))),((F150-DATE(2026+0,5,1))/365.25)*G150*D150*(1+EscalatorInLease)^(0+M150)+((DATE(2027+0,4,30)-F150)/365.25)*IF(I150="Vacate",H150*D150*(1+GrowthMarketRent)^0*IF(INT((DATE(2026+0,10,31)-F150)/365.25)=0,(12-DowntimeNew)/12,1),IF(I150="Option",G150*D150*1.025*(1+EscalatorInLease)^0,IF(I150="Market",Retention*G150*D150*(1+EscalatorInLease)^(0+M150)+(1-Retention)*H150*D150*(1+GrowthMarketRent)^0*IF(INT((DATE(2026+0,10,31)-F150)/365.25)=0,(12-DowntimeNew)/12,1),IF(I150="LeaseUp",H150*D150*(1+GrowthMarketRent)^0*IF(0=0,(12-DowntimeNew)/12,1),0)))))))),0)</f>
        <v/>
      </c>
      <c r="O150" s="14">
        <f>IFERROR(IF(I150="LeaseUp",H150*D150*(1+GrowthMarketRent)^1*IF(1=0,(12-DowntimeNew)/12,1),IF(F150="",0,IF(F150&gt;=DATE(2027+1,4,30),G150*D150*(1+EscalatorInLease)^(1+M150),IF(F150&lt;DATE(2026+1,5,1),IF(I150="Vacate",H150*D150*(1+GrowthMarketRent)^1*IF(INT((DATE(2026+1,10,31)-F150)/365.25)=0,(12-DowntimeNew)/12,1),IF(I150="Option",G150*D150*1.025*(1+EscalatorInLease)^1,IF(I150="Market",Retention*G150*D150*(1+EscalatorInLease)^(1+M150)+(1-Retention)*H150*D150*(1+GrowthMarketRent)^1*IF(INT((DATE(2026+1,10,31)-F150)/365.25)=0,(12-DowntimeNew)/12,1),IF(I150="LeaseUp",H150*D150*(1+GrowthMarketRent)^1*IF(1=0,(12-DowntimeNew)/12,1),0)))),((F150-DATE(2026+1,5,1))/365.25)*G150*D150*(1+EscalatorInLease)^(1+M150)+((DATE(2027+1,4,30)-F150)/365.25)*IF(I150="Vacate",H150*D150*(1+GrowthMarketRent)^1*IF(INT((DATE(2026+1,10,31)-F150)/365.25)=0,(12-DowntimeNew)/12,1),IF(I150="Option",G150*D150*1.025*(1+EscalatorInLease)^1,IF(I150="Market",Retention*G150*D150*(1+EscalatorInLease)^(1+M150)+(1-Retention)*H150*D150*(1+GrowthMarketRent)^1*IF(INT((DATE(2026+1,10,31)-F150)/365.25)=0,(12-DowntimeNew)/12,1),IF(I150="LeaseUp",H150*D150*(1+GrowthMarketRent)^1*IF(1=0,(12-DowntimeNew)/12,1),0)))))))),0)</f>
        <v/>
      </c>
      <c r="P150" s="14">
        <f>IFERROR(IF(I150="LeaseUp",H150*D150*(1+GrowthMarketRent)^2*IF(2=0,(12-DowntimeNew)/12,1),IF(F150="",0,IF(F150&gt;=DATE(2027+2,4,30),G150*D150*(1+EscalatorInLease)^(2+M150),IF(F150&lt;DATE(2026+2,5,1),IF(I150="Vacate",H150*D150*(1+GrowthMarketRent)^2*IF(INT((DATE(2026+2,10,31)-F150)/365.25)=0,(12-DowntimeNew)/12,1),IF(I150="Option",G150*D150*1.025*(1+EscalatorInLease)^2,IF(I150="Market",Retention*G150*D150*(1+EscalatorInLease)^(2+M150)+(1-Retention)*H150*D150*(1+GrowthMarketRent)^2*IF(INT((DATE(2026+2,10,31)-F150)/365.25)=0,(12-DowntimeNew)/12,1),IF(I150="LeaseUp",H150*D150*(1+GrowthMarketRent)^2*IF(2=0,(12-DowntimeNew)/12,1),0)))),((F150-DATE(2026+2,5,1))/365.25)*G150*D150*(1+EscalatorInLease)^(2+M150)+((DATE(2027+2,4,30)-F150)/365.25)*IF(I150="Vacate",H150*D150*(1+GrowthMarketRent)^2*IF(INT((DATE(2026+2,10,31)-F150)/365.25)=0,(12-DowntimeNew)/12,1),IF(I150="Option",G150*D150*1.025*(1+EscalatorInLease)^2,IF(I150="Market",Retention*G150*D150*(1+EscalatorInLease)^(2+M150)+(1-Retention)*H150*D150*(1+GrowthMarketRent)^2*IF(INT((DATE(2026+2,10,31)-F150)/365.25)=0,(12-DowntimeNew)/12,1),IF(I150="LeaseUp",H150*D150*(1+GrowthMarketRent)^2*IF(2=0,(12-DowntimeNew)/12,1),0)))))))),0)</f>
        <v/>
      </c>
      <c r="Q150" s="14">
        <f>IFERROR(IF(I150="LeaseUp",H150*D150*(1+GrowthMarketRent)^3*IF(3=0,(12-DowntimeNew)/12,1),IF(F150="",0,IF(F150&gt;=DATE(2027+3,4,30),G150*D150*(1+EscalatorInLease)^(3+M150),IF(F150&lt;DATE(2026+3,5,1),IF(I150="Vacate",H150*D150*(1+GrowthMarketRent)^3*IF(INT((DATE(2026+3,10,31)-F150)/365.25)=0,(12-DowntimeNew)/12,1),IF(I150="Option",G150*D150*1.025*(1+EscalatorInLease)^3,IF(I150="Market",Retention*G150*D150*(1+EscalatorInLease)^(3+M150)+(1-Retention)*H150*D150*(1+GrowthMarketRent)^3*IF(INT((DATE(2026+3,10,31)-F150)/365.25)=0,(12-DowntimeNew)/12,1),IF(I150="LeaseUp",H150*D150*(1+GrowthMarketRent)^3*IF(3=0,(12-DowntimeNew)/12,1),0)))),((F150-DATE(2026+3,5,1))/365.25)*G150*D150*(1+EscalatorInLease)^(3+M150)+((DATE(2027+3,4,30)-F150)/365.25)*IF(I150="Vacate",H150*D150*(1+GrowthMarketRent)^3*IF(INT((DATE(2026+3,10,31)-F150)/365.25)=0,(12-DowntimeNew)/12,1),IF(I150="Option",G150*D150*1.025*(1+EscalatorInLease)^3,IF(I150="Market",Retention*G150*D150*(1+EscalatorInLease)^(3+M150)+(1-Retention)*H150*D150*(1+GrowthMarketRent)^3*IF(INT((DATE(2026+3,10,31)-F150)/365.25)=0,(12-DowntimeNew)/12,1),IF(I150="LeaseUp",H150*D150*(1+GrowthMarketRent)^3*IF(3=0,(12-DowntimeNew)/12,1),0)))))))),0)</f>
        <v/>
      </c>
      <c r="R150" s="14">
        <f>IFERROR(IF(I150="LeaseUp",H150*D150*(1+GrowthMarketRent)^4*IF(4=0,(12-DowntimeNew)/12,1),IF(F150="",0,IF(F150&gt;=DATE(2027+4,4,30),G150*D150*(1+EscalatorInLease)^(4+M150),IF(F150&lt;DATE(2026+4,5,1),IF(I150="Vacate",H150*D150*(1+GrowthMarketRent)^4*IF(INT((DATE(2026+4,10,31)-F150)/365.25)=0,(12-DowntimeNew)/12,1),IF(I150="Option",G150*D150*1.025*(1+EscalatorInLease)^4,IF(I150="Market",Retention*G150*D150*(1+EscalatorInLease)^(4+M150)+(1-Retention)*H150*D150*(1+GrowthMarketRent)^4*IF(INT((DATE(2026+4,10,31)-F150)/365.25)=0,(12-DowntimeNew)/12,1),IF(I150="LeaseUp",H150*D150*(1+GrowthMarketRent)^4*IF(4=0,(12-DowntimeNew)/12,1),0)))),((F150-DATE(2026+4,5,1))/365.25)*G150*D150*(1+EscalatorInLease)^(4+M150)+((DATE(2027+4,4,30)-F150)/365.25)*IF(I150="Vacate",H150*D150*(1+GrowthMarketRent)^4*IF(INT((DATE(2026+4,10,31)-F150)/365.25)=0,(12-DowntimeNew)/12,1),IF(I150="Option",G150*D150*1.025*(1+EscalatorInLease)^4,IF(I150="Market",Retention*G150*D150*(1+EscalatorInLease)^(4+M150)+(1-Retention)*H150*D150*(1+GrowthMarketRent)^4*IF(INT((DATE(2026+4,10,31)-F150)/365.25)=0,(12-DowntimeNew)/12,1),IF(I150="LeaseUp",H150*D150*(1+GrowthMarketRent)^4*IF(4=0,(12-DowntimeNew)/12,1),0)))))))),0)</f>
        <v/>
      </c>
      <c r="S150" s="14">
        <f>IFERROR(IF(I150="LeaseUp",H150*D150*(1+GrowthMarketRent)^5*IF(5=0,(12-DowntimeNew)/12,1),IF(F150="",0,IF(F150&gt;=DATE(2027+5,4,30),G150*D150*(1+EscalatorInLease)^(5+M150),IF(F150&lt;DATE(2026+5,5,1),IF(I150="Vacate",H150*D150*(1+GrowthMarketRent)^5*IF(INT((DATE(2026+5,10,31)-F150)/365.25)=0,(12-DowntimeNew)/12,1),IF(I150="Option",G150*D150*1.025*(1+EscalatorInLease)^5,IF(I150="Market",Retention*G150*D150*(1+EscalatorInLease)^(5+M150)+(1-Retention)*H150*D150*(1+GrowthMarketRent)^5*IF(INT((DATE(2026+5,10,31)-F150)/365.25)=0,(12-DowntimeNew)/12,1),IF(I150="LeaseUp",H150*D150*(1+GrowthMarketRent)^5*IF(5=0,(12-DowntimeNew)/12,1),0)))),((F150-DATE(2026+5,5,1))/365.25)*G150*D150*(1+EscalatorInLease)^(5+M150)+((DATE(2027+5,4,30)-F150)/365.25)*IF(I150="Vacate",H150*D150*(1+GrowthMarketRent)^5*IF(INT((DATE(2026+5,10,31)-F150)/365.25)=0,(12-DowntimeNew)/12,1),IF(I150="Option",G150*D150*1.025*(1+EscalatorInLease)^5,IF(I150="Market",Retention*G150*D150*(1+EscalatorInLease)^(5+M150)+(1-Retention)*H150*D150*(1+GrowthMarketRent)^5*IF(INT((DATE(2026+5,10,31)-F150)/365.25)=0,(12-DowntimeNew)/12,1),IF(I150="LeaseUp",H150*D150*(1+GrowthMarketRent)^5*IF(5=0,(12-DowntimeNew)/12,1),0)))))))),0)</f>
        <v/>
      </c>
      <c r="T150" s="14">
        <f>IFERROR(IF(I150="LeaseUp",H150*D150*(1+GrowthMarketRent)^6*IF(6=0,(12-DowntimeNew)/12,1),IF(F150="",0,IF(F150&gt;=DATE(2027+6,4,30),G150*D150*(1+EscalatorInLease)^(6+M150),IF(F150&lt;DATE(2026+6,5,1),IF(I150="Vacate",H150*D150*(1+GrowthMarketRent)^6*IF(INT((DATE(2026+6,10,31)-F150)/365.25)=0,(12-DowntimeNew)/12,1),IF(I150="Option",G150*D150*1.025*(1+EscalatorInLease)^6,IF(I150="Market",Retention*G150*D150*(1+EscalatorInLease)^(6+M150)+(1-Retention)*H150*D150*(1+GrowthMarketRent)^6*IF(INT((DATE(2026+6,10,31)-F150)/365.25)=0,(12-DowntimeNew)/12,1),IF(I150="LeaseUp",H150*D150*(1+GrowthMarketRent)^6*IF(6=0,(12-DowntimeNew)/12,1),0)))),((F150-DATE(2026+6,5,1))/365.25)*G150*D150*(1+EscalatorInLease)^(6+M150)+((DATE(2027+6,4,30)-F150)/365.25)*IF(I150="Vacate",H150*D150*(1+GrowthMarketRent)^6*IF(INT((DATE(2026+6,10,31)-F150)/365.25)=0,(12-DowntimeNew)/12,1),IF(I150="Option",G150*D150*1.025*(1+EscalatorInLease)^6,IF(I150="Market",Retention*G150*D150*(1+EscalatorInLease)^(6+M150)+(1-Retention)*H150*D150*(1+GrowthMarketRent)^6*IF(INT((DATE(2026+6,10,31)-F150)/365.25)=0,(12-DowntimeNew)/12,1),IF(I150="LeaseUp",H150*D150*(1+GrowthMarketRent)^6*IF(6=0,(12-DowntimeNew)/12,1),0)))))))),0)</f>
        <v/>
      </c>
      <c r="U150" s="14">
        <f>IFERROR(IF(I150="LeaseUp",H150*D150*(1+GrowthMarketRent)^7*IF(7=0,(12-DowntimeNew)/12,1),IF(F150="",0,IF(F150&gt;=DATE(2027+7,4,30),G150*D150*(1+EscalatorInLease)^(7+M150),IF(F150&lt;DATE(2026+7,5,1),IF(I150="Vacate",H150*D150*(1+GrowthMarketRent)^7*IF(INT((DATE(2026+7,10,31)-F150)/365.25)=0,(12-DowntimeNew)/12,1),IF(I150="Option",G150*D150*1.025*(1+EscalatorInLease)^7,IF(I150="Market",Retention*G150*D150*(1+EscalatorInLease)^(7+M150)+(1-Retention)*H150*D150*(1+GrowthMarketRent)^7*IF(INT((DATE(2026+7,10,31)-F150)/365.25)=0,(12-DowntimeNew)/12,1),IF(I150="LeaseUp",H150*D150*(1+GrowthMarketRent)^7*IF(7=0,(12-DowntimeNew)/12,1),0)))),((F150-DATE(2026+7,5,1))/365.25)*G150*D150*(1+EscalatorInLease)^(7+M150)+((DATE(2027+7,4,30)-F150)/365.25)*IF(I150="Vacate",H150*D150*(1+GrowthMarketRent)^7*IF(INT((DATE(2026+7,10,31)-F150)/365.25)=0,(12-DowntimeNew)/12,1),IF(I150="Option",G150*D150*1.025*(1+EscalatorInLease)^7,IF(I150="Market",Retention*G150*D150*(1+EscalatorInLease)^(7+M150)+(1-Retention)*H150*D150*(1+GrowthMarketRent)^7*IF(INT((DATE(2026+7,10,31)-F150)/365.25)=0,(12-DowntimeNew)/12,1),IF(I150="LeaseUp",H150*D150*(1+GrowthMarketRent)^7*IF(7=0,(12-DowntimeNew)/12,1),0)))))))),0)</f>
        <v/>
      </c>
      <c r="V150" s="14">
        <f>IFERROR(IF(I150="LeaseUp",H150*D150*(1+GrowthMarketRent)^8*IF(8=0,(12-DowntimeNew)/12,1),IF(F150="",0,IF(F150&gt;=DATE(2027+8,4,30),G150*D150*(1+EscalatorInLease)^(8+M150),IF(F150&lt;DATE(2026+8,5,1),IF(I150="Vacate",H150*D150*(1+GrowthMarketRent)^8*IF(INT((DATE(2026+8,10,31)-F150)/365.25)=0,(12-DowntimeNew)/12,1),IF(I150="Option",G150*D150*1.025*(1+EscalatorInLease)^8,IF(I150="Market",Retention*G150*D150*(1+EscalatorInLease)^(8+M150)+(1-Retention)*H150*D150*(1+GrowthMarketRent)^8*IF(INT((DATE(2026+8,10,31)-F150)/365.25)=0,(12-DowntimeNew)/12,1),IF(I150="LeaseUp",H150*D150*(1+GrowthMarketRent)^8*IF(8=0,(12-DowntimeNew)/12,1),0)))),((F150-DATE(2026+8,5,1))/365.25)*G150*D150*(1+EscalatorInLease)^(8+M150)+((DATE(2027+8,4,30)-F150)/365.25)*IF(I150="Vacate",H150*D150*(1+GrowthMarketRent)^8*IF(INT((DATE(2026+8,10,31)-F150)/365.25)=0,(12-DowntimeNew)/12,1),IF(I150="Option",G150*D150*1.025*(1+EscalatorInLease)^8,IF(I150="Market",Retention*G150*D150*(1+EscalatorInLease)^(8+M150)+(1-Retention)*H150*D150*(1+GrowthMarketRent)^8*IF(INT((DATE(2026+8,10,31)-F150)/365.25)=0,(12-DowntimeNew)/12,1),IF(I150="LeaseUp",H150*D150*(1+GrowthMarketRent)^8*IF(8=0,(12-DowntimeNew)/12,1),0)))))))),0)</f>
        <v/>
      </c>
      <c r="W150" s="14">
        <f>IFERROR(IF(I150="LeaseUp",H150*D150*(1+GrowthMarketRent)^9*IF(9=0,(12-DowntimeNew)/12,1),IF(F150="",0,IF(F150&gt;=DATE(2027+9,4,30),G150*D150*(1+EscalatorInLease)^(9+M150),IF(F150&lt;DATE(2026+9,5,1),IF(I150="Vacate",H150*D150*(1+GrowthMarketRent)^9*IF(INT((DATE(2026+9,10,31)-F150)/365.25)=0,(12-DowntimeNew)/12,1),IF(I150="Option",G150*D150*1.025*(1+EscalatorInLease)^9,IF(I150="Market",Retention*G150*D150*(1+EscalatorInLease)^(9+M150)+(1-Retention)*H150*D150*(1+GrowthMarketRent)^9*IF(INT((DATE(2026+9,10,31)-F150)/365.25)=0,(12-DowntimeNew)/12,1),IF(I150="LeaseUp",H150*D150*(1+GrowthMarketRent)^9*IF(9=0,(12-DowntimeNew)/12,1),0)))),((F150-DATE(2026+9,5,1))/365.25)*G150*D150*(1+EscalatorInLease)^(9+M150)+((DATE(2027+9,4,30)-F150)/365.25)*IF(I150="Vacate",H150*D150*(1+GrowthMarketRent)^9*IF(INT((DATE(2026+9,10,31)-F150)/365.25)=0,(12-DowntimeNew)/12,1),IF(I150="Option",G150*D150*1.025*(1+EscalatorInLease)^9,IF(I150="Market",Retention*G150*D150*(1+EscalatorInLease)^(9+M150)+(1-Retention)*H150*D150*(1+GrowthMarketRent)^9*IF(INT((DATE(2026+9,10,31)-F150)/365.25)=0,(12-DowntimeNew)/12,1),IF(I150="LeaseUp",H150*D150*(1+GrowthMarketRent)^9*IF(9=0,(12-DowntimeNew)/12,1),0)))))))),0)</f>
        <v/>
      </c>
      <c r="X150" s="14">
        <f>IFERROR(IF(I150="LeaseUp",H150*D150*(1+GrowthMarketRent)^10*IF(10=0,(12-DowntimeNew)/12,1),IF(F150="",0,IF(F150&gt;=DATE(2027+10,4,30),G150*D150*(1+EscalatorInLease)^(10+M150),IF(F150&lt;DATE(2026+10,5,1),IF(I150="Vacate",H150*D150*(1+GrowthMarketRent)^10*IF(INT((DATE(2026+10,10,31)-F150)/365.25)=0,(12-DowntimeNew)/12,1),IF(I150="Option",G150*D150*1.025*(1+EscalatorInLease)^10,IF(I150="Market",Retention*G150*D150*(1+EscalatorInLease)^(10+M150)+(1-Retention)*H150*D150*(1+GrowthMarketRent)^10*IF(INT((DATE(2026+10,10,31)-F150)/365.25)=0,(12-DowntimeNew)/12,1),IF(I150="LeaseUp",H150*D150*(1+GrowthMarketRent)^10*IF(10=0,(12-DowntimeNew)/12,1),0)))),((F150-DATE(2026+10,5,1))/365.25)*G150*D150*(1+EscalatorInLease)^(10+M150)+((DATE(2027+10,4,30)-F150)/365.25)*IF(I150="Vacate",H150*D150*(1+GrowthMarketRent)^10*IF(INT((DATE(2026+10,10,31)-F150)/365.25)=0,(12-DowntimeNew)/12,1),IF(I150="Option",G150*D150*1.025*(1+EscalatorInLease)^10,IF(I150="Market",Retention*G150*D150*(1+EscalatorInLease)^(10+M150)+(1-Retention)*H150*D150*(1+GrowthMarketRent)^10*IF(INT((DATE(2026+10,10,31)-F150)/365.25)=0,(12-DowntimeNew)/12,1),IF(I150="LeaseUp",H150*D150*(1+GrowthMarketRent)^10*IF(10=0,(12-DowntimeNew)/12,1),0)))))))),0)</f>
        <v/>
      </c>
      <c r="Y150" s="14">
        <f>IFERROR(IF(AND(I150="LeaseUp",0=0),(IF(I150="Vacate",TINew*D150,IF(I150="Market",Retention*TIRenewal*D150+(1-Retention)*TINew*D150,IF(I150="LeaseUp",TINew*D150,IF(I150="Option",TIRenewal*D150,0)))))+(IF(I150="Vacate",LCNew*H150*D150*(1+GrowthMarketRent)^0,IF(I150="Market",Retention*LCRenewal*H150*D150*(1+GrowthMarketRent)^0+(1-Retention)*LCNew*H150*D150*(1+GrowthMarketRent)^0,IF(I150="LeaseUp",LCNew*H150*D150*(1+GrowthMarketRent)^0,IF(I150="Option",LCRenewal*H150*D150*(1+GrowthMarketRent)^0,0))))),IF(F150="",0,IF(AND(F150&gt;=DATE(2026+0,5,1),F150&lt;=DATE(2027+0,4,30)),(IF(I150="Vacate",TINew*D150,IF(I150="Market",Retention*TIRenewal*D150+(1-Retention)*TINew*D150,IF(I150="LeaseUp",TINew*D150,IF(I150="Option",TIRenewal*D150,0)))))+(IF(I150="Vacate",LCNew*H150*D150*(1+GrowthMarketRent)^0,IF(I150="Market",Retention*LCRenewal*H150*D150*(1+GrowthMarketRent)^0+(1-Retention)*LCNew*H150*D150*(1+GrowthMarketRent)^0,IF(I150="LeaseUp",LCNew*H150*D150*(1+GrowthMarketRent)^0,IF(I150="Option",LCRenewal*H150*D150*(1+GrowthMarketRent)^0,0))))),0))),0)</f>
        <v/>
      </c>
      <c r="Z150" s="14">
        <f>IFERROR(IF(AND(I150="LeaseUp",1=0),(IF(I150="Vacate",TINew*D150,IF(I150="Market",Retention*TIRenewal*D150+(1-Retention)*TINew*D150,IF(I150="LeaseUp",TINew*D150,IF(I150="Option",TIRenewal*D150,0)))))+(IF(I150="Vacate",LCNew*H150*D150*(1+GrowthMarketRent)^1,IF(I150="Market",Retention*LCRenewal*H150*D150*(1+GrowthMarketRent)^1+(1-Retention)*LCNew*H150*D150*(1+GrowthMarketRent)^1,IF(I150="LeaseUp",LCNew*H150*D150*(1+GrowthMarketRent)^1,IF(I150="Option",LCRenewal*H150*D150*(1+GrowthMarketRent)^1,0))))),IF(F150="",0,IF(AND(F150&gt;=DATE(2026+1,5,1),F150&lt;=DATE(2027+1,4,30)),(IF(I150="Vacate",TINew*D150,IF(I150="Market",Retention*TIRenewal*D150+(1-Retention)*TINew*D150,IF(I150="LeaseUp",TINew*D150,IF(I150="Option",TIRenewal*D150,0)))))+(IF(I150="Vacate",LCNew*H150*D150*(1+GrowthMarketRent)^1,IF(I150="Market",Retention*LCRenewal*H150*D150*(1+GrowthMarketRent)^1+(1-Retention)*LCNew*H150*D150*(1+GrowthMarketRent)^1,IF(I150="LeaseUp",LCNew*H150*D150*(1+GrowthMarketRent)^1,IF(I150="Option",LCRenewal*H150*D150*(1+GrowthMarketRent)^1,0))))),0))),0)</f>
        <v/>
      </c>
      <c r="AA150" s="14">
        <f>IFERROR(IF(AND(I150="LeaseUp",2=0),(IF(I150="Vacate",TINew*D150,IF(I150="Market",Retention*TIRenewal*D150+(1-Retention)*TINew*D150,IF(I150="LeaseUp",TINew*D150,IF(I150="Option",TIRenewal*D150,0)))))+(IF(I150="Vacate",LCNew*H150*D150*(1+GrowthMarketRent)^2,IF(I150="Market",Retention*LCRenewal*H150*D150*(1+GrowthMarketRent)^2+(1-Retention)*LCNew*H150*D150*(1+GrowthMarketRent)^2,IF(I150="LeaseUp",LCNew*H150*D150*(1+GrowthMarketRent)^2,IF(I150="Option",LCRenewal*H150*D150*(1+GrowthMarketRent)^2,0))))),IF(F150="",0,IF(AND(F150&gt;=DATE(2026+2,5,1),F150&lt;=DATE(2027+2,4,30)),(IF(I150="Vacate",TINew*D150,IF(I150="Market",Retention*TIRenewal*D150+(1-Retention)*TINew*D150,IF(I150="LeaseUp",TINew*D150,IF(I150="Option",TIRenewal*D150,0)))))+(IF(I150="Vacate",LCNew*H150*D150*(1+GrowthMarketRent)^2,IF(I150="Market",Retention*LCRenewal*H150*D150*(1+GrowthMarketRent)^2+(1-Retention)*LCNew*H150*D150*(1+GrowthMarketRent)^2,IF(I150="LeaseUp",LCNew*H150*D150*(1+GrowthMarketRent)^2,IF(I150="Option",LCRenewal*H150*D150*(1+GrowthMarketRent)^2,0))))),0))),0)</f>
        <v/>
      </c>
      <c r="AB150" s="14">
        <f>IFERROR(IF(AND(I150="LeaseUp",3=0),(IF(I150="Vacate",TINew*D150,IF(I150="Market",Retention*TIRenewal*D150+(1-Retention)*TINew*D150,IF(I150="LeaseUp",TINew*D150,IF(I150="Option",TIRenewal*D150,0)))))+(IF(I150="Vacate",LCNew*H150*D150*(1+GrowthMarketRent)^3,IF(I150="Market",Retention*LCRenewal*H150*D150*(1+GrowthMarketRent)^3+(1-Retention)*LCNew*H150*D150*(1+GrowthMarketRent)^3,IF(I150="LeaseUp",LCNew*H150*D150*(1+GrowthMarketRent)^3,IF(I150="Option",LCRenewal*H150*D150*(1+GrowthMarketRent)^3,0))))),IF(F150="",0,IF(AND(F150&gt;=DATE(2026+3,5,1),F150&lt;=DATE(2027+3,4,30)),(IF(I150="Vacate",TINew*D150,IF(I150="Market",Retention*TIRenewal*D150+(1-Retention)*TINew*D150,IF(I150="LeaseUp",TINew*D150,IF(I150="Option",TIRenewal*D150,0)))))+(IF(I150="Vacate",LCNew*H150*D150*(1+GrowthMarketRent)^3,IF(I150="Market",Retention*LCRenewal*H150*D150*(1+GrowthMarketRent)^3+(1-Retention)*LCNew*H150*D150*(1+GrowthMarketRent)^3,IF(I150="LeaseUp",LCNew*H150*D150*(1+GrowthMarketRent)^3,IF(I150="Option",LCRenewal*H150*D150*(1+GrowthMarketRent)^3,0))))),0))),0)</f>
        <v/>
      </c>
      <c r="AC150" s="14">
        <f>IFERROR(IF(AND(I150="LeaseUp",4=0),(IF(I150="Vacate",TINew*D150,IF(I150="Market",Retention*TIRenewal*D150+(1-Retention)*TINew*D150,IF(I150="LeaseUp",TINew*D150,IF(I150="Option",TIRenewal*D150,0)))))+(IF(I150="Vacate",LCNew*H150*D150*(1+GrowthMarketRent)^4,IF(I150="Market",Retention*LCRenewal*H150*D150*(1+GrowthMarketRent)^4+(1-Retention)*LCNew*H150*D150*(1+GrowthMarketRent)^4,IF(I150="LeaseUp",LCNew*H150*D150*(1+GrowthMarketRent)^4,IF(I150="Option",LCRenewal*H150*D150*(1+GrowthMarketRent)^4,0))))),IF(F150="",0,IF(AND(F150&gt;=DATE(2026+4,5,1),F150&lt;=DATE(2027+4,4,30)),(IF(I150="Vacate",TINew*D150,IF(I150="Market",Retention*TIRenewal*D150+(1-Retention)*TINew*D150,IF(I150="LeaseUp",TINew*D150,IF(I150="Option",TIRenewal*D150,0)))))+(IF(I150="Vacate",LCNew*H150*D150*(1+GrowthMarketRent)^4,IF(I150="Market",Retention*LCRenewal*H150*D150*(1+GrowthMarketRent)^4+(1-Retention)*LCNew*H150*D150*(1+GrowthMarketRent)^4,IF(I150="LeaseUp",LCNew*H150*D150*(1+GrowthMarketRent)^4,IF(I150="Option",LCRenewal*H150*D150*(1+GrowthMarketRent)^4,0))))),0))),0)</f>
        <v/>
      </c>
      <c r="AD150" s="14">
        <f>IFERROR(IF(AND(I150="LeaseUp",5=0),(IF(I150="Vacate",TINew*D150,IF(I150="Market",Retention*TIRenewal*D150+(1-Retention)*TINew*D150,IF(I150="LeaseUp",TINew*D150,IF(I150="Option",TIRenewal*D150,0)))))+(IF(I150="Vacate",LCNew*H150*D150*(1+GrowthMarketRent)^5,IF(I150="Market",Retention*LCRenewal*H150*D150*(1+GrowthMarketRent)^5+(1-Retention)*LCNew*H150*D150*(1+GrowthMarketRent)^5,IF(I150="LeaseUp",LCNew*H150*D150*(1+GrowthMarketRent)^5,IF(I150="Option",LCRenewal*H150*D150*(1+GrowthMarketRent)^5,0))))),IF(F150="",0,IF(AND(F150&gt;=DATE(2026+5,5,1),F150&lt;=DATE(2027+5,4,30)),(IF(I150="Vacate",TINew*D150,IF(I150="Market",Retention*TIRenewal*D150+(1-Retention)*TINew*D150,IF(I150="LeaseUp",TINew*D150,IF(I150="Option",TIRenewal*D150,0)))))+(IF(I150="Vacate",LCNew*H150*D150*(1+GrowthMarketRent)^5,IF(I150="Market",Retention*LCRenewal*H150*D150*(1+GrowthMarketRent)^5+(1-Retention)*LCNew*H150*D150*(1+GrowthMarketRent)^5,IF(I150="LeaseUp",LCNew*H150*D150*(1+GrowthMarketRent)^5,IF(I150="Option",LCRenewal*H150*D150*(1+GrowthMarketRent)^5,0))))),0))),0)</f>
        <v/>
      </c>
      <c r="AE150" s="14">
        <f>IFERROR(IF(AND(I150="LeaseUp",6=0),(IF(I150="Vacate",TINew*D150,IF(I150="Market",Retention*TIRenewal*D150+(1-Retention)*TINew*D150,IF(I150="LeaseUp",TINew*D150,IF(I150="Option",TIRenewal*D150,0)))))+(IF(I150="Vacate",LCNew*H150*D150*(1+GrowthMarketRent)^6,IF(I150="Market",Retention*LCRenewal*H150*D150*(1+GrowthMarketRent)^6+(1-Retention)*LCNew*H150*D150*(1+GrowthMarketRent)^6,IF(I150="LeaseUp",LCNew*H150*D150*(1+GrowthMarketRent)^6,IF(I150="Option",LCRenewal*H150*D150*(1+GrowthMarketRent)^6,0))))),IF(F150="",0,IF(AND(F150&gt;=DATE(2026+6,5,1),F150&lt;=DATE(2027+6,4,30)),(IF(I150="Vacate",TINew*D150,IF(I150="Market",Retention*TIRenewal*D150+(1-Retention)*TINew*D150,IF(I150="LeaseUp",TINew*D150,IF(I150="Option",TIRenewal*D150,0)))))+(IF(I150="Vacate",LCNew*H150*D150*(1+GrowthMarketRent)^6,IF(I150="Market",Retention*LCRenewal*H150*D150*(1+GrowthMarketRent)^6+(1-Retention)*LCNew*H150*D150*(1+GrowthMarketRent)^6,IF(I150="LeaseUp",LCNew*H150*D150*(1+GrowthMarketRent)^6,IF(I150="Option",LCRenewal*H150*D150*(1+GrowthMarketRent)^6,0))))),0))),0)</f>
        <v/>
      </c>
      <c r="AF150" s="14">
        <f>IFERROR(IF(AND(I150="LeaseUp",7=0),(IF(I150="Vacate",TINew*D150,IF(I150="Market",Retention*TIRenewal*D150+(1-Retention)*TINew*D150,IF(I150="LeaseUp",TINew*D150,IF(I150="Option",TIRenewal*D150,0)))))+(IF(I150="Vacate",LCNew*H150*D150*(1+GrowthMarketRent)^7,IF(I150="Market",Retention*LCRenewal*H150*D150*(1+GrowthMarketRent)^7+(1-Retention)*LCNew*H150*D150*(1+GrowthMarketRent)^7,IF(I150="LeaseUp",LCNew*H150*D150*(1+GrowthMarketRent)^7,IF(I150="Option",LCRenewal*H150*D150*(1+GrowthMarketRent)^7,0))))),IF(F150="",0,IF(AND(F150&gt;=DATE(2026+7,5,1),F150&lt;=DATE(2027+7,4,30)),(IF(I150="Vacate",TINew*D150,IF(I150="Market",Retention*TIRenewal*D150+(1-Retention)*TINew*D150,IF(I150="LeaseUp",TINew*D150,IF(I150="Option",TIRenewal*D150,0)))))+(IF(I150="Vacate",LCNew*H150*D150*(1+GrowthMarketRent)^7,IF(I150="Market",Retention*LCRenewal*H150*D150*(1+GrowthMarketRent)^7+(1-Retention)*LCNew*H150*D150*(1+GrowthMarketRent)^7,IF(I150="LeaseUp",LCNew*H150*D150*(1+GrowthMarketRent)^7,IF(I150="Option",LCRenewal*H150*D150*(1+GrowthMarketRent)^7,0))))),0))),0)</f>
        <v/>
      </c>
      <c r="AG150" s="14">
        <f>IFERROR(IF(AND(I150="LeaseUp",8=0),(IF(I150="Vacate",TINew*D150,IF(I150="Market",Retention*TIRenewal*D150+(1-Retention)*TINew*D150,IF(I150="LeaseUp",TINew*D150,IF(I150="Option",TIRenewal*D150,0)))))+(IF(I150="Vacate",LCNew*H150*D150*(1+GrowthMarketRent)^8,IF(I150="Market",Retention*LCRenewal*H150*D150*(1+GrowthMarketRent)^8+(1-Retention)*LCNew*H150*D150*(1+GrowthMarketRent)^8,IF(I150="LeaseUp",LCNew*H150*D150*(1+GrowthMarketRent)^8,IF(I150="Option",LCRenewal*H150*D150*(1+GrowthMarketRent)^8,0))))),IF(F150="",0,IF(AND(F150&gt;=DATE(2026+8,5,1),F150&lt;=DATE(2027+8,4,30)),(IF(I150="Vacate",TINew*D150,IF(I150="Market",Retention*TIRenewal*D150+(1-Retention)*TINew*D150,IF(I150="LeaseUp",TINew*D150,IF(I150="Option",TIRenewal*D150,0)))))+(IF(I150="Vacate",LCNew*H150*D150*(1+GrowthMarketRent)^8,IF(I150="Market",Retention*LCRenewal*H150*D150*(1+GrowthMarketRent)^8+(1-Retention)*LCNew*H150*D150*(1+GrowthMarketRent)^8,IF(I150="LeaseUp",LCNew*H150*D150*(1+GrowthMarketRent)^8,IF(I150="Option",LCRenewal*H150*D150*(1+GrowthMarketRent)^8,0))))),0))),0)</f>
        <v/>
      </c>
      <c r="AH150" s="14">
        <f>IFERROR(IF(AND(I150="LeaseUp",9=0),(IF(I150="Vacate",TINew*D150,IF(I150="Market",Retention*TIRenewal*D150+(1-Retention)*TINew*D150,IF(I150="LeaseUp",TINew*D150,IF(I150="Option",TIRenewal*D150,0)))))+(IF(I150="Vacate",LCNew*H150*D150*(1+GrowthMarketRent)^9,IF(I150="Market",Retention*LCRenewal*H150*D150*(1+GrowthMarketRent)^9+(1-Retention)*LCNew*H150*D150*(1+GrowthMarketRent)^9,IF(I150="LeaseUp",LCNew*H150*D150*(1+GrowthMarketRent)^9,IF(I150="Option",LCRenewal*H150*D150*(1+GrowthMarketRent)^9,0))))),IF(F150="",0,IF(AND(F150&gt;=DATE(2026+9,5,1),F150&lt;=DATE(2027+9,4,30)),(IF(I150="Vacate",TINew*D150,IF(I150="Market",Retention*TIRenewal*D150+(1-Retention)*TINew*D150,IF(I150="LeaseUp",TINew*D150,IF(I150="Option",TIRenewal*D150,0)))))+(IF(I150="Vacate",LCNew*H150*D150*(1+GrowthMarketRent)^9,IF(I150="Market",Retention*LCRenewal*H150*D150*(1+GrowthMarketRent)^9+(1-Retention)*LCNew*H150*D150*(1+GrowthMarketRent)^9,IF(I150="LeaseUp",LCNew*H150*D150*(1+GrowthMarketRent)^9,IF(I150="Option",LCRenewal*H150*D150*(1+GrowthMarketRent)^9,0))))),0))),0)</f>
        <v/>
      </c>
      <c r="AI150" s="14">
        <f>IFERROR(IF(AND(I150="LeaseUp",10=0),(IF(I150="Vacate",TINew*D150,IF(I150="Market",Retention*TIRenewal*D150+(1-Retention)*TINew*D150,IF(I150="LeaseUp",TINew*D150,IF(I150="Option",TIRenewal*D150,0)))))+(IF(I150="Vacate",LCNew*H150*D150*(1+GrowthMarketRent)^10,IF(I150="Market",Retention*LCRenewal*H150*D150*(1+GrowthMarketRent)^10+(1-Retention)*LCNew*H150*D150*(1+GrowthMarketRent)^10,IF(I150="LeaseUp",LCNew*H150*D150*(1+GrowthMarketRent)^10,IF(I150="Option",LCRenewal*H150*D150*(1+GrowthMarketRent)^10,0))))),IF(F150="",0,IF(AND(F150&gt;=DATE(2026+10,5,1),F150&lt;=DATE(2027+10,4,30)),(IF(I150="Vacate",TINew*D150,IF(I150="Market",Retention*TIRenewal*D150+(1-Retention)*TINew*D150,IF(I150="LeaseUp",TINew*D150,IF(I150="Option",TIRenewal*D150,0)))))+(IF(I150="Vacate",LCNew*H150*D150*(1+GrowthMarketRent)^10,IF(I150="Market",Retention*LCRenewal*H150*D150*(1+GrowthMarketRent)^10+(1-Retention)*LCNew*H150*D150*(1+GrowthMarketRent)^10,IF(I150="LeaseUp",LCNew*H150*D150*(1+GrowthMarketRent)^10,IF(I150="Option",LCRenewal*H150*D150*(1+GrowthMarketRent)^10,0))))),0))),0)</f>
        <v/>
      </c>
    </row>
    <row r="151">
      <c r="A151" t="inlineStr">
        <is>
          <t>Plano</t>
        </is>
      </c>
      <c r="B151" t="inlineStr">
        <is>
          <t>202</t>
        </is>
      </c>
      <c r="C151" t="inlineStr">
        <is>
          <t>Nation Wide Building Material USA LLC</t>
        </is>
      </c>
      <c r="D151" s="32" t="n">
        <v>2600</v>
      </c>
      <c r="E151" s="33" t="n">
        <v>45748</v>
      </c>
      <c r="F151" s="33" t="n">
        <v>46997</v>
      </c>
      <c r="G151" s="34" t="n">
        <v>18.45</v>
      </c>
      <c r="H151" s="16">
        <f>VLOOKUP(A151,MLA!$A$5:$L$11,3,FALSE)</f>
        <v/>
      </c>
      <c r="I151" s="11" t="inlineStr">
        <is>
          <t>Option</t>
        </is>
      </c>
      <c r="J151" t="inlineStr">
        <is>
          <t>Shop</t>
        </is>
      </c>
      <c r="K151" t="inlineStr">
        <is>
          <t>Occupied</t>
        </is>
      </c>
      <c r="L151" t="inlineStr">
        <is>
          <t>Shop; Guarantor: Kevin Carpenter; Two 3yr options @ FMV</t>
        </is>
      </c>
      <c r="M151" s="20">
        <f>IF(E151="",0,(AnalysisStart-E151)/365.25)</f>
        <v/>
      </c>
      <c r="N151" s="14">
        <f>IFERROR(IF(I151="LeaseUp",H151*D151*(1+GrowthMarketRent)^0*IF(0=0,(12-DowntimeNew)/12,1),IF(F151="",0,IF(F151&gt;=DATE(2027+0,4,30),G151*D151*(1+EscalatorInLease)^(0+M151),IF(F151&lt;DATE(2026+0,5,1),IF(I151="Vacate",H151*D151*(1+GrowthMarketRent)^0*IF(INT((DATE(2026+0,10,31)-F151)/365.25)=0,(12-DowntimeNew)/12,1),IF(I151="Option",G151*D151*1.025*(1+EscalatorInLease)^0,IF(I151="Market",Retention*G151*D151*(1+EscalatorInLease)^(0+M151)+(1-Retention)*H151*D151*(1+GrowthMarketRent)^0*IF(INT((DATE(2026+0,10,31)-F151)/365.25)=0,(12-DowntimeNew)/12,1),IF(I151="LeaseUp",H151*D151*(1+GrowthMarketRent)^0*IF(0=0,(12-DowntimeNew)/12,1),0)))),((F151-DATE(2026+0,5,1))/365.25)*G151*D151*(1+EscalatorInLease)^(0+M151)+((DATE(2027+0,4,30)-F151)/365.25)*IF(I151="Vacate",H151*D151*(1+GrowthMarketRent)^0*IF(INT((DATE(2026+0,10,31)-F151)/365.25)=0,(12-DowntimeNew)/12,1),IF(I151="Option",G151*D151*1.025*(1+EscalatorInLease)^0,IF(I151="Market",Retention*G151*D151*(1+EscalatorInLease)^(0+M151)+(1-Retention)*H151*D151*(1+GrowthMarketRent)^0*IF(INT((DATE(2026+0,10,31)-F151)/365.25)=0,(12-DowntimeNew)/12,1),IF(I151="LeaseUp",H151*D151*(1+GrowthMarketRent)^0*IF(0=0,(12-DowntimeNew)/12,1),0)))))))),0)</f>
        <v/>
      </c>
      <c r="O151" s="14">
        <f>IFERROR(IF(I151="LeaseUp",H151*D151*(1+GrowthMarketRent)^1*IF(1=0,(12-DowntimeNew)/12,1),IF(F151="",0,IF(F151&gt;=DATE(2027+1,4,30),G151*D151*(1+EscalatorInLease)^(1+M151),IF(F151&lt;DATE(2026+1,5,1),IF(I151="Vacate",H151*D151*(1+GrowthMarketRent)^1*IF(INT((DATE(2026+1,10,31)-F151)/365.25)=0,(12-DowntimeNew)/12,1),IF(I151="Option",G151*D151*1.025*(1+EscalatorInLease)^1,IF(I151="Market",Retention*G151*D151*(1+EscalatorInLease)^(1+M151)+(1-Retention)*H151*D151*(1+GrowthMarketRent)^1*IF(INT((DATE(2026+1,10,31)-F151)/365.25)=0,(12-DowntimeNew)/12,1),IF(I151="LeaseUp",H151*D151*(1+GrowthMarketRent)^1*IF(1=0,(12-DowntimeNew)/12,1),0)))),((F151-DATE(2026+1,5,1))/365.25)*G151*D151*(1+EscalatorInLease)^(1+M151)+((DATE(2027+1,4,30)-F151)/365.25)*IF(I151="Vacate",H151*D151*(1+GrowthMarketRent)^1*IF(INT((DATE(2026+1,10,31)-F151)/365.25)=0,(12-DowntimeNew)/12,1),IF(I151="Option",G151*D151*1.025*(1+EscalatorInLease)^1,IF(I151="Market",Retention*G151*D151*(1+EscalatorInLease)^(1+M151)+(1-Retention)*H151*D151*(1+GrowthMarketRent)^1*IF(INT((DATE(2026+1,10,31)-F151)/365.25)=0,(12-DowntimeNew)/12,1),IF(I151="LeaseUp",H151*D151*(1+GrowthMarketRent)^1*IF(1=0,(12-DowntimeNew)/12,1),0)))))))),0)</f>
        <v/>
      </c>
      <c r="P151" s="14">
        <f>IFERROR(IF(I151="LeaseUp",H151*D151*(1+GrowthMarketRent)^2*IF(2=0,(12-DowntimeNew)/12,1),IF(F151="",0,IF(F151&gt;=DATE(2027+2,4,30),G151*D151*(1+EscalatorInLease)^(2+M151),IF(F151&lt;DATE(2026+2,5,1),IF(I151="Vacate",H151*D151*(1+GrowthMarketRent)^2*IF(INT((DATE(2026+2,10,31)-F151)/365.25)=0,(12-DowntimeNew)/12,1),IF(I151="Option",G151*D151*1.025*(1+EscalatorInLease)^2,IF(I151="Market",Retention*G151*D151*(1+EscalatorInLease)^(2+M151)+(1-Retention)*H151*D151*(1+GrowthMarketRent)^2*IF(INT((DATE(2026+2,10,31)-F151)/365.25)=0,(12-DowntimeNew)/12,1),IF(I151="LeaseUp",H151*D151*(1+GrowthMarketRent)^2*IF(2=0,(12-DowntimeNew)/12,1),0)))),((F151-DATE(2026+2,5,1))/365.25)*G151*D151*(1+EscalatorInLease)^(2+M151)+((DATE(2027+2,4,30)-F151)/365.25)*IF(I151="Vacate",H151*D151*(1+GrowthMarketRent)^2*IF(INT((DATE(2026+2,10,31)-F151)/365.25)=0,(12-DowntimeNew)/12,1),IF(I151="Option",G151*D151*1.025*(1+EscalatorInLease)^2,IF(I151="Market",Retention*G151*D151*(1+EscalatorInLease)^(2+M151)+(1-Retention)*H151*D151*(1+GrowthMarketRent)^2*IF(INT((DATE(2026+2,10,31)-F151)/365.25)=0,(12-DowntimeNew)/12,1),IF(I151="LeaseUp",H151*D151*(1+GrowthMarketRent)^2*IF(2=0,(12-DowntimeNew)/12,1),0)))))))),0)</f>
        <v/>
      </c>
      <c r="Q151" s="14">
        <f>IFERROR(IF(I151="LeaseUp",H151*D151*(1+GrowthMarketRent)^3*IF(3=0,(12-DowntimeNew)/12,1),IF(F151="",0,IF(F151&gt;=DATE(2027+3,4,30),G151*D151*(1+EscalatorInLease)^(3+M151),IF(F151&lt;DATE(2026+3,5,1),IF(I151="Vacate",H151*D151*(1+GrowthMarketRent)^3*IF(INT((DATE(2026+3,10,31)-F151)/365.25)=0,(12-DowntimeNew)/12,1),IF(I151="Option",G151*D151*1.025*(1+EscalatorInLease)^3,IF(I151="Market",Retention*G151*D151*(1+EscalatorInLease)^(3+M151)+(1-Retention)*H151*D151*(1+GrowthMarketRent)^3*IF(INT((DATE(2026+3,10,31)-F151)/365.25)=0,(12-DowntimeNew)/12,1),IF(I151="LeaseUp",H151*D151*(1+GrowthMarketRent)^3*IF(3=0,(12-DowntimeNew)/12,1),0)))),((F151-DATE(2026+3,5,1))/365.25)*G151*D151*(1+EscalatorInLease)^(3+M151)+((DATE(2027+3,4,30)-F151)/365.25)*IF(I151="Vacate",H151*D151*(1+GrowthMarketRent)^3*IF(INT((DATE(2026+3,10,31)-F151)/365.25)=0,(12-DowntimeNew)/12,1),IF(I151="Option",G151*D151*1.025*(1+EscalatorInLease)^3,IF(I151="Market",Retention*G151*D151*(1+EscalatorInLease)^(3+M151)+(1-Retention)*H151*D151*(1+GrowthMarketRent)^3*IF(INT((DATE(2026+3,10,31)-F151)/365.25)=0,(12-DowntimeNew)/12,1),IF(I151="LeaseUp",H151*D151*(1+GrowthMarketRent)^3*IF(3=0,(12-DowntimeNew)/12,1),0)))))))),0)</f>
        <v/>
      </c>
      <c r="R151" s="14">
        <f>IFERROR(IF(I151="LeaseUp",H151*D151*(1+GrowthMarketRent)^4*IF(4=0,(12-DowntimeNew)/12,1),IF(F151="",0,IF(F151&gt;=DATE(2027+4,4,30),G151*D151*(1+EscalatorInLease)^(4+M151),IF(F151&lt;DATE(2026+4,5,1),IF(I151="Vacate",H151*D151*(1+GrowthMarketRent)^4*IF(INT((DATE(2026+4,10,31)-F151)/365.25)=0,(12-DowntimeNew)/12,1),IF(I151="Option",G151*D151*1.025*(1+EscalatorInLease)^4,IF(I151="Market",Retention*G151*D151*(1+EscalatorInLease)^(4+M151)+(1-Retention)*H151*D151*(1+GrowthMarketRent)^4*IF(INT((DATE(2026+4,10,31)-F151)/365.25)=0,(12-DowntimeNew)/12,1),IF(I151="LeaseUp",H151*D151*(1+GrowthMarketRent)^4*IF(4=0,(12-DowntimeNew)/12,1),0)))),((F151-DATE(2026+4,5,1))/365.25)*G151*D151*(1+EscalatorInLease)^(4+M151)+((DATE(2027+4,4,30)-F151)/365.25)*IF(I151="Vacate",H151*D151*(1+GrowthMarketRent)^4*IF(INT((DATE(2026+4,10,31)-F151)/365.25)=0,(12-DowntimeNew)/12,1),IF(I151="Option",G151*D151*1.025*(1+EscalatorInLease)^4,IF(I151="Market",Retention*G151*D151*(1+EscalatorInLease)^(4+M151)+(1-Retention)*H151*D151*(1+GrowthMarketRent)^4*IF(INT((DATE(2026+4,10,31)-F151)/365.25)=0,(12-DowntimeNew)/12,1),IF(I151="LeaseUp",H151*D151*(1+GrowthMarketRent)^4*IF(4=0,(12-DowntimeNew)/12,1),0)))))))),0)</f>
        <v/>
      </c>
      <c r="S151" s="14">
        <f>IFERROR(IF(I151="LeaseUp",H151*D151*(1+GrowthMarketRent)^5*IF(5=0,(12-DowntimeNew)/12,1),IF(F151="",0,IF(F151&gt;=DATE(2027+5,4,30),G151*D151*(1+EscalatorInLease)^(5+M151),IF(F151&lt;DATE(2026+5,5,1),IF(I151="Vacate",H151*D151*(1+GrowthMarketRent)^5*IF(INT((DATE(2026+5,10,31)-F151)/365.25)=0,(12-DowntimeNew)/12,1),IF(I151="Option",G151*D151*1.025*(1+EscalatorInLease)^5,IF(I151="Market",Retention*G151*D151*(1+EscalatorInLease)^(5+M151)+(1-Retention)*H151*D151*(1+GrowthMarketRent)^5*IF(INT((DATE(2026+5,10,31)-F151)/365.25)=0,(12-DowntimeNew)/12,1),IF(I151="LeaseUp",H151*D151*(1+GrowthMarketRent)^5*IF(5=0,(12-DowntimeNew)/12,1),0)))),((F151-DATE(2026+5,5,1))/365.25)*G151*D151*(1+EscalatorInLease)^(5+M151)+((DATE(2027+5,4,30)-F151)/365.25)*IF(I151="Vacate",H151*D151*(1+GrowthMarketRent)^5*IF(INT((DATE(2026+5,10,31)-F151)/365.25)=0,(12-DowntimeNew)/12,1),IF(I151="Option",G151*D151*1.025*(1+EscalatorInLease)^5,IF(I151="Market",Retention*G151*D151*(1+EscalatorInLease)^(5+M151)+(1-Retention)*H151*D151*(1+GrowthMarketRent)^5*IF(INT((DATE(2026+5,10,31)-F151)/365.25)=0,(12-DowntimeNew)/12,1),IF(I151="LeaseUp",H151*D151*(1+GrowthMarketRent)^5*IF(5=0,(12-DowntimeNew)/12,1),0)))))))),0)</f>
        <v/>
      </c>
      <c r="T151" s="14">
        <f>IFERROR(IF(I151="LeaseUp",H151*D151*(1+GrowthMarketRent)^6*IF(6=0,(12-DowntimeNew)/12,1),IF(F151="",0,IF(F151&gt;=DATE(2027+6,4,30),G151*D151*(1+EscalatorInLease)^(6+M151),IF(F151&lt;DATE(2026+6,5,1),IF(I151="Vacate",H151*D151*(1+GrowthMarketRent)^6*IF(INT((DATE(2026+6,10,31)-F151)/365.25)=0,(12-DowntimeNew)/12,1),IF(I151="Option",G151*D151*1.025*(1+EscalatorInLease)^6,IF(I151="Market",Retention*G151*D151*(1+EscalatorInLease)^(6+M151)+(1-Retention)*H151*D151*(1+GrowthMarketRent)^6*IF(INT((DATE(2026+6,10,31)-F151)/365.25)=0,(12-DowntimeNew)/12,1),IF(I151="LeaseUp",H151*D151*(1+GrowthMarketRent)^6*IF(6=0,(12-DowntimeNew)/12,1),0)))),((F151-DATE(2026+6,5,1))/365.25)*G151*D151*(1+EscalatorInLease)^(6+M151)+((DATE(2027+6,4,30)-F151)/365.25)*IF(I151="Vacate",H151*D151*(1+GrowthMarketRent)^6*IF(INT((DATE(2026+6,10,31)-F151)/365.25)=0,(12-DowntimeNew)/12,1),IF(I151="Option",G151*D151*1.025*(1+EscalatorInLease)^6,IF(I151="Market",Retention*G151*D151*(1+EscalatorInLease)^(6+M151)+(1-Retention)*H151*D151*(1+GrowthMarketRent)^6*IF(INT((DATE(2026+6,10,31)-F151)/365.25)=0,(12-DowntimeNew)/12,1),IF(I151="LeaseUp",H151*D151*(1+GrowthMarketRent)^6*IF(6=0,(12-DowntimeNew)/12,1),0)))))))),0)</f>
        <v/>
      </c>
      <c r="U151" s="14">
        <f>IFERROR(IF(I151="LeaseUp",H151*D151*(1+GrowthMarketRent)^7*IF(7=0,(12-DowntimeNew)/12,1),IF(F151="",0,IF(F151&gt;=DATE(2027+7,4,30),G151*D151*(1+EscalatorInLease)^(7+M151),IF(F151&lt;DATE(2026+7,5,1),IF(I151="Vacate",H151*D151*(1+GrowthMarketRent)^7*IF(INT((DATE(2026+7,10,31)-F151)/365.25)=0,(12-DowntimeNew)/12,1),IF(I151="Option",G151*D151*1.025*(1+EscalatorInLease)^7,IF(I151="Market",Retention*G151*D151*(1+EscalatorInLease)^(7+M151)+(1-Retention)*H151*D151*(1+GrowthMarketRent)^7*IF(INT((DATE(2026+7,10,31)-F151)/365.25)=0,(12-DowntimeNew)/12,1),IF(I151="LeaseUp",H151*D151*(1+GrowthMarketRent)^7*IF(7=0,(12-DowntimeNew)/12,1),0)))),((F151-DATE(2026+7,5,1))/365.25)*G151*D151*(1+EscalatorInLease)^(7+M151)+((DATE(2027+7,4,30)-F151)/365.25)*IF(I151="Vacate",H151*D151*(1+GrowthMarketRent)^7*IF(INT((DATE(2026+7,10,31)-F151)/365.25)=0,(12-DowntimeNew)/12,1),IF(I151="Option",G151*D151*1.025*(1+EscalatorInLease)^7,IF(I151="Market",Retention*G151*D151*(1+EscalatorInLease)^(7+M151)+(1-Retention)*H151*D151*(1+GrowthMarketRent)^7*IF(INT((DATE(2026+7,10,31)-F151)/365.25)=0,(12-DowntimeNew)/12,1),IF(I151="LeaseUp",H151*D151*(1+GrowthMarketRent)^7*IF(7=0,(12-DowntimeNew)/12,1),0)))))))),0)</f>
        <v/>
      </c>
      <c r="V151" s="14">
        <f>IFERROR(IF(I151="LeaseUp",H151*D151*(1+GrowthMarketRent)^8*IF(8=0,(12-DowntimeNew)/12,1),IF(F151="",0,IF(F151&gt;=DATE(2027+8,4,30),G151*D151*(1+EscalatorInLease)^(8+M151),IF(F151&lt;DATE(2026+8,5,1),IF(I151="Vacate",H151*D151*(1+GrowthMarketRent)^8*IF(INT((DATE(2026+8,10,31)-F151)/365.25)=0,(12-DowntimeNew)/12,1),IF(I151="Option",G151*D151*1.025*(1+EscalatorInLease)^8,IF(I151="Market",Retention*G151*D151*(1+EscalatorInLease)^(8+M151)+(1-Retention)*H151*D151*(1+GrowthMarketRent)^8*IF(INT((DATE(2026+8,10,31)-F151)/365.25)=0,(12-DowntimeNew)/12,1),IF(I151="LeaseUp",H151*D151*(1+GrowthMarketRent)^8*IF(8=0,(12-DowntimeNew)/12,1),0)))),((F151-DATE(2026+8,5,1))/365.25)*G151*D151*(1+EscalatorInLease)^(8+M151)+((DATE(2027+8,4,30)-F151)/365.25)*IF(I151="Vacate",H151*D151*(1+GrowthMarketRent)^8*IF(INT((DATE(2026+8,10,31)-F151)/365.25)=0,(12-DowntimeNew)/12,1),IF(I151="Option",G151*D151*1.025*(1+EscalatorInLease)^8,IF(I151="Market",Retention*G151*D151*(1+EscalatorInLease)^(8+M151)+(1-Retention)*H151*D151*(1+GrowthMarketRent)^8*IF(INT((DATE(2026+8,10,31)-F151)/365.25)=0,(12-DowntimeNew)/12,1),IF(I151="LeaseUp",H151*D151*(1+GrowthMarketRent)^8*IF(8=0,(12-DowntimeNew)/12,1),0)))))))),0)</f>
        <v/>
      </c>
      <c r="W151" s="14">
        <f>IFERROR(IF(I151="LeaseUp",H151*D151*(1+GrowthMarketRent)^9*IF(9=0,(12-DowntimeNew)/12,1),IF(F151="",0,IF(F151&gt;=DATE(2027+9,4,30),G151*D151*(1+EscalatorInLease)^(9+M151),IF(F151&lt;DATE(2026+9,5,1),IF(I151="Vacate",H151*D151*(1+GrowthMarketRent)^9*IF(INT((DATE(2026+9,10,31)-F151)/365.25)=0,(12-DowntimeNew)/12,1),IF(I151="Option",G151*D151*1.025*(1+EscalatorInLease)^9,IF(I151="Market",Retention*G151*D151*(1+EscalatorInLease)^(9+M151)+(1-Retention)*H151*D151*(1+GrowthMarketRent)^9*IF(INT((DATE(2026+9,10,31)-F151)/365.25)=0,(12-DowntimeNew)/12,1),IF(I151="LeaseUp",H151*D151*(1+GrowthMarketRent)^9*IF(9=0,(12-DowntimeNew)/12,1),0)))),((F151-DATE(2026+9,5,1))/365.25)*G151*D151*(1+EscalatorInLease)^(9+M151)+((DATE(2027+9,4,30)-F151)/365.25)*IF(I151="Vacate",H151*D151*(1+GrowthMarketRent)^9*IF(INT((DATE(2026+9,10,31)-F151)/365.25)=0,(12-DowntimeNew)/12,1),IF(I151="Option",G151*D151*1.025*(1+EscalatorInLease)^9,IF(I151="Market",Retention*G151*D151*(1+EscalatorInLease)^(9+M151)+(1-Retention)*H151*D151*(1+GrowthMarketRent)^9*IF(INT((DATE(2026+9,10,31)-F151)/365.25)=0,(12-DowntimeNew)/12,1),IF(I151="LeaseUp",H151*D151*(1+GrowthMarketRent)^9*IF(9=0,(12-DowntimeNew)/12,1),0)))))))),0)</f>
        <v/>
      </c>
      <c r="X151" s="14">
        <f>IFERROR(IF(I151="LeaseUp",H151*D151*(1+GrowthMarketRent)^10*IF(10=0,(12-DowntimeNew)/12,1),IF(F151="",0,IF(F151&gt;=DATE(2027+10,4,30),G151*D151*(1+EscalatorInLease)^(10+M151),IF(F151&lt;DATE(2026+10,5,1),IF(I151="Vacate",H151*D151*(1+GrowthMarketRent)^10*IF(INT((DATE(2026+10,10,31)-F151)/365.25)=0,(12-DowntimeNew)/12,1),IF(I151="Option",G151*D151*1.025*(1+EscalatorInLease)^10,IF(I151="Market",Retention*G151*D151*(1+EscalatorInLease)^(10+M151)+(1-Retention)*H151*D151*(1+GrowthMarketRent)^10*IF(INT((DATE(2026+10,10,31)-F151)/365.25)=0,(12-DowntimeNew)/12,1),IF(I151="LeaseUp",H151*D151*(1+GrowthMarketRent)^10*IF(10=0,(12-DowntimeNew)/12,1),0)))),((F151-DATE(2026+10,5,1))/365.25)*G151*D151*(1+EscalatorInLease)^(10+M151)+((DATE(2027+10,4,30)-F151)/365.25)*IF(I151="Vacate",H151*D151*(1+GrowthMarketRent)^10*IF(INT((DATE(2026+10,10,31)-F151)/365.25)=0,(12-DowntimeNew)/12,1),IF(I151="Option",G151*D151*1.025*(1+EscalatorInLease)^10,IF(I151="Market",Retention*G151*D151*(1+EscalatorInLease)^(10+M151)+(1-Retention)*H151*D151*(1+GrowthMarketRent)^10*IF(INT((DATE(2026+10,10,31)-F151)/365.25)=0,(12-DowntimeNew)/12,1),IF(I151="LeaseUp",H151*D151*(1+GrowthMarketRent)^10*IF(10=0,(12-DowntimeNew)/12,1),0)))))))),0)</f>
        <v/>
      </c>
      <c r="Y151" s="14">
        <f>IFERROR(IF(AND(I151="LeaseUp",0=0),(IF(I151="Vacate",TINew*D151,IF(I151="Market",Retention*TIRenewal*D151+(1-Retention)*TINew*D151,IF(I151="LeaseUp",TINew*D151,IF(I151="Option",TIRenewal*D151,0)))))+(IF(I151="Vacate",LCNew*H151*D151*(1+GrowthMarketRent)^0,IF(I151="Market",Retention*LCRenewal*H151*D151*(1+GrowthMarketRent)^0+(1-Retention)*LCNew*H151*D151*(1+GrowthMarketRent)^0,IF(I151="LeaseUp",LCNew*H151*D151*(1+GrowthMarketRent)^0,IF(I151="Option",LCRenewal*H151*D151*(1+GrowthMarketRent)^0,0))))),IF(F151="",0,IF(AND(F151&gt;=DATE(2026+0,5,1),F151&lt;=DATE(2027+0,4,30)),(IF(I151="Vacate",TINew*D151,IF(I151="Market",Retention*TIRenewal*D151+(1-Retention)*TINew*D151,IF(I151="LeaseUp",TINew*D151,IF(I151="Option",TIRenewal*D151,0)))))+(IF(I151="Vacate",LCNew*H151*D151*(1+GrowthMarketRent)^0,IF(I151="Market",Retention*LCRenewal*H151*D151*(1+GrowthMarketRent)^0+(1-Retention)*LCNew*H151*D151*(1+GrowthMarketRent)^0,IF(I151="LeaseUp",LCNew*H151*D151*(1+GrowthMarketRent)^0,IF(I151="Option",LCRenewal*H151*D151*(1+GrowthMarketRent)^0,0))))),0))),0)</f>
        <v/>
      </c>
      <c r="Z151" s="14">
        <f>IFERROR(IF(AND(I151="LeaseUp",1=0),(IF(I151="Vacate",TINew*D151,IF(I151="Market",Retention*TIRenewal*D151+(1-Retention)*TINew*D151,IF(I151="LeaseUp",TINew*D151,IF(I151="Option",TIRenewal*D151,0)))))+(IF(I151="Vacate",LCNew*H151*D151*(1+GrowthMarketRent)^1,IF(I151="Market",Retention*LCRenewal*H151*D151*(1+GrowthMarketRent)^1+(1-Retention)*LCNew*H151*D151*(1+GrowthMarketRent)^1,IF(I151="LeaseUp",LCNew*H151*D151*(1+GrowthMarketRent)^1,IF(I151="Option",LCRenewal*H151*D151*(1+GrowthMarketRent)^1,0))))),IF(F151="",0,IF(AND(F151&gt;=DATE(2026+1,5,1),F151&lt;=DATE(2027+1,4,30)),(IF(I151="Vacate",TINew*D151,IF(I151="Market",Retention*TIRenewal*D151+(1-Retention)*TINew*D151,IF(I151="LeaseUp",TINew*D151,IF(I151="Option",TIRenewal*D151,0)))))+(IF(I151="Vacate",LCNew*H151*D151*(1+GrowthMarketRent)^1,IF(I151="Market",Retention*LCRenewal*H151*D151*(1+GrowthMarketRent)^1+(1-Retention)*LCNew*H151*D151*(1+GrowthMarketRent)^1,IF(I151="LeaseUp",LCNew*H151*D151*(1+GrowthMarketRent)^1,IF(I151="Option",LCRenewal*H151*D151*(1+GrowthMarketRent)^1,0))))),0))),0)</f>
        <v/>
      </c>
      <c r="AA151" s="14">
        <f>IFERROR(IF(AND(I151="LeaseUp",2=0),(IF(I151="Vacate",TINew*D151,IF(I151="Market",Retention*TIRenewal*D151+(1-Retention)*TINew*D151,IF(I151="LeaseUp",TINew*D151,IF(I151="Option",TIRenewal*D151,0)))))+(IF(I151="Vacate",LCNew*H151*D151*(1+GrowthMarketRent)^2,IF(I151="Market",Retention*LCRenewal*H151*D151*(1+GrowthMarketRent)^2+(1-Retention)*LCNew*H151*D151*(1+GrowthMarketRent)^2,IF(I151="LeaseUp",LCNew*H151*D151*(1+GrowthMarketRent)^2,IF(I151="Option",LCRenewal*H151*D151*(1+GrowthMarketRent)^2,0))))),IF(F151="",0,IF(AND(F151&gt;=DATE(2026+2,5,1),F151&lt;=DATE(2027+2,4,30)),(IF(I151="Vacate",TINew*D151,IF(I151="Market",Retention*TIRenewal*D151+(1-Retention)*TINew*D151,IF(I151="LeaseUp",TINew*D151,IF(I151="Option",TIRenewal*D151,0)))))+(IF(I151="Vacate",LCNew*H151*D151*(1+GrowthMarketRent)^2,IF(I151="Market",Retention*LCRenewal*H151*D151*(1+GrowthMarketRent)^2+(1-Retention)*LCNew*H151*D151*(1+GrowthMarketRent)^2,IF(I151="LeaseUp",LCNew*H151*D151*(1+GrowthMarketRent)^2,IF(I151="Option",LCRenewal*H151*D151*(1+GrowthMarketRent)^2,0))))),0))),0)</f>
        <v/>
      </c>
      <c r="AB151" s="14">
        <f>IFERROR(IF(AND(I151="LeaseUp",3=0),(IF(I151="Vacate",TINew*D151,IF(I151="Market",Retention*TIRenewal*D151+(1-Retention)*TINew*D151,IF(I151="LeaseUp",TINew*D151,IF(I151="Option",TIRenewal*D151,0)))))+(IF(I151="Vacate",LCNew*H151*D151*(1+GrowthMarketRent)^3,IF(I151="Market",Retention*LCRenewal*H151*D151*(1+GrowthMarketRent)^3+(1-Retention)*LCNew*H151*D151*(1+GrowthMarketRent)^3,IF(I151="LeaseUp",LCNew*H151*D151*(1+GrowthMarketRent)^3,IF(I151="Option",LCRenewal*H151*D151*(1+GrowthMarketRent)^3,0))))),IF(F151="",0,IF(AND(F151&gt;=DATE(2026+3,5,1),F151&lt;=DATE(2027+3,4,30)),(IF(I151="Vacate",TINew*D151,IF(I151="Market",Retention*TIRenewal*D151+(1-Retention)*TINew*D151,IF(I151="LeaseUp",TINew*D151,IF(I151="Option",TIRenewal*D151,0)))))+(IF(I151="Vacate",LCNew*H151*D151*(1+GrowthMarketRent)^3,IF(I151="Market",Retention*LCRenewal*H151*D151*(1+GrowthMarketRent)^3+(1-Retention)*LCNew*H151*D151*(1+GrowthMarketRent)^3,IF(I151="LeaseUp",LCNew*H151*D151*(1+GrowthMarketRent)^3,IF(I151="Option",LCRenewal*H151*D151*(1+GrowthMarketRent)^3,0))))),0))),0)</f>
        <v/>
      </c>
      <c r="AC151" s="14">
        <f>IFERROR(IF(AND(I151="LeaseUp",4=0),(IF(I151="Vacate",TINew*D151,IF(I151="Market",Retention*TIRenewal*D151+(1-Retention)*TINew*D151,IF(I151="LeaseUp",TINew*D151,IF(I151="Option",TIRenewal*D151,0)))))+(IF(I151="Vacate",LCNew*H151*D151*(1+GrowthMarketRent)^4,IF(I151="Market",Retention*LCRenewal*H151*D151*(1+GrowthMarketRent)^4+(1-Retention)*LCNew*H151*D151*(1+GrowthMarketRent)^4,IF(I151="LeaseUp",LCNew*H151*D151*(1+GrowthMarketRent)^4,IF(I151="Option",LCRenewal*H151*D151*(1+GrowthMarketRent)^4,0))))),IF(F151="",0,IF(AND(F151&gt;=DATE(2026+4,5,1),F151&lt;=DATE(2027+4,4,30)),(IF(I151="Vacate",TINew*D151,IF(I151="Market",Retention*TIRenewal*D151+(1-Retention)*TINew*D151,IF(I151="LeaseUp",TINew*D151,IF(I151="Option",TIRenewal*D151,0)))))+(IF(I151="Vacate",LCNew*H151*D151*(1+GrowthMarketRent)^4,IF(I151="Market",Retention*LCRenewal*H151*D151*(1+GrowthMarketRent)^4+(1-Retention)*LCNew*H151*D151*(1+GrowthMarketRent)^4,IF(I151="LeaseUp",LCNew*H151*D151*(1+GrowthMarketRent)^4,IF(I151="Option",LCRenewal*H151*D151*(1+GrowthMarketRent)^4,0))))),0))),0)</f>
        <v/>
      </c>
      <c r="AD151" s="14">
        <f>IFERROR(IF(AND(I151="LeaseUp",5=0),(IF(I151="Vacate",TINew*D151,IF(I151="Market",Retention*TIRenewal*D151+(1-Retention)*TINew*D151,IF(I151="LeaseUp",TINew*D151,IF(I151="Option",TIRenewal*D151,0)))))+(IF(I151="Vacate",LCNew*H151*D151*(1+GrowthMarketRent)^5,IF(I151="Market",Retention*LCRenewal*H151*D151*(1+GrowthMarketRent)^5+(1-Retention)*LCNew*H151*D151*(1+GrowthMarketRent)^5,IF(I151="LeaseUp",LCNew*H151*D151*(1+GrowthMarketRent)^5,IF(I151="Option",LCRenewal*H151*D151*(1+GrowthMarketRent)^5,0))))),IF(F151="",0,IF(AND(F151&gt;=DATE(2026+5,5,1),F151&lt;=DATE(2027+5,4,30)),(IF(I151="Vacate",TINew*D151,IF(I151="Market",Retention*TIRenewal*D151+(1-Retention)*TINew*D151,IF(I151="LeaseUp",TINew*D151,IF(I151="Option",TIRenewal*D151,0)))))+(IF(I151="Vacate",LCNew*H151*D151*(1+GrowthMarketRent)^5,IF(I151="Market",Retention*LCRenewal*H151*D151*(1+GrowthMarketRent)^5+(1-Retention)*LCNew*H151*D151*(1+GrowthMarketRent)^5,IF(I151="LeaseUp",LCNew*H151*D151*(1+GrowthMarketRent)^5,IF(I151="Option",LCRenewal*H151*D151*(1+GrowthMarketRent)^5,0))))),0))),0)</f>
        <v/>
      </c>
      <c r="AE151" s="14">
        <f>IFERROR(IF(AND(I151="LeaseUp",6=0),(IF(I151="Vacate",TINew*D151,IF(I151="Market",Retention*TIRenewal*D151+(1-Retention)*TINew*D151,IF(I151="LeaseUp",TINew*D151,IF(I151="Option",TIRenewal*D151,0)))))+(IF(I151="Vacate",LCNew*H151*D151*(1+GrowthMarketRent)^6,IF(I151="Market",Retention*LCRenewal*H151*D151*(1+GrowthMarketRent)^6+(1-Retention)*LCNew*H151*D151*(1+GrowthMarketRent)^6,IF(I151="LeaseUp",LCNew*H151*D151*(1+GrowthMarketRent)^6,IF(I151="Option",LCRenewal*H151*D151*(1+GrowthMarketRent)^6,0))))),IF(F151="",0,IF(AND(F151&gt;=DATE(2026+6,5,1),F151&lt;=DATE(2027+6,4,30)),(IF(I151="Vacate",TINew*D151,IF(I151="Market",Retention*TIRenewal*D151+(1-Retention)*TINew*D151,IF(I151="LeaseUp",TINew*D151,IF(I151="Option",TIRenewal*D151,0)))))+(IF(I151="Vacate",LCNew*H151*D151*(1+GrowthMarketRent)^6,IF(I151="Market",Retention*LCRenewal*H151*D151*(1+GrowthMarketRent)^6+(1-Retention)*LCNew*H151*D151*(1+GrowthMarketRent)^6,IF(I151="LeaseUp",LCNew*H151*D151*(1+GrowthMarketRent)^6,IF(I151="Option",LCRenewal*H151*D151*(1+GrowthMarketRent)^6,0))))),0))),0)</f>
        <v/>
      </c>
      <c r="AF151" s="14">
        <f>IFERROR(IF(AND(I151="LeaseUp",7=0),(IF(I151="Vacate",TINew*D151,IF(I151="Market",Retention*TIRenewal*D151+(1-Retention)*TINew*D151,IF(I151="LeaseUp",TINew*D151,IF(I151="Option",TIRenewal*D151,0)))))+(IF(I151="Vacate",LCNew*H151*D151*(1+GrowthMarketRent)^7,IF(I151="Market",Retention*LCRenewal*H151*D151*(1+GrowthMarketRent)^7+(1-Retention)*LCNew*H151*D151*(1+GrowthMarketRent)^7,IF(I151="LeaseUp",LCNew*H151*D151*(1+GrowthMarketRent)^7,IF(I151="Option",LCRenewal*H151*D151*(1+GrowthMarketRent)^7,0))))),IF(F151="",0,IF(AND(F151&gt;=DATE(2026+7,5,1),F151&lt;=DATE(2027+7,4,30)),(IF(I151="Vacate",TINew*D151,IF(I151="Market",Retention*TIRenewal*D151+(1-Retention)*TINew*D151,IF(I151="LeaseUp",TINew*D151,IF(I151="Option",TIRenewal*D151,0)))))+(IF(I151="Vacate",LCNew*H151*D151*(1+GrowthMarketRent)^7,IF(I151="Market",Retention*LCRenewal*H151*D151*(1+GrowthMarketRent)^7+(1-Retention)*LCNew*H151*D151*(1+GrowthMarketRent)^7,IF(I151="LeaseUp",LCNew*H151*D151*(1+GrowthMarketRent)^7,IF(I151="Option",LCRenewal*H151*D151*(1+GrowthMarketRent)^7,0))))),0))),0)</f>
        <v/>
      </c>
      <c r="AG151" s="14">
        <f>IFERROR(IF(AND(I151="LeaseUp",8=0),(IF(I151="Vacate",TINew*D151,IF(I151="Market",Retention*TIRenewal*D151+(1-Retention)*TINew*D151,IF(I151="LeaseUp",TINew*D151,IF(I151="Option",TIRenewal*D151,0)))))+(IF(I151="Vacate",LCNew*H151*D151*(1+GrowthMarketRent)^8,IF(I151="Market",Retention*LCRenewal*H151*D151*(1+GrowthMarketRent)^8+(1-Retention)*LCNew*H151*D151*(1+GrowthMarketRent)^8,IF(I151="LeaseUp",LCNew*H151*D151*(1+GrowthMarketRent)^8,IF(I151="Option",LCRenewal*H151*D151*(1+GrowthMarketRent)^8,0))))),IF(F151="",0,IF(AND(F151&gt;=DATE(2026+8,5,1),F151&lt;=DATE(2027+8,4,30)),(IF(I151="Vacate",TINew*D151,IF(I151="Market",Retention*TIRenewal*D151+(1-Retention)*TINew*D151,IF(I151="LeaseUp",TINew*D151,IF(I151="Option",TIRenewal*D151,0)))))+(IF(I151="Vacate",LCNew*H151*D151*(1+GrowthMarketRent)^8,IF(I151="Market",Retention*LCRenewal*H151*D151*(1+GrowthMarketRent)^8+(1-Retention)*LCNew*H151*D151*(1+GrowthMarketRent)^8,IF(I151="LeaseUp",LCNew*H151*D151*(1+GrowthMarketRent)^8,IF(I151="Option",LCRenewal*H151*D151*(1+GrowthMarketRent)^8,0))))),0))),0)</f>
        <v/>
      </c>
      <c r="AH151" s="14">
        <f>IFERROR(IF(AND(I151="LeaseUp",9=0),(IF(I151="Vacate",TINew*D151,IF(I151="Market",Retention*TIRenewal*D151+(1-Retention)*TINew*D151,IF(I151="LeaseUp",TINew*D151,IF(I151="Option",TIRenewal*D151,0)))))+(IF(I151="Vacate",LCNew*H151*D151*(1+GrowthMarketRent)^9,IF(I151="Market",Retention*LCRenewal*H151*D151*(1+GrowthMarketRent)^9+(1-Retention)*LCNew*H151*D151*(1+GrowthMarketRent)^9,IF(I151="LeaseUp",LCNew*H151*D151*(1+GrowthMarketRent)^9,IF(I151="Option",LCRenewal*H151*D151*(1+GrowthMarketRent)^9,0))))),IF(F151="",0,IF(AND(F151&gt;=DATE(2026+9,5,1),F151&lt;=DATE(2027+9,4,30)),(IF(I151="Vacate",TINew*D151,IF(I151="Market",Retention*TIRenewal*D151+(1-Retention)*TINew*D151,IF(I151="LeaseUp",TINew*D151,IF(I151="Option",TIRenewal*D151,0)))))+(IF(I151="Vacate",LCNew*H151*D151*(1+GrowthMarketRent)^9,IF(I151="Market",Retention*LCRenewal*H151*D151*(1+GrowthMarketRent)^9+(1-Retention)*LCNew*H151*D151*(1+GrowthMarketRent)^9,IF(I151="LeaseUp",LCNew*H151*D151*(1+GrowthMarketRent)^9,IF(I151="Option",LCRenewal*H151*D151*(1+GrowthMarketRent)^9,0))))),0))),0)</f>
        <v/>
      </c>
      <c r="AI151" s="14">
        <f>IFERROR(IF(AND(I151="LeaseUp",10=0),(IF(I151="Vacate",TINew*D151,IF(I151="Market",Retention*TIRenewal*D151+(1-Retention)*TINew*D151,IF(I151="LeaseUp",TINew*D151,IF(I151="Option",TIRenewal*D151,0)))))+(IF(I151="Vacate",LCNew*H151*D151*(1+GrowthMarketRent)^10,IF(I151="Market",Retention*LCRenewal*H151*D151*(1+GrowthMarketRent)^10+(1-Retention)*LCNew*H151*D151*(1+GrowthMarketRent)^10,IF(I151="LeaseUp",LCNew*H151*D151*(1+GrowthMarketRent)^10,IF(I151="Option",LCRenewal*H151*D151*(1+GrowthMarketRent)^10,0))))),IF(F151="",0,IF(AND(F151&gt;=DATE(2026+10,5,1),F151&lt;=DATE(2027+10,4,30)),(IF(I151="Vacate",TINew*D151,IF(I151="Market",Retention*TIRenewal*D151+(1-Retention)*TINew*D151,IF(I151="LeaseUp",TINew*D151,IF(I151="Option",TIRenewal*D151,0)))))+(IF(I151="Vacate",LCNew*H151*D151*(1+GrowthMarketRent)^10,IF(I151="Market",Retention*LCRenewal*H151*D151*(1+GrowthMarketRent)^10+(1-Retention)*LCNew*H151*D151*(1+GrowthMarketRent)^10,IF(I151="LeaseUp",LCNew*H151*D151*(1+GrowthMarketRent)^10,IF(I151="Option",LCRenewal*H151*D151*(1+GrowthMarketRent)^10,0))))),0))),0)</f>
        <v/>
      </c>
    </row>
    <row r="152">
      <c r="A152" t="inlineStr">
        <is>
          <t>Plano</t>
        </is>
      </c>
      <c r="B152" t="inlineStr">
        <is>
          <t>203</t>
        </is>
      </c>
      <c r="C152" t="inlineStr">
        <is>
          <t>Aushill Construction LLC</t>
        </is>
      </c>
      <c r="D152" s="32" t="n">
        <v>2600</v>
      </c>
      <c r="E152" s="33" t="n">
        <v>45536</v>
      </c>
      <c r="F152" s="33" t="n">
        <v>46997</v>
      </c>
      <c r="G152" s="34" t="n">
        <v>18.45</v>
      </c>
      <c r="H152" s="16">
        <f>VLOOKUP(A152,MLA!$A$5:$L$11,3,FALSE)</f>
        <v/>
      </c>
      <c r="I152" s="11" t="inlineStr">
        <is>
          <t>Option</t>
        </is>
      </c>
      <c r="J152" t="inlineStr">
        <is>
          <t>Shop</t>
        </is>
      </c>
      <c r="K152" t="inlineStr">
        <is>
          <t>Occupied</t>
        </is>
      </c>
      <c r="L152" t="inlineStr">
        <is>
          <t>Shop; Guarantor: Joseph Mrak III; Two 3yr options @ FMV</t>
        </is>
      </c>
      <c r="M152" s="20">
        <f>IF(E152="",0,(AnalysisStart-E152)/365.25)</f>
        <v/>
      </c>
      <c r="N152" s="14">
        <f>IFERROR(IF(I152="LeaseUp",H152*D152*(1+GrowthMarketRent)^0*IF(0=0,(12-DowntimeNew)/12,1),IF(F152="",0,IF(F152&gt;=DATE(2027+0,4,30),G152*D152*(1+EscalatorInLease)^(0+M152),IF(F152&lt;DATE(2026+0,5,1),IF(I152="Vacate",H152*D152*(1+GrowthMarketRent)^0*IF(INT((DATE(2026+0,10,31)-F152)/365.25)=0,(12-DowntimeNew)/12,1),IF(I152="Option",G152*D152*1.025*(1+EscalatorInLease)^0,IF(I152="Market",Retention*G152*D152*(1+EscalatorInLease)^(0+M152)+(1-Retention)*H152*D152*(1+GrowthMarketRent)^0*IF(INT((DATE(2026+0,10,31)-F152)/365.25)=0,(12-DowntimeNew)/12,1),IF(I152="LeaseUp",H152*D152*(1+GrowthMarketRent)^0*IF(0=0,(12-DowntimeNew)/12,1),0)))),((F152-DATE(2026+0,5,1))/365.25)*G152*D152*(1+EscalatorInLease)^(0+M152)+((DATE(2027+0,4,30)-F152)/365.25)*IF(I152="Vacate",H152*D152*(1+GrowthMarketRent)^0*IF(INT((DATE(2026+0,10,31)-F152)/365.25)=0,(12-DowntimeNew)/12,1),IF(I152="Option",G152*D152*1.025*(1+EscalatorInLease)^0,IF(I152="Market",Retention*G152*D152*(1+EscalatorInLease)^(0+M152)+(1-Retention)*H152*D152*(1+GrowthMarketRent)^0*IF(INT((DATE(2026+0,10,31)-F152)/365.25)=0,(12-DowntimeNew)/12,1),IF(I152="LeaseUp",H152*D152*(1+GrowthMarketRent)^0*IF(0=0,(12-DowntimeNew)/12,1),0)))))))),0)</f>
        <v/>
      </c>
      <c r="O152" s="14">
        <f>IFERROR(IF(I152="LeaseUp",H152*D152*(1+GrowthMarketRent)^1*IF(1=0,(12-DowntimeNew)/12,1),IF(F152="",0,IF(F152&gt;=DATE(2027+1,4,30),G152*D152*(1+EscalatorInLease)^(1+M152),IF(F152&lt;DATE(2026+1,5,1),IF(I152="Vacate",H152*D152*(1+GrowthMarketRent)^1*IF(INT((DATE(2026+1,10,31)-F152)/365.25)=0,(12-DowntimeNew)/12,1),IF(I152="Option",G152*D152*1.025*(1+EscalatorInLease)^1,IF(I152="Market",Retention*G152*D152*(1+EscalatorInLease)^(1+M152)+(1-Retention)*H152*D152*(1+GrowthMarketRent)^1*IF(INT((DATE(2026+1,10,31)-F152)/365.25)=0,(12-DowntimeNew)/12,1),IF(I152="LeaseUp",H152*D152*(1+GrowthMarketRent)^1*IF(1=0,(12-DowntimeNew)/12,1),0)))),((F152-DATE(2026+1,5,1))/365.25)*G152*D152*(1+EscalatorInLease)^(1+M152)+((DATE(2027+1,4,30)-F152)/365.25)*IF(I152="Vacate",H152*D152*(1+GrowthMarketRent)^1*IF(INT((DATE(2026+1,10,31)-F152)/365.25)=0,(12-DowntimeNew)/12,1),IF(I152="Option",G152*D152*1.025*(1+EscalatorInLease)^1,IF(I152="Market",Retention*G152*D152*(1+EscalatorInLease)^(1+M152)+(1-Retention)*H152*D152*(1+GrowthMarketRent)^1*IF(INT((DATE(2026+1,10,31)-F152)/365.25)=0,(12-DowntimeNew)/12,1),IF(I152="LeaseUp",H152*D152*(1+GrowthMarketRent)^1*IF(1=0,(12-DowntimeNew)/12,1),0)))))))),0)</f>
        <v/>
      </c>
      <c r="P152" s="14">
        <f>IFERROR(IF(I152="LeaseUp",H152*D152*(1+GrowthMarketRent)^2*IF(2=0,(12-DowntimeNew)/12,1),IF(F152="",0,IF(F152&gt;=DATE(2027+2,4,30),G152*D152*(1+EscalatorInLease)^(2+M152),IF(F152&lt;DATE(2026+2,5,1),IF(I152="Vacate",H152*D152*(1+GrowthMarketRent)^2*IF(INT((DATE(2026+2,10,31)-F152)/365.25)=0,(12-DowntimeNew)/12,1),IF(I152="Option",G152*D152*1.025*(1+EscalatorInLease)^2,IF(I152="Market",Retention*G152*D152*(1+EscalatorInLease)^(2+M152)+(1-Retention)*H152*D152*(1+GrowthMarketRent)^2*IF(INT((DATE(2026+2,10,31)-F152)/365.25)=0,(12-DowntimeNew)/12,1),IF(I152="LeaseUp",H152*D152*(1+GrowthMarketRent)^2*IF(2=0,(12-DowntimeNew)/12,1),0)))),((F152-DATE(2026+2,5,1))/365.25)*G152*D152*(1+EscalatorInLease)^(2+M152)+((DATE(2027+2,4,30)-F152)/365.25)*IF(I152="Vacate",H152*D152*(1+GrowthMarketRent)^2*IF(INT((DATE(2026+2,10,31)-F152)/365.25)=0,(12-DowntimeNew)/12,1),IF(I152="Option",G152*D152*1.025*(1+EscalatorInLease)^2,IF(I152="Market",Retention*G152*D152*(1+EscalatorInLease)^(2+M152)+(1-Retention)*H152*D152*(1+GrowthMarketRent)^2*IF(INT((DATE(2026+2,10,31)-F152)/365.25)=0,(12-DowntimeNew)/12,1),IF(I152="LeaseUp",H152*D152*(1+GrowthMarketRent)^2*IF(2=0,(12-DowntimeNew)/12,1),0)))))))),0)</f>
        <v/>
      </c>
      <c r="Q152" s="14">
        <f>IFERROR(IF(I152="LeaseUp",H152*D152*(1+GrowthMarketRent)^3*IF(3=0,(12-DowntimeNew)/12,1),IF(F152="",0,IF(F152&gt;=DATE(2027+3,4,30),G152*D152*(1+EscalatorInLease)^(3+M152),IF(F152&lt;DATE(2026+3,5,1),IF(I152="Vacate",H152*D152*(1+GrowthMarketRent)^3*IF(INT((DATE(2026+3,10,31)-F152)/365.25)=0,(12-DowntimeNew)/12,1),IF(I152="Option",G152*D152*1.025*(1+EscalatorInLease)^3,IF(I152="Market",Retention*G152*D152*(1+EscalatorInLease)^(3+M152)+(1-Retention)*H152*D152*(1+GrowthMarketRent)^3*IF(INT((DATE(2026+3,10,31)-F152)/365.25)=0,(12-DowntimeNew)/12,1),IF(I152="LeaseUp",H152*D152*(1+GrowthMarketRent)^3*IF(3=0,(12-DowntimeNew)/12,1),0)))),((F152-DATE(2026+3,5,1))/365.25)*G152*D152*(1+EscalatorInLease)^(3+M152)+((DATE(2027+3,4,30)-F152)/365.25)*IF(I152="Vacate",H152*D152*(1+GrowthMarketRent)^3*IF(INT((DATE(2026+3,10,31)-F152)/365.25)=0,(12-DowntimeNew)/12,1),IF(I152="Option",G152*D152*1.025*(1+EscalatorInLease)^3,IF(I152="Market",Retention*G152*D152*(1+EscalatorInLease)^(3+M152)+(1-Retention)*H152*D152*(1+GrowthMarketRent)^3*IF(INT((DATE(2026+3,10,31)-F152)/365.25)=0,(12-DowntimeNew)/12,1),IF(I152="LeaseUp",H152*D152*(1+GrowthMarketRent)^3*IF(3=0,(12-DowntimeNew)/12,1),0)))))))),0)</f>
        <v/>
      </c>
      <c r="R152" s="14">
        <f>IFERROR(IF(I152="LeaseUp",H152*D152*(1+GrowthMarketRent)^4*IF(4=0,(12-DowntimeNew)/12,1),IF(F152="",0,IF(F152&gt;=DATE(2027+4,4,30),G152*D152*(1+EscalatorInLease)^(4+M152),IF(F152&lt;DATE(2026+4,5,1),IF(I152="Vacate",H152*D152*(1+GrowthMarketRent)^4*IF(INT((DATE(2026+4,10,31)-F152)/365.25)=0,(12-DowntimeNew)/12,1),IF(I152="Option",G152*D152*1.025*(1+EscalatorInLease)^4,IF(I152="Market",Retention*G152*D152*(1+EscalatorInLease)^(4+M152)+(1-Retention)*H152*D152*(1+GrowthMarketRent)^4*IF(INT((DATE(2026+4,10,31)-F152)/365.25)=0,(12-DowntimeNew)/12,1),IF(I152="LeaseUp",H152*D152*(1+GrowthMarketRent)^4*IF(4=0,(12-DowntimeNew)/12,1),0)))),((F152-DATE(2026+4,5,1))/365.25)*G152*D152*(1+EscalatorInLease)^(4+M152)+((DATE(2027+4,4,30)-F152)/365.25)*IF(I152="Vacate",H152*D152*(1+GrowthMarketRent)^4*IF(INT((DATE(2026+4,10,31)-F152)/365.25)=0,(12-DowntimeNew)/12,1),IF(I152="Option",G152*D152*1.025*(1+EscalatorInLease)^4,IF(I152="Market",Retention*G152*D152*(1+EscalatorInLease)^(4+M152)+(1-Retention)*H152*D152*(1+GrowthMarketRent)^4*IF(INT((DATE(2026+4,10,31)-F152)/365.25)=0,(12-DowntimeNew)/12,1),IF(I152="LeaseUp",H152*D152*(1+GrowthMarketRent)^4*IF(4=0,(12-DowntimeNew)/12,1),0)))))))),0)</f>
        <v/>
      </c>
      <c r="S152" s="14">
        <f>IFERROR(IF(I152="LeaseUp",H152*D152*(1+GrowthMarketRent)^5*IF(5=0,(12-DowntimeNew)/12,1),IF(F152="",0,IF(F152&gt;=DATE(2027+5,4,30),G152*D152*(1+EscalatorInLease)^(5+M152),IF(F152&lt;DATE(2026+5,5,1),IF(I152="Vacate",H152*D152*(1+GrowthMarketRent)^5*IF(INT((DATE(2026+5,10,31)-F152)/365.25)=0,(12-DowntimeNew)/12,1),IF(I152="Option",G152*D152*1.025*(1+EscalatorInLease)^5,IF(I152="Market",Retention*G152*D152*(1+EscalatorInLease)^(5+M152)+(1-Retention)*H152*D152*(1+GrowthMarketRent)^5*IF(INT((DATE(2026+5,10,31)-F152)/365.25)=0,(12-DowntimeNew)/12,1),IF(I152="LeaseUp",H152*D152*(1+GrowthMarketRent)^5*IF(5=0,(12-DowntimeNew)/12,1),0)))),((F152-DATE(2026+5,5,1))/365.25)*G152*D152*(1+EscalatorInLease)^(5+M152)+((DATE(2027+5,4,30)-F152)/365.25)*IF(I152="Vacate",H152*D152*(1+GrowthMarketRent)^5*IF(INT((DATE(2026+5,10,31)-F152)/365.25)=0,(12-DowntimeNew)/12,1),IF(I152="Option",G152*D152*1.025*(1+EscalatorInLease)^5,IF(I152="Market",Retention*G152*D152*(1+EscalatorInLease)^(5+M152)+(1-Retention)*H152*D152*(1+GrowthMarketRent)^5*IF(INT((DATE(2026+5,10,31)-F152)/365.25)=0,(12-DowntimeNew)/12,1),IF(I152="LeaseUp",H152*D152*(1+GrowthMarketRent)^5*IF(5=0,(12-DowntimeNew)/12,1),0)))))))),0)</f>
        <v/>
      </c>
      <c r="T152" s="14">
        <f>IFERROR(IF(I152="LeaseUp",H152*D152*(1+GrowthMarketRent)^6*IF(6=0,(12-DowntimeNew)/12,1),IF(F152="",0,IF(F152&gt;=DATE(2027+6,4,30),G152*D152*(1+EscalatorInLease)^(6+M152),IF(F152&lt;DATE(2026+6,5,1),IF(I152="Vacate",H152*D152*(1+GrowthMarketRent)^6*IF(INT((DATE(2026+6,10,31)-F152)/365.25)=0,(12-DowntimeNew)/12,1),IF(I152="Option",G152*D152*1.025*(1+EscalatorInLease)^6,IF(I152="Market",Retention*G152*D152*(1+EscalatorInLease)^(6+M152)+(1-Retention)*H152*D152*(1+GrowthMarketRent)^6*IF(INT((DATE(2026+6,10,31)-F152)/365.25)=0,(12-DowntimeNew)/12,1),IF(I152="LeaseUp",H152*D152*(1+GrowthMarketRent)^6*IF(6=0,(12-DowntimeNew)/12,1),0)))),((F152-DATE(2026+6,5,1))/365.25)*G152*D152*(1+EscalatorInLease)^(6+M152)+((DATE(2027+6,4,30)-F152)/365.25)*IF(I152="Vacate",H152*D152*(1+GrowthMarketRent)^6*IF(INT((DATE(2026+6,10,31)-F152)/365.25)=0,(12-DowntimeNew)/12,1),IF(I152="Option",G152*D152*1.025*(1+EscalatorInLease)^6,IF(I152="Market",Retention*G152*D152*(1+EscalatorInLease)^(6+M152)+(1-Retention)*H152*D152*(1+GrowthMarketRent)^6*IF(INT((DATE(2026+6,10,31)-F152)/365.25)=0,(12-DowntimeNew)/12,1),IF(I152="LeaseUp",H152*D152*(1+GrowthMarketRent)^6*IF(6=0,(12-DowntimeNew)/12,1),0)))))))),0)</f>
        <v/>
      </c>
      <c r="U152" s="14">
        <f>IFERROR(IF(I152="LeaseUp",H152*D152*(1+GrowthMarketRent)^7*IF(7=0,(12-DowntimeNew)/12,1),IF(F152="",0,IF(F152&gt;=DATE(2027+7,4,30),G152*D152*(1+EscalatorInLease)^(7+M152),IF(F152&lt;DATE(2026+7,5,1),IF(I152="Vacate",H152*D152*(1+GrowthMarketRent)^7*IF(INT((DATE(2026+7,10,31)-F152)/365.25)=0,(12-DowntimeNew)/12,1),IF(I152="Option",G152*D152*1.025*(1+EscalatorInLease)^7,IF(I152="Market",Retention*G152*D152*(1+EscalatorInLease)^(7+M152)+(1-Retention)*H152*D152*(1+GrowthMarketRent)^7*IF(INT((DATE(2026+7,10,31)-F152)/365.25)=0,(12-DowntimeNew)/12,1),IF(I152="LeaseUp",H152*D152*(1+GrowthMarketRent)^7*IF(7=0,(12-DowntimeNew)/12,1),0)))),((F152-DATE(2026+7,5,1))/365.25)*G152*D152*(1+EscalatorInLease)^(7+M152)+((DATE(2027+7,4,30)-F152)/365.25)*IF(I152="Vacate",H152*D152*(1+GrowthMarketRent)^7*IF(INT((DATE(2026+7,10,31)-F152)/365.25)=0,(12-DowntimeNew)/12,1),IF(I152="Option",G152*D152*1.025*(1+EscalatorInLease)^7,IF(I152="Market",Retention*G152*D152*(1+EscalatorInLease)^(7+M152)+(1-Retention)*H152*D152*(1+GrowthMarketRent)^7*IF(INT((DATE(2026+7,10,31)-F152)/365.25)=0,(12-DowntimeNew)/12,1),IF(I152="LeaseUp",H152*D152*(1+GrowthMarketRent)^7*IF(7=0,(12-DowntimeNew)/12,1),0)))))))),0)</f>
        <v/>
      </c>
      <c r="V152" s="14">
        <f>IFERROR(IF(I152="LeaseUp",H152*D152*(1+GrowthMarketRent)^8*IF(8=0,(12-DowntimeNew)/12,1),IF(F152="",0,IF(F152&gt;=DATE(2027+8,4,30),G152*D152*(1+EscalatorInLease)^(8+M152),IF(F152&lt;DATE(2026+8,5,1),IF(I152="Vacate",H152*D152*(1+GrowthMarketRent)^8*IF(INT((DATE(2026+8,10,31)-F152)/365.25)=0,(12-DowntimeNew)/12,1),IF(I152="Option",G152*D152*1.025*(1+EscalatorInLease)^8,IF(I152="Market",Retention*G152*D152*(1+EscalatorInLease)^(8+M152)+(1-Retention)*H152*D152*(1+GrowthMarketRent)^8*IF(INT((DATE(2026+8,10,31)-F152)/365.25)=0,(12-DowntimeNew)/12,1),IF(I152="LeaseUp",H152*D152*(1+GrowthMarketRent)^8*IF(8=0,(12-DowntimeNew)/12,1),0)))),((F152-DATE(2026+8,5,1))/365.25)*G152*D152*(1+EscalatorInLease)^(8+M152)+((DATE(2027+8,4,30)-F152)/365.25)*IF(I152="Vacate",H152*D152*(1+GrowthMarketRent)^8*IF(INT((DATE(2026+8,10,31)-F152)/365.25)=0,(12-DowntimeNew)/12,1),IF(I152="Option",G152*D152*1.025*(1+EscalatorInLease)^8,IF(I152="Market",Retention*G152*D152*(1+EscalatorInLease)^(8+M152)+(1-Retention)*H152*D152*(1+GrowthMarketRent)^8*IF(INT((DATE(2026+8,10,31)-F152)/365.25)=0,(12-DowntimeNew)/12,1),IF(I152="LeaseUp",H152*D152*(1+GrowthMarketRent)^8*IF(8=0,(12-DowntimeNew)/12,1),0)))))))),0)</f>
        <v/>
      </c>
      <c r="W152" s="14">
        <f>IFERROR(IF(I152="LeaseUp",H152*D152*(1+GrowthMarketRent)^9*IF(9=0,(12-DowntimeNew)/12,1),IF(F152="",0,IF(F152&gt;=DATE(2027+9,4,30),G152*D152*(1+EscalatorInLease)^(9+M152),IF(F152&lt;DATE(2026+9,5,1),IF(I152="Vacate",H152*D152*(1+GrowthMarketRent)^9*IF(INT((DATE(2026+9,10,31)-F152)/365.25)=0,(12-DowntimeNew)/12,1),IF(I152="Option",G152*D152*1.025*(1+EscalatorInLease)^9,IF(I152="Market",Retention*G152*D152*(1+EscalatorInLease)^(9+M152)+(1-Retention)*H152*D152*(1+GrowthMarketRent)^9*IF(INT((DATE(2026+9,10,31)-F152)/365.25)=0,(12-DowntimeNew)/12,1),IF(I152="LeaseUp",H152*D152*(1+GrowthMarketRent)^9*IF(9=0,(12-DowntimeNew)/12,1),0)))),((F152-DATE(2026+9,5,1))/365.25)*G152*D152*(1+EscalatorInLease)^(9+M152)+((DATE(2027+9,4,30)-F152)/365.25)*IF(I152="Vacate",H152*D152*(1+GrowthMarketRent)^9*IF(INT((DATE(2026+9,10,31)-F152)/365.25)=0,(12-DowntimeNew)/12,1),IF(I152="Option",G152*D152*1.025*(1+EscalatorInLease)^9,IF(I152="Market",Retention*G152*D152*(1+EscalatorInLease)^(9+M152)+(1-Retention)*H152*D152*(1+GrowthMarketRent)^9*IF(INT((DATE(2026+9,10,31)-F152)/365.25)=0,(12-DowntimeNew)/12,1),IF(I152="LeaseUp",H152*D152*(1+GrowthMarketRent)^9*IF(9=0,(12-DowntimeNew)/12,1),0)))))))),0)</f>
        <v/>
      </c>
      <c r="X152" s="14">
        <f>IFERROR(IF(I152="LeaseUp",H152*D152*(1+GrowthMarketRent)^10*IF(10=0,(12-DowntimeNew)/12,1),IF(F152="",0,IF(F152&gt;=DATE(2027+10,4,30),G152*D152*(1+EscalatorInLease)^(10+M152),IF(F152&lt;DATE(2026+10,5,1),IF(I152="Vacate",H152*D152*(1+GrowthMarketRent)^10*IF(INT((DATE(2026+10,10,31)-F152)/365.25)=0,(12-DowntimeNew)/12,1),IF(I152="Option",G152*D152*1.025*(1+EscalatorInLease)^10,IF(I152="Market",Retention*G152*D152*(1+EscalatorInLease)^(10+M152)+(1-Retention)*H152*D152*(1+GrowthMarketRent)^10*IF(INT((DATE(2026+10,10,31)-F152)/365.25)=0,(12-DowntimeNew)/12,1),IF(I152="LeaseUp",H152*D152*(1+GrowthMarketRent)^10*IF(10=0,(12-DowntimeNew)/12,1),0)))),((F152-DATE(2026+10,5,1))/365.25)*G152*D152*(1+EscalatorInLease)^(10+M152)+((DATE(2027+10,4,30)-F152)/365.25)*IF(I152="Vacate",H152*D152*(1+GrowthMarketRent)^10*IF(INT((DATE(2026+10,10,31)-F152)/365.25)=0,(12-DowntimeNew)/12,1),IF(I152="Option",G152*D152*1.025*(1+EscalatorInLease)^10,IF(I152="Market",Retention*G152*D152*(1+EscalatorInLease)^(10+M152)+(1-Retention)*H152*D152*(1+GrowthMarketRent)^10*IF(INT((DATE(2026+10,10,31)-F152)/365.25)=0,(12-DowntimeNew)/12,1),IF(I152="LeaseUp",H152*D152*(1+GrowthMarketRent)^10*IF(10=0,(12-DowntimeNew)/12,1),0)))))))),0)</f>
        <v/>
      </c>
      <c r="Y152" s="14">
        <f>IFERROR(IF(AND(I152="LeaseUp",0=0),(IF(I152="Vacate",TINew*D152,IF(I152="Market",Retention*TIRenewal*D152+(1-Retention)*TINew*D152,IF(I152="LeaseUp",TINew*D152,IF(I152="Option",TIRenewal*D152,0)))))+(IF(I152="Vacate",LCNew*H152*D152*(1+GrowthMarketRent)^0,IF(I152="Market",Retention*LCRenewal*H152*D152*(1+GrowthMarketRent)^0+(1-Retention)*LCNew*H152*D152*(1+GrowthMarketRent)^0,IF(I152="LeaseUp",LCNew*H152*D152*(1+GrowthMarketRent)^0,IF(I152="Option",LCRenewal*H152*D152*(1+GrowthMarketRent)^0,0))))),IF(F152="",0,IF(AND(F152&gt;=DATE(2026+0,5,1),F152&lt;=DATE(2027+0,4,30)),(IF(I152="Vacate",TINew*D152,IF(I152="Market",Retention*TIRenewal*D152+(1-Retention)*TINew*D152,IF(I152="LeaseUp",TINew*D152,IF(I152="Option",TIRenewal*D152,0)))))+(IF(I152="Vacate",LCNew*H152*D152*(1+GrowthMarketRent)^0,IF(I152="Market",Retention*LCRenewal*H152*D152*(1+GrowthMarketRent)^0+(1-Retention)*LCNew*H152*D152*(1+GrowthMarketRent)^0,IF(I152="LeaseUp",LCNew*H152*D152*(1+GrowthMarketRent)^0,IF(I152="Option",LCRenewal*H152*D152*(1+GrowthMarketRent)^0,0))))),0))),0)</f>
        <v/>
      </c>
      <c r="Z152" s="14">
        <f>IFERROR(IF(AND(I152="LeaseUp",1=0),(IF(I152="Vacate",TINew*D152,IF(I152="Market",Retention*TIRenewal*D152+(1-Retention)*TINew*D152,IF(I152="LeaseUp",TINew*D152,IF(I152="Option",TIRenewal*D152,0)))))+(IF(I152="Vacate",LCNew*H152*D152*(1+GrowthMarketRent)^1,IF(I152="Market",Retention*LCRenewal*H152*D152*(1+GrowthMarketRent)^1+(1-Retention)*LCNew*H152*D152*(1+GrowthMarketRent)^1,IF(I152="LeaseUp",LCNew*H152*D152*(1+GrowthMarketRent)^1,IF(I152="Option",LCRenewal*H152*D152*(1+GrowthMarketRent)^1,0))))),IF(F152="",0,IF(AND(F152&gt;=DATE(2026+1,5,1),F152&lt;=DATE(2027+1,4,30)),(IF(I152="Vacate",TINew*D152,IF(I152="Market",Retention*TIRenewal*D152+(1-Retention)*TINew*D152,IF(I152="LeaseUp",TINew*D152,IF(I152="Option",TIRenewal*D152,0)))))+(IF(I152="Vacate",LCNew*H152*D152*(1+GrowthMarketRent)^1,IF(I152="Market",Retention*LCRenewal*H152*D152*(1+GrowthMarketRent)^1+(1-Retention)*LCNew*H152*D152*(1+GrowthMarketRent)^1,IF(I152="LeaseUp",LCNew*H152*D152*(1+GrowthMarketRent)^1,IF(I152="Option",LCRenewal*H152*D152*(1+GrowthMarketRent)^1,0))))),0))),0)</f>
        <v/>
      </c>
      <c r="AA152" s="14">
        <f>IFERROR(IF(AND(I152="LeaseUp",2=0),(IF(I152="Vacate",TINew*D152,IF(I152="Market",Retention*TIRenewal*D152+(1-Retention)*TINew*D152,IF(I152="LeaseUp",TINew*D152,IF(I152="Option",TIRenewal*D152,0)))))+(IF(I152="Vacate",LCNew*H152*D152*(1+GrowthMarketRent)^2,IF(I152="Market",Retention*LCRenewal*H152*D152*(1+GrowthMarketRent)^2+(1-Retention)*LCNew*H152*D152*(1+GrowthMarketRent)^2,IF(I152="LeaseUp",LCNew*H152*D152*(1+GrowthMarketRent)^2,IF(I152="Option",LCRenewal*H152*D152*(1+GrowthMarketRent)^2,0))))),IF(F152="",0,IF(AND(F152&gt;=DATE(2026+2,5,1),F152&lt;=DATE(2027+2,4,30)),(IF(I152="Vacate",TINew*D152,IF(I152="Market",Retention*TIRenewal*D152+(1-Retention)*TINew*D152,IF(I152="LeaseUp",TINew*D152,IF(I152="Option",TIRenewal*D152,0)))))+(IF(I152="Vacate",LCNew*H152*D152*(1+GrowthMarketRent)^2,IF(I152="Market",Retention*LCRenewal*H152*D152*(1+GrowthMarketRent)^2+(1-Retention)*LCNew*H152*D152*(1+GrowthMarketRent)^2,IF(I152="LeaseUp",LCNew*H152*D152*(1+GrowthMarketRent)^2,IF(I152="Option",LCRenewal*H152*D152*(1+GrowthMarketRent)^2,0))))),0))),0)</f>
        <v/>
      </c>
      <c r="AB152" s="14">
        <f>IFERROR(IF(AND(I152="LeaseUp",3=0),(IF(I152="Vacate",TINew*D152,IF(I152="Market",Retention*TIRenewal*D152+(1-Retention)*TINew*D152,IF(I152="LeaseUp",TINew*D152,IF(I152="Option",TIRenewal*D152,0)))))+(IF(I152="Vacate",LCNew*H152*D152*(1+GrowthMarketRent)^3,IF(I152="Market",Retention*LCRenewal*H152*D152*(1+GrowthMarketRent)^3+(1-Retention)*LCNew*H152*D152*(1+GrowthMarketRent)^3,IF(I152="LeaseUp",LCNew*H152*D152*(1+GrowthMarketRent)^3,IF(I152="Option",LCRenewal*H152*D152*(1+GrowthMarketRent)^3,0))))),IF(F152="",0,IF(AND(F152&gt;=DATE(2026+3,5,1),F152&lt;=DATE(2027+3,4,30)),(IF(I152="Vacate",TINew*D152,IF(I152="Market",Retention*TIRenewal*D152+(1-Retention)*TINew*D152,IF(I152="LeaseUp",TINew*D152,IF(I152="Option",TIRenewal*D152,0)))))+(IF(I152="Vacate",LCNew*H152*D152*(1+GrowthMarketRent)^3,IF(I152="Market",Retention*LCRenewal*H152*D152*(1+GrowthMarketRent)^3+(1-Retention)*LCNew*H152*D152*(1+GrowthMarketRent)^3,IF(I152="LeaseUp",LCNew*H152*D152*(1+GrowthMarketRent)^3,IF(I152="Option",LCRenewal*H152*D152*(1+GrowthMarketRent)^3,0))))),0))),0)</f>
        <v/>
      </c>
      <c r="AC152" s="14">
        <f>IFERROR(IF(AND(I152="LeaseUp",4=0),(IF(I152="Vacate",TINew*D152,IF(I152="Market",Retention*TIRenewal*D152+(1-Retention)*TINew*D152,IF(I152="LeaseUp",TINew*D152,IF(I152="Option",TIRenewal*D152,0)))))+(IF(I152="Vacate",LCNew*H152*D152*(1+GrowthMarketRent)^4,IF(I152="Market",Retention*LCRenewal*H152*D152*(1+GrowthMarketRent)^4+(1-Retention)*LCNew*H152*D152*(1+GrowthMarketRent)^4,IF(I152="LeaseUp",LCNew*H152*D152*(1+GrowthMarketRent)^4,IF(I152="Option",LCRenewal*H152*D152*(1+GrowthMarketRent)^4,0))))),IF(F152="",0,IF(AND(F152&gt;=DATE(2026+4,5,1),F152&lt;=DATE(2027+4,4,30)),(IF(I152="Vacate",TINew*D152,IF(I152="Market",Retention*TIRenewal*D152+(1-Retention)*TINew*D152,IF(I152="LeaseUp",TINew*D152,IF(I152="Option",TIRenewal*D152,0)))))+(IF(I152="Vacate",LCNew*H152*D152*(1+GrowthMarketRent)^4,IF(I152="Market",Retention*LCRenewal*H152*D152*(1+GrowthMarketRent)^4+(1-Retention)*LCNew*H152*D152*(1+GrowthMarketRent)^4,IF(I152="LeaseUp",LCNew*H152*D152*(1+GrowthMarketRent)^4,IF(I152="Option",LCRenewal*H152*D152*(1+GrowthMarketRent)^4,0))))),0))),0)</f>
        <v/>
      </c>
      <c r="AD152" s="14">
        <f>IFERROR(IF(AND(I152="LeaseUp",5=0),(IF(I152="Vacate",TINew*D152,IF(I152="Market",Retention*TIRenewal*D152+(1-Retention)*TINew*D152,IF(I152="LeaseUp",TINew*D152,IF(I152="Option",TIRenewal*D152,0)))))+(IF(I152="Vacate",LCNew*H152*D152*(1+GrowthMarketRent)^5,IF(I152="Market",Retention*LCRenewal*H152*D152*(1+GrowthMarketRent)^5+(1-Retention)*LCNew*H152*D152*(1+GrowthMarketRent)^5,IF(I152="LeaseUp",LCNew*H152*D152*(1+GrowthMarketRent)^5,IF(I152="Option",LCRenewal*H152*D152*(1+GrowthMarketRent)^5,0))))),IF(F152="",0,IF(AND(F152&gt;=DATE(2026+5,5,1),F152&lt;=DATE(2027+5,4,30)),(IF(I152="Vacate",TINew*D152,IF(I152="Market",Retention*TIRenewal*D152+(1-Retention)*TINew*D152,IF(I152="LeaseUp",TINew*D152,IF(I152="Option",TIRenewal*D152,0)))))+(IF(I152="Vacate",LCNew*H152*D152*(1+GrowthMarketRent)^5,IF(I152="Market",Retention*LCRenewal*H152*D152*(1+GrowthMarketRent)^5+(1-Retention)*LCNew*H152*D152*(1+GrowthMarketRent)^5,IF(I152="LeaseUp",LCNew*H152*D152*(1+GrowthMarketRent)^5,IF(I152="Option",LCRenewal*H152*D152*(1+GrowthMarketRent)^5,0))))),0))),0)</f>
        <v/>
      </c>
      <c r="AE152" s="14">
        <f>IFERROR(IF(AND(I152="LeaseUp",6=0),(IF(I152="Vacate",TINew*D152,IF(I152="Market",Retention*TIRenewal*D152+(1-Retention)*TINew*D152,IF(I152="LeaseUp",TINew*D152,IF(I152="Option",TIRenewal*D152,0)))))+(IF(I152="Vacate",LCNew*H152*D152*(1+GrowthMarketRent)^6,IF(I152="Market",Retention*LCRenewal*H152*D152*(1+GrowthMarketRent)^6+(1-Retention)*LCNew*H152*D152*(1+GrowthMarketRent)^6,IF(I152="LeaseUp",LCNew*H152*D152*(1+GrowthMarketRent)^6,IF(I152="Option",LCRenewal*H152*D152*(1+GrowthMarketRent)^6,0))))),IF(F152="",0,IF(AND(F152&gt;=DATE(2026+6,5,1),F152&lt;=DATE(2027+6,4,30)),(IF(I152="Vacate",TINew*D152,IF(I152="Market",Retention*TIRenewal*D152+(1-Retention)*TINew*D152,IF(I152="LeaseUp",TINew*D152,IF(I152="Option",TIRenewal*D152,0)))))+(IF(I152="Vacate",LCNew*H152*D152*(1+GrowthMarketRent)^6,IF(I152="Market",Retention*LCRenewal*H152*D152*(1+GrowthMarketRent)^6+(1-Retention)*LCNew*H152*D152*(1+GrowthMarketRent)^6,IF(I152="LeaseUp",LCNew*H152*D152*(1+GrowthMarketRent)^6,IF(I152="Option",LCRenewal*H152*D152*(1+GrowthMarketRent)^6,0))))),0))),0)</f>
        <v/>
      </c>
      <c r="AF152" s="14">
        <f>IFERROR(IF(AND(I152="LeaseUp",7=0),(IF(I152="Vacate",TINew*D152,IF(I152="Market",Retention*TIRenewal*D152+(1-Retention)*TINew*D152,IF(I152="LeaseUp",TINew*D152,IF(I152="Option",TIRenewal*D152,0)))))+(IF(I152="Vacate",LCNew*H152*D152*(1+GrowthMarketRent)^7,IF(I152="Market",Retention*LCRenewal*H152*D152*(1+GrowthMarketRent)^7+(1-Retention)*LCNew*H152*D152*(1+GrowthMarketRent)^7,IF(I152="LeaseUp",LCNew*H152*D152*(1+GrowthMarketRent)^7,IF(I152="Option",LCRenewal*H152*D152*(1+GrowthMarketRent)^7,0))))),IF(F152="",0,IF(AND(F152&gt;=DATE(2026+7,5,1),F152&lt;=DATE(2027+7,4,30)),(IF(I152="Vacate",TINew*D152,IF(I152="Market",Retention*TIRenewal*D152+(1-Retention)*TINew*D152,IF(I152="LeaseUp",TINew*D152,IF(I152="Option",TIRenewal*D152,0)))))+(IF(I152="Vacate",LCNew*H152*D152*(1+GrowthMarketRent)^7,IF(I152="Market",Retention*LCRenewal*H152*D152*(1+GrowthMarketRent)^7+(1-Retention)*LCNew*H152*D152*(1+GrowthMarketRent)^7,IF(I152="LeaseUp",LCNew*H152*D152*(1+GrowthMarketRent)^7,IF(I152="Option",LCRenewal*H152*D152*(1+GrowthMarketRent)^7,0))))),0))),0)</f>
        <v/>
      </c>
      <c r="AG152" s="14">
        <f>IFERROR(IF(AND(I152="LeaseUp",8=0),(IF(I152="Vacate",TINew*D152,IF(I152="Market",Retention*TIRenewal*D152+(1-Retention)*TINew*D152,IF(I152="LeaseUp",TINew*D152,IF(I152="Option",TIRenewal*D152,0)))))+(IF(I152="Vacate",LCNew*H152*D152*(1+GrowthMarketRent)^8,IF(I152="Market",Retention*LCRenewal*H152*D152*(1+GrowthMarketRent)^8+(1-Retention)*LCNew*H152*D152*(1+GrowthMarketRent)^8,IF(I152="LeaseUp",LCNew*H152*D152*(1+GrowthMarketRent)^8,IF(I152="Option",LCRenewal*H152*D152*(1+GrowthMarketRent)^8,0))))),IF(F152="",0,IF(AND(F152&gt;=DATE(2026+8,5,1),F152&lt;=DATE(2027+8,4,30)),(IF(I152="Vacate",TINew*D152,IF(I152="Market",Retention*TIRenewal*D152+(1-Retention)*TINew*D152,IF(I152="LeaseUp",TINew*D152,IF(I152="Option",TIRenewal*D152,0)))))+(IF(I152="Vacate",LCNew*H152*D152*(1+GrowthMarketRent)^8,IF(I152="Market",Retention*LCRenewal*H152*D152*(1+GrowthMarketRent)^8+(1-Retention)*LCNew*H152*D152*(1+GrowthMarketRent)^8,IF(I152="LeaseUp",LCNew*H152*D152*(1+GrowthMarketRent)^8,IF(I152="Option",LCRenewal*H152*D152*(1+GrowthMarketRent)^8,0))))),0))),0)</f>
        <v/>
      </c>
      <c r="AH152" s="14">
        <f>IFERROR(IF(AND(I152="LeaseUp",9=0),(IF(I152="Vacate",TINew*D152,IF(I152="Market",Retention*TIRenewal*D152+(1-Retention)*TINew*D152,IF(I152="LeaseUp",TINew*D152,IF(I152="Option",TIRenewal*D152,0)))))+(IF(I152="Vacate",LCNew*H152*D152*(1+GrowthMarketRent)^9,IF(I152="Market",Retention*LCRenewal*H152*D152*(1+GrowthMarketRent)^9+(1-Retention)*LCNew*H152*D152*(1+GrowthMarketRent)^9,IF(I152="LeaseUp",LCNew*H152*D152*(1+GrowthMarketRent)^9,IF(I152="Option",LCRenewal*H152*D152*(1+GrowthMarketRent)^9,0))))),IF(F152="",0,IF(AND(F152&gt;=DATE(2026+9,5,1),F152&lt;=DATE(2027+9,4,30)),(IF(I152="Vacate",TINew*D152,IF(I152="Market",Retention*TIRenewal*D152+(1-Retention)*TINew*D152,IF(I152="LeaseUp",TINew*D152,IF(I152="Option",TIRenewal*D152,0)))))+(IF(I152="Vacate",LCNew*H152*D152*(1+GrowthMarketRent)^9,IF(I152="Market",Retention*LCRenewal*H152*D152*(1+GrowthMarketRent)^9+(1-Retention)*LCNew*H152*D152*(1+GrowthMarketRent)^9,IF(I152="LeaseUp",LCNew*H152*D152*(1+GrowthMarketRent)^9,IF(I152="Option",LCRenewal*H152*D152*(1+GrowthMarketRent)^9,0))))),0))),0)</f>
        <v/>
      </c>
      <c r="AI152" s="14">
        <f>IFERROR(IF(AND(I152="LeaseUp",10=0),(IF(I152="Vacate",TINew*D152,IF(I152="Market",Retention*TIRenewal*D152+(1-Retention)*TINew*D152,IF(I152="LeaseUp",TINew*D152,IF(I152="Option",TIRenewal*D152,0)))))+(IF(I152="Vacate",LCNew*H152*D152*(1+GrowthMarketRent)^10,IF(I152="Market",Retention*LCRenewal*H152*D152*(1+GrowthMarketRent)^10+(1-Retention)*LCNew*H152*D152*(1+GrowthMarketRent)^10,IF(I152="LeaseUp",LCNew*H152*D152*(1+GrowthMarketRent)^10,IF(I152="Option",LCRenewal*H152*D152*(1+GrowthMarketRent)^10,0))))),IF(F152="",0,IF(AND(F152&gt;=DATE(2026+10,5,1),F152&lt;=DATE(2027+10,4,30)),(IF(I152="Vacate",TINew*D152,IF(I152="Market",Retention*TIRenewal*D152+(1-Retention)*TINew*D152,IF(I152="LeaseUp",TINew*D152,IF(I152="Option",TIRenewal*D152,0)))))+(IF(I152="Vacate",LCNew*H152*D152*(1+GrowthMarketRent)^10,IF(I152="Market",Retention*LCRenewal*H152*D152*(1+GrowthMarketRent)^10+(1-Retention)*LCNew*H152*D152*(1+GrowthMarketRent)^10,IF(I152="LeaseUp",LCNew*H152*D152*(1+GrowthMarketRent)^10,IF(I152="Option",LCRenewal*H152*D152*(1+GrowthMarketRent)^10,0))))),0))),0)</f>
        <v/>
      </c>
    </row>
    <row r="153">
      <c r="A153" t="inlineStr">
        <is>
          <t>Plano</t>
        </is>
      </c>
      <c r="B153" t="inlineStr">
        <is>
          <t>204</t>
        </is>
      </c>
      <c r="C153" t="inlineStr">
        <is>
          <t>EnLiSense LLC</t>
        </is>
      </c>
      <c r="D153" s="32" t="n">
        <v>2600</v>
      </c>
      <c r="E153" s="33" t="n">
        <v>44986</v>
      </c>
      <c r="F153" s="33" t="n">
        <v>46235</v>
      </c>
      <c r="G153" s="34" t="n">
        <v>16.1534615384615</v>
      </c>
      <c r="H153" s="16">
        <f>VLOOKUP(A153,MLA!$A$5:$L$11,3,FALSE)</f>
        <v/>
      </c>
      <c r="I153" s="11" t="inlineStr">
        <is>
          <t>Option</t>
        </is>
      </c>
      <c r="J153" t="inlineStr">
        <is>
          <t>Shop</t>
        </is>
      </c>
      <c r="K153" t="inlineStr">
        <is>
          <t>Occupied</t>
        </is>
      </c>
      <c r="L153" t="inlineStr">
        <is>
          <t>Shop; Guarantor: Laurence Daggett; Two 3yr options @ 102.5%</t>
        </is>
      </c>
      <c r="M153" s="20">
        <f>IF(E153="",0,(AnalysisStart-E153)/365.25)</f>
        <v/>
      </c>
      <c r="N153" s="14">
        <f>IFERROR(IF(I153="LeaseUp",H153*D153*(1+GrowthMarketRent)^0*IF(0=0,(12-DowntimeNew)/12,1),IF(F153="",0,IF(F153&gt;=DATE(2027+0,4,30),G153*D153*(1+EscalatorInLease)^(0+M153),IF(F153&lt;DATE(2026+0,5,1),IF(I153="Vacate",H153*D153*(1+GrowthMarketRent)^0*IF(INT((DATE(2026+0,10,31)-F153)/365.25)=0,(12-DowntimeNew)/12,1),IF(I153="Option",G153*D153*1.025*(1+EscalatorInLease)^0,IF(I153="Market",Retention*G153*D153*(1+EscalatorInLease)^(0+M153)+(1-Retention)*H153*D153*(1+GrowthMarketRent)^0*IF(INT((DATE(2026+0,10,31)-F153)/365.25)=0,(12-DowntimeNew)/12,1),IF(I153="LeaseUp",H153*D153*(1+GrowthMarketRent)^0*IF(0=0,(12-DowntimeNew)/12,1),0)))),((F153-DATE(2026+0,5,1))/365.25)*G153*D153*(1+EscalatorInLease)^(0+M153)+((DATE(2027+0,4,30)-F153)/365.25)*IF(I153="Vacate",H153*D153*(1+GrowthMarketRent)^0*IF(INT((DATE(2026+0,10,31)-F153)/365.25)=0,(12-DowntimeNew)/12,1),IF(I153="Option",G153*D153*1.025*(1+EscalatorInLease)^0,IF(I153="Market",Retention*G153*D153*(1+EscalatorInLease)^(0+M153)+(1-Retention)*H153*D153*(1+GrowthMarketRent)^0*IF(INT((DATE(2026+0,10,31)-F153)/365.25)=0,(12-DowntimeNew)/12,1),IF(I153="LeaseUp",H153*D153*(1+GrowthMarketRent)^0*IF(0=0,(12-DowntimeNew)/12,1),0)))))))),0)</f>
        <v/>
      </c>
      <c r="O153" s="14">
        <f>IFERROR(IF(I153="LeaseUp",H153*D153*(1+GrowthMarketRent)^1*IF(1=0,(12-DowntimeNew)/12,1),IF(F153="",0,IF(F153&gt;=DATE(2027+1,4,30),G153*D153*(1+EscalatorInLease)^(1+M153),IF(F153&lt;DATE(2026+1,5,1),IF(I153="Vacate",H153*D153*(1+GrowthMarketRent)^1*IF(INT((DATE(2026+1,10,31)-F153)/365.25)=0,(12-DowntimeNew)/12,1),IF(I153="Option",G153*D153*1.025*(1+EscalatorInLease)^1,IF(I153="Market",Retention*G153*D153*(1+EscalatorInLease)^(1+M153)+(1-Retention)*H153*D153*(1+GrowthMarketRent)^1*IF(INT((DATE(2026+1,10,31)-F153)/365.25)=0,(12-DowntimeNew)/12,1),IF(I153="LeaseUp",H153*D153*(1+GrowthMarketRent)^1*IF(1=0,(12-DowntimeNew)/12,1),0)))),((F153-DATE(2026+1,5,1))/365.25)*G153*D153*(1+EscalatorInLease)^(1+M153)+((DATE(2027+1,4,30)-F153)/365.25)*IF(I153="Vacate",H153*D153*(1+GrowthMarketRent)^1*IF(INT((DATE(2026+1,10,31)-F153)/365.25)=0,(12-DowntimeNew)/12,1),IF(I153="Option",G153*D153*1.025*(1+EscalatorInLease)^1,IF(I153="Market",Retention*G153*D153*(1+EscalatorInLease)^(1+M153)+(1-Retention)*H153*D153*(1+GrowthMarketRent)^1*IF(INT((DATE(2026+1,10,31)-F153)/365.25)=0,(12-DowntimeNew)/12,1),IF(I153="LeaseUp",H153*D153*(1+GrowthMarketRent)^1*IF(1=0,(12-DowntimeNew)/12,1),0)))))))),0)</f>
        <v/>
      </c>
      <c r="P153" s="14">
        <f>IFERROR(IF(I153="LeaseUp",H153*D153*(1+GrowthMarketRent)^2*IF(2=0,(12-DowntimeNew)/12,1),IF(F153="",0,IF(F153&gt;=DATE(2027+2,4,30),G153*D153*(1+EscalatorInLease)^(2+M153),IF(F153&lt;DATE(2026+2,5,1),IF(I153="Vacate",H153*D153*(1+GrowthMarketRent)^2*IF(INT((DATE(2026+2,10,31)-F153)/365.25)=0,(12-DowntimeNew)/12,1),IF(I153="Option",G153*D153*1.025*(1+EscalatorInLease)^2,IF(I153="Market",Retention*G153*D153*(1+EscalatorInLease)^(2+M153)+(1-Retention)*H153*D153*(1+GrowthMarketRent)^2*IF(INT((DATE(2026+2,10,31)-F153)/365.25)=0,(12-DowntimeNew)/12,1),IF(I153="LeaseUp",H153*D153*(1+GrowthMarketRent)^2*IF(2=0,(12-DowntimeNew)/12,1),0)))),((F153-DATE(2026+2,5,1))/365.25)*G153*D153*(1+EscalatorInLease)^(2+M153)+((DATE(2027+2,4,30)-F153)/365.25)*IF(I153="Vacate",H153*D153*(1+GrowthMarketRent)^2*IF(INT((DATE(2026+2,10,31)-F153)/365.25)=0,(12-DowntimeNew)/12,1),IF(I153="Option",G153*D153*1.025*(1+EscalatorInLease)^2,IF(I153="Market",Retention*G153*D153*(1+EscalatorInLease)^(2+M153)+(1-Retention)*H153*D153*(1+GrowthMarketRent)^2*IF(INT((DATE(2026+2,10,31)-F153)/365.25)=0,(12-DowntimeNew)/12,1),IF(I153="LeaseUp",H153*D153*(1+GrowthMarketRent)^2*IF(2=0,(12-DowntimeNew)/12,1),0)))))))),0)</f>
        <v/>
      </c>
      <c r="Q153" s="14">
        <f>IFERROR(IF(I153="LeaseUp",H153*D153*(1+GrowthMarketRent)^3*IF(3=0,(12-DowntimeNew)/12,1),IF(F153="",0,IF(F153&gt;=DATE(2027+3,4,30),G153*D153*(1+EscalatorInLease)^(3+M153),IF(F153&lt;DATE(2026+3,5,1),IF(I153="Vacate",H153*D153*(1+GrowthMarketRent)^3*IF(INT((DATE(2026+3,10,31)-F153)/365.25)=0,(12-DowntimeNew)/12,1),IF(I153="Option",G153*D153*1.025*(1+EscalatorInLease)^3,IF(I153="Market",Retention*G153*D153*(1+EscalatorInLease)^(3+M153)+(1-Retention)*H153*D153*(1+GrowthMarketRent)^3*IF(INT((DATE(2026+3,10,31)-F153)/365.25)=0,(12-DowntimeNew)/12,1),IF(I153="LeaseUp",H153*D153*(1+GrowthMarketRent)^3*IF(3=0,(12-DowntimeNew)/12,1),0)))),((F153-DATE(2026+3,5,1))/365.25)*G153*D153*(1+EscalatorInLease)^(3+M153)+((DATE(2027+3,4,30)-F153)/365.25)*IF(I153="Vacate",H153*D153*(1+GrowthMarketRent)^3*IF(INT((DATE(2026+3,10,31)-F153)/365.25)=0,(12-DowntimeNew)/12,1),IF(I153="Option",G153*D153*1.025*(1+EscalatorInLease)^3,IF(I153="Market",Retention*G153*D153*(1+EscalatorInLease)^(3+M153)+(1-Retention)*H153*D153*(1+GrowthMarketRent)^3*IF(INT((DATE(2026+3,10,31)-F153)/365.25)=0,(12-DowntimeNew)/12,1),IF(I153="LeaseUp",H153*D153*(1+GrowthMarketRent)^3*IF(3=0,(12-DowntimeNew)/12,1),0)))))))),0)</f>
        <v/>
      </c>
      <c r="R153" s="14">
        <f>IFERROR(IF(I153="LeaseUp",H153*D153*(1+GrowthMarketRent)^4*IF(4=0,(12-DowntimeNew)/12,1),IF(F153="",0,IF(F153&gt;=DATE(2027+4,4,30),G153*D153*(1+EscalatorInLease)^(4+M153),IF(F153&lt;DATE(2026+4,5,1),IF(I153="Vacate",H153*D153*(1+GrowthMarketRent)^4*IF(INT((DATE(2026+4,10,31)-F153)/365.25)=0,(12-DowntimeNew)/12,1),IF(I153="Option",G153*D153*1.025*(1+EscalatorInLease)^4,IF(I153="Market",Retention*G153*D153*(1+EscalatorInLease)^(4+M153)+(1-Retention)*H153*D153*(1+GrowthMarketRent)^4*IF(INT((DATE(2026+4,10,31)-F153)/365.25)=0,(12-DowntimeNew)/12,1),IF(I153="LeaseUp",H153*D153*(1+GrowthMarketRent)^4*IF(4=0,(12-DowntimeNew)/12,1),0)))),((F153-DATE(2026+4,5,1))/365.25)*G153*D153*(1+EscalatorInLease)^(4+M153)+((DATE(2027+4,4,30)-F153)/365.25)*IF(I153="Vacate",H153*D153*(1+GrowthMarketRent)^4*IF(INT((DATE(2026+4,10,31)-F153)/365.25)=0,(12-DowntimeNew)/12,1),IF(I153="Option",G153*D153*1.025*(1+EscalatorInLease)^4,IF(I153="Market",Retention*G153*D153*(1+EscalatorInLease)^(4+M153)+(1-Retention)*H153*D153*(1+GrowthMarketRent)^4*IF(INT((DATE(2026+4,10,31)-F153)/365.25)=0,(12-DowntimeNew)/12,1),IF(I153="LeaseUp",H153*D153*(1+GrowthMarketRent)^4*IF(4=0,(12-DowntimeNew)/12,1),0)))))))),0)</f>
        <v/>
      </c>
      <c r="S153" s="14">
        <f>IFERROR(IF(I153="LeaseUp",H153*D153*(1+GrowthMarketRent)^5*IF(5=0,(12-DowntimeNew)/12,1),IF(F153="",0,IF(F153&gt;=DATE(2027+5,4,30),G153*D153*(1+EscalatorInLease)^(5+M153),IF(F153&lt;DATE(2026+5,5,1),IF(I153="Vacate",H153*D153*(1+GrowthMarketRent)^5*IF(INT((DATE(2026+5,10,31)-F153)/365.25)=0,(12-DowntimeNew)/12,1),IF(I153="Option",G153*D153*1.025*(1+EscalatorInLease)^5,IF(I153="Market",Retention*G153*D153*(1+EscalatorInLease)^(5+M153)+(1-Retention)*H153*D153*(1+GrowthMarketRent)^5*IF(INT((DATE(2026+5,10,31)-F153)/365.25)=0,(12-DowntimeNew)/12,1),IF(I153="LeaseUp",H153*D153*(1+GrowthMarketRent)^5*IF(5=0,(12-DowntimeNew)/12,1),0)))),((F153-DATE(2026+5,5,1))/365.25)*G153*D153*(1+EscalatorInLease)^(5+M153)+((DATE(2027+5,4,30)-F153)/365.25)*IF(I153="Vacate",H153*D153*(1+GrowthMarketRent)^5*IF(INT((DATE(2026+5,10,31)-F153)/365.25)=0,(12-DowntimeNew)/12,1),IF(I153="Option",G153*D153*1.025*(1+EscalatorInLease)^5,IF(I153="Market",Retention*G153*D153*(1+EscalatorInLease)^(5+M153)+(1-Retention)*H153*D153*(1+GrowthMarketRent)^5*IF(INT((DATE(2026+5,10,31)-F153)/365.25)=0,(12-DowntimeNew)/12,1),IF(I153="LeaseUp",H153*D153*(1+GrowthMarketRent)^5*IF(5=0,(12-DowntimeNew)/12,1),0)))))))),0)</f>
        <v/>
      </c>
      <c r="T153" s="14">
        <f>IFERROR(IF(I153="LeaseUp",H153*D153*(1+GrowthMarketRent)^6*IF(6=0,(12-DowntimeNew)/12,1),IF(F153="",0,IF(F153&gt;=DATE(2027+6,4,30),G153*D153*(1+EscalatorInLease)^(6+M153),IF(F153&lt;DATE(2026+6,5,1),IF(I153="Vacate",H153*D153*(1+GrowthMarketRent)^6*IF(INT((DATE(2026+6,10,31)-F153)/365.25)=0,(12-DowntimeNew)/12,1),IF(I153="Option",G153*D153*1.025*(1+EscalatorInLease)^6,IF(I153="Market",Retention*G153*D153*(1+EscalatorInLease)^(6+M153)+(1-Retention)*H153*D153*(1+GrowthMarketRent)^6*IF(INT((DATE(2026+6,10,31)-F153)/365.25)=0,(12-DowntimeNew)/12,1),IF(I153="LeaseUp",H153*D153*(1+GrowthMarketRent)^6*IF(6=0,(12-DowntimeNew)/12,1),0)))),((F153-DATE(2026+6,5,1))/365.25)*G153*D153*(1+EscalatorInLease)^(6+M153)+((DATE(2027+6,4,30)-F153)/365.25)*IF(I153="Vacate",H153*D153*(1+GrowthMarketRent)^6*IF(INT((DATE(2026+6,10,31)-F153)/365.25)=0,(12-DowntimeNew)/12,1),IF(I153="Option",G153*D153*1.025*(1+EscalatorInLease)^6,IF(I153="Market",Retention*G153*D153*(1+EscalatorInLease)^(6+M153)+(1-Retention)*H153*D153*(1+GrowthMarketRent)^6*IF(INT((DATE(2026+6,10,31)-F153)/365.25)=0,(12-DowntimeNew)/12,1),IF(I153="LeaseUp",H153*D153*(1+GrowthMarketRent)^6*IF(6=0,(12-DowntimeNew)/12,1),0)))))))),0)</f>
        <v/>
      </c>
      <c r="U153" s="14">
        <f>IFERROR(IF(I153="LeaseUp",H153*D153*(1+GrowthMarketRent)^7*IF(7=0,(12-DowntimeNew)/12,1),IF(F153="",0,IF(F153&gt;=DATE(2027+7,4,30),G153*D153*(1+EscalatorInLease)^(7+M153),IF(F153&lt;DATE(2026+7,5,1),IF(I153="Vacate",H153*D153*(1+GrowthMarketRent)^7*IF(INT((DATE(2026+7,10,31)-F153)/365.25)=0,(12-DowntimeNew)/12,1),IF(I153="Option",G153*D153*1.025*(1+EscalatorInLease)^7,IF(I153="Market",Retention*G153*D153*(1+EscalatorInLease)^(7+M153)+(1-Retention)*H153*D153*(1+GrowthMarketRent)^7*IF(INT((DATE(2026+7,10,31)-F153)/365.25)=0,(12-DowntimeNew)/12,1),IF(I153="LeaseUp",H153*D153*(1+GrowthMarketRent)^7*IF(7=0,(12-DowntimeNew)/12,1),0)))),((F153-DATE(2026+7,5,1))/365.25)*G153*D153*(1+EscalatorInLease)^(7+M153)+((DATE(2027+7,4,30)-F153)/365.25)*IF(I153="Vacate",H153*D153*(1+GrowthMarketRent)^7*IF(INT((DATE(2026+7,10,31)-F153)/365.25)=0,(12-DowntimeNew)/12,1),IF(I153="Option",G153*D153*1.025*(1+EscalatorInLease)^7,IF(I153="Market",Retention*G153*D153*(1+EscalatorInLease)^(7+M153)+(1-Retention)*H153*D153*(1+GrowthMarketRent)^7*IF(INT((DATE(2026+7,10,31)-F153)/365.25)=0,(12-DowntimeNew)/12,1),IF(I153="LeaseUp",H153*D153*(1+GrowthMarketRent)^7*IF(7=0,(12-DowntimeNew)/12,1),0)))))))),0)</f>
        <v/>
      </c>
      <c r="V153" s="14">
        <f>IFERROR(IF(I153="LeaseUp",H153*D153*(1+GrowthMarketRent)^8*IF(8=0,(12-DowntimeNew)/12,1),IF(F153="",0,IF(F153&gt;=DATE(2027+8,4,30),G153*D153*(1+EscalatorInLease)^(8+M153),IF(F153&lt;DATE(2026+8,5,1),IF(I153="Vacate",H153*D153*(1+GrowthMarketRent)^8*IF(INT((DATE(2026+8,10,31)-F153)/365.25)=0,(12-DowntimeNew)/12,1),IF(I153="Option",G153*D153*1.025*(1+EscalatorInLease)^8,IF(I153="Market",Retention*G153*D153*(1+EscalatorInLease)^(8+M153)+(1-Retention)*H153*D153*(1+GrowthMarketRent)^8*IF(INT((DATE(2026+8,10,31)-F153)/365.25)=0,(12-DowntimeNew)/12,1),IF(I153="LeaseUp",H153*D153*(1+GrowthMarketRent)^8*IF(8=0,(12-DowntimeNew)/12,1),0)))),((F153-DATE(2026+8,5,1))/365.25)*G153*D153*(1+EscalatorInLease)^(8+M153)+((DATE(2027+8,4,30)-F153)/365.25)*IF(I153="Vacate",H153*D153*(1+GrowthMarketRent)^8*IF(INT((DATE(2026+8,10,31)-F153)/365.25)=0,(12-DowntimeNew)/12,1),IF(I153="Option",G153*D153*1.025*(1+EscalatorInLease)^8,IF(I153="Market",Retention*G153*D153*(1+EscalatorInLease)^(8+M153)+(1-Retention)*H153*D153*(1+GrowthMarketRent)^8*IF(INT((DATE(2026+8,10,31)-F153)/365.25)=0,(12-DowntimeNew)/12,1),IF(I153="LeaseUp",H153*D153*(1+GrowthMarketRent)^8*IF(8=0,(12-DowntimeNew)/12,1),0)))))))),0)</f>
        <v/>
      </c>
      <c r="W153" s="14">
        <f>IFERROR(IF(I153="LeaseUp",H153*D153*(1+GrowthMarketRent)^9*IF(9=0,(12-DowntimeNew)/12,1),IF(F153="",0,IF(F153&gt;=DATE(2027+9,4,30),G153*D153*(1+EscalatorInLease)^(9+M153),IF(F153&lt;DATE(2026+9,5,1),IF(I153="Vacate",H153*D153*(1+GrowthMarketRent)^9*IF(INT((DATE(2026+9,10,31)-F153)/365.25)=0,(12-DowntimeNew)/12,1),IF(I153="Option",G153*D153*1.025*(1+EscalatorInLease)^9,IF(I153="Market",Retention*G153*D153*(1+EscalatorInLease)^(9+M153)+(1-Retention)*H153*D153*(1+GrowthMarketRent)^9*IF(INT((DATE(2026+9,10,31)-F153)/365.25)=0,(12-DowntimeNew)/12,1),IF(I153="LeaseUp",H153*D153*(1+GrowthMarketRent)^9*IF(9=0,(12-DowntimeNew)/12,1),0)))),((F153-DATE(2026+9,5,1))/365.25)*G153*D153*(1+EscalatorInLease)^(9+M153)+((DATE(2027+9,4,30)-F153)/365.25)*IF(I153="Vacate",H153*D153*(1+GrowthMarketRent)^9*IF(INT((DATE(2026+9,10,31)-F153)/365.25)=0,(12-DowntimeNew)/12,1),IF(I153="Option",G153*D153*1.025*(1+EscalatorInLease)^9,IF(I153="Market",Retention*G153*D153*(1+EscalatorInLease)^(9+M153)+(1-Retention)*H153*D153*(1+GrowthMarketRent)^9*IF(INT((DATE(2026+9,10,31)-F153)/365.25)=0,(12-DowntimeNew)/12,1),IF(I153="LeaseUp",H153*D153*(1+GrowthMarketRent)^9*IF(9=0,(12-DowntimeNew)/12,1),0)))))))),0)</f>
        <v/>
      </c>
      <c r="X153" s="14">
        <f>IFERROR(IF(I153="LeaseUp",H153*D153*(1+GrowthMarketRent)^10*IF(10=0,(12-DowntimeNew)/12,1),IF(F153="",0,IF(F153&gt;=DATE(2027+10,4,30),G153*D153*(1+EscalatorInLease)^(10+M153),IF(F153&lt;DATE(2026+10,5,1),IF(I153="Vacate",H153*D153*(1+GrowthMarketRent)^10*IF(INT((DATE(2026+10,10,31)-F153)/365.25)=0,(12-DowntimeNew)/12,1),IF(I153="Option",G153*D153*1.025*(1+EscalatorInLease)^10,IF(I153="Market",Retention*G153*D153*(1+EscalatorInLease)^(10+M153)+(1-Retention)*H153*D153*(1+GrowthMarketRent)^10*IF(INT((DATE(2026+10,10,31)-F153)/365.25)=0,(12-DowntimeNew)/12,1),IF(I153="LeaseUp",H153*D153*(1+GrowthMarketRent)^10*IF(10=0,(12-DowntimeNew)/12,1),0)))),((F153-DATE(2026+10,5,1))/365.25)*G153*D153*(1+EscalatorInLease)^(10+M153)+((DATE(2027+10,4,30)-F153)/365.25)*IF(I153="Vacate",H153*D153*(1+GrowthMarketRent)^10*IF(INT((DATE(2026+10,10,31)-F153)/365.25)=0,(12-DowntimeNew)/12,1),IF(I153="Option",G153*D153*1.025*(1+EscalatorInLease)^10,IF(I153="Market",Retention*G153*D153*(1+EscalatorInLease)^(10+M153)+(1-Retention)*H153*D153*(1+GrowthMarketRent)^10*IF(INT((DATE(2026+10,10,31)-F153)/365.25)=0,(12-DowntimeNew)/12,1),IF(I153="LeaseUp",H153*D153*(1+GrowthMarketRent)^10*IF(10=0,(12-DowntimeNew)/12,1),0)))))))),0)</f>
        <v/>
      </c>
      <c r="Y153" s="14">
        <f>IFERROR(IF(AND(I153="LeaseUp",0=0),(IF(I153="Vacate",TINew*D153,IF(I153="Market",Retention*TIRenewal*D153+(1-Retention)*TINew*D153,IF(I153="LeaseUp",TINew*D153,IF(I153="Option",TIRenewal*D153,0)))))+(IF(I153="Vacate",LCNew*H153*D153*(1+GrowthMarketRent)^0,IF(I153="Market",Retention*LCRenewal*H153*D153*(1+GrowthMarketRent)^0+(1-Retention)*LCNew*H153*D153*(1+GrowthMarketRent)^0,IF(I153="LeaseUp",LCNew*H153*D153*(1+GrowthMarketRent)^0,IF(I153="Option",LCRenewal*H153*D153*(1+GrowthMarketRent)^0,0))))),IF(F153="",0,IF(AND(F153&gt;=DATE(2026+0,5,1),F153&lt;=DATE(2027+0,4,30)),(IF(I153="Vacate",TINew*D153,IF(I153="Market",Retention*TIRenewal*D153+(1-Retention)*TINew*D153,IF(I153="LeaseUp",TINew*D153,IF(I153="Option",TIRenewal*D153,0)))))+(IF(I153="Vacate",LCNew*H153*D153*(1+GrowthMarketRent)^0,IF(I153="Market",Retention*LCRenewal*H153*D153*(1+GrowthMarketRent)^0+(1-Retention)*LCNew*H153*D153*(1+GrowthMarketRent)^0,IF(I153="LeaseUp",LCNew*H153*D153*(1+GrowthMarketRent)^0,IF(I153="Option",LCRenewal*H153*D153*(1+GrowthMarketRent)^0,0))))),0))),0)</f>
        <v/>
      </c>
      <c r="Z153" s="14">
        <f>IFERROR(IF(AND(I153="LeaseUp",1=0),(IF(I153="Vacate",TINew*D153,IF(I153="Market",Retention*TIRenewal*D153+(1-Retention)*TINew*D153,IF(I153="LeaseUp",TINew*D153,IF(I153="Option",TIRenewal*D153,0)))))+(IF(I153="Vacate",LCNew*H153*D153*(1+GrowthMarketRent)^1,IF(I153="Market",Retention*LCRenewal*H153*D153*(1+GrowthMarketRent)^1+(1-Retention)*LCNew*H153*D153*(1+GrowthMarketRent)^1,IF(I153="LeaseUp",LCNew*H153*D153*(1+GrowthMarketRent)^1,IF(I153="Option",LCRenewal*H153*D153*(1+GrowthMarketRent)^1,0))))),IF(F153="",0,IF(AND(F153&gt;=DATE(2026+1,5,1),F153&lt;=DATE(2027+1,4,30)),(IF(I153="Vacate",TINew*D153,IF(I153="Market",Retention*TIRenewal*D153+(1-Retention)*TINew*D153,IF(I153="LeaseUp",TINew*D153,IF(I153="Option",TIRenewal*D153,0)))))+(IF(I153="Vacate",LCNew*H153*D153*(1+GrowthMarketRent)^1,IF(I153="Market",Retention*LCRenewal*H153*D153*(1+GrowthMarketRent)^1+(1-Retention)*LCNew*H153*D153*(1+GrowthMarketRent)^1,IF(I153="LeaseUp",LCNew*H153*D153*(1+GrowthMarketRent)^1,IF(I153="Option",LCRenewal*H153*D153*(1+GrowthMarketRent)^1,0))))),0))),0)</f>
        <v/>
      </c>
      <c r="AA153" s="14">
        <f>IFERROR(IF(AND(I153="LeaseUp",2=0),(IF(I153="Vacate",TINew*D153,IF(I153="Market",Retention*TIRenewal*D153+(1-Retention)*TINew*D153,IF(I153="LeaseUp",TINew*D153,IF(I153="Option",TIRenewal*D153,0)))))+(IF(I153="Vacate",LCNew*H153*D153*(1+GrowthMarketRent)^2,IF(I153="Market",Retention*LCRenewal*H153*D153*(1+GrowthMarketRent)^2+(1-Retention)*LCNew*H153*D153*(1+GrowthMarketRent)^2,IF(I153="LeaseUp",LCNew*H153*D153*(1+GrowthMarketRent)^2,IF(I153="Option",LCRenewal*H153*D153*(1+GrowthMarketRent)^2,0))))),IF(F153="",0,IF(AND(F153&gt;=DATE(2026+2,5,1),F153&lt;=DATE(2027+2,4,30)),(IF(I153="Vacate",TINew*D153,IF(I153="Market",Retention*TIRenewal*D153+(1-Retention)*TINew*D153,IF(I153="LeaseUp",TINew*D153,IF(I153="Option",TIRenewal*D153,0)))))+(IF(I153="Vacate",LCNew*H153*D153*(1+GrowthMarketRent)^2,IF(I153="Market",Retention*LCRenewal*H153*D153*(1+GrowthMarketRent)^2+(1-Retention)*LCNew*H153*D153*(1+GrowthMarketRent)^2,IF(I153="LeaseUp",LCNew*H153*D153*(1+GrowthMarketRent)^2,IF(I153="Option",LCRenewal*H153*D153*(1+GrowthMarketRent)^2,0))))),0))),0)</f>
        <v/>
      </c>
      <c r="AB153" s="14">
        <f>IFERROR(IF(AND(I153="LeaseUp",3=0),(IF(I153="Vacate",TINew*D153,IF(I153="Market",Retention*TIRenewal*D153+(1-Retention)*TINew*D153,IF(I153="LeaseUp",TINew*D153,IF(I153="Option",TIRenewal*D153,0)))))+(IF(I153="Vacate",LCNew*H153*D153*(1+GrowthMarketRent)^3,IF(I153="Market",Retention*LCRenewal*H153*D153*(1+GrowthMarketRent)^3+(1-Retention)*LCNew*H153*D153*(1+GrowthMarketRent)^3,IF(I153="LeaseUp",LCNew*H153*D153*(1+GrowthMarketRent)^3,IF(I153="Option",LCRenewal*H153*D153*(1+GrowthMarketRent)^3,0))))),IF(F153="",0,IF(AND(F153&gt;=DATE(2026+3,5,1),F153&lt;=DATE(2027+3,4,30)),(IF(I153="Vacate",TINew*D153,IF(I153="Market",Retention*TIRenewal*D153+(1-Retention)*TINew*D153,IF(I153="LeaseUp",TINew*D153,IF(I153="Option",TIRenewal*D153,0)))))+(IF(I153="Vacate",LCNew*H153*D153*(1+GrowthMarketRent)^3,IF(I153="Market",Retention*LCRenewal*H153*D153*(1+GrowthMarketRent)^3+(1-Retention)*LCNew*H153*D153*(1+GrowthMarketRent)^3,IF(I153="LeaseUp",LCNew*H153*D153*(1+GrowthMarketRent)^3,IF(I153="Option",LCRenewal*H153*D153*(1+GrowthMarketRent)^3,0))))),0))),0)</f>
        <v/>
      </c>
      <c r="AC153" s="14">
        <f>IFERROR(IF(AND(I153="LeaseUp",4=0),(IF(I153="Vacate",TINew*D153,IF(I153="Market",Retention*TIRenewal*D153+(1-Retention)*TINew*D153,IF(I153="LeaseUp",TINew*D153,IF(I153="Option",TIRenewal*D153,0)))))+(IF(I153="Vacate",LCNew*H153*D153*(1+GrowthMarketRent)^4,IF(I153="Market",Retention*LCRenewal*H153*D153*(1+GrowthMarketRent)^4+(1-Retention)*LCNew*H153*D153*(1+GrowthMarketRent)^4,IF(I153="LeaseUp",LCNew*H153*D153*(1+GrowthMarketRent)^4,IF(I153="Option",LCRenewal*H153*D153*(1+GrowthMarketRent)^4,0))))),IF(F153="",0,IF(AND(F153&gt;=DATE(2026+4,5,1),F153&lt;=DATE(2027+4,4,30)),(IF(I153="Vacate",TINew*D153,IF(I153="Market",Retention*TIRenewal*D153+(1-Retention)*TINew*D153,IF(I153="LeaseUp",TINew*D153,IF(I153="Option",TIRenewal*D153,0)))))+(IF(I153="Vacate",LCNew*H153*D153*(1+GrowthMarketRent)^4,IF(I153="Market",Retention*LCRenewal*H153*D153*(1+GrowthMarketRent)^4+(1-Retention)*LCNew*H153*D153*(1+GrowthMarketRent)^4,IF(I153="LeaseUp",LCNew*H153*D153*(1+GrowthMarketRent)^4,IF(I153="Option",LCRenewal*H153*D153*(1+GrowthMarketRent)^4,0))))),0))),0)</f>
        <v/>
      </c>
      <c r="AD153" s="14">
        <f>IFERROR(IF(AND(I153="LeaseUp",5=0),(IF(I153="Vacate",TINew*D153,IF(I153="Market",Retention*TIRenewal*D153+(1-Retention)*TINew*D153,IF(I153="LeaseUp",TINew*D153,IF(I153="Option",TIRenewal*D153,0)))))+(IF(I153="Vacate",LCNew*H153*D153*(1+GrowthMarketRent)^5,IF(I153="Market",Retention*LCRenewal*H153*D153*(1+GrowthMarketRent)^5+(1-Retention)*LCNew*H153*D153*(1+GrowthMarketRent)^5,IF(I153="LeaseUp",LCNew*H153*D153*(1+GrowthMarketRent)^5,IF(I153="Option",LCRenewal*H153*D153*(1+GrowthMarketRent)^5,0))))),IF(F153="",0,IF(AND(F153&gt;=DATE(2026+5,5,1),F153&lt;=DATE(2027+5,4,30)),(IF(I153="Vacate",TINew*D153,IF(I153="Market",Retention*TIRenewal*D153+(1-Retention)*TINew*D153,IF(I153="LeaseUp",TINew*D153,IF(I153="Option",TIRenewal*D153,0)))))+(IF(I153="Vacate",LCNew*H153*D153*(1+GrowthMarketRent)^5,IF(I153="Market",Retention*LCRenewal*H153*D153*(1+GrowthMarketRent)^5+(1-Retention)*LCNew*H153*D153*(1+GrowthMarketRent)^5,IF(I153="LeaseUp",LCNew*H153*D153*(1+GrowthMarketRent)^5,IF(I153="Option",LCRenewal*H153*D153*(1+GrowthMarketRent)^5,0))))),0))),0)</f>
        <v/>
      </c>
      <c r="AE153" s="14">
        <f>IFERROR(IF(AND(I153="LeaseUp",6=0),(IF(I153="Vacate",TINew*D153,IF(I153="Market",Retention*TIRenewal*D153+(1-Retention)*TINew*D153,IF(I153="LeaseUp",TINew*D153,IF(I153="Option",TIRenewal*D153,0)))))+(IF(I153="Vacate",LCNew*H153*D153*(1+GrowthMarketRent)^6,IF(I153="Market",Retention*LCRenewal*H153*D153*(1+GrowthMarketRent)^6+(1-Retention)*LCNew*H153*D153*(1+GrowthMarketRent)^6,IF(I153="LeaseUp",LCNew*H153*D153*(1+GrowthMarketRent)^6,IF(I153="Option",LCRenewal*H153*D153*(1+GrowthMarketRent)^6,0))))),IF(F153="",0,IF(AND(F153&gt;=DATE(2026+6,5,1),F153&lt;=DATE(2027+6,4,30)),(IF(I153="Vacate",TINew*D153,IF(I153="Market",Retention*TIRenewal*D153+(1-Retention)*TINew*D153,IF(I153="LeaseUp",TINew*D153,IF(I153="Option",TIRenewal*D153,0)))))+(IF(I153="Vacate",LCNew*H153*D153*(1+GrowthMarketRent)^6,IF(I153="Market",Retention*LCRenewal*H153*D153*(1+GrowthMarketRent)^6+(1-Retention)*LCNew*H153*D153*(1+GrowthMarketRent)^6,IF(I153="LeaseUp",LCNew*H153*D153*(1+GrowthMarketRent)^6,IF(I153="Option",LCRenewal*H153*D153*(1+GrowthMarketRent)^6,0))))),0))),0)</f>
        <v/>
      </c>
      <c r="AF153" s="14">
        <f>IFERROR(IF(AND(I153="LeaseUp",7=0),(IF(I153="Vacate",TINew*D153,IF(I153="Market",Retention*TIRenewal*D153+(1-Retention)*TINew*D153,IF(I153="LeaseUp",TINew*D153,IF(I153="Option",TIRenewal*D153,0)))))+(IF(I153="Vacate",LCNew*H153*D153*(1+GrowthMarketRent)^7,IF(I153="Market",Retention*LCRenewal*H153*D153*(1+GrowthMarketRent)^7+(1-Retention)*LCNew*H153*D153*(1+GrowthMarketRent)^7,IF(I153="LeaseUp",LCNew*H153*D153*(1+GrowthMarketRent)^7,IF(I153="Option",LCRenewal*H153*D153*(1+GrowthMarketRent)^7,0))))),IF(F153="",0,IF(AND(F153&gt;=DATE(2026+7,5,1),F153&lt;=DATE(2027+7,4,30)),(IF(I153="Vacate",TINew*D153,IF(I153="Market",Retention*TIRenewal*D153+(1-Retention)*TINew*D153,IF(I153="LeaseUp",TINew*D153,IF(I153="Option",TIRenewal*D153,0)))))+(IF(I153="Vacate",LCNew*H153*D153*(1+GrowthMarketRent)^7,IF(I153="Market",Retention*LCRenewal*H153*D153*(1+GrowthMarketRent)^7+(1-Retention)*LCNew*H153*D153*(1+GrowthMarketRent)^7,IF(I153="LeaseUp",LCNew*H153*D153*(1+GrowthMarketRent)^7,IF(I153="Option",LCRenewal*H153*D153*(1+GrowthMarketRent)^7,0))))),0))),0)</f>
        <v/>
      </c>
      <c r="AG153" s="14">
        <f>IFERROR(IF(AND(I153="LeaseUp",8=0),(IF(I153="Vacate",TINew*D153,IF(I153="Market",Retention*TIRenewal*D153+(1-Retention)*TINew*D153,IF(I153="LeaseUp",TINew*D153,IF(I153="Option",TIRenewal*D153,0)))))+(IF(I153="Vacate",LCNew*H153*D153*(1+GrowthMarketRent)^8,IF(I153="Market",Retention*LCRenewal*H153*D153*(1+GrowthMarketRent)^8+(1-Retention)*LCNew*H153*D153*(1+GrowthMarketRent)^8,IF(I153="LeaseUp",LCNew*H153*D153*(1+GrowthMarketRent)^8,IF(I153="Option",LCRenewal*H153*D153*(1+GrowthMarketRent)^8,0))))),IF(F153="",0,IF(AND(F153&gt;=DATE(2026+8,5,1),F153&lt;=DATE(2027+8,4,30)),(IF(I153="Vacate",TINew*D153,IF(I153="Market",Retention*TIRenewal*D153+(1-Retention)*TINew*D153,IF(I153="LeaseUp",TINew*D153,IF(I153="Option",TIRenewal*D153,0)))))+(IF(I153="Vacate",LCNew*H153*D153*(1+GrowthMarketRent)^8,IF(I153="Market",Retention*LCRenewal*H153*D153*(1+GrowthMarketRent)^8+(1-Retention)*LCNew*H153*D153*(1+GrowthMarketRent)^8,IF(I153="LeaseUp",LCNew*H153*D153*(1+GrowthMarketRent)^8,IF(I153="Option",LCRenewal*H153*D153*(1+GrowthMarketRent)^8,0))))),0))),0)</f>
        <v/>
      </c>
      <c r="AH153" s="14">
        <f>IFERROR(IF(AND(I153="LeaseUp",9=0),(IF(I153="Vacate",TINew*D153,IF(I153="Market",Retention*TIRenewal*D153+(1-Retention)*TINew*D153,IF(I153="LeaseUp",TINew*D153,IF(I153="Option",TIRenewal*D153,0)))))+(IF(I153="Vacate",LCNew*H153*D153*(1+GrowthMarketRent)^9,IF(I153="Market",Retention*LCRenewal*H153*D153*(1+GrowthMarketRent)^9+(1-Retention)*LCNew*H153*D153*(1+GrowthMarketRent)^9,IF(I153="LeaseUp",LCNew*H153*D153*(1+GrowthMarketRent)^9,IF(I153="Option",LCRenewal*H153*D153*(1+GrowthMarketRent)^9,0))))),IF(F153="",0,IF(AND(F153&gt;=DATE(2026+9,5,1),F153&lt;=DATE(2027+9,4,30)),(IF(I153="Vacate",TINew*D153,IF(I153="Market",Retention*TIRenewal*D153+(1-Retention)*TINew*D153,IF(I153="LeaseUp",TINew*D153,IF(I153="Option",TIRenewal*D153,0)))))+(IF(I153="Vacate",LCNew*H153*D153*(1+GrowthMarketRent)^9,IF(I153="Market",Retention*LCRenewal*H153*D153*(1+GrowthMarketRent)^9+(1-Retention)*LCNew*H153*D153*(1+GrowthMarketRent)^9,IF(I153="LeaseUp",LCNew*H153*D153*(1+GrowthMarketRent)^9,IF(I153="Option",LCRenewal*H153*D153*(1+GrowthMarketRent)^9,0))))),0))),0)</f>
        <v/>
      </c>
      <c r="AI153" s="14">
        <f>IFERROR(IF(AND(I153="LeaseUp",10=0),(IF(I153="Vacate",TINew*D153,IF(I153="Market",Retention*TIRenewal*D153+(1-Retention)*TINew*D153,IF(I153="LeaseUp",TINew*D153,IF(I153="Option",TIRenewal*D153,0)))))+(IF(I153="Vacate",LCNew*H153*D153*(1+GrowthMarketRent)^10,IF(I153="Market",Retention*LCRenewal*H153*D153*(1+GrowthMarketRent)^10+(1-Retention)*LCNew*H153*D153*(1+GrowthMarketRent)^10,IF(I153="LeaseUp",LCNew*H153*D153*(1+GrowthMarketRent)^10,IF(I153="Option",LCRenewal*H153*D153*(1+GrowthMarketRent)^10,0))))),IF(F153="",0,IF(AND(F153&gt;=DATE(2026+10,5,1),F153&lt;=DATE(2027+10,4,30)),(IF(I153="Vacate",TINew*D153,IF(I153="Market",Retention*TIRenewal*D153+(1-Retention)*TINew*D153,IF(I153="LeaseUp",TINew*D153,IF(I153="Option",TIRenewal*D153,0)))))+(IF(I153="Vacate",LCNew*H153*D153*(1+GrowthMarketRent)^10,IF(I153="Market",Retention*LCRenewal*H153*D153*(1+GrowthMarketRent)^10+(1-Retention)*LCNew*H153*D153*(1+GrowthMarketRent)^10,IF(I153="LeaseUp",LCNew*H153*D153*(1+GrowthMarketRent)^10,IF(I153="Option",LCRenewal*H153*D153*(1+GrowthMarketRent)^10,0))))),0))),0)</f>
        <v/>
      </c>
    </row>
    <row r="154">
      <c r="A154" t="inlineStr">
        <is>
          <t>Plano</t>
        </is>
      </c>
      <c r="B154" t="inlineStr">
        <is>
          <t>205</t>
        </is>
      </c>
      <c r="C154" t="inlineStr">
        <is>
          <t>Dallas Wax LLC</t>
        </is>
      </c>
      <c r="D154" s="32" t="n">
        <v>2600</v>
      </c>
      <c r="E154" s="33" t="n">
        <v>45017</v>
      </c>
      <c r="F154" s="33" t="n">
        <v>46296</v>
      </c>
      <c r="G154" s="34" t="n">
        <v>16.1534615384615</v>
      </c>
      <c r="H154" s="16">
        <f>VLOOKUP(A154,MLA!$A$5:$L$11,3,FALSE)</f>
        <v/>
      </c>
      <c r="I154" s="11" t="inlineStr">
        <is>
          <t>Option</t>
        </is>
      </c>
      <c r="J154" t="inlineStr">
        <is>
          <t>Shop</t>
        </is>
      </c>
      <c r="K154" t="inlineStr">
        <is>
          <t>Occupied</t>
        </is>
      </c>
      <c r="L154" t="inlineStr">
        <is>
          <t>Shop; Guarantor: Dr. Sriram Muthukumar; Two 3yr options @ 102.5%</t>
        </is>
      </c>
      <c r="M154" s="20">
        <f>IF(E154="",0,(AnalysisStart-E154)/365.25)</f>
        <v/>
      </c>
      <c r="N154" s="14">
        <f>IFERROR(IF(I154="LeaseUp",H154*D154*(1+GrowthMarketRent)^0*IF(0=0,(12-DowntimeNew)/12,1),IF(F154="",0,IF(F154&gt;=DATE(2027+0,4,30),G154*D154*(1+EscalatorInLease)^(0+M154),IF(F154&lt;DATE(2026+0,5,1),IF(I154="Vacate",H154*D154*(1+GrowthMarketRent)^0*IF(INT((DATE(2026+0,10,31)-F154)/365.25)=0,(12-DowntimeNew)/12,1),IF(I154="Option",G154*D154*1.025*(1+EscalatorInLease)^0,IF(I154="Market",Retention*G154*D154*(1+EscalatorInLease)^(0+M154)+(1-Retention)*H154*D154*(1+GrowthMarketRent)^0*IF(INT((DATE(2026+0,10,31)-F154)/365.25)=0,(12-DowntimeNew)/12,1),IF(I154="LeaseUp",H154*D154*(1+GrowthMarketRent)^0*IF(0=0,(12-DowntimeNew)/12,1),0)))),((F154-DATE(2026+0,5,1))/365.25)*G154*D154*(1+EscalatorInLease)^(0+M154)+((DATE(2027+0,4,30)-F154)/365.25)*IF(I154="Vacate",H154*D154*(1+GrowthMarketRent)^0*IF(INT((DATE(2026+0,10,31)-F154)/365.25)=0,(12-DowntimeNew)/12,1),IF(I154="Option",G154*D154*1.025*(1+EscalatorInLease)^0,IF(I154="Market",Retention*G154*D154*(1+EscalatorInLease)^(0+M154)+(1-Retention)*H154*D154*(1+GrowthMarketRent)^0*IF(INT((DATE(2026+0,10,31)-F154)/365.25)=0,(12-DowntimeNew)/12,1),IF(I154="LeaseUp",H154*D154*(1+GrowthMarketRent)^0*IF(0=0,(12-DowntimeNew)/12,1),0)))))))),0)</f>
        <v/>
      </c>
      <c r="O154" s="14">
        <f>IFERROR(IF(I154="LeaseUp",H154*D154*(1+GrowthMarketRent)^1*IF(1=0,(12-DowntimeNew)/12,1),IF(F154="",0,IF(F154&gt;=DATE(2027+1,4,30),G154*D154*(1+EscalatorInLease)^(1+M154),IF(F154&lt;DATE(2026+1,5,1),IF(I154="Vacate",H154*D154*(1+GrowthMarketRent)^1*IF(INT((DATE(2026+1,10,31)-F154)/365.25)=0,(12-DowntimeNew)/12,1),IF(I154="Option",G154*D154*1.025*(1+EscalatorInLease)^1,IF(I154="Market",Retention*G154*D154*(1+EscalatorInLease)^(1+M154)+(1-Retention)*H154*D154*(1+GrowthMarketRent)^1*IF(INT((DATE(2026+1,10,31)-F154)/365.25)=0,(12-DowntimeNew)/12,1),IF(I154="LeaseUp",H154*D154*(1+GrowthMarketRent)^1*IF(1=0,(12-DowntimeNew)/12,1),0)))),((F154-DATE(2026+1,5,1))/365.25)*G154*D154*(1+EscalatorInLease)^(1+M154)+((DATE(2027+1,4,30)-F154)/365.25)*IF(I154="Vacate",H154*D154*(1+GrowthMarketRent)^1*IF(INT((DATE(2026+1,10,31)-F154)/365.25)=0,(12-DowntimeNew)/12,1),IF(I154="Option",G154*D154*1.025*(1+EscalatorInLease)^1,IF(I154="Market",Retention*G154*D154*(1+EscalatorInLease)^(1+M154)+(1-Retention)*H154*D154*(1+GrowthMarketRent)^1*IF(INT((DATE(2026+1,10,31)-F154)/365.25)=0,(12-DowntimeNew)/12,1),IF(I154="LeaseUp",H154*D154*(1+GrowthMarketRent)^1*IF(1=0,(12-DowntimeNew)/12,1),0)))))))),0)</f>
        <v/>
      </c>
      <c r="P154" s="14">
        <f>IFERROR(IF(I154="LeaseUp",H154*D154*(1+GrowthMarketRent)^2*IF(2=0,(12-DowntimeNew)/12,1),IF(F154="",0,IF(F154&gt;=DATE(2027+2,4,30),G154*D154*(1+EscalatorInLease)^(2+M154),IF(F154&lt;DATE(2026+2,5,1),IF(I154="Vacate",H154*D154*(1+GrowthMarketRent)^2*IF(INT((DATE(2026+2,10,31)-F154)/365.25)=0,(12-DowntimeNew)/12,1),IF(I154="Option",G154*D154*1.025*(1+EscalatorInLease)^2,IF(I154="Market",Retention*G154*D154*(1+EscalatorInLease)^(2+M154)+(1-Retention)*H154*D154*(1+GrowthMarketRent)^2*IF(INT((DATE(2026+2,10,31)-F154)/365.25)=0,(12-DowntimeNew)/12,1),IF(I154="LeaseUp",H154*D154*(1+GrowthMarketRent)^2*IF(2=0,(12-DowntimeNew)/12,1),0)))),((F154-DATE(2026+2,5,1))/365.25)*G154*D154*(1+EscalatorInLease)^(2+M154)+((DATE(2027+2,4,30)-F154)/365.25)*IF(I154="Vacate",H154*D154*(1+GrowthMarketRent)^2*IF(INT((DATE(2026+2,10,31)-F154)/365.25)=0,(12-DowntimeNew)/12,1),IF(I154="Option",G154*D154*1.025*(1+EscalatorInLease)^2,IF(I154="Market",Retention*G154*D154*(1+EscalatorInLease)^(2+M154)+(1-Retention)*H154*D154*(1+GrowthMarketRent)^2*IF(INT((DATE(2026+2,10,31)-F154)/365.25)=0,(12-DowntimeNew)/12,1),IF(I154="LeaseUp",H154*D154*(1+GrowthMarketRent)^2*IF(2=0,(12-DowntimeNew)/12,1),0)))))))),0)</f>
        <v/>
      </c>
      <c r="Q154" s="14">
        <f>IFERROR(IF(I154="LeaseUp",H154*D154*(1+GrowthMarketRent)^3*IF(3=0,(12-DowntimeNew)/12,1),IF(F154="",0,IF(F154&gt;=DATE(2027+3,4,30),G154*D154*(1+EscalatorInLease)^(3+M154),IF(F154&lt;DATE(2026+3,5,1),IF(I154="Vacate",H154*D154*(1+GrowthMarketRent)^3*IF(INT((DATE(2026+3,10,31)-F154)/365.25)=0,(12-DowntimeNew)/12,1),IF(I154="Option",G154*D154*1.025*(1+EscalatorInLease)^3,IF(I154="Market",Retention*G154*D154*(1+EscalatorInLease)^(3+M154)+(1-Retention)*H154*D154*(1+GrowthMarketRent)^3*IF(INT((DATE(2026+3,10,31)-F154)/365.25)=0,(12-DowntimeNew)/12,1),IF(I154="LeaseUp",H154*D154*(1+GrowthMarketRent)^3*IF(3=0,(12-DowntimeNew)/12,1),0)))),((F154-DATE(2026+3,5,1))/365.25)*G154*D154*(1+EscalatorInLease)^(3+M154)+((DATE(2027+3,4,30)-F154)/365.25)*IF(I154="Vacate",H154*D154*(1+GrowthMarketRent)^3*IF(INT((DATE(2026+3,10,31)-F154)/365.25)=0,(12-DowntimeNew)/12,1),IF(I154="Option",G154*D154*1.025*(1+EscalatorInLease)^3,IF(I154="Market",Retention*G154*D154*(1+EscalatorInLease)^(3+M154)+(1-Retention)*H154*D154*(1+GrowthMarketRent)^3*IF(INT((DATE(2026+3,10,31)-F154)/365.25)=0,(12-DowntimeNew)/12,1),IF(I154="LeaseUp",H154*D154*(1+GrowthMarketRent)^3*IF(3=0,(12-DowntimeNew)/12,1),0)))))))),0)</f>
        <v/>
      </c>
      <c r="R154" s="14">
        <f>IFERROR(IF(I154="LeaseUp",H154*D154*(1+GrowthMarketRent)^4*IF(4=0,(12-DowntimeNew)/12,1),IF(F154="",0,IF(F154&gt;=DATE(2027+4,4,30),G154*D154*(1+EscalatorInLease)^(4+M154),IF(F154&lt;DATE(2026+4,5,1),IF(I154="Vacate",H154*D154*(1+GrowthMarketRent)^4*IF(INT((DATE(2026+4,10,31)-F154)/365.25)=0,(12-DowntimeNew)/12,1),IF(I154="Option",G154*D154*1.025*(1+EscalatorInLease)^4,IF(I154="Market",Retention*G154*D154*(1+EscalatorInLease)^(4+M154)+(1-Retention)*H154*D154*(1+GrowthMarketRent)^4*IF(INT((DATE(2026+4,10,31)-F154)/365.25)=0,(12-DowntimeNew)/12,1),IF(I154="LeaseUp",H154*D154*(1+GrowthMarketRent)^4*IF(4=0,(12-DowntimeNew)/12,1),0)))),((F154-DATE(2026+4,5,1))/365.25)*G154*D154*(1+EscalatorInLease)^(4+M154)+((DATE(2027+4,4,30)-F154)/365.25)*IF(I154="Vacate",H154*D154*(1+GrowthMarketRent)^4*IF(INT((DATE(2026+4,10,31)-F154)/365.25)=0,(12-DowntimeNew)/12,1),IF(I154="Option",G154*D154*1.025*(1+EscalatorInLease)^4,IF(I154="Market",Retention*G154*D154*(1+EscalatorInLease)^(4+M154)+(1-Retention)*H154*D154*(1+GrowthMarketRent)^4*IF(INT((DATE(2026+4,10,31)-F154)/365.25)=0,(12-DowntimeNew)/12,1),IF(I154="LeaseUp",H154*D154*(1+GrowthMarketRent)^4*IF(4=0,(12-DowntimeNew)/12,1),0)))))))),0)</f>
        <v/>
      </c>
      <c r="S154" s="14">
        <f>IFERROR(IF(I154="LeaseUp",H154*D154*(1+GrowthMarketRent)^5*IF(5=0,(12-DowntimeNew)/12,1),IF(F154="",0,IF(F154&gt;=DATE(2027+5,4,30),G154*D154*(1+EscalatorInLease)^(5+M154),IF(F154&lt;DATE(2026+5,5,1),IF(I154="Vacate",H154*D154*(1+GrowthMarketRent)^5*IF(INT((DATE(2026+5,10,31)-F154)/365.25)=0,(12-DowntimeNew)/12,1),IF(I154="Option",G154*D154*1.025*(1+EscalatorInLease)^5,IF(I154="Market",Retention*G154*D154*(1+EscalatorInLease)^(5+M154)+(1-Retention)*H154*D154*(1+GrowthMarketRent)^5*IF(INT((DATE(2026+5,10,31)-F154)/365.25)=0,(12-DowntimeNew)/12,1),IF(I154="LeaseUp",H154*D154*(1+GrowthMarketRent)^5*IF(5=0,(12-DowntimeNew)/12,1),0)))),((F154-DATE(2026+5,5,1))/365.25)*G154*D154*(1+EscalatorInLease)^(5+M154)+((DATE(2027+5,4,30)-F154)/365.25)*IF(I154="Vacate",H154*D154*(1+GrowthMarketRent)^5*IF(INT((DATE(2026+5,10,31)-F154)/365.25)=0,(12-DowntimeNew)/12,1),IF(I154="Option",G154*D154*1.025*(1+EscalatorInLease)^5,IF(I154="Market",Retention*G154*D154*(1+EscalatorInLease)^(5+M154)+(1-Retention)*H154*D154*(1+GrowthMarketRent)^5*IF(INT((DATE(2026+5,10,31)-F154)/365.25)=0,(12-DowntimeNew)/12,1),IF(I154="LeaseUp",H154*D154*(1+GrowthMarketRent)^5*IF(5=0,(12-DowntimeNew)/12,1),0)))))))),0)</f>
        <v/>
      </c>
      <c r="T154" s="14">
        <f>IFERROR(IF(I154="LeaseUp",H154*D154*(1+GrowthMarketRent)^6*IF(6=0,(12-DowntimeNew)/12,1),IF(F154="",0,IF(F154&gt;=DATE(2027+6,4,30),G154*D154*(1+EscalatorInLease)^(6+M154),IF(F154&lt;DATE(2026+6,5,1),IF(I154="Vacate",H154*D154*(1+GrowthMarketRent)^6*IF(INT((DATE(2026+6,10,31)-F154)/365.25)=0,(12-DowntimeNew)/12,1),IF(I154="Option",G154*D154*1.025*(1+EscalatorInLease)^6,IF(I154="Market",Retention*G154*D154*(1+EscalatorInLease)^(6+M154)+(1-Retention)*H154*D154*(1+GrowthMarketRent)^6*IF(INT((DATE(2026+6,10,31)-F154)/365.25)=0,(12-DowntimeNew)/12,1),IF(I154="LeaseUp",H154*D154*(1+GrowthMarketRent)^6*IF(6=0,(12-DowntimeNew)/12,1),0)))),((F154-DATE(2026+6,5,1))/365.25)*G154*D154*(1+EscalatorInLease)^(6+M154)+((DATE(2027+6,4,30)-F154)/365.25)*IF(I154="Vacate",H154*D154*(1+GrowthMarketRent)^6*IF(INT((DATE(2026+6,10,31)-F154)/365.25)=0,(12-DowntimeNew)/12,1),IF(I154="Option",G154*D154*1.025*(1+EscalatorInLease)^6,IF(I154="Market",Retention*G154*D154*(1+EscalatorInLease)^(6+M154)+(1-Retention)*H154*D154*(1+GrowthMarketRent)^6*IF(INT((DATE(2026+6,10,31)-F154)/365.25)=0,(12-DowntimeNew)/12,1),IF(I154="LeaseUp",H154*D154*(1+GrowthMarketRent)^6*IF(6=0,(12-DowntimeNew)/12,1),0)))))))),0)</f>
        <v/>
      </c>
      <c r="U154" s="14">
        <f>IFERROR(IF(I154="LeaseUp",H154*D154*(1+GrowthMarketRent)^7*IF(7=0,(12-DowntimeNew)/12,1),IF(F154="",0,IF(F154&gt;=DATE(2027+7,4,30),G154*D154*(1+EscalatorInLease)^(7+M154),IF(F154&lt;DATE(2026+7,5,1),IF(I154="Vacate",H154*D154*(1+GrowthMarketRent)^7*IF(INT((DATE(2026+7,10,31)-F154)/365.25)=0,(12-DowntimeNew)/12,1),IF(I154="Option",G154*D154*1.025*(1+EscalatorInLease)^7,IF(I154="Market",Retention*G154*D154*(1+EscalatorInLease)^(7+M154)+(1-Retention)*H154*D154*(1+GrowthMarketRent)^7*IF(INT((DATE(2026+7,10,31)-F154)/365.25)=0,(12-DowntimeNew)/12,1),IF(I154="LeaseUp",H154*D154*(1+GrowthMarketRent)^7*IF(7=0,(12-DowntimeNew)/12,1),0)))),((F154-DATE(2026+7,5,1))/365.25)*G154*D154*(1+EscalatorInLease)^(7+M154)+((DATE(2027+7,4,30)-F154)/365.25)*IF(I154="Vacate",H154*D154*(1+GrowthMarketRent)^7*IF(INT((DATE(2026+7,10,31)-F154)/365.25)=0,(12-DowntimeNew)/12,1),IF(I154="Option",G154*D154*1.025*(1+EscalatorInLease)^7,IF(I154="Market",Retention*G154*D154*(1+EscalatorInLease)^(7+M154)+(1-Retention)*H154*D154*(1+GrowthMarketRent)^7*IF(INT((DATE(2026+7,10,31)-F154)/365.25)=0,(12-DowntimeNew)/12,1),IF(I154="LeaseUp",H154*D154*(1+GrowthMarketRent)^7*IF(7=0,(12-DowntimeNew)/12,1),0)))))))),0)</f>
        <v/>
      </c>
      <c r="V154" s="14">
        <f>IFERROR(IF(I154="LeaseUp",H154*D154*(1+GrowthMarketRent)^8*IF(8=0,(12-DowntimeNew)/12,1),IF(F154="",0,IF(F154&gt;=DATE(2027+8,4,30),G154*D154*(1+EscalatorInLease)^(8+M154),IF(F154&lt;DATE(2026+8,5,1),IF(I154="Vacate",H154*D154*(1+GrowthMarketRent)^8*IF(INT((DATE(2026+8,10,31)-F154)/365.25)=0,(12-DowntimeNew)/12,1),IF(I154="Option",G154*D154*1.025*(1+EscalatorInLease)^8,IF(I154="Market",Retention*G154*D154*(1+EscalatorInLease)^(8+M154)+(1-Retention)*H154*D154*(1+GrowthMarketRent)^8*IF(INT((DATE(2026+8,10,31)-F154)/365.25)=0,(12-DowntimeNew)/12,1),IF(I154="LeaseUp",H154*D154*(1+GrowthMarketRent)^8*IF(8=0,(12-DowntimeNew)/12,1),0)))),((F154-DATE(2026+8,5,1))/365.25)*G154*D154*(1+EscalatorInLease)^(8+M154)+((DATE(2027+8,4,30)-F154)/365.25)*IF(I154="Vacate",H154*D154*(1+GrowthMarketRent)^8*IF(INT((DATE(2026+8,10,31)-F154)/365.25)=0,(12-DowntimeNew)/12,1),IF(I154="Option",G154*D154*1.025*(1+EscalatorInLease)^8,IF(I154="Market",Retention*G154*D154*(1+EscalatorInLease)^(8+M154)+(1-Retention)*H154*D154*(1+GrowthMarketRent)^8*IF(INT((DATE(2026+8,10,31)-F154)/365.25)=0,(12-DowntimeNew)/12,1),IF(I154="LeaseUp",H154*D154*(1+GrowthMarketRent)^8*IF(8=0,(12-DowntimeNew)/12,1),0)))))))),0)</f>
        <v/>
      </c>
      <c r="W154" s="14">
        <f>IFERROR(IF(I154="LeaseUp",H154*D154*(1+GrowthMarketRent)^9*IF(9=0,(12-DowntimeNew)/12,1),IF(F154="",0,IF(F154&gt;=DATE(2027+9,4,30),G154*D154*(1+EscalatorInLease)^(9+M154),IF(F154&lt;DATE(2026+9,5,1),IF(I154="Vacate",H154*D154*(1+GrowthMarketRent)^9*IF(INT((DATE(2026+9,10,31)-F154)/365.25)=0,(12-DowntimeNew)/12,1),IF(I154="Option",G154*D154*1.025*(1+EscalatorInLease)^9,IF(I154="Market",Retention*G154*D154*(1+EscalatorInLease)^(9+M154)+(1-Retention)*H154*D154*(1+GrowthMarketRent)^9*IF(INT((DATE(2026+9,10,31)-F154)/365.25)=0,(12-DowntimeNew)/12,1),IF(I154="LeaseUp",H154*D154*(1+GrowthMarketRent)^9*IF(9=0,(12-DowntimeNew)/12,1),0)))),((F154-DATE(2026+9,5,1))/365.25)*G154*D154*(1+EscalatorInLease)^(9+M154)+((DATE(2027+9,4,30)-F154)/365.25)*IF(I154="Vacate",H154*D154*(1+GrowthMarketRent)^9*IF(INT((DATE(2026+9,10,31)-F154)/365.25)=0,(12-DowntimeNew)/12,1),IF(I154="Option",G154*D154*1.025*(1+EscalatorInLease)^9,IF(I154="Market",Retention*G154*D154*(1+EscalatorInLease)^(9+M154)+(1-Retention)*H154*D154*(1+GrowthMarketRent)^9*IF(INT((DATE(2026+9,10,31)-F154)/365.25)=0,(12-DowntimeNew)/12,1),IF(I154="LeaseUp",H154*D154*(1+GrowthMarketRent)^9*IF(9=0,(12-DowntimeNew)/12,1),0)))))))),0)</f>
        <v/>
      </c>
      <c r="X154" s="14">
        <f>IFERROR(IF(I154="LeaseUp",H154*D154*(1+GrowthMarketRent)^10*IF(10=0,(12-DowntimeNew)/12,1),IF(F154="",0,IF(F154&gt;=DATE(2027+10,4,30),G154*D154*(1+EscalatorInLease)^(10+M154),IF(F154&lt;DATE(2026+10,5,1),IF(I154="Vacate",H154*D154*(1+GrowthMarketRent)^10*IF(INT((DATE(2026+10,10,31)-F154)/365.25)=0,(12-DowntimeNew)/12,1),IF(I154="Option",G154*D154*1.025*(1+EscalatorInLease)^10,IF(I154="Market",Retention*G154*D154*(1+EscalatorInLease)^(10+M154)+(1-Retention)*H154*D154*(1+GrowthMarketRent)^10*IF(INT((DATE(2026+10,10,31)-F154)/365.25)=0,(12-DowntimeNew)/12,1),IF(I154="LeaseUp",H154*D154*(1+GrowthMarketRent)^10*IF(10=0,(12-DowntimeNew)/12,1),0)))),((F154-DATE(2026+10,5,1))/365.25)*G154*D154*(1+EscalatorInLease)^(10+M154)+((DATE(2027+10,4,30)-F154)/365.25)*IF(I154="Vacate",H154*D154*(1+GrowthMarketRent)^10*IF(INT((DATE(2026+10,10,31)-F154)/365.25)=0,(12-DowntimeNew)/12,1),IF(I154="Option",G154*D154*1.025*(1+EscalatorInLease)^10,IF(I154="Market",Retention*G154*D154*(1+EscalatorInLease)^(10+M154)+(1-Retention)*H154*D154*(1+GrowthMarketRent)^10*IF(INT((DATE(2026+10,10,31)-F154)/365.25)=0,(12-DowntimeNew)/12,1),IF(I154="LeaseUp",H154*D154*(1+GrowthMarketRent)^10*IF(10=0,(12-DowntimeNew)/12,1),0)))))))),0)</f>
        <v/>
      </c>
      <c r="Y154" s="14">
        <f>IFERROR(IF(AND(I154="LeaseUp",0=0),(IF(I154="Vacate",TINew*D154,IF(I154="Market",Retention*TIRenewal*D154+(1-Retention)*TINew*D154,IF(I154="LeaseUp",TINew*D154,IF(I154="Option",TIRenewal*D154,0)))))+(IF(I154="Vacate",LCNew*H154*D154*(1+GrowthMarketRent)^0,IF(I154="Market",Retention*LCRenewal*H154*D154*(1+GrowthMarketRent)^0+(1-Retention)*LCNew*H154*D154*(1+GrowthMarketRent)^0,IF(I154="LeaseUp",LCNew*H154*D154*(1+GrowthMarketRent)^0,IF(I154="Option",LCRenewal*H154*D154*(1+GrowthMarketRent)^0,0))))),IF(F154="",0,IF(AND(F154&gt;=DATE(2026+0,5,1),F154&lt;=DATE(2027+0,4,30)),(IF(I154="Vacate",TINew*D154,IF(I154="Market",Retention*TIRenewal*D154+(1-Retention)*TINew*D154,IF(I154="LeaseUp",TINew*D154,IF(I154="Option",TIRenewal*D154,0)))))+(IF(I154="Vacate",LCNew*H154*D154*(1+GrowthMarketRent)^0,IF(I154="Market",Retention*LCRenewal*H154*D154*(1+GrowthMarketRent)^0+(1-Retention)*LCNew*H154*D154*(1+GrowthMarketRent)^0,IF(I154="LeaseUp",LCNew*H154*D154*(1+GrowthMarketRent)^0,IF(I154="Option",LCRenewal*H154*D154*(1+GrowthMarketRent)^0,0))))),0))),0)</f>
        <v/>
      </c>
      <c r="Z154" s="14">
        <f>IFERROR(IF(AND(I154="LeaseUp",1=0),(IF(I154="Vacate",TINew*D154,IF(I154="Market",Retention*TIRenewal*D154+(1-Retention)*TINew*D154,IF(I154="LeaseUp",TINew*D154,IF(I154="Option",TIRenewal*D154,0)))))+(IF(I154="Vacate",LCNew*H154*D154*(1+GrowthMarketRent)^1,IF(I154="Market",Retention*LCRenewal*H154*D154*(1+GrowthMarketRent)^1+(1-Retention)*LCNew*H154*D154*(1+GrowthMarketRent)^1,IF(I154="LeaseUp",LCNew*H154*D154*(1+GrowthMarketRent)^1,IF(I154="Option",LCRenewal*H154*D154*(1+GrowthMarketRent)^1,0))))),IF(F154="",0,IF(AND(F154&gt;=DATE(2026+1,5,1),F154&lt;=DATE(2027+1,4,30)),(IF(I154="Vacate",TINew*D154,IF(I154="Market",Retention*TIRenewal*D154+(1-Retention)*TINew*D154,IF(I154="LeaseUp",TINew*D154,IF(I154="Option",TIRenewal*D154,0)))))+(IF(I154="Vacate",LCNew*H154*D154*(1+GrowthMarketRent)^1,IF(I154="Market",Retention*LCRenewal*H154*D154*(1+GrowthMarketRent)^1+(1-Retention)*LCNew*H154*D154*(1+GrowthMarketRent)^1,IF(I154="LeaseUp",LCNew*H154*D154*(1+GrowthMarketRent)^1,IF(I154="Option",LCRenewal*H154*D154*(1+GrowthMarketRent)^1,0))))),0))),0)</f>
        <v/>
      </c>
      <c r="AA154" s="14">
        <f>IFERROR(IF(AND(I154="LeaseUp",2=0),(IF(I154="Vacate",TINew*D154,IF(I154="Market",Retention*TIRenewal*D154+(1-Retention)*TINew*D154,IF(I154="LeaseUp",TINew*D154,IF(I154="Option",TIRenewal*D154,0)))))+(IF(I154="Vacate",LCNew*H154*D154*(1+GrowthMarketRent)^2,IF(I154="Market",Retention*LCRenewal*H154*D154*(1+GrowthMarketRent)^2+(1-Retention)*LCNew*H154*D154*(1+GrowthMarketRent)^2,IF(I154="LeaseUp",LCNew*H154*D154*(1+GrowthMarketRent)^2,IF(I154="Option",LCRenewal*H154*D154*(1+GrowthMarketRent)^2,0))))),IF(F154="",0,IF(AND(F154&gt;=DATE(2026+2,5,1),F154&lt;=DATE(2027+2,4,30)),(IF(I154="Vacate",TINew*D154,IF(I154="Market",Retention*TIRenewal*D154+(1-Retention)*TINew*D154,IF(I154="LeaseUp",TINew*D154,IF(I154="Option",TIRenewal*D154,0)))))+(IF(I154="Vacate",LCNew*H154*D154*(1+GrowthMarketRent)^2,IF(I154="Market",Retention*LCRenewal*H154*D154*(1+GrowthMarketRent)^2+(1-Retention)*LCNew*H154*D154*(1+GrowthMarketRent)^2,IF(I154="LeaseUp",LCNew*H154*D154*(1+GrowthMarketRent)^2,IF(I154="Option",LCRenewal*H154*D154*(1+GrowthMarketRent)^2,0))))),0))),0)</f>
        <v/>
      </c>
      <c r="AB154" s="14">
        <f>IFERROR(IF(AND(I154="LeaseUp",3=0),(IF(I154="Vacate",TINew*D154,IF(I154="Market",Retention*TIRenewal*D154+(1-Retention)*TINew*D154,IF(I154="LeaseUp",TINew*D154,IF(I154="Option",TIRenewal*D154,0)))))+(IF(I154="Vacate",LCNew*H154*D154*(1+GrowthMarketRent)^3,IF(I154="Market",Retention*LCRenewal*H154*D154*(1+GrowthMarketRent)^3+(1-Retention)*LCNew*H154*D154*(1+GrowthMarketRent)^3,IF(I154="LeaseUp",LCNew*H154*D154*(1+GrowthMarketRent)^3,IF(I154="Option",LCRenewal*H154*D154*(1+GrowthMarketRent)^3,0))))),IF(F154="",0,IF(AND(F154&gt;=DATE(2026+3,5,1),F154&lt;=DATE(2027+3,4,30)),(IF(I154="Vacate",TINew*D154,IF(I154="Market",Retention*TIRenewal*D154+(1-Retention)*TINew*D154,IF(I154="LeaseUp",TINew*D154,IF(I154="Option",TIRenewal*D154,0)))))+(IF(I154="Vacate",LCNew*H154*D154*(1+GrowthMarketRent)^3,IF(I154="Market",Retention*LCRenewal*H154*D154*(1+GrowthMarketRent)^3+(1-Retention)*LCNew*H154*D154*(1+GrowthMarketRent)^3,IF(I154="LeaseUp",LCNew*H154*D154*(1+GrowthMarketRent)^3,IF(I154="Option",LCRenewal*H154*D154*(1+GrowthMarketRent)^3,0))))),0))),0)</f>
        <v/>
      </c>
      <c r="AC154" s="14">
        <f>IFERROR(IF(AND(I154="LeaseUp",4=0),(IF(I154="Vacate",TINew*D154,IF(I154="Market",Retention*TIRenewal*D154+(1-Retention)*TINew*D154,IF(I154="LeaseUp",TINew*D154,IF(I154="Option",TIRenewal*D154,0)))))+(IF(I154="Vacate",LCNew*H154*D154*(1+GrowthMarketRent)^4,IF(I154="Market",Retention*LCRenewal*H154*D154*(1+GrowthMarketRent)^4+(1-Retention)*LCNew*H154*D154*(1+GrowthMarketRent)^4,IF(I154="LeaseUp",LCNew*H154*D154*(1+GrowthMarketRent)^4,IF(I154="Option",LCRenewal*H154*D154*(1+GrowthMarketRent)^4,0))))),IF(F154="",0,IF(AND(F154&gt;=DATE(2026+4,5,1),F154&lt;=DATE(2027+4,4,30)),(IF(I154="Vacate",TINew*D154,IF(I154="Market",Retention*TIRenewal*D154+(1-Retention)*TINew*D154,IF(I154="LeaseUp",TINew*D154,IF(I154="Option",TIRenewal*D154,0)))))+(IF(I154="Vacate",LCNew*H154*D154*(1+GrowthMarketRent)^4,IF(I154="Market",Retention*LCRenewal*H154*D154*(1+GrowthMarketRent)^4+(1-Retention)*LCNew*H154*D154*(1+GrowthMarketRent)^4,IF(I154="LeaseUp",LCNew*H154*D154*(1+GrowthMarketRent)^4,IF(I154="Option",LCRenewal*H154*D154*(1+GrowthMarketRent)^4,0))))),0))),0)</f>
        <v/>
      </c>
      <c r="AD154" s="14">
        <f>IFERROR(IF(AND(I154="LeaseUp",5=0),(IF(I154="Vacate",TINew*D154,IF(I154="Market",Retention*TIRenewal*D154+(1-Retention)*TINew*D154,IF(I154="LeaseUp",TINew*D154,IF(I154="Option",TIRenewal*D154,0)))))+(IF(I154="Vacate",LCNew*H154*D154*(1+GrowthMarketRent)^5,IF(I154="Market",Retention*LCRenewal*H154*D154*(1+GrowthMarketRent)^5+(1-Retention)*LCNew*H154*D154*(1+GrowthMarketRent)^5,IF(I154="LeaseUp",LCNew*H154*D154*(1+GrowthMarketRent)^5,IF(I154="Option",LCRenewal*H154*D154*(1+GrowthMarketRent)^5,0))))),IF(F154="",0,IF(AND(F154&gt;=DATE(2026+5,5,1),F154&lt;=DATE(2027+5,4,30)),(IF(I154="Vacate",TINew*D154,IF(I154="Market",Retention*TIRenewal*D154+(1-Retention)*TINew*D154,IF(I154="LeaseUp",TINew*D154,IF(I154="Option",TIRenewal*D154,0)))))+(IF(I154="Vacate",LCNew*H154*D154*(1+GrowthMarketRent)^5,IF(I154="Market",Retention*LCRenewal*H154*D154*(1+GrowthMarketRent)^5+(1-Retention)*LCNew*H154*D154*(1+GrowthMarketRent)^5,IF(I154="LeaseUp",LCNew*H154*D154*(1+GrowthMarketRent)^5,IF(I154="Option",LCRenewal*H154*D154*(1+GrowthMarketRent)^5,0))))),0))),0)</f>
        <v/>
      </c>
      <c r="AE154" s="14">
        <f>IFERROR(IF(AND(I154="LeaseUp",6=0),(IF(I154="Vacate",TINew*D154,IF(I154="Market",Retention*TIRenewal*D154+(1-Retention)*TINew*D154,IF(I154="LeaseUp",TINew*D154,IF(I154="Option",TIRenewal*D154,0)))))+(IF(I154="Vacate",LCNew*H154*D154*(1+GrowthMarketRent)^6,IF(I154="Market",Retention*LCRenewal*H154*D154*(1+GrowthMarketRent)^6+(1-Retention)*LCNew*H154*D154*(1+GrowthMarketRent)^6,IF(I154="LeaseUp",LCNew*H154*D154*(1+GrowthMarketRent)^6,IF(I154="Option",LCRenewal*H154*D154*(1+GrowthMarketRent)^6,0))))),IF(F154="",0,IF(AND(F154&gt;=DATE(2026+6,5,1),F154&lt;=DATE(2027+6,4,30)),(IF(I154="Vacate",TINew*D154,IF(I154="Market",Retention*TIRenewal*D154+(1-Retention)*TINew*D154,IF(I154="LeaseUp",TINew*D154,IF(I154="Option",TIRenewal*D154,0)))))+(IF(I154="Vacate",LCNew*H154*D154*(1+GrowthMarketRent)^6,IF(I154="Market",Retention*LCRenewal*H154*D154*(1+GrowthMarketRent)^6+(1-Retention)*LCNew*H154*D154*(1+GrowthMarketRent)^6,IF(I154="LeaseUp",LCNew*H154*D154*(1+GrowthMarketRent)^6,IF(I154="Option",LCRenewal*H154*D154*(1+GrowthMarketRent)^6,0))))),0))),0)</f>
        <v/>
      </c>
      <c r="AF154" s="14">
        <f>IFERROR(IF(AND(I154="LeaseUp",7=0),(IF(I154="Vacate",TINew*D154,IF(I154="Market",Retention*TIRenewal*D154+(1-Retention)*TINew*D154,IF(I154="LeaseUp",TINew*D154,IF(I154="Option",TIRenewal*D154,0)))))+(IF(I154="Vacate",LCNew*H154*D154*(1+GrowthMarketRent)^7,IF(I154="Market",Retention*LCRenewal*H154*D154*(1+GrowthMarketRent)^7+(1-Retention)*LCNew*H154*D154*(1+GrowthMarketRent)^7,IF(I154="LeaseUp",LCNew*H154*D154*(1+GrowthMarketRent)^7,IF(I154="Option",LCRenewal*H154*D154*(1+GrowthMarketRent)^7,0))))),IF(F154="",0,IF(AND(F154&gt;=DATE(2026+7,5,1),F154&lt;=DATE(2027+7,4,30)),(IF(I154="Vacate",TINew*D154,IF(I154="Market",Retention*TIRenewal*D154+(1-Retention)*TINew*D154,IF(I154="LeaseUp",TINew*D154,IF(I154="Option",TIRenewal*D154,0)))))+(IF(I154="Vacate",LCNew*H154*D154*(1+GrowthMarketRent)^7,IF(I154="Market",Retention*LCRenewal*H154*D154*(1+GrowthMarketRent)^7+(1-Retention)*LCNew*H154*D154*(1+GrowthMarketRent)^7,IF(I154="LeaseUp",LCNew*H154*D154*(1+GrowthMarketRent)^7,IF(I154="Option",LCRenewal*H154*D154*(1+GrowthMarketRent)^7,0))))),0))),0)</f>
        <v/>
      </c>
      <c r="AG154" s="14">
        <f>IFERROR(IF(AND(I154="LeaseUp",8=0),(IF(I154="Vacate",TINew*D154,IF(I154="Market",Retention*TIRenewal*D154+(1-Retention)*TINew*D154,IF(I154="LeaseUp",TINew*D154,IF(I154="Option",TIRenewal*D154,0)))))+(IF(I154="Vacate",LCNew*H154*D154*(1+GrowthMarketRent)^8,IF(I154="Market",Retention*LCRenewal*H154*D154*(1+GrowthMarketRent)^8+(1-Retention)*LCNew*H154*D154*(1+GrowthMarketRent)^8,IF(I154="LeaseUp",LCNew*H154*D154*(1+GrowthMarketRent)^8,IF(I154="Option",LCRenewal*H154*D154*(1+GrowthMarketRent)^8,0))))),IF(F154="",0,IF(AND(F154&gt;=DATE(2026+8,5,1),F154&lt;=DATE(2027+8,4,30)),(IF(I154="Vacate",TINew*D154,IF(I154="Market",Retention*TIRenewal*D154+(1-Retention)*TINew*D154,IF(I154="LeaseUp",TINew*D154,IF(I154="Option",TIRenewal*D154,0)))))+(IF(I154="Vacate",LCNew*H154*D154*(1+GrowthMarketRent)^8,IF(I154="Market",Retention*LCRenewal*H154*D154*(1+GrowthMarketRent)^8+(1-Retention)*LCNew*H154*D154*(1+GrowthMarketRent)^8,IF(I154="LeaseUp",LCNew*H154*D154*(1+GrowthMarketRent)^8,IF(I154="Option",LCRenewal*H154*D154*(1+GrowthMarketRent)^8,0))))),0))),0)</f>
        <v/>
      </c>
      <c r="AH154" s="14">
        <f>IFERROR(IF(AND(I154="LeaseUp",9=0),(IF(I154="Vacate",TINew*D154,IF(I154="Market",Retention*TIRenewal*D154+(1-Retention)*TINew*D154,IF(I154="LeaseUp",TINew*D154,IF(I154="Option",TIRenewal*D154,0)))))+(IF(I154="Vacate",LCNew*H154*D154*(1+GrowthMarketRent)^9,IF(I154="Market",Retention*LCRenewal*H154*D154*(1+GrowthMarketRent)^9+(1-Retention)*LCNew*H154*D154*(1+GrowthMarketRent)^9,IF(I154="LeaseUp",LCNew*H154*D154*(1+GrowthMarketRent)^9,IF(I154="Option",LCRenewal*H154*D154*(1+GrowthMarketRent)^9,0))))),IF(F154="",0,IF(AND(F154&gt;=DATE(2026+9,5,1),F154&lt;=DATE(2027+9,4,30)),(IF(I154="Vacate",TINew*D154,IF(I154="Market",Retention*TIRenewal*D154+(1-Retention)*TINew*D154,IF(I154="LeaseUp",TINew*D154,IF(I154="Option",TIRenewal*D154,0)))))+(IF(I154="Vacate",LCNew*H154*D154*(1+GrowthMarketRent)^9,IF(I154="Market",Retention*LCRenewal*H154*D154*(1+GrowthMarketRent)^9+(1-Retention)*LCNew*H154*D154*(1+GrowthMarketRent)^9,IF(I154="LeaseUp",LCNew*H154*D154*(1+GrowthMarketRent)^9,IF(I154="Option",LCRenewal*H154*D154*(1+GrowthMarketRent)^9,0))))),0))),0)</f>
        <v/>
      </c>
      <c r="AI154" s="14">
        <f>IFERROR(IF(AND(I154="LeaseUp",10=0),(IF(I154="Vacate",TINew*D154,IF(I154="Market",Retention*TIRenewal*D154+(1-Retention)*TINew*D154,IF(I154="LeaseUp",TINew*D154,IF(I154="Option",TIRenewal*D154,0)))))+(IF(I154="Vacate",LCNew*H154*D154*(1+GrowthMarketRent)^10,IF(I154="Market",Retention*LCRenewal*H154*D154*(1+GrowthMarketRent)^10+(1-Retention)*LCNew*H154*D154*(1+GrowthMarketRent)^10,IF(I154="LeaseUp",LCNew*H154*D154*(1+GrowthMarketRent)^10,IF(I154="Option",LCRenewal*H154*D154*(1+GrowthMarketRent)^10,0))))),IF(F154="",0,IF(AND(F154&gt;=DATE(2026+10,5,1),F154&lt;=DATE(2027+10,4,30)),(IF(I154="Vacate",TINew*D154,IF(I154="Market",Retention*TIRenewal*D154+(1-Retention)*TINew*D154,IF(I154="LeaseUp",TINew*D154,IF(I154="Option",TIRenewal*D154,0)))))+(IF(I154="Vacate",LCNew*H154*D154*(1+GrowthMarketRent)^10,IF(I154="Market",Retention*LCRenewal*H154*D154*(1+GrowthMarketRent)^10+(1-Retention)*LCNew*H154*D154*(1+GrowthMarketRent)^10,IF(I154="LeaseUp",LCNew*H154*D154*(1+GrowthMarketRent)^10,IF(I154="Option",LCRenewal*H154*D154*(1+GrowthMarketRent)^10,0))))),0))),0)</f>
        <v/>
      </c>
    </row>
    <row r="155">
      <c r="A155" t="inlineStr">
        <is>
          <t>Plano</t>
        </is>
      </c>
      <c r="B155" t="inlineStr">
        <is>
          <t>206</t>
        </is>
      </c>
      <c r="C155" t="inlineStr">
        <is>
          <t>Initech Roofing Inc.</t>
        </is>
      </c>
      <c r="D155" s="32" t="n">
        <v>2600</v>
      </c>
      <c r="E155" s="33" t="n">
        <v>45566</v>
      </c>
      <c r="F155" s="33" t="n">
        <v>46813</v>
      </c>
      <c r="G155" s="34" t="n">
        <v>18.45</v>
      </c>
      <c r="H155" s="16">
        <f>VLOOKUP(A155,MLA!$A$5:$L$11,3,FALSE)</f>
        <v/>
      </c>
      <c r="I155" s="11" t="inlineStr">
        <is>
          <t>Option</t>
        </is>
      </c>
      <c r="J155" t="inlineStr">
        <is>
          <t>Shop</t>
        </is>
      </c>
      <c r="K155" t="inlineStr">
        <is>
          <t>Occupied</t>
        </is>
      </c>
      <c r="L155" t="inlineStr">
        <is>
          <t>Shop; Guarantor: Nereida (Neddy) Hurtado; Two 3yr options @ FMV</t>
        </is>
      </c>
      <c r="M155" s="20">
        <f>IF(E155="",0,(AnalysisStart-E155)/365.25)</f>
        <v/>
      </c>
      <c r="N155" s="14">
        <f>IFERROR(IF(I155="LeaseUp",H155*D155*(1+GrowthMarketRent)^0*IF(0=0,(12-DowntimeNew)/12,1),IF(F155="",0,IF(F155&gt;=DATE(2027+0,4,30),G155*D155*(1+EscalatorInLease)^(0+M155),IF(F155&lt;DATE(2026+0,5,1),IF(I155="Vacate",H155*D155*(1+GrowthMarketRent)^0*IF(INT((DATE(2026+0,10,31)-F155)/365.25)=0,(12-DowntimeNew)/12,1),IF(I155="Option",G155*D155*1.025*(1+EscalatorInLease)^0,IF(I155="Market",Retention*G155*D155*(1+EscalatorInLease)^(0+M155)+(1-Retention)*H155*D155*(1+GrowthMarketRent)^0*IF(INT((DATE(2026+0,10,31)-F155)/365.25)=0,(12-DowntimeNew)/12,1),IF(I155="LeaseUp",H155*D155*(1+GrowthMarketRent)^0*IF(0=0,(12-DowntimeNew)/12,1),0)))),((F155-DATE(2026+0,5,1))/365.25)*G155*D155*(1+EscalatorInLease)^(0+M155)+((DATE(2027+0,4,30)-F155)/365.25)*IF(I155="Vacate",H155*D155*(1+GrowthMarketRent)^0*IF(INT((DATE(2026+0,10,31)-F155)/365.25)=0,(12-DowntimeNew)/12,1),IF(I155="Option",G155*D155*1.025*(1+EscalatorInLease)^0,IF(I155="Market",Retention*G155*D155*(1+EscalatorInLease)^(0+M155)+(1-Retention)*H155*D155*(1+GrowthMarketRent)^0*IF(INT((DATE(2026+0,10,31)-F155)/365.25)=0,(12-DowntimeNew)/12,1),IF(I155="LeaseUp",H155*D155*(1+GrowthMarketRent)^0*IF(0=0,(12-DowntimeNew)/12,1),0)))))))),0)</f>
        <v/>
      </c>
      <c r="O155" s="14">
        <f>IFERROR(IF(I155="LeaseUp",H155*D155*(1+GrowthMarketRent)^1*IF(1=0,(12-DowntimeNew)/12,1),IF(F155="",0,IF(F155&gt;=DATE(2027+1,4,30),G155*D155*(1+EscalatorInLease)^(1+M155),IF(F155&lt;DATE(2026+1,5,1),IF(I155="Vacate",H155*D155*(1+GrowthMarketRent)^1*IF(INT((DATE(2026+1,10,31)-F155)/365.25)=0,(12-DowntimeNew)/12,1),IF(I155="Option",G155*D155*1.025*(1+EscalatorInLease)^1,IF(I155="Market",Retention*G155*D155*(1+EscalatorInLease)^(1+M155)+(1-Retention)*H155*D155*(1+GrowthMarketRent)^1*IF(INT((DATE(2026+1,10,31)-F155)/365.25)=0,(12-DowntimeNew)/12,1),IF(I155="LeaseUp",H155*D155*(1+GrowthMarketRent)^1*IF(1=0,(12-DowntimeNew)/12,1),0)))),((F155-DATE(2026+1,5,1))/365.25)*G155*D155*(1+EscalatorInLease)^(1+M155)+((DATE(2027+1,4,30)-F155)/365.25)*IF(I155="Vacate",H155*D155*(1+GrowthMarketRent)^1*IF(INT((DATE(2026+1,10,31)-F155)/365.25)=0,(12-DowntimeNew)/12,1),IF(I155="Option",G155*D155*1.025*(1+EscalatorInLease)^1,IF(I155="Market",Retention*G155*D155*(1+EscalatorInLease)^(1+M155)+(1-Retention)*H155*D155*(1+GrowthMarketRent)^1*IF(INT((DATE(2026+1,10,31)-F155)/365.25)=0,(12-DowntimeNew)/12,1),IF(I155="LeaseUp",H155*D155*(1+GrowthMarketRent)^1*IF(1=0,(12-DowntimeNew)/12,1),0)))))))),0)</f>
        <v/>
      </c>
      <c r="P155" s="14">
        <f>IFERROR(IF(I155="LeaseUp",H155*D155*(1+GrowthMarketRent)^2*IF(2=0,(12-DowntimeNew)/12,1),IF(F155="",0,IF(F155&gt;=DATE(2027+2,4,30),G155*D155*(1+EscalatorInLease)^(2+M155),IF(F155&lt;DATE(2026+2,5,1),IF(I155="Vacate",H155*D155*(1+GrowthMarketRent)^2*IF(INT((DATE(2026+2,10,31)-F155)/365.25)=0,(12-DowntimeNew)/12,1),IF(I155="Option",G155*D155*1.025*(1+EscalatorInLease)^2,IF(I155="Market",Retention*G155*D155*(1+EscalatorInLease)^(2+M155)+(1-Retention)*H155*D155*(1+GrowthMarketRent)^2*IF(INT((DATE(2026+2,10,31)-F155)/365.25)=0,(12-DowntimeNew)/12,1),IF(I155="LeaseUp",H155*D155*(1+GrowthMarketRent)^2*IF(2=0,(12-DowntimeNew)/12,1),0)))),((F155-DATE(2026+2,5,1))/365.25)*G155*D155*(1+EscalatorInLease)^(2+M155)+((DATE(2027+2,4,30)-F155)/365.25)*IF(I155="Vacate",H155*D155*(1+GrowthMarketRent)^2*IF(INT((DATE(2026+2,10,31)-F155)/365.25)=0,(12-DowntimeNew)/12,1),IF(I155="Option",G155*D155*1.025*(1+EscalatorInLease)^2,IF(I155="Market",Retention*G155*D155*(1+EscalatorInLease)^(2+M155)+(1-Retention)*H155*D155*(1+GrowthMarketRent)^2*IF(INT((DATE(2026+2,10,31)-F155)/365.25)=0,(12-DowntimeNew)/12,1),IF(I155="LeaseUp",H155*D155*(1+GrowthMarketRent)^2*IF(2=0,(12-DowntimeNew)/12,1),0)))))))),0)</f>
        <v/>
      </c>
      <c r="Q155" s="14">
        <f>IFERROR(IF(I155="LeaseUp",H155*D155*(1+GrowthMarketRent)^3*IF(3=0,(12-DowntimeNew)/12,1),IF(F155="",0,IF(F155&gt;=DATE(2027+3,4,30),G155*D155*(1+EscalatorInLease)^(3+M155),IF(F155&lt;DATE(2026+3,5,1),IF(I155="Vacate",H155*D155*(1+GrowthMarketRent)^3*IF(INT((DATE(2026+3,10,31)-F155)/365.25)=0,(12-DowntimeNew)/12,1),IF(I155="Option",G155*D155*1.025*(1+EscalatorInLease)^3,IF(I155="Market",Retention*G155*D155*(1+EscalatorInLease)^(3+M155)+(1-Retention)*H155*D155*(1+GrowthMarketRent)^3*IF(INT((DATE(2026+3,10,31)-F155)/365.25)=0,(12-DowntimeNew)/12,1),IF(I155="LeaseUp",H155*D155*(1+GrowthMarketRent)^3*IF(3=0,(12-DowntimeNew)/12,1),0)))),((F155-DATE(2026+3,5,1))/365.25)*G155*D155*(1+EscalatorInLease)^(3+M155)+((DATE(2027+3,4,30)-F155)/365.25)*IF(I155="Vacate",H155*D155*(1+GrowthMarketRent)^3*IF(INT((DATE(2026+3,10,31)-F155)/365.25)=0,(12-DowntimeNew)/12,1),IF(I155="Option",G155*D155*1.025*(1+EscalatorInLease)^3,IF(I155="Market",Retention*G155*D155*(1+EscalatorInLease)^(3+M155)+(1-Retention)*H155*D155*(1+GrowthMarketRent)^3*IF(INT((DATE(2026+3,10,31)-F155)/365.25)=0,(12-DowntimeNew)/12,1),IF(I155="LeaseUp",H155*D155*(1+GrowthMarketRent)^3*IF(3=0,(12-DowntimeNew)/12,1),0)))))))),0)</f>
        <v/>
      </c>
      <c r="R155" s="14">
        <f>IFERROR(IF(I155="LeaseUp",H155*D155*(1+GrowthMarketRent)^4*IF(4=0,(12-DowntimeNew)/12,1),IF(F155="",0,IF(F155&gt;=DATE(2027+4,4,30),G155*D155*(1+EscalatorInLease)^(4+M155),IF(F155&lt;DATE(2026+4,5,1),IF(I155="Vacate",H155*D155*(1+GrowthMarketRent)^4*IF(INT((DATE(2026+4,10,31)-F155)/365.25)=0,(12-DowntimeNew)/12,1),IF(I155="Option",G155*D155*1.025*(1+EscalatorInLease)^4,IF(I155="Market",Retention*G155*D155*(1+EscalatorInLease)^(4+M155)+(1-Retention)*H155*D155*(1+GrowthMarketRent)^4*IF(INT((DATE(2026+4,10,31)-F155)/365.25)=0,(12-DowntimeNew)/12,1),IF(I155="LeaseUp",H155*D155*(1+GrowthMarketRent)^4*IF(4=0,(12-DowntimeNew)/12,1),0)))),((F155-DATE(2026+4,5,1))/365.25)*G155*D155*(1+EscalatorInLease)^(4+M155)+((DATE(2027+4,4,30)-F155)/365.25)*IF(I155="Vacate",H155*D155*(1+GrowthMarketRent)^4*IF(INT((DATE(2026+4,10,31)-F155)/365.25)=0,(12-DowntimeNew)/12,1),IF(I155="Option",G155*D155*1.025*(1+EscalatorInLease)^4,IF(I155="Market",Retention*G155*D155*(1+EscalatorInLease)^(4+M155)+(1-Retention)*H155*D155*(1+GrowthMarketRent)^4*IF(INT((DATE(2026+4,10,31)-F155)/365.25)=0,(12-DowntimeNew)/12,1),IF(I155="LeaseUp",H155*D155*(1+GrowthMarketRent)^4*IF(4=0,(12-DowntimeNew)/12,1),0)))))))),0)</f>
        <v/>
      </c>
      <c r="S155" s="14">
        <f>IFERROR(IF(I155="LeaseUp",H155*D155*(1+GrowthMarketRent)^5*IF(5=0,(12-DowntimeNew)/12,1),IF(F155="",0,IF(F155&gt;=DATE(2027+5,4,30),G155*D155*(1+EscalatorInLease)^(5+M155),IF(F155&lt;DATE(2026+5,5,1),IF(I155="Vacate",H155*D155*(1+GrowthMarketRent)^5*IF(INT((DATE(2026+5,10,31)-F155)/365.25)=0,(12-DowntimeNew)/12,1),IF(I155="Option",G155*D155*1.025*(1+EscalatorInLease)^5,IF(I155="Market",Retention*G155*D155*(1+EscalatorInLease)^(5+M155)+(1-Retention)*H155*D155*(1+GrowthMarketRent)^5*IF(INT((DATE(2026+5,10,31)-F155)/365.25)=0,(12-DowntimeNew)/12,1),IF(I155="LeaseUp",H155*D155*(1+GrowthMarketRent)^5*IF(5=0,(12-DowntimeNew)/12,1),0)))),((F155-DATE(2026+5,5,1))/365.25)*G155*D155*(1+EscalatorInLease)^(5+M155)+((DATE(2027+5,4,30)-F155)/365.25)*IF(I155="Vacate",H155*D155*(1+GrowthMarketRent)^5*IF(INT((DATE(2026+5,10,31)-F155)/365.25)=0,(12-DowntimeNew)/12,1),IF(I155="Option",G155*D155*1.025*(1+EscalatorInLease)^5,IF(I155="Market",Retention*G155*D155*(1+EscalatorInLease)^(5+M155)+(1-Retention)*H155*D155*(1+GrowthMarketRent)^5*IF(INT((DATE(2026+5,10,31)-F155)/365.25)=0,(12-DowntimeNew)/12,1),IF(I155="LeaseUp",H155*D155*(1+GrowthMarketRent)^5*IF(5=0,(12-DowntimeNew)/12,1),0)))))))),0)</f>
        <v/>
      </c>
      <c r="T155" s="14">
        <f>IFERROR(IF(I155="LeaseUp",H155*D155*(1+GrowthMarketRent)^6*IF(6=0,(12-DowntimeNew)/12,1),IF(F155="",0,IF(F155&gt;=DATE(2027+6,4,30),G155*D155*(1+EscalatorInLease)^(6+M155),IF(F155&lt;DATE(2026+6,5,1),IF(I155="Vacate",H155*D155*(1+GrowthMarketRent)^6*IF(INT((DATE(2026+6,10,31)-F155)/365.25)=0,(12-DowntimeNew)/12,1),IF(I155="Option",G155*D155*1.025*(1+EscalatorInLease)^6,IF(I155="Market",Retention*G155*D155*(1+EscalatorInLease)^(6+M155)+(1-Retention)*H155*D155*(1+GrowthMarketRent)^6*IF(INT((DATE(2026+6,10,31)-F155)/365.25)=0,(12-DowntimeNew)/12,1),IF(I155="LeaseUp",H155*D155*(1+GrowthMarketRent)^6*IF(6=0,(12-DowntimeNew)/12,1),0)))),((F155-DATE(2026+6,5,1))/365.25)*G155*D155*(1+EscalatorInLease)^(6+M155)+((DATE(2027+6,4,30)-F155)/365.25)*IF(I155="Vacate",H155*D155*(1+GrowthMarketRent)^6*IF(INT((DATE(2026+6,10,31)-F155)/365.25)=0,(12-DowntimeNew)/12,1),IF(I155="Option",G155*D155*1.025*(1+EscalatorInLease)^6,IF(I155="Market",Retention*G155*D155*(1+EscalatorInLease)^(6+M155)+(1-Retention)*H155*D155*(1+GrowthMarketRent)^6*IF(INT((DATE(2026+6,10,31)-F155)/365.25)=0,(12-DowntimeNew)/12,1),IF(I155="LeaseUp",H155*D155*(1+GrowthMarketRent)^6*IF(6=0,(12-DowntimeNew)/12,1),0)))))))),0)</f>
        <v/>
      </c>
      <c r="U155" s="14">
        <f>IFERROR(IF(I155="LeaseUp",H155*D155*(1+GrowthMarketRent)^7*IF(7=0,(12-DowntimeNew)/12,1),IF(F155="",0,IF(F155&gt;=DATE(2027+7,4,30),G155*D155*(1+EscalatorInLease)^(7+M155),IF(F155&lt;DATE(2026+7,5,1),IF(I155="Vacate",H155*D155*(1+GrowthMarketRent)^7*IF(INT((DATE(2026+7,10,31)-F155)/365.25)=0,(12-DowntimeNew)/12,1),IF(I155="Option",G155*D155*1.025*(1+EscalatorInLease)^7,IF(I155="Market",Retention*G155*D155*(1+EscalatorInLease)^(7+M155)+(1-Retention)*H155*D155*(1+GrowthMarketRent)^7*IF(INT((DATE(2026+7,10,31)-F155)/365.25)=0,(12-DowntimeNew)/12,1),IF(I155="LeaseUp",H155*D155*(1+GrowthMarketRent)^7*IF(7=0,(12-DowntimeNew)/12,1),0)))),((F155-DATE(2026+7,5,1))/365.25)*G155*D155*(1+EscalatorInLease)^(7+M155)+((DATE(2027+7,4,30)-F155)/365.25)*IF(I155="Vacate",H155*D155*(1+GrowthMarketRent)^7*IF(INT((DATE(2026+7,10,31)-F155)/365.25)=0,(12-DowntimeNew)/12,1),IF(I155="Option",G155*D155*1.025*(1+EscalatorInLease)^7,IF(I155="Market",Retention*G155*D155*(1+EscalatorInLease)^(7+M155)+(1-Retention)*H155*D155*(1+GrowthMarketRent)^7*IF(INT((DATE(2026+7,10,31)-F155)/365.25)=0,(12-DowntimeNew)/12,1),IF(I155="LeaseUp",H155*D155*(1+GrowthMarketRent)^7*IF(7=0,(12-DowntimeNew)/12,1),0)))))))),0)</f>
        <v/>
      </c>
      <c r="V155" s="14">
        <f>IFERROR(IF(I155="LeaseUp",H155*D155*(1+GrowthMarketRent)^8*IF(8=0,(12-DowntimeNew)/12,1),IF(F155="",0,IF(F155&gt;=DATE(2027+8,4,30),G155*D155*(1+EscalatorInLease)^(8+M155),IF(F155&lt;DATE(2026+8,5,1),IF(I155="Vacate",H155*D155*(1+GrowthMarketRent)^8*IF(INT((DATE(2026+8,10,31)-F155)/365.25)=0,(12-DowntimeNew)/12,1),IF(I155="Option",G155*D155*1.025*(1+EscalatorInLease)^8,IF(I155="Market",Retention*G155*D155*(1+EscalatorInLease)^(8+M155)+(1-Retention)*H155*D155*(1+GrowthMarketRent)^8*IF(INT((DATE(2026+8,10,31)-F155)/365.25)=0,(12-DowntimeNew)/12,1),IF(I155="LeaseUp",H155*D155*(1+GrowthMarketRent)^8*IF(8=0,(12-DowntimeNew)/12,1),0)))),((F155-DATE(2026+8,5,1))/365.25)*G155*D155*(1+EscalatorInLease)^(8+M155)+((DATE(2027+8,4,30)-F155)/365.25)*IF(I155="Vacate",H155*D155*(1+GrowthMarketRent)^8*IF(INT((DATE(2026+8,10,31)-F155)/365.25)=0,(12-DowntimeNew)/12,1),IF(I155="Option",G155*D155*1.025*(1+EscalatorInLease)^8,IF(I155="Market",Retention*G155*D155*(1+EscalatorInLease)^(8+M155)+(1-Retention)*H155*D155*(1+GrowthMarketRent)^8*IF(INT((DATE(2026+8,10,31)-F155)/365.25)=0,(12-DowntimeNew)/12,1),IF(I155="LeaseUp",H155*D155*(1+GrowthMarketRent)^8*IF(8=0,(12-DowntimeNew)/12,1),0)))))))),0)</f>
        <v/>
      </c>
      <c r="W155" s="14">
        <f>IFERROR(IF(I155="LeaseUp",H155*D155*(1+GrowthMarketRent)^9*IF(9=0,(12-DowntimeNew)/12,1),IF(F155="",0,IF(F155&gt;=DATE(2027+9,4,30),G155*D155*(1+EscalatorInLease)^(9+M155),IF(F155&lt;DATE(2026+9,5,1),IF(I155="Vacate",H155*D155*(1+GrowthMarketRent)^9*IF(INT((DATE(2026+9,10,31)-F155)/365.25)=0,(12-DowntimeNew)/12,1),IF(I155="Option",G155*D155*1.025*(1+EscalatorInLease)^9,IF(I155="Market",Retention*G155*D155*(1+EscalatorInLease)^(9+M155)+(1-Retention)*H155*D155*(1+GrowthMarketRent)^9*IF(INT((DATE(2026+9,10,31)-F155)/365.25)=0,(12-DowntimeNew)/12,1),IF(I155="LeaseUp",H155*D155*(1+GrowthMarketRent)^9*IF(9=0,(12-DowntimeNew)/12,1),0)))),((F155-DATE(2026+9,5,1))/365.25)*G155*D155*(1+EscalatorInLease)^(9+M155)+((DATE(2027+9,4,30)-F155)/365.25)*IF(I155="Vacate",H155*D155*(1+GrowthMarketRent)^9*IF(INT((DATE(2026+9,10,31)-F155)/365.25)=0,(12-DowntimeNew)/12,1),IF(I155="Option",G155*D155*1.025*(1+EscalatorInLease)^9,IF(I155="Market",Retention*G155*D155*(1+EscalatorInLease)^(9+M155)+(1-Retention)*H155*D155*(1+GrowthMarketRent)^9*IF(INT((DATE(2026+9,10,31)-F155)/365.25)=0,(12-DowntimeNew)/12,1),IF(I155="LeaseUp",H155*D155*(1+GrowthMarketRent)^9*IF(9=0,(12-DowntimeNew)/12,1),0)))))))),0)</f>
        <v/>
      </c>
      <c r="X155" s="14">
        <f>IFERROR(IF(I155="LeaseUp",H155*D155*(1+GrowthMarketRent)^10*IF(10=0,(12-DowntimeNew)/12,1),IF(F155="",0,IF(F155&gt;=DATE(2027+10,4,30),G155*D155*(1+EscalatorInLease)^(10+M155),IF(F155&lt;DATE(2026+10,5,1),IF(I155="Vacate",H155*D155*(1+GrowthMarketRent)^10*IF(INT((DATE(2026+10,10,31)-F155)/365.25)=0,(12-DowntimeNew)/12,1),IF(I155="Option",G155*D155*1.025*(1+EscalatorInLease)^10,IF(I155="Market",Retention*G155*D155*(1+EscalatorInLease)^(10+M155)+(1-Retention)*H155*D155*(1+GrowthMarketRent)^10*IF(INT((DATE(2026+10,10,31)-F155)/365.25)=0,(12-DowntimeNew)/12,1),IF(I155="LeaseUp",H155*D155*(1+GrowthMarketRent)^10*IF(10=0,(12-DowntimeNew)/12,1),0)))),((F155-DATE(2026+10,5,1))/365.25)*G155*D155*(1+EscalatorInLease)^(10+M155)+((DATE(2027+10,4,30)-F155)/365.25)*IF(I155="Vacate",H155*D155*(1+GrowthMarketRent)^10*IF(INT((DATE(2026+10,10,31)-F155)/365.25)=0,(12-DowntimeNew)/12,1),IF(I155="Option",G155*D155*1.025*(1+EscalatorInLease)^10,IF(I155="Market",Retention*G155*D155*(1+EscalatorInLease)^(10+M155)+(1-Retention)*H155*D155*(1+GrowthMarketRent)^10*IF(INT((DATE(2026+10,10,31)-F155)/365.25)=0,(12-DowntimeNew)/12,1),IF(I155="LeaseUp",H155*D155*(1+GrowthMarketRent)^10*IF(10=0,(12-DowntimeNew)/12,1),0)))))))),0)</f>
        <v/>
      </c>
      <c r="Y155" s="14">
        <f>IFERROR(IF(AND(I155="LeaseUp",0=0),(IF(I155="Vacate",TINew*D155,IF(I155="Market",Retention*TIRenewal*D155+(1-Retention)*TINew*D155,IF(I155="LeaseUp",TINew*D155,IF(I155="Option",TIRenewal*D155,0)))))+(IF(I155="Vacate",LCNew*H155*D155*(1+GrowthMarketRent)^0,IF(I155="Market",Retention*LCRenewal*H155*D155*(1+GrowthMarketRent)^0+(1-Retention)*LCNew*H155*D155*(1+GrowthMarketRent)^0,IF(I155="LeaseUp",LCNew*H155*D155*(1+GrowthMarketRent)^0,IF(I155="Option",LCRenewal*H155*D155*(1+GrowthMarketRent)^0,0))))),IF(F155="",0,IF(AND(F155&gt;=DATE(2026+0,5,1),F155&lt;=DATE(2027+0,4,30)),(IF(I155="Vacate",TINew*D155,IF(I155="Market",Retention*TIRenewal*D155+(1-Retention)*TINew*D155,IF(I155="LeaseUp",TINew*D155,IF(I155="Option",TIRenewal*D155,0)))))+(IF(I155="Vacate",LCNew*H155*D155*(1+GrowthMarketRent)^0,IF(I155="Market",Retention*LCRenewal*H155*D155*(1+GrowthMarketRent)^0+(1-Retention)*LCNew*H155*D155*(1+GrowthMarketRent)^0,IF(I155="LeaseUp",LCNew*H155*D155*(1+GrowthMarketRent)^0,IF(I155="Option",LCRenewal*H155*D155*(1+GrowthMarketRent)^0,0))))),0))),0)</f>
        <v/>
      </c>
      <c r="Z155" s="14">
        <f>IFERROR(IF(AND(I155="LeaseUp",1=0),(IF(I155="Vacate",TINew*D155,IF(I155="Market",Retention*TIRenewal*D155+(1-Retention)*TINew*D155,IF(I155="LeaseUp",TINew*D155,IF(I155="Option",TIRenewal*D155,0)))))+(IF(I155="Vacate",LCNew*H155*D155*(1+GrowthMarketRent)^1,IF(I155="Market",Retention*LCRenewal*H155*D155*(1+GrowthMarketRent)^1+(1-Retention)*LCNew*H155*D155*(1+GrowthMarketRent)^1,IF(I155="LeaseUp",LCNew*H155*D155*(1+GrowthMarketRent)^1,IF(I155="Option",LCRenewal*H155*D155*(1+GrowthMarketRent)^1,0))))),IF(F155="",0,IF(AND(F155&gt;=DATE(2026+1,5,1),F155&lt;=DATE(2027+1,4,30)),(IF(I155="Vacate",TINew*D155,IF(I155="Market",Retention*TIRenewal*D155+(1-Retention)*TINew*D155,IF(I155="LeaseUp",TINew*D155,IF(I155="Option",TIRenewal*D155,0)))))+(IF(I155="Vacate",LCNew*H155*D155*(1+GrowthMarketRent)^1,IF(I155="Market",Retention*LCRenewal*H155*D155*(1+GrowthMarketRent)^1+(1-Retention)*LCNew*H155*D155*(1+GrowthMarketRent)^1,IF(I155="LeaseUp",LCNew*H155*D155*(1+GrowthMarketRent)^1,IF(I155="Option",LCRenewal*H155*D155*(1+GrowthMarketRent)^1,0))))),0))),0)</f>
        <v/>
      </c>
      <c r="AA155" s="14">
        <f>IFERROR(IF(AND(I155="LeaseUp",2=0),(IF(I155="Vacate",TINew*D155,IF(I155="Market",Retention*TIRenewal*D155+(1-Retention)*TINew*D155,IF(I155="LeaseUp",TINew*D155,IF(I155="Option",TIRenewal*D155,0)))))+(IF(I155="Vacate",LCNew*H155*D155*(1+GrowthMarketRent)^2,IF(I155="Market",Retention*LCRenewal*H155*D155*(1+GrowthMarketRent)^2+(1-Retention)*LCNew*H155*D155*(1+GrowthMarketRent)^2,IF(I155="LeaseUp",LCNew*H155*D155*(1+GrowthMarketRent)^2,IF(I155="Option",LCRenewal*H155*D155*(1+GrowthMarketRent)^2,0))))),IF(F155="",0,IF(AND(F155&gt;=DATE(2026+2,5,1),F155&lt;=DATE(2027+2,4,30)),(IF(I155="Vacate",TINew*D155,IF(I155="Market",Retention*TIRenewal*D155+(1-Retention)*TINew*D155,IF(I155="LeaseUp",TINew*D155,IF(I155="Option",TIRenewal*D155,0)))))+(IF(I155="Vacate",LCNew*H155*D155*(1+GrowthMarketRent)^2,IF(I155="Market",Retention*LCRenewal*H155*D155*(1+GrowthMarketRent)^2+(1-Retention)*LCNew*H155*D155*(1+GrowthMarketRent)^2,IF(I155="LeaseUp",LCNew*H155*D155*(1+GrowthMarketRent)^2,IF(I155="Option",LCRenewal*H155*D155*(1+GrowthMarketRent)^2,0))))),0))),0)</f>
        <v/>
      </c>
      <c r="AB155" s="14">
        <f>IFERROR(IF(AND(I155="LeaseUp",3=0),(IF(I155="Vacate",TINew*D155,IF(I155="Market",Retention*TIRenewal*D155+(1-Retention)*TINew*D155,IF(I155="LeaseUp",TINew*D155,IF(I155="Option",TIRenewal*D155,0)))))+(IF(I155="Vacate",LCNew*H155*D155*(1+GrowthMarketRent)^3,IF(I155="Market",Retention*LCRenewal*H155*D155*(1+GrowthMarketRent)^3+(1-Retention)*LCNew*H155*D155*(1+GrowthMarketRent)^3,IF(I155="LeaseUp",LCNew*H155*D155*(1+GrowthMarketRent)^3,IF(I155="Option",LCRenewal*H155*D155*(1+GrowthMarketRent)^3,0))))),IF(F155="",0,IF(AND(F155&gt;=DATE(2026+3,5,1),F155&lt;=DATE(2027+3,4,30)),(IF(I155="Vacate",TINew*D155,IF(I155="Market",Retention*TIRenewal*D155+(1-Retention)*TINew*D155,IF(I155="LeaseUp",TINew*D155,IF(I155="Option",TIRenewal*D155,0)))))+(IF(I155="Vacate",LCNew*H155*D155*(1+GrowthMarketRent)^3,IF(I155="Market",Retention*LCRenewal*H155*D155*(1+GrowthMarketRent)^3+(1-Retention)*LCNew*H155*D155*(1+GrowthMarketRent)^3,IF(I155="LeaseUp",LCNew*H155*D155*(1+GrowthMarketRent)^3,IF(I155="Option",LCRenewal*H155*D155*(1+GrowthMarketRent)^3,0))))),0))),0)</f>
        <v/>
      </c>
      <c r="AC155" s="14">
        <f>IFERROR(IF(AND(I155="LeaseUp",4=0),(IF(I155="Vacate",TINew*D155,IF(I155="Market",Retention*TIRenewal*D155+(1-Retention)*TINew*D155,IF(I155="LeaseUp",TINew*D155,IF(I155="Option",TIRenewal*D155,0)))))+(IF(I155="Vacate",LCNew*H155*D155*(1+GrowthMarketRent)^4,IF(I155="Market",Retention*LCRenewal*H155*D155*(1+GrowthMarketRent)^4+(1-Retention)*LCNew*H155*D155*(1+GrowthMarketRent)^4,IF(I155="LeaseUp",LCNew*H155*D155*(1+GrowthMarketRent)^4,IF(I155="Option",LCRenewal*H155*D155*(1+GrowthMarketRent)^4,0))))),IF(F155="",0,IF(AND(F155&gt;=DATE(2026+4,5,1),F155&lt;=DATE(2027+4,4,30)),(IF(I155="Vacate",TINew*D155,IF(I155="Market",Retention*TIRenewal*D155+(1-Retention)*TINew*D155,IF(I155="LeaseUp",TINew*D155,IF(I155="Option",TIRenewal*D155,0)))))+(IF(I155="Vacate",LCNew*H155*D155*(1+GrowthMarketRent)^4,IF(I155="Market",Retention*LCRenewal*H155*D155*(1+GrowthMarketRent)^4+(1-Retention)*LCNew*H155*D155*(1+GrowthMarketRent)^4,IF(I155="LeaseUp",LCNew*H155*D155*(1+GrowthMarketRent)^4,IF(I155="Option",LCRenewal*H155*D155*(1+GrowthMarketRent)^4,0))))),0))),0)</f>
        <v/>
      </c>
      <c r="AD155" s="14">
        <f>IFERROR(IF(AND(I155="LeaseUp",5=0),(IF(I155="Vacate",TINew*D155,IF(I155="Market",Retention*TIRenewal*D155+(1-Retention)*TINew*D155,IF(I155="LeaseUp",TINew*D155,IF(I155="Option",TIRenewal*D155,0)))))+(IF(I155="Vacate",LCNew*H155*D155*(1+GrowthMarketRent)^5,IF(I155="Market",Retention*LCRenewal*H155*D155*(1+GrowthMarketRent)^5+(1-Retention)*LCNew*H155*D155*(1+GrowthMarketRent)^5,IF(I155="LeaseUp",LCNew*H155*D155*(1+GrowthMarketRent)^5,IF(I155="Option",LCRenewal*H155*D155*(1+GrowthMarketRent)^5,0))))),IF(F155="",0,IF(AND(F155&gt;=DATE(2026+5,5,1),F155&lt;=DATE(2027+5,4,30)),(IF(I155="Vacate",TINew*D155,IF(I155="Market",Retention*TIRenewal*D155+(1-Retention)*TINew*D155,IF(I155="LeaseUp",TINew*D155,IF(I155="Option",TIRenewal*D155,0)))))+(IF(I155="Vacate",LCNew*H155*D155*(1+GrowthMarketRent)^5,IF(I155="Market",Retention*LCRenewal*H155*D155*(1+GrowthMarketRent)^5+(1-Retention)*LCNew*H155*D155*(1+GrowthMarketRent)^5,IF(I155="LeaseUp",LCNew*H155*D155*(1+GrowthMarketRent)^5,IF(I155="Option",LCRenewal*H155*D155*(1+GrowthMarketRent)^5,0))))),0))),0)</f>
        <v/>
      </c>
      <c r="AE155" s="14">
        <f>IFERROR(IF(AND(I155="LeaseUp",6=0),(IF(I155="Vacate",TINew*D155,IF(I155="Market",Retention*TIRenewal*D155+(1-Retention)*TINew*D155,IF(I155="LeaseUp",TINew*D155,IF(I155="Option",TIRenewal*D155,0)))))+(IF(I155="Vacate",LCNew*H155*D155*(1+GrowthMarketRent)^6,IF(I155="Market",Retention*LCRenewal*H155*D155*(1+GrowthMarketRent)^6+(1-Retention)*LCNew*H155*D155*(1+GrowthMarketRent)^6,IF(I155="LeaseUp",LCNew*H155*D155*(1+GrowthMarketRent)^6,IF(I155="Option",LCRenewal*H155*D155*(1+GrowthMarketRent)^6,0))))),IF(F155="",0,IF(AND(F155&gt;=DATE(2026+6,5,1),F155&lt;=DATE(2027+6,4,30)),(IF(I155="Vacate",TINew*D155,IF(I155="Market",Retention*TIRenewal*D155+(1-Retention)*TINew*D155,IF(I155="LeaseUp",TINew*D155,IF(I155="Option",TIRenewal*D155,0)))))+(IF(I155="Vacate",LCNew*H155*D155*(1+GrowthMarketRent)^6,IF(I155="Market",Retention*LCRenewal*H155*D155*(1+GrowthMarketRent)^6+(1-Retention)*LCNew*H155*D155*(1+GrowthMarketRent)^6,IF(I155="LeaseUp",LCNew*H155*D155*(1+GrowthMarketRent)^6,IF(I155="Option",LCRenewal*H155*D155*(1+GrowthMarketRent)^6,0))))),0))),0)</f>
        <v/>
      </c>
      <c r="AF155" s="14">
        <f>IFERROR(IF(AND(I155="LeaseUp",7=0),(IF(I155="Vacate",TINew*D155,IF(I155="Market",Retention*TIRenewal*D155+(1-Retention)*TINew*D155,IF(I155="LeaseUp",TINew*D155,IF(I155="Option",TIRenewal*D155,0)))))+(IF(I155="Vacate",LCNew*H155*D155*(1+GrowthMarketRent)^7,IF(I155="Market",Retention*LCRenewal*H155*D155*(1+GrowthMarketRent)^7+(1-Retention)*LCNew*H155*D155*(1+GrowthMarketRent)^7,IF(I155="LeaseUp",LCNew*H155*D155*(1+GrowthMarketRent)^7,IF(I155="Option",LCRenewal*H155*D155*(1+GrowthMarketRent)^7,0))))),IF(F155="",0,IF(AND(F155&gt;=DATE(2026+7,5,1),F155&lt;=DATE(2027+7,4,30)),(IF(I155="Vacate",TINew*D155,IF(I155="Market",Retention*TIRenewal*D155+(1-Retention)*TINew*D155,IF(I155="LeaseUp",TINew*D155,IF(I155="Option",TIRenewal*D155,0)))))+(IF(I155="Vacate",LCNew*H155*D155*(1+GrowthMarketRent)^7,IF(I155="Market",Retention*LCRenewal*H155*D155*(1+GrowthMarketRent)^7+(1-Retention)*LCNew*H155*D155*(1+GrowthMarketRent)^7,IF(I155="LeaseUp",LCNew*H155*D155*(1+GrowthMarketRent)^7,IF(I155="Option",LCRenewal*H155*D155*(1+GrowthMarketRent)^7,0))))),0))),0)</f>
        <v/>
      </c>
      <c r="AG155" s="14">
        <f>IFERROR(IF(AND(I155="LeaseUp",8=0),(IF(I155="Vacate",TINew*D155,IF(I155="Market",Retention*TIRenewal*D155+(1-Retention)*TINew*D155,IF(I155="LeaseUp",TINew*D155,IF(I155="Option",TIRenewal*D155,0)))))+(IF(I155="Vacate",LCNew*H155*D155*(1+GrowthMarketRent)^8,IF(I155="Market",Retention*LCRenewal*H155*D155*(1+GrowthMarketRent)^8+(1-Retention)*LCNew*H155*D155*(1+GrowthMarketRent)^8,IF(I155="LeaseUp",LCNew*H155*D155*(1+GrowthMarketRent)^8,IF(I155="Option",LCRenewal*H155*D155*(1+GrowthMarketRent)^8,0))))),IF(F155="",0,IF(AND(F155&gt;=DATE(2026+8,5,1),F155&lt;=DATE(2027+8,4,30)),(IF(I155="Vacate",TINew*D155,IF(I155="Market",Retention*TIRenewal*D155+(1-Retention)*TINew*D155,IF(I155="LeaseUp",TINew*D155,IF(I155="Option",TIRenewal*D155,0)))))+(IF(I155="Vacate",LCNew*H155*D155*(1+GrowthMarketRent)^8,IF(I155="Market",Retention*LCRenewal*H155*D155*(1+GrowthMarketRent)^8+(1-Retention)*LCNew*H155*D155*(1+GrowthMarketRent)^8,IF(I155="LeaseUp",LCNew*H155*D155*(1+GrowthMarketRent)^8,IF(I155="Option",LCRenewal*H155*D155*(1+GrowthMarketRent)^8,0))))),0))),0)</f>
        <v/>
      </c>
      <c r="AH155" s="14">
        <f>IFERROR(IF(AND(I155="LeaseUp",9=0),(IF(I155="Vacate",TINew*D155,IF(I155="Market",Retention*TIRenewal*D155+(1-Retention)*TINew*D155,IF(I155="LeaseUp",TINew*D155,IF(I155="Option",TIRenewal*D155,0)))))+(IF(I155="Vacate",LCNew*H155*D155*(1+GrowthMarketRent)^9,IF(I155="Market",Retention*LCRenewal*H155*D155*(1+GrowthMarketRent)^9+(1-Retention)*LCNew*H155*D155*(1+GrowthMarketRent)^9,IF(I155="LeaseUp",LCNew*H155*D155*(1+GrowthMarketRent)^9,IF(I155="Option",LCRenewal*H155*D155*(1+GrowthMarketRent)^9,0))))),IF(F155="",0,IF(AND(F155&gt;=DATE(2026+9,5,1),F155&lt;=DATE(2027+9,4,30)),(IF(I155="Vacate",TINew*D155,IF(I155="Market",Retention*TIRenewal*D155+(1-Retention)*TINew*D155,IF(I155="LeaseUp",TINew*D155,IF(I155="Option",TIRenewal*D155,0)))))+(IF(I155="Vacate",LCNew*H155*D155*(1+GrowthMarketRent)^9,IF(I155="Market",Retention*LCRenewal*H155*D155*(1+GrowthMarketRent)^9+(1-Retention)*LCNew*H155*D155*(1+GrowthMarketRent)^9,IF(I155="LeaseUp",LCNew*H155*D155*(1+GrowthMarketRent)^9,IF(I155="Option",LCRenewal*H155*D155*(1+GrowthMarketRent)^9,0))))),0))),0)</f>
        <v/>
      </c>
      <c r="AI155" s="14">
        <f>IFERROR(IF(AND(I155="LeaseUp",10=0),(IF(I155="Vacate",TINew*D155,IF(I155="Market",Retention*TIRenewal*D155+(1-Retention)*TINew*D155,IF(I155="LeaseUp",TINew*D155,IF(I155="Option",TIRenewal*D155,0)))))+(IF(I155="Vacate",LCNew*H155*D155*(1+GrowthMarketRent)^10,IF(I155="Market",Retention*LCRenewal*H155*D155*(1+GrowthMarketRent)^10+(1-Retention)*LCNew*H155*D155*(1+GrowthMarketRent)^10,IF(I155="LeaseUp",LCNew*H155*D155*(1+GrowthMarketRent)^10,IF(I155="Option",LCRenewal*H155*D155*(1+GrowthMarketRent)^10,0))))),IF(F155="",0,IF(AND(F155&gt;=DATE(2026+10,5,1),F155&lt;=DATE(2027+10,4,30)),(IF(I155="Vacate",TINew*D155,IF(I155="Market",Retention*TIRenewal*D155+(1-Retention)*TINew*D155,IF(I155="LeaseUp",TINew*D155,IF(I155="Option",TIRenewal*D155,0)))))+(IF(I155="Vacate",LCNew*H155*D155*(1+GrowthMarketRent)^10,IF(I155="Market",Retention*LCRenewal*H155*D155*(1+GrowthMarketRent)^10+(1-Retention)*LCNew*H155*D155*(1+GrowthMarketRent)^10,IF(I155="LeaseUp",LCNew*H155*D155*(1+GrowthMarketRent)^10,IF(I155="Option",LCRenewal*H155*D155*(1+GrowthMarketRent)^10,0))))),0))),0)</f>
        <v/>
      </c>
    </row>
    <row r="156">
      <c r="A156" t="inlineStr">
        <is>
          <t>Plano</t>
        </is>
      </c>
      <c r="B156" t="inlineStr">
        <is>
          <t>207</t>
        </is>
      </c>
      <c r="C156" t="inlineStr">
        <is>
          <t>C&amp;W Stoneworks</t>
        </is>
      </c>
      <c r="D156" s="32" t="n">
        <v>2600</v>
      </c>
      <c r="E156" s="33" t="n">
        <v>44958</v>
      </c>
      <c r="F156" s="33" t="n">
        <v>46204</v>
      </c>
      <c r="G156" s="34" t="n">
        <v>15.615</v>
      </c>
      <c r="H156" s="16">
        <f>VLOOKUP(A156,MLA!$A$5:$L$11,3,FALSE)</f>
        <v/>
      </c>
      <c r="I156" s="11" t="inlineStr">
        <is>
          <t>Option</t>
        </is>
      </c>
      <c r="J156" t="inlineStr">
        <is>
          <t>Shop</t>
        </is>
      </c>
      <c r="K156" t="inlineStr">
        <is>
          <t>Occupied</t>
        </is>
      </c>
      <c r="L156" t="inlineStr">
        <is>
          <t>Shop; Guarantor: Chuck Anumele; Two 3yr options @ 102.5%</t>
        </is>
      </c>
      <c r="M156" s="20">
        <f>IF(E156="",0,(AnalysisStart-E156)/365.25)</f>
        <v/>
      </c>
      <c r="N156" s="14">
        <f>IFERROR(IF(I156="LeaseUp",H156*D156*(1+GrowthMarketRent)^0*IF(0=0,(12-DowntimeNew)/12,1),IF(F156="",0,IF(F156&gt;=DATE(2027+0,4,30),G156*D156*(1+EscalatorInLease)^(0+M156),IF(F156&lt;DATE(2026+0,5,1),IF(I156="Vacate",H156*D156*(1+GrowthMarketRent)^0*IF(INT((DATE(2026+0,10,31)-F156)/365.25)=0,(12-DowntimeNew)/12,1),IF(I156="Option",G156*D156*1.025*(1+EscalatorInLease)^0,IF(I156="Market",Retention*G156*D156*(1+EscalatorInLease)^(0+M156)+(1-Retention)*H156*D156*(1+GrowthMarketRent)^0*IF(INT((DATE(2026+0,10,31)-F156)/365.25)=0,(12-DowntimeNew)/12,1),IF(I156="LeaseUp",H156*D156*(1+GrowthMarketRent)^0*IF(0=0,(12-DowntimeNew)/12,1),0)))),((F156-DATE(2026+0,5,1))/365.25)*G156*D156*(1+EscalatorInLease)^(0+M156)+((DATE(2027+0,4,30)-F156)/365.25)*IF(I156="Vacate",H156*D156*(1+GrowthMarketRent)^0*IF(INT((DATE(2026+0,10,31)-F156)/365.25)=0,(12-DowntimeNew)/12,1),IF(I156="Option",G156*D156*1.025*(1+EscalatorInLease)^0,IF(I156="Market",Retention*G156*D156*(1+EscalatorInLease)^(0+M156)+(1-Retention)*H156*D156*(1+GrowthMarketRent)^0*IF(INT((DATE(2026+0,10,31)-F156)/365.25)=0,(12-DowntimeNew)/12,1),IF(I156="LeaseUp",H156*D156*(1+GrowthMarketRent)^0*IF(0=0,(12-DowntimeNew)/12,1),0)))))))),0)</f>
        <v/>
      </c>
      <c r="O156" s="14">
        <f>IFERROR(IF(I156="LeaseUp",H156*D156*(1+GrowthMarketRent)^1*IF(1=0,(12-DowntimeNew)/12,1),IF(F156="",0,IF(F156&gt;=DATE(2027+1,4,30),G156*D156*(1+EscalatorInLease)^(1+M156),IF(F156&lt;DATE(2026+1,5,1),IF(I156="Vacate",H156*D156*(1+GrowthMarketRent)^1*IF(INT((DATE(2026+1,10,31)-F156)/365.25)=0,(12-DowntimeNew)/12,1),IF(I156="Option",G156*D156*1.025*(1+EscalatorInLease)^1,IF(I156="Market",Retention*G156*D156*(1+EscalatorInLease)^(1+M156)+(1-Retention)*H156*D156*(1+GrowthMarketRent)^1*IF(INT((DATE(2026+1,10,31)-F156)/365.25)=0,(12-DowntimeNew)/12,1),IF(I156="LeaseUp",H156*D156*(1+GrowthMarketRent)^1*IF(1=0,(12-DowntimeNew)/12,1),0)))),((F156-DATE(2026+1,5,1))/365.25)*G156*D156*(1+EscalatorInLease)^(1+M156)+((DATE(2027+1,4,30)-F156)/365.25)*IF(I156="Vacate",H156*D156*(1+GrowthMarketRent)^1*IF(INT((DATE(2026+1,10,31)-F156)/365.25)=0,(12-DowntimeNew)/12,1),IF(I156="Option",G156*D156*1.025*(1+EscalatorInLease)^1,IF(I156="Market",Retention*G156*D156*(1+EscalatorInLease)^(1+M156)+(1-Retention)*H156*D156*(1+GrowthMarketRent)^1*IF(INT((DATE(2026+1,10,31)-F156)/365.25)=0,(12-DowntimeNew)/12,1),IF(I156="LeaseUp",H156*D156*(1+GrowthMarketRent)^1*IF(1=0,(12-DowntimeNew)/12,1),0)))))))),0)</f>
        <v/>
      </c>
      <c r="P156" s="14">
        <f>IFERROR(IF(I156="LeaseUp",H156*D156*(1+GrowthMarketRent)^2*IF(2=0,(12-DowntimeNew)/12,1),IF(F156="",0,IF(F156&gt;=DATE(2027+2,4,30),G156*D156*(1+EscalatorInLease)^(2+M156),IF(F156&lt;DATE(2026+2,5,1),IF(I156="Vacate",H156*D156*(1+GrowthMarketRent)^2*IF(INT((DATE(2026+2,10,31)-F156)/365.25)=0,(12-DowntimeNew)/12,1),IF(I156="Option",G156*D156*1.025*(1+EscalatorInLease)^2,IF(I156="Market",Retention*G156*D156*(1+EscalatorInLease)^(2+M156)+(1-Retention)*H156*D156*(1+GrowthMarketRent)^2*IF(INT((DATE(2026+2,10,31)-F156)/365.25)=0,(12-DowntimeNew)/12,1),IF(I156="LeaseUp",H156*D156*(1+GrowthMarketRent)^2*IF(2=0,(12-DowntimeNew)/12,1),0)))),((F156-DATE(2026+2,5,1))/365.25)*G156*D156*(1+EscalatorInLease)^(2+M156)+((DATE(2027+2,4,30)-F156)/365.25)*IF(I156="Vacate",H156*D156*(1+GrowthMarketRent)^2*IF(INT((DATE(2026+2,10,31)-F156)/365.25)=0,(12-DowntimeNew)/12,1),IF(I156="Option",G156*D156*1.025*(1+EscalatorInLease)^2,IF(I156="Market",Retention*G156*D156*(1+EscalatorInLease)^(2+M156)+(1-Retention)*H156*D156*(1+GrowthMarketRent)^2*IF(INT((DATE(2026+2,10,31)-F156)/365.25)=0,(12-DowntimeNew)/12,1),IF(I156="LeaseUp",H156*D156*(1+GrowthMarketRent)^2*IF(2=0,(12-DowntimeNew)/12,1),0)))))))),0)</f>
        <v/>
      </c>
      <c r="Q156" s="14">
        <f>IFERROR(IF(I156="LeaseUp",H156*D156*(1+GrowthMarketRent)^3*IF(3=0,(12-DowntimeNew)/12,1),IF(F156="",0,IF(F156&gt;=DATE(2027+3,4,30),G156*D156*(1+EscalatorInLease)^(3+M156),IF(F156&lt;DATE(2026+3,5,1),IF(I156="Vacate",H156*D156*(1+GrowthMarketRent)^3*IF(INT((DATE(2026+3,10,31)-F156)/365.25)=0,(12-DowntimeNew)/12,1),IF(I156="Option",G156*D156*1.025*(1+EscalatorInLease)^3,IF(I156="Market",Retention*G156*D156*(1+EscalatorInLease)^(3+M156)+(1-Retention)*H156*D156*(1+GrowthMarketRent)^3*IF(INT((DATE(2026+3,10,31)-F156)/365.25)=0,(12-DowntimeNew)/12,1),IF(I156="LeaseUp",H156*D156*(1+GrowthMarketRent)^3*IF(3=0,(12-DowntimeNew)/12,1),0)))),((F156-DATE(2026+3,5,1))/365.25)*G156*D156*(1+EscalatorInLease)^(3+M156)+((DATE(2027+3,4,30)-F156)/365.25)*IF(I156="Vacate",H156*D156*(1+GrowthMarketRent)^3*IF(INT((DATE(2026+3,10,31)-F156)/365.25)=0,(12-DowntimeNew)/12,1),IF(I156="Option",G156*D156*1.025*(1+EscalatorInLease)^3,IF(I156="Market",Retention*G156*D156*(1+EscalatorInLease)^(3+M156)+(1-Retention)*H156*D156*(1+GrowthMarketRent)^3*IF(INT((DATE(2026+3,10,31)-F156)/365.25)=0,(12-DowntimeNew)/12,1),IF(I156="LeaseUp",H156*D156*(1+GrowthMarketRent)^3*IF(3=0,(12-DowntimeNew)/12,1),0)))))))),0)</f>
        <v/>
      </c>
      <c r="R156" s="14">
        <f>IFERROR(IF(I156="LeaseUp",H156*D156*(1+GrowthMarketRent)^4*IF(4=0,(12-DowntimeNew)/12,1),IF(F156="",0,IF(F156&gt;=DATE(2027+4,4,30),G156*D156*(1+EscalatorInLease)^(4+M156),IF(F156&lt;DATE(2026+4,5,1),IF(I156="Vacate",H156*D156*(1+GrowthMarketRent)^4*IF(INT((DATE(2026+4,10,31)-F156)/365.25)=0,(12-DowntimeNew)/12,1),IF(I156="Option",G156*D156*1.025*(1+EscalatorInLease)^4,IF(I156="Market",Retention*G156*D156*(1+EscalatorInLease)^(4+M156)+(1-Retention)*H156*D156*(1+GrowthMarketRent)^4*IF(INT((DATE(2026+4,10,31)-F156)/365.25)=0,(12-DowntimeNew)/12,1),IF(I156="LeaseUp",H156*D156*(1+GrowthMarketRent)^4*IF(4=0,(12-DowntimeNew)/12,1),0)))),((F156-DATE(2026+4,5,1))/365.25)*G156*D156*(1+EscalatorInLease)^(4+M156)+((DATE(2027+4,4,30)-F156)/365.25)*IF(I156="Vacate",H156*D156*(1+GrowthMarketRent)^4*IF(INT((DATE(2026+4,10,31)-F156)/365.25)=0,(12-DowntimeNew)/12,1),IF(I156="Option",G156*D156*1.025*(1+EscalatorInLease)^4,IF(I156="Market",Retention*G156*D156*(1+EscalatorInLease)^(4+M156)+(1-Retention)*H156*D156*(1+GrowthMarketRent)^4*IF(INT((DATE(2026+4,10,31)-F156)/365.25)=0,(12-DowntimeNew)/12,1),IF(I156="LeaseUp",H156*D156*(1+GrowthMarketRent)^4*IF(4=0,(12-DowntimeNew)/12,1),0)))))))),0)</f>
        <v/>
      </c>
      <c r="S156" s="14">
        <f>IFERROR(IF(I156="LeaseUp",H156*D156*(1+GrowthMarketRent)^5*IF(5=0,(12-DowntimeNew)/12,1),IF(F156="",0,IF(F156&gt;=DATE(2027+5,4,30),G156*D156*(1+EscalatorInLease)^(5+M156),IF(F156&lt;DATE(2026+5,5,1),IF(I156="Vacate",H156*D156*(1+GrowthMarketRent)^5*IF(INT((DATE(2026+5,10,31)-F156)/365.25)=0,(12-DowntimeNew)/12,1),IF(I156="Option",G156*D156*1.025*(1+EscalatorInLease)^5,IF(I156="Market",Retention*G156*D156*(1+EscalatorInLease)^(5+M156)+(1-Retention)*H156*D156*(1+GrowthMarketRent)^5*IF(INT((DATE(2026+5,10,31)-F156)/365.25)=0,(12-DowntimeNew)/12,1),IF(I156="LeaseUp",H156*D156*(1+GrowthMarketRent)^5*IF(5=0,(12-DowntimeNew)/12,1),0)))),((F156-DATE(2026+5,5,1))/365.25)*G156*D156*(1+EscalatorInLease)^(5+M156)+((DATE(2027+5,4,30)-F156)/365.25)*IF(I156="Vacate",H156*D156*(1+GrowthMarketRent)^5*IF(INT((DATE(2026+5,10,31)-F156)/365.25)=0,(12-DowntimeNew)/12,1),IF(I156="Option",G156*D156*1.025*(1+EscalatorInLease)^5,IF(I156="Market",Retention*G156*D156*(1+EscalatorInLease)^(5+M156)+(1-Retention)*H156*D156*(1+GrowthMarketRent)^5*IF(INT((DATE(2026+5,10,31)-F156)/365.25)=0,(12-DowntimeNew)/12,1),IF(I156="LeaseUp",H156*D156*(1+GrowthMarketRent)^5*IF(5=0,(12-DowntimeNew)/12,1),0)))))))),0)</f>
        <v/>
      </c>
      <c r="T156" s="14">
        <f>IFERROR(IF(I156="LeaseUp",H156*D156*(1+GrowthMarketRent)^6*IF(6=0,(12-DowntimeNew)/12,1),IF(F156="",0,IF(F156&gt;=DATE(2027+6,4,30),G156*D156*(1+EscalatorInLease)^(6+M156),IF(F156&lt;DATE(2026+6,5,1),IF(I156="Vacate",H156*D156*(1+GrowthMarketRent)^6*IF(INT((DATE(2026+6,10,31)-F156)/365.25)=0,(12-DowntimeNew)/12,1),IF(I156="Option",G156*D156*1.025*(1+EscalatorInLease)^6,IF(I156="Market",Retention*G156*D156*(1+EscalatorInLease)^(6+M156)+(1-Retention)*H156*D156*(1+GrowthMarketRent)^6*IF(INT((DATE(2026+6,10,31)-F156)/365.25)=0,(12-DowntimeNew)/12,1),IF(I156="LeaseUp",H156*D156*(1+GrowthMarketRent)^6*IF(6=0,(12-DowntimeNew)/12,1),0)))),((F156-DATE(2026+6,5,1))/365.25)*G156*D156*(1+EscalatorInLease)^(6+M156)+((DATE(2027+6,4,30)-F156)/365.25)*IF(I156="Vacate",H156*D156*(1+GrowthMarketRent)^6*IF(INT((DATE(2026+6,10,31)-F156)/365.25)=0,(12-DowntimeNew)/12,1),IF(I156="Option",G156*D156*1.025*(1+EscalatorInLease)^6,IF(I156="Market",Retention*G156*D156*(1+EscalatorInLease)^(6+M156)+(1-Retention)*H156*D156*(1+GrowthMarketRent)^6*IF(INT((DATE(2026+6,10,31)-F156)/365.25)=0,(12-DowntimeNew)/12,1),IF(I156="LeaseUp",H156*D156*(1+GrowthMarketRent)^6*IF(6=0,(12-DowntimeNew)/12,1),0)))))))),0)</f>
        <v/>
      </c>
      <c r="U156" s="14">
        <f>IFERROR(IF(I156="LeaseUp",H156*D156*(1+GrowthMarketRent)^7*IF(7=0,(12-DowntimeNew)/12,1),IF(F156="",0,IF(F156&gt;=DATE(2027+7,4,30),G156*D156*(1+EscalatorInLease)^(7+M156),IF(F156&lt;DATE(2026+7,5,1),IF(I156="Vacate",H156*D156*(1+GrowthMarketRent)^7*IF(INT((DATE(2026+7,10,31)-F156)/365.25)=0,(12-DowntimeNew)/12,1),IF(I156="Option",G156*D156*1.025*(1+EscalatorInLease)^7,IF(I156="Market",Retention*G156*D156*(1+EscalatorInLease)^(7+M156)+(1-Retention)*H156*D156*(1+GrowthMarketRent)^7*IF(INT((DATE(2026+7,10,31)-F156)/365.25)=0,(12-DowntimeNew)/12,1),IF(I156="LeaseUp",H156*D156*(1+GrowthMarketRent)^7*IF(7=0,(12-DowntimeNew)/12,1),0)))),((F156-DATE(2026+7,5,1))/365.25)*G156*D156*(1+EscalatorInLease)^(7+M156)+((DATE(2027+7,4,30)-F156)/365.25)*IF(I156="Vacate",H156*D156*(1+GrowthMarketRent)^7*IF(INT((DATE(2026+7,10,31)-F156)/365.25)=0,(12-DowntimeNew)/12,1),IF(I156="Option",G156*D156*1.025*(1+EscalatorInLease)^7,IF(I156="Market",Retention*G156*D156*(1+EscalatorInLease)^(7+M156)+(1-Retention)*H156*D156*(1+GrowthMarketRent)^7*IF(INT((DATE(2026+7,10,31)-F156)/365.25)=0,(12-DowntimeNew)/12,1),IF(I156="LeaseUp",H156*D156*(1+GrowthMarketRent)^7*IF(7=0,(12-DowntimeNew)/12,1),0)))))))),0)</f>
        <v/>
      </c>
      <c r="V156" s="14">
        <f>IFERROR(IF(I156="LeaseUp",H156*D156*(1+GrowthMarketRent)^8*IF(8=0,(12-DowntimeNew)/12,1),IF(F156="",0,IF(F156&gt;=DATE(2027+8,4,30),G156*D156*(1+EscalatorInLease)^(8+M156),IF(F156&lt;DATE(2026+8,5,1),IF(I156="Vacate",H156*D156*(1+GrowthMarketRent)^8*IF(INT((DATE(2026+8,10,31)-F156)/365.25)=0,(12-DowntimeNew)/12,1),IF(I156="Option",G156*D156*1.025*(1+EscalatorInLease)^8,IF(I156="Market",Retention*G156*D156*(1+EscalatorInLease)^(8+M156)+(1-Retention)*H156*D156*(1+GrowthMarketRent)^8*IF(INT((DATE(2026+8,10,31)-F156)/365.25)=0,(12-DowntimeNew)/12,1),IF(I156="LeaseUp",H156*D156*(1+GrowthMarketRent)^8*IF(8=0,(12-DowntimeNew)/12,1),0)))),((F156-DATE(2026+8,5,1))/365.25)*G156*D156*(1+EscalatorInLease)^(8+M156)+((DATE(2027+8,4,30)-F156)/365.25)*IF(I156="Vacate",H156*D156*(1+GrowthMarketRent)^8*IF(INT((DATE(2026+8,10,31)-F156)/365.25)=0,(12-DowntimeNew)/12,1),IF(I156="Option",G156*D156*1.025*(1+EscalatorInLease)^8,IF(I156="Market",Retention*G156*D156*(1+EscalatorInLease)^(8+M156)+(1-Retention)*H156*D156*(1+GrowthMarketRent)^8*IF(INT((DATE(2026+8,10,31)-F156)/365.25)=0,(12-DowntimeNew)/12,1),IF(I156="LeaseUp",H156*D156*(1+GrowthMarketRent)^8*IF(8=0,(12-DowntimeNew)/12,1),0)))))))),0)</f>
        <v/>
      </c>
      <c r="W156" s="14">
        <f>IFERROR(IF(I156="LeaseUp",H156*D156*(1+GrowthMarketRent)^9*IF(9=0,(12-DowntimeNew)/12,1),IF(F156="",0,IF(F156&gt;=DATE(2027+9,4,30),G156*D156*(1+EscalatorInLease)^(9+M156),IF(F156&lt;DATE(2026+9,5,1),IF(I156="Vacate",H156*D156*(1+GrowthMarketRent)^9*IF(INT((DATE(2026+9,10,31)-F156)/365.25)=0,(12-DowntimeNew)/12,1),IF(I156="Option",G156*D156*1.025*(1+EscalatorInLease)^9,IF(I156="Market",Retention*G156*D156*(1+EscalatorInLease)^(9+M156)+(1-Retention)*H156*D156*(1+GrowthMarketRent)^9*IF(INT((DATE(2026+9,10,31)-F156)/365.25)=0,(12-DowntimeNew)/12,1),IF(I156="LeaseUp",H156*D156*(1+GrowthMarketRent)^9*IF(9=0,(12-DowntimeNew)/12,1),0)))),((F156-DATE(2026+9,5,1))/365.25)*G156*D156*(1+EscalatorInLease)^(9+M156)+((DATE(2027+9,4,30)-F156)/365.25)*IF(I156="Vacate",H156*D156*(1+GrowthMarketRent)^9*IF(INT((DATE(2026+9,10,31)-F156)/365.25)=0,(12-DowntimeNew)/12,1),IF(I156="Option",G156*D156*1.025*(1+EscalatorInLease)^9,IF(I156="Market",Retention*G156*D156*(1+EscalatorInLease)^(9+M156)+(1-Retention)*H156*D156*(1+GrowthMarketRent)^9*IF(INT((DATE(2026+9,10,31)-F156)/365.25)=0,(12-DowntimeNew)/12,1),IF(I156="LeaseUp",H156*D156*(1+GrowthMarketRent)^9*IF(9=0,(12-DowntimeNew)/12,1),0)))))))),0)</f>
        <v/>
      </c>
      <c r="X156" s="14">
        <f>IFERROR(IF(I156="LeaseUp",H156*D156*(1+GrowthMarketRent)^10*IF(10=0,(12-DowntimeNew)/12,1),IF(F156="",0,IF(F156&gt;=DATE(2027+10,4,30),G156*D156*(1+EscalatorInLease)^(10+M156),IF(F156&lt;DATE(2026+10,5,1),IF(I156="Vacate",H156*D156*(1+GrowthMarketRent)^10*IF(INT((DATE(2026+10,10,31)-F156)/365.25)=0,(12-DowntimeNew)/12,1),IF(I156="Option",G156*D156*1.025*(1+EscalatorInLease)^10,IF(I156="Market",Retention*G156*D156*(1+EscalatorInLease)^(10+M156)+(1-Retention)*H156*D156*(1+GrowthMarketRent)^10*IF(INT((DATE(2026+10,10,31)-F156)/365.25)=0,(12-DowntimeNew)/12,1),IF(I156="LeaseUp",H156*D156*(1+GrowthMarketRent)^10*IF(10=0,(12-DowntimeNew)/12,1),0)))),((F156-DATE(2026+10,5,1))/365.25)*G156*D156*(1+EscalatorInLease)^(10+M156)+((DATE(2027+10,4,30)-F156)/365.25)*IF(I156="Vacate",H156*D156*(1+GrowthMarketRent)^10*IF(INT((DATE(2026+10,10,31)-F156)/365.25)=0,(12-DowntimeNew)/12,1),IF(I156="Option",G156*D156*1.025*(1+EscalatorInLease)^10,IF(I156="Market",Retention*G156*D156*(1+EscalatorInLease)^(10+M156)+(1-Retention)*H156*D156*(1+GrowthMarketRent)^10*IF(INT((DATE(2026+10,10,31)-F156)/365.25)=0,(12-DowntimeNew)/12,1),IF(I156="LeaseUp",H156*D156*(1+GrowthMarketRent)^10*IF(10=0,(12-DowntimeNew)/12,1),0)))))))),0)</f>
        <v/>
      </c>
      <c r="Y156" s="14">
        <f>IFERROR(IF(AND(I156="LeaseUp",0=0),(IF(I156="Vacate",TINew*D156,IF(I156="Market",Retention*TIRenewal*D156+(1-Retention)*TINew*D156,IF(I156="LeaseUp",TINew*D156,IF(I156="Option",TIRenewal*D156,0)))))+(IF(I156="Vacate",LCNew*H156*D156*(1+GrowthMarketRent)^0,IF(I156="Market",Retention*LCRenewal*H156*D156*(1+GrowthMarketRent)^0+(1-Retention)*LCNew*H156*D156*(1+GrowthMarketRent)^0,IF(I156="LeaseUp",LCNew*H156*D156*(1+GrowthMarketRent)^0,IF(I156="Option",LCRenewal*H156*D156*(1+GrowthMarketRent)^0,0))))),IF(F156="",0,IF(AND(F156&gt;=DATE(2026+0,5,1),F156&lt;=DATE(2027+0,4,30)),(IF(I156="Vacate",TINew*D156,IF(I156="Market",Retention*TIRenewal*D156+(1-Retention)*TINew*D156,IF(I156="LeaseUp",TINew*D156,IF(I156="Option",TIRenewal*D156,0)))))+(IF(I156="Vacate",LCNew*H156*D156*(1+GrowthMarketRent)^0,IF(I156="Market",Retention*LCRenewal*H156*D156*(1+GrowthMarketRent)^0+(1-Retention)*LCNew*H156*D156*(1+GrowthMarketRent)^0,IF(I156="LeaseUp",LCNew*H156*D156*(1+GrowthMarketRent)^0,IF(I156="Option",LCRenewal*H156*D156*(1+GrowthMarketRent)^0,0))))),0))),0)</f>
        <v/>
      </c>
      <c r="Z156" s="14">
        <f>IFERROR(IF(AND(I156="LeaseUp",1=0),(IF(I156="Vacate",TINew*D156,IF(I156="Market",Retention*TIRenewal*D156+(1-Retention)*TINew*D156,IF(I156="LeaseUp",TINew*D156,IF(I156="Option",TIRenewal*D156,0)))))+(IF(I156="Vacate",LCNew*H156*D156*(1+GrowthMarketRent)^1,IF(I156="Market",Retention*LCRenewal*H156*D156*(1+GrowthMarketRent)^1+(1-Retention)*LCNew*H156*D156*(1+GrowthMarketRent)^1,IF(I156="LeaseUp",LCNew*H156*D156*(1+GrowthMarketRent)^1,IF(I156="Option",LCRenewal*H156*D156*(1+GrowthMarketRent)^1,0))))),IF(F156="",0,IF(AND(F156&gt;=DATE(2026+1,5,1),F156&lt;=DATE(2027+1,4,30)),(IF(I156="Vacate",TINew*D156,IF(I156="Market",Retention*TIRenewal*D156+(1-Retention)*TINew*D156,IF(I156="LeaseUp",TINew*D156,IF(I156="Option",TIRenewal*D156,0)))))+(IF(I156="Vacate",LCNew*H156*D156*(1+GrowthMarketRent)^1,IF(I156="Market",Retention*LCRenewal*H156*D156*(1+GrowthMarketRent)^1+(1-Retention)*LCNew*H156*D156*(1+GrowthMarketRent)^1,IF(I156="LeaseUp",LCNew*H156*D156*(1+GrowthMarketRent)^1,IF(I156="Option",LCRenewal*H156*D156*(1+GrowthMarketRent)^1,0))))),0))),0)</f>
        <v/>
      </c>
      <c r="AA156" s="14">
        <f>IFERROR(IF(AND(I156="LeaseUp",2=0),(IF(I156="Vacate",TINew*D156,IF(I156="Market",Retention*TIRenewal*D156+(1-Retention)*TINew*D156,IF(I156="LeaseUp",TINew*D156,IF(I156="Option",TIRenewal*D156,0)))))+(IF(I156="Vacate",LCNew*H156*D156*(1+GrowthMarketRent)^2,IF(I156="Market",Retention*LCRenewal*H156*D156*(1+GrowthMarketRent)^2+(1-Retention)*LCNew*H156*D156*(1+GrowthMarketRent)^2,IF(I156="LeaseUp",LCNew*H156*D156*(1+GrowthMarketRent)^2,IF(I156="Option",LCRenewal*H156*D156*(1+GrowthMarketRent)^2,0))))),IF(F156="",0,IF(AND(F156&gt;=DATE(2026+2,5,1),F156&lt;=DATE(2027+2,4,30)),(IF(I156="Vacate",TINew*D156,IF(I156="Market",Retention*TIRenewal*D156+(1-Retention)*TINew*D156,IF(I156="LeaseUp",TINew*D156,IF(I156="Option",TIRenewal*D156,0)))))+(IF(I156="Vacate",LCNew*H156*D156*(1+GrowthMarketRent)^2,IF(I156="Market",Retention*LCRenewal*H156*D156*(1+GrowthMarketRent)^2+(1-Retention)*LCNew*H156*D156*(1+GrowthMarketRent)^2,IF(I156="LeaseUp",LCNew*H156*D156*(1+GrowthMarketRent)^2,IF(I156="Option",LCRenewal*H156*D156*(1+GrowthMarketRent)^2,0))))),0))),0)</f>
        <v/>
      </c>
      <c r="AB156" s="14">
        <f>IFERROR(IF(AND(I156="LeaseUp",3=0),(IF(I156="Vacate",TINew*D156,IF(I156="Market",Retention*TIRenewal*D156+(1-Retention)*TINew*D156,IF(I156="LeaseUp",TINew*D156,IF(I156="Option",TIRenewal*D156,0)))))+(IF(I156="Vacate",LCNew*H156*D156*(1+GrowthMarketRent)^3,IF(I156="Market",Retention*LCRenewal*H156*D156*(1+GrowthMarketRent)^3+(1-Retention)*LCNew*H156*D156*(1+GrowthMarketRent)^3,IF(I156="LeaseUp",LCNew*H156*D156*(1+GrowthMarketRent)^3,IF(I156="Option",LCRenewal*H156*D156*(1+GrowthMarketRent)^3,0))))),IF(F156="",0,IF(AND(F156&gt;=DATE(2026+3,5,1),F156&lt;=DATE(2027+3,4,30)),(IF(I156="Vacate",TINew*D156,IF(I156="Market",Retention*TIRenewal*D156+(1-Retention)*TINew*D156,IF(I156="LeaseUp",TINew*D156,IF(I156="Option",TIRenewal*D156,0)))))+(IF(I156="Vacate",LCNew*H156*D156*(1+GrowthMarketRent)^3,IF(I156="Market",Retention*LCRenewal*H156*D156*(1+GrowthMarketRent)^3+(1-Retention)*LCNew*H156*D156*(1+GrowthMarketRent)^3,IF(I156="LeaseUp",LCNew*H156*D156*(1+GrowthMarketRent)^3,IF(I156="Option",LCRenewal*H156*D156*(1+GrowthMarketRent)^3,0))))),0))),0)</f>
        <v/>
      </c>
      <c r="AC156" s="14">
        <f>IFERROR(IF(AND(I156="LeaseUp",4=0),(IF(I156="Vacate",TINew*D156,IF(I156="Market",Retention*TIRenewal*D156+(1-Retention)*TINew*D156,IF(I156="LeaseUp",TINew*D156,IF(I156="Option",TIRenewal*D156,0)))))+(IF(I156="Vacate",LCNew*H156*D156*(1+GrowthMarketRent)^4,IF(I156="Market",Retention*LCRenewal*H156*D156*(1+GrowthMarketRent)^4+(1-Retention)*LCNew*H156*D156*(1+GrowthMarketRent)^4,IF(I156="LeaseUp",LCNew*H156*D156*(1+GrowthMarketRent)^4,IF(I156="Option",LCRenewal*H156*D156*(1+GrowthMarketRent)^4,0))))),IF(F156="",0,IF(AND(F156&gt;=DATE(2026+4,5,1),F156&lt;=DATE(2027+4,4,30)),(IF(I156="Vacate",TINew*D156,IF(I156="Market",Retention*TIRenewal*D156+(1-Retention)*TINew*D156,IF(I156="LeaseUp",TINew*D156,IF(I156="Option",TIRenewal*D156,0)))))+(IF(I156="Vacate",LCNew*H156*D156*(1+GrowthMarketRent)^4,IF(I156="Market",Retention*LCRenewal*H156*D156*(1+GrowthMarketRent)^4+(1-Retention)*LCNew*H156*D156*(1+GrowthMarketRent)^4,IF(I156="LeaseUp",LCNew*H156*D156*(1+GrowthMarketRent)^4,IF(I156="Option",LCRenewal*H156*D156*(1+GrowthMarketRent)^4,0))))),0))),0)</f>
        <v/>
      </c>
      <c r="AD156" s="14">
        <f>IFERROR(IF(AND(I156="LeaseUp",5=0),(IF(I156="Vacate",TINew*D156,IF(I156="Market",Retention*TIRenewal*D156+(1-Retention)*TINew*D156,IF(I156="LeaseUp",TINew*D156,IF(I156="Option",TIRenewal*D156,0)))))+(IF(I156="Vacate",LCNew*H156*D156*(1+GrowthMarketRent)^5,IF(I156="Market",Retention*LCRenewal*H156*D156*(1+GrowthMarketRent)^5+(1-Retention)*LCNew*H156*D156*(1+GrowthMarketRent)^5,IF(I156="LeaseUp",LCNew*H156*D156*(1+GrowthMarketRent)^5,IF(I156="Option",LCRenewal*H156*D156*(1+GrowthMarketRent)^5,0))))),IF(F156="",0,IF(AND(F156&gt;=DATE(2026+5,5,1),F156&lt;=DATE(2027+5,4,30)),(IF(I156="Vacate",TINew*D156,IF(I156="Market",Retention*TIRenewal*D156+(1-Retention)*TINew*D156,IF(I156="LeaseUp",TINew*D156,IF(I156="Option",TIRenewal*D156,0)))))+(IF(I156="Vacate",LCNew*H156*D156*(1+GrowthMarketRent)^5,IF(I156="Market",Retention*LCRenewal*H156*D156*(1+GrowthMarketRent)^5+(1-Retention)*LCNew*H156*D156*(1+GrowthMarketRent)^5,IF(I156="LeaseUp",LCNew*H156*D156*(1+GrowthMarketRent)^5,IF(I156="Option",LCRenewal*H156*D156*(1+GrowthMarketRent)^5,0))))),0))),0)</f>
        <v/>
      </c>
      <c r="AE156" s="14">
        <f>IFERROR(IF(AND(I156="LeaseUp",6=0),(IF(I156="Vacate",TINew*D156,IF(I156="Market",Retention*TIRenewal*D156+(1-Retention)*TINew*D156,IF(I156="LeaseUp",TINew*D156,IF(I156="Option",TIRenewal*D156,0)))))+(IF(I156="Vacate",LCNew*H156*D156*(1+GrowthMarketRent)^6,IF(I156="Market",Retention*LCRenewal*H156*D156*(1+GrowthMarketRent)^6+(1-Retention)*LCNew*H156*D156*(1+GrowthMarketRent)^6,IF(I156="LeaseUp",LCNew*H156*D156*(1+GrowthMarketRent)^6,IF(I156="Option",LCRenewal*H156*D156*(1+GrowthMarketRent)^6,0))))),IF(F156="",0,IF(AND(F156&gt;=DATE(2026+6,5,1),F156&lt;=DATE(2027+6,4,30)),(IF(I156="Vacate",TINew*D156,IF(I156="Market",Retention*TIRenewal*D156+(1-Retention)*TINew*D156,IF(I156="LeaseUp",TINew*D156,IF(I156="Option",TIRenewal*D156,0)))))+(IF(I156="Vacate",LCNew*H156*D156*(1+GrowthMarketRent)^6,IF(I156="Market",Retention*LCRenewal*H156*D156*(1+GrowthMarketRent)^6+(1-Retention)*LCNew*H156*D156*(1+GrowthMarketRent)^6,IF(I156="LeaseUp",LCNew*H156*D156*(1+GrowthMarketRent)^6,IF(I156="Option",LCRenewal*H156*D156*(1+GrowthMarketRent)^6,0))))),0))),0)</f>
        <v/>
      </c>
      <c r="AF156" s="14">
        <f>IFERROR(IF(AND(I156="LeaseUp",7=0),(IF(I156="Vacate",TINew*D156,IF(I156="Market",Retention*TIRenewal*D156+(1-Retention)*TINew*D156,IF(I156="LeaseUp",TINew*D156,IF(I156="Option",TIRenewal*D156,0)))))+(IF(I156="Vacate",LCNew*H156*D156*(1+GrowthMarketRent)^7,IF(I156="Market",Retention*LCRenewal*H156*D156*(1+GrowthMarketRent)^7+(1-Retention)*LCNew*H156*D156*(1+GrowthMarketRent)^7,IF(I156="LeaseUp",LCNew*H156*D156*(1+GrowthMarketRent)^7,IF(I156="Option",LCRenewal*H156*D156*(1+GrowthMarketRent)^7,0))))),IF(F156="",0,IF(AND(F156&gt;=DATE(2026+7,5,1),F156&lt;=DATE(2027+7,4,30)),(IF(I156="Vacate",TINew*D156,IF(I156="Market",Retention*TIRenewal*D156+(1-Retention)*TINew*D156,IF(I156="LeaseUp",TINew*D156,IF(I156="Option",TIRenewal*D156,0)))))+(IF(I156="Vacate",LCNew*H156*D156*(1+GrowthMarketRent)^7,IF(I156="Market",Retention*LCRenewal*H156*D156*(1+GrowthMarketRent)^7+(1-Retention)*LCNew*H156*D156*(1+GrowthMarketRent)^7,IF(I156="LeaseUp",LCNew*H156*D156*(1+GrowthMarketRent)^7,IF(I156="Option",LCRenewal*H156*D156*(1+GrowthMarketRent)^7,0))))),0))),0)</f>
        <v/>
      </c>
      <c r="AG156" s="14">
        <f>IFERROR(IF(AND(I156="LeaseUp",8=0),(IF(I156="Vacate",TINew*D156,IF(I156="Market",Retention*TIRenewal*D156+(1-Retention)*TINew*D156,IF(I156="LeaseUp",TINew*D156,IF(I156="Option",TIRenewal*D156,0)))))+(IF(I156="Vacate",LCNew*H156*D156*(1+GrowthMarketRent)^8,IF(I156="Market",Retention*LCRenewal*H156*D156*(1+GrowthMarketRent)^8+(1-Retention)*LCNew*H156*D156*(1+GrowthMarketRent)^8,IF(I156="LeaseUp",LCNew*H156*D156*(1+GrowthMarketRent)^8,IF(I156="Option",LCRenewal*H156*D156*(1+GrowthMarketRent)^8,0))))),IF(F156="",0,IF(AND(F156&gt;=DATE(2026+8,5,1),F156&lt;=DATE(2027+8,4,30)),(IF(I156="Vacate",TINew*D156,IF(I156="Market",Retention*TIRenewal*D156+(1-Retention)*TINew*D156,IF(I156="LeaseUp",TINew*D156,IF(I156="Option",TIRenewal*D156,0)))))+(IF(I156="Vacate",LCNew*H156*D156*(1+GrowthMarketRent)^8,IF(I156="Market",Retention*LCRenewal*H156*D156*(1+GrowthMarketRent)^8+(1-Retention)*LCNew*H156*D156*(1+GrowthMarketRent)^8,IF(I156="LeaseUp",LCNew*H156*D156*(1+GrowthMarketRent)^8,IF(I156="Option",LCRenewal*H156*D156*(1+GrowthMarketRent)^8,0))))),0))),0)</f>
        <v/>
      </c>
      <c r="AH156" s="14">
        <f>IFERROR(IF(AND(I156="LeaseUp",9=0),(IF(I156="Vacate",TINew*D156,IF(I156="Market",Retention*TIRenewal*D156+(1-Retention)*TINew*D156,IF(I156="LeaseUp",TINew*D156,IF(I156="Option",TIRenewal*D156,0)))))+(IF(I156="Vacate",LCNew*H156*D156*(1+GrowthMarketRent)^9,IF(I156="Market",Retention*LCRenewal*H156*D156*(1+GrowthMarketRent)^9+(1-Retention)*LCNew*H156*D156*(1+GrowthMarketRent)^9,IF(I156="LeaseUp",LCNew*H156*D156*(1+GrowthMarketRent)^9,IF(I156="Option",LCRenewal*H156*D156*(1+GrowthMarketRent)^9,0))))),IF(F156="",0,IF(AND(F156&gt;=DATE(2026+9,5,1),F156&lt;=DATE(2027+9,4,30)),(IF(I156="Vacate",TINew*D156,IF(I156="Market",Retention*TIRenewal*D156+(1-Retention)*TINew*D156,IF(I156="LeaseUp",TINew*D156,IF(I156="Option",TIRenewal*D156,0)))))+(IF(I156="Vacate",LCNew*H156*D156*(1+GrowthMarketRent)^9,IF(I156="Market",Retention*LCRenewal*H156*D156*(1+GrowthMarketRent)^9+(1-Retention)*LCNew*H156*D156*(1+GrowthMarketRent)^9,IF(I156="LeaseUp",LCNew*H156*D156*(1+GrowthMarketRent)^9,IF(I156="Option",LCRenewal*H156*D156*(1+GrowthMarketRent)^9,0))))),0))),0)</f>
        <v/>
      </c>
      <c r="AI156" s="14">
        <f>IFERROR(IF(AND(I156="LeaseUp",10=0),(IF(I156="Vacate",TINew*D156,IF(I156="Market",Retention*TIRenewal*D156+(1-Retention)*TINew*D156,IF(I156="LeaseUp",TINew*D156,IF(I156="Option",TIRenewal*D156,0)))))+(IF(I156="Vacate",LCNew*H156*D156*(1+GrowthMarketRent)^10,IF(I156="Market",Retention*LCRenewal*H156*D156*(1+GrowthMarketRent)^10+(1-Retention)*LCNew*H156*D156*(1+GrowthMarketRent)^10,IF(I156="LeaseUp",LCNew*H156*D156*(1+GrowthMarketRent)^10,IF(I156="Option",LCRenewal*H156*D156*(1+GrowthMarketRent)^10,0))))),IF(F156="",0,IF(AND(F156&gt;=DATE(2026+10,5,1),F156&lt;=DATE(2027+10,4,30)),(IF(I156="Vacate",TINew*D156,IF(I156="Market",Retention*TIRenewal*D156+(1-Retention)*TINew*D156,IF(I156="LeaseUp",TINew*D156,IF(I156="Option",TIRenewal*D156,0)))))+(IF(I156="Vacate",LCNew*H156*D156*(1+GrowthMarketRent)^10,IF(I156="Market",Retention*LCRenewal*H156*D156*(1+GrowthMarketRent)^10+(1-Retention)*LCNew*H156*D156*(1+GrowthMarketRent)^10,IF(I156="LeaseUp",LCNew*H156*D156*(1+GrowthMarketRent)^10,IF(I156="Option",LCRenewal*H156*D156*(1+GrowthMarketRent)^10,0))))),0))),0)</f>
        <v/>
      </c>
    </row>
    <row r="157">
      <c r="A157" t="inlineStr">
        <is>
          <t>Plano</t>
        </is>
      </c>
      <c r="B157" t="inlineStr">
        <is>
          <t>208</t>
        </is>
      </c>
      <c r="C157" t="inlineStr">
        <is>
          <t>Liland's Special Event Productions Inc.</t>
        </is>
      </c>
      <c r="D157" s="32" t="n">
        <v>2600</v>
      </c>
      <c r="E157" s="33" t="n">
        <v>45992</v>
      </c>
      <c r="F157" s="33" t="n">
        <v>47270</v>
      </c>
      <c r="G157" s="34" t="n">
        <v>19</v>
      </c>
      <c r="H157" s="16">
        <f>VLOOKUP(A157,MLA!$A$5:$L$11,3,FALSE)</f>
        <v/>
      </c>
      <c r="I157" s="11" t="inlineStr">
        <is>
          <t>Option</t>
        </is>
      </c>
      <c r="J157" t="inlineStr">
        <is>
          <t>Shop</t>
        </is>
      </c>
      <c r="K157" t="inlineStr">
        <is>
          <t>Occupied</t>
        </is>
      </c>
      <c r="L157" t="inlineStr">
        <is>
          <t>Shop; Guarantor: Alisah Phronebarger; Two 3yr options @ FMV</t>
        </is>
      </c>
      <c r="M157" s="20">
        <f>IF(E157="",0,(AnalysisStart-E157)/365.25)</f>
        <v/>
      </c>
      <c r="N157" s="14">
        <f>IFERROR(IF(I157="LeaseUp",H157*D157*(1+GrowthMarketRent)^0*IF(0=0,(12-DowntimeNew)/12,1),IF(F157="",0,IF(F157&gt;=DATE(2027+0,4,30),G157*D157*(1+EscalatorInLease)^(0+M157),IF(F157&lt;DATE(2026+0,5,1),IF(I157="Vacate",H157*D157*(1+GrowthMarketRent)^0*IF(INT((DATE(2026+0,10,31)-F157)/365.25)=0,(12-DowntimeNew)/12,1),IF(I157="Option",G157*D157*1.025*(1+EscalatorInLease)^0,IF(I157="Market",Retention*G157*D157*(1+EscalatorInLease)^(0+M157)+(1-Retention)*H157*D157*(1+GrowthMarketRent)^0*IF(INT((DATE(2026+0,10,31)-F157)/365.25)=0,(12-DowntimeNew)/12,1),IF(I157="LeaseUp",H157*D157*(1+GrowthMarketRent)^0*IF(0=0,(12-DowntimeNew)/12,1),0)))),((F157-DATE(2026+0,5,1))/365.25)*G157*D157*(1+EscalatorInLease)^(0+M157)+((DATE(2027+0,4,30)-F157)/365.25)*IF(I157="Vacate",H157*D157*(1+GrowthMarketRent)^0*IF(INT((DATE(2026+0,10,31)-F157)/365.25)=0,(12-DowntimeNew)/12,1),IF(I157="Option",G157*D157*1.025*(1+EscalatorInLease)^0,IF(I157="Market",Retention*G157*D157*(1+EscalatorInLease)^(0+M157)+(1-Retention)*H157*D157*(1+GrowthMarketRent)^0*IF(INT((DATE(2026+0,10,31)-F157)/365.25)=0,(12-DowntimeNew)/12,1),IF(I157="LeaseUp",H157*D157*(1+GrowthMarketRent)^0*IF(0=0,(12-DowntimeNew)/12,1),0)))))))),0)</f>
        <v/>
      </c>
      <c r="O157" s="14">
        <f>IFERROR(IF(I157="LeaseUp",H157*D157*(1+GrowthMarketRent)^1*IF(1=0,(12-DowntimeNew)/12,1),IF(F157="",0,IF(F157&gt;=DATE(2027+1,4,30),G157*D157*(1+EscalatorInLease)^(1+M157),IF(F157&lt;DATE(2026+1,5,1),IF(I157="Vacate",H157*D157*(1+GrowthMarketRent)^1*IF(INT((DATE(2026+1,10,31)-F157)/365.25)=0,(12-DowntimeNew)/12,1),IF(I157="Option",G157*D157*1.025*(1+EscalatorInLease)^1,IF(I157="Market",Retention*G157*D157*(1+EscalatorInLease)^(1+M157)+(1-Retention)*H157*D157*(1+GrowthMarketRent)^1*IF(INT((DATE(2026+1,10,31)-F157)/365.25)=0,(12-DowntimeNew)/12,1),IF(I157="LeaseUp",H157*D157*(1+GrowthMarketRent)^1*IF(1=0,(12-DowntimeNew)/12,1),0)))),((F157-DATE(2026+1,5,1))/365.25)*G157*D157*(1+EscalatorInLease)^(1+M157)+((DATE(2027+1,4,30)-F157)/365.25)*IF(I157="Vacate",H157*D157*(1+GrowthMarketRent)^1*IF(INT((DATE(2026+1,10,31)-F157)/365.25)=0,(12-DowntimeNew)/12,1),IF(I157="Option",G157*D157*1.025*(1+EscalatorInLease)^1,IF(I157="Market",Retention*G157*D157*(1+EscalatorInLease)^(1+M157)+(1-Retention)*H157*D157*(1+GrowthMarketRent)^1*IF(INT((DATE(2026+1,10,31)-F157)/365.25)=0,(12-DowntimeNew)/12,1),IF(I157="LeaseUp",H157*D157*(1+GrowthMarketRent)^1*IF(1=0,(12-DowntimeNew)/12,1),0)))))))),0)</f>
        <v/>
      </c>
      <c r="P157" s="14">
        <f>IFERROR(IF(I157="LeaseUp",H157*D157*(1+GrowthMarketRent)^2*IF(2=0,(12-DowntimeNew)/12,1),IF(F157="",0,IF(F157&gt;=DATE(2027+2,4,30),G157*D157*(1+EscalatorInLease)^(2+M157),IF(F157&lt;DATE(2026+2,5,1),IF(I157="Vacate",H157*D157*(1+GrowthMarketRent)^2*IF(INT((DATE(2026+2,10,31)-F157)/365.25)=0,(12-DowntimeNew)/12,1),IF(I157="Option",G157*D157*1.025*(1+EscalatorInLease)^2,IF(I157="Market",Retention*G157*D157*(1+EscalatorInLease)^(2+M157)+(1-Retention)*H157*D157*(1+GrowthMarketRent)^2*IF(INT((DATE(2026+2,10,31)-F157)/365.25)=0,(12-DowntimeNew)/12,1),IF(I157="LeaseUp",H157*D157*(1+GrowthMarketRent)^2*IF(2=0,(12-DowntimeNew)/12,1),0)))),((F157-DATE(2026+2,5,1))/365.25)*G157*D157*(1+EscalatorInLease)^(2+M157)+((DATE(2027+2,4,30)-F157)/365.25)*IF(I157="Vacate",H157*D157*(1+GrowthMarketRent)^2*IF(INT((DATE(2026+2,10,31)-F157)/365.25)=0,(12-DowntimeNew)/12,1),IF(I157="Option",G157*D157*1.025*(1+EscalatorInLease)^2,IF(I157="Market",Retention*G157*D157*(1+EscalatorInLease)^(2+M157)+(1-Retention)*H157*D157*(1+GrowthMarketRent)^2*IF(INT((DATE(2026+2,10,31)-F157)/365.25)=0,(12-DowntimeNew)/12,1),IF(I157="LeaseUp",H157*D157*(1+GrowthMarketRent)^2*IF(2=0,(12-DowntimeNew)/12,1),0)))))))),0)</f>
        <v/>
      </c>
      <c r="Q157" s="14">
        <f>IFERROR(IF(I157="LeaseUp",H157*D157*(1+GrowthMarketRent)^3*IF(3=0,(12-DowntimeNew)/12,1),IF(F157="",0,IF(F157&gt;=DATE(2027+3,4,30),G157*D157*(1+EscalatorInLease)^(3+M157),IF(F157&lt;DATE(2026+3,5,1),IF(I157="Vacate",H157*D157*(1+GrowthMarketRent)^3*IF(INT((DATE(2026+3,10,31)-F157)/365.25)=0,(12-DowntimeNew)/12,1),IF(I157="Option",G157*D157*1.025*(1+EscalatorInLease)^3,IF(I157="Market",Retention*G157*D157*(1+EscalatorInLease)^(3+M157)+(1-Retention)*H157*D157*(1+GrowthMarketRent)^3*IF(INT((DATE(2026+3,10,31)-F157)/365.25)=0,(12-DowntimeNew)/12,1),IF(I157="LeaseUp",H157*D157*(1+GrowthMarketRent)^3*IF(3=0,(12-DowntimeNew)/12,1),0)))),((F157-DATE(2026+3,5,1))/365.25)*G157*D157*(1+EscalatorInLease)^(3+M157)+((DATE(2027+3,4,30)-F157)/365.25)*IF(I157="Vacate",H157*D157*(1+GrowthMarketRent)^3*IF(INT((DATE(2026+3,10,31)-F157)/365.25)=0,(12-DowntimeNew)/12,1),IF(I157="Option",G157*D157*1.025*(1+EscalatorInLease)^3,IF(I157="Market",Retention*G157*D157*(1+EscalatorInLease)^(3+M157)+(1-Retention)*H157*D157*(1+GrowthMarketRent)^3*IF(INT((DATE(2026+3,10,31)-F157)/365.25)=0,(12-DowntimeNew)/12,1),IF(I157="LeaseUp",H157*D157*(1+GrowthMarketRent)^3*IF(3=0,(12-DowntimeNew)/12,1),0)))))))),0)</f>
        <v/>
      </c>
      <c r="R157" s="14">
        <f>IFERROR(IF(I157="LeaseUp",H157*D157*(1+GrowthMarketRent)^4*IF(4=0,(12-DowntimeNew)/12,1),IF(F157="",0,IF(F157&gt;=DATE(2027+4,4,30),G157*D157*(1+EscalatorInLease)^(4+M157),IF(F157&lt;DATE(2026+4,5,1),IF(I157="Vacate",H157*D157*(1+GrowthMarketRent)^4*IF(INT((DATE(2026+4,10,31)-F157)/365.25)=0,(12-DowntimeNew)/12,1),IF(I157="Option",G157*D157*1.025*(1+EscalatorInLease)^4,IF(I157="Market",Retention*G157*D157*(1+EscalatorInLease)^(4+M157)+(1-Retention)*H157*D157*(1+GrowthMarketRent)^4*IF(INT((DATE(2026+4,10,31)-F157)/365.25)=0,(12-DowntimeNew)/12,1),IF(I157="LeaseUp",H157*D157*(1+GrowthMarketRent)^4*IF(4=0,(12-DowntimeNew)/12,1),0)))),((F157-DATE(2026+4,5,1))/365.25)*G157*D157*(1+EscalatorInLease)^(4+M157)+((DATE(2027+4,4,30)-F157)/365.25)*IF(I157="Vacate",H157*D157*(1+GrowthMarketRent)^4*IF(INT((DATE(2026+4,10,31)-F157)/365.25)=0,(12-DowntimeNew)/12,1),IF(I157="Option",G157*D157*1.025*(1+EscalatorInLease)^4,IF(I157="Market",Retention*G157*D157*(1+EscalatorInLease)^(4+M157)+(1-Retention)*H157*D157*(1+GrowthMarketRent)^4*IF(INT((DATE(2026+4,10,31)-F157)/365.25)=0,(12-DowntimeNew)/12,1),IF(I157="LeaseUp",H157*D157*(1+GrowthMarketRent)^4*IF(4=0,(12-DowntimeNew)/12,1),0)))))))),0)</f>
        <v/>
      </c>
      <c r="S157" s="14">
        <f>IFERROR(IF(I157="LeaseUp",H157*D157*(1+GrowthMarketRent)^5*IF(5=0,(12-DowntimeNew)/12,1),IF(F157="",0,IF(F157&gt;=DATE(2027+5,4,30),G157*D157*(1+EscalatorInLease)^(5+M157),IF(F157&lt;DATE(2026+5,5,1),IF(I157="Vacate",H157*D157*(1+GrowthMarketRent)^5*IF(INT((DATE(2026+5,10,31)-F157)/365.25)=0,(12-DowntimeNew)/12,1),IF(I157="Option",G157*D157*1.025*(1+EscalatorInLease)^5,IF(I157="Market",Retention*G157*D157*(1+EscalatorInLease)^(5+M157)+(1-Retention)*H157*D157*(1+GrowthMarketRent)^5*IF(INT((DATE(2026+5,10,31)-F157)/365.25)=0,(12-DowntimeNew)/12,1),IF(I157="LeaseUp",H157*D157*(1+GrowthMarketRent)^5*IF(5=0,(12-DowntimeNew)/12,1),0)))),((F157-DATE(2026+5,5,1))/365.25)*G157*D157*(1+EscalatorInLease)^(5+M157)+((DATE(2027+5,4,30)-F157)/365.25)*IF(I157="Vacate",H157*D157*(1+GrowthMarketRent)^5*IF(INT((DATE(2026+5,10,31)-F157)/365.25)=0,(12-DowntimeNew)/12,1),IF(I157="Option",G157*D157*1.025*(1+EscalatorInLease)^5,IF(I157="Market",Retention*G157*D157*(1+EscalatorInLease)^(5+M157)+(1-Retention)*H157*D157*(1+GrowthMarketRent)^5*IF(INT((DATE(2026+5,10,31)-F157)/365.25)=0,(12-DowntimeNew)/12,1),IF(I157="LeaseUp",H157*D157*(1+GrowthMarketRent)^5*IF(5=0,(12-DowntimeNew)/12,1),0)))))))),0)</f>
        <v/>
      </c>
      <c r="T157" s="14">
        <f>IFERROR(IF(I157="LeaseUp",H157*D157*(1+GrowthMarketRent)^6*IF(6=0,(12-DowntimeNew)/12,1),IF(F157="",0,IF(F157&gt;=DATE(2027+6,4,30),G157*D157*(1+EscalatorInLease)^(6+M157),IF(F157&lt;DATE(2026+6,5,1),IF(I157="Vacate",H157*D157*(1+GrowthMarketRent)^6*IF(INT((DATE(2026+6,10,31)-F157)/365.25)=0,(12-DowntimeNew)/12,1),IF(I157="Option",G157*D157*1.025*(1+EscalatorInLease)^6,IF(I157="Market",Retention*G157*D157*(1+EscalatorInLease)^(6+M157)+(1-Retention)*H157*D157*(1+GrowthMarketRent)^6*IF(INT((DATE(2026+6,10,31)-F157)/365.25)=0,(12-DowntimeNew)/12,1),IF(I157="LeaseUp",H157*D157*(1+GrowthMarketRent)^6*IF(6=0,(12-DowntimeNew)/12,1),0)))),((F157-DATE(2026+6,5,1))/365.25)*G157*D157*(1+EscalatorInLease)^(6+M157)+((DATE(2027+6,4,30)-F157)/365.25)*IF(I157="Vacate",H157*D157*(1+GrowthMarketRent)^6*IF(INT((DATE(2026+6,10,31)-F157)/365.25)=0,(12-DowntimeNew)/12,1),IF(I157="Option",G157*D157*1.025*(1+EscalatorInLease)^6,IF(I157="Market",Retention*G157*D157*(1+EscalatorInLease)^(6+M157)+(1-Retention)*H157*D157*(1+GrowthMarketRent)^6*IF(INT((DATE(2026+6,10,31)-F157)/365.25)=0,(12-DowntimeNew)/12,1),IF(I157="LeaseUp",H157*D157*(1+GrowthMarketRent)^6*IF(6=0,(12-DowntimeNew)/12,1),0)))))))),0)</f>
        <v/>
      </c>
      <c r="U157" s="14">
        <f>IFERROR(IF(I157="LeaseUp",H157*D157*(1+GrowthMarketRent)^7*IF(7=0,(12-DowntimeNew)/12,1),IF(F157="",0,IF(F157&gt;=DATE(2027+7,4,30),G157*D157*(1+EscalatorInLease)^(7+M157),IF(F157&lt;DATE(2026+7,5,1),IF(I157="Vacate",H157*D157*(1+GrowthMarketRent)^7*IF(INT((DATE(2026+7,10,31)-F157)/365.25)=0,(12-DowntimeNew)/12,1),IF(I157="Option",G157*D157*1.025*(1+EscalatorInLease)^7,IF(I157="Market",Retention*G157*D157*(1+EscalatorInLease)^(7+M157)+(1-Retention)*H157*D157*(1+GrowthMarketRent)^7*IF(INT((DATE(2026+7,10,31)-F157)/365.25)=0,(12-DowntimeNew)/12,1),IF(I157="LeaseUp",H157*D157*(1+GrowthMarketRent)^7*IF(7=0,(12-DowntimeNew)/12,1),0)))),((F157-DATE(2026+7,5,1))/365.25)*G157*D157*(1+EscalatorInLease)^(7+M157)+((DATE(2027+7,4,30)-F157)/365.25)*IF(I157="Vacate",H157*D157*(1+GrowthMarketRent)^7*IF(INT((DATE(2026+7,10,31)-F157)/365.25)=0,(12-DowntimeNew)/12,1),IF(I157="Option",G157*D157*1.025*(1+EscalatorInLease)^7,IF(I157="Market",Retention*G157*D157*(1+EscalatorInLease)^(7+M157)+(1-Retention)*H157*D157*(1+GrowthMarketRent)^7*IF(INT((DATE(2026+7,10,31)-F157)/365.25)=0,(12-DowntimeNew)/12,1),IF(I157="LeaseUp",H157*D157*(1+GrowthMarketRent)^7*IF(7=0,(12-DowntimeNew)/12,1),0)))))))),0)</f>
        <v/>
      </c>
      <c r="V157" s="14">
        <f>IFERROR(IF(I157="LeaseUp",H157*D157*(1+GrowthMarketRent)^8*IF(8=0,(12-DowntimeNew)/12,1),IF(F157="",0,IF(F157&gt;=DATE(2027+8,4,30),G157*D157*(1+EscalatorInLease)^(8+M157),IF(F157&lt;DATE(2026+8,5,1),IF(I157="Vacate",H157*D157*(1+GrowthMarketRent)^8*IF(INT((DATE(2026+8,10,31)-F157)/365.25)=0,(12-DowntimeNew)/12,1),IF(I157="Option",G157*D157*1.025*(1+EscalatorInLease)^8,IF(I157="Market",Retention*G157*D157*(1+EscalatorInLease)^(8+M157)+(1-Retention)*H157*D157*(1+GrowthMarketRent)^8*IF(INT((DATE(2026+8,10,31)-F157)/365.25)=0,(12-DowntimeNew)/12,1),IF(I157="LeaseUp",H157*D157*(1+GrowthMarketRent)^8*IF(8=0,(12-DowntimeNew)/12,1),0)))),((F157-DATE(2026+8,5,1))/365.25)*G157*D157*(1+EscalatorInLease)^(8+M157)+((DATE(2027+8,4,30)-F157)/365.25)*IF(I157="Vacate",H157*D157*(1+GrowthMarketRent)^8*IF(INT((DATE(2026+8,10,31)-F157)/365.25)=0,(12-DowntimeNew)/12,1),IF(I157="Option",G157*D157*1.025*(1+EscalatorInLease)^8,IF(I157="Market",Retention*G157*D157*(1+EscalatorInLease)^(8+M157)+(1-Retention)*H157*D157*(1+GrowthMarketRent)^8*IF(INT((DATE(2026+8,10,31)-F157)/365.25)=0,(12-DowntimeNew)/12,1),IF(I157="LeaseUp",H157*D157*(1+GrowthMarketRent)^8*IF(8=0,(12-DowntimeNew)/12,1),0)))))))),0)</f>
        <v/>
      </c>
      <c r="W157" s="14">
        <f>IFERROR(IF(I157="LeaseUp",H157*D157*(1+GrowthMarketRent)^9*IF(9=0,(12-DowntimeNew)/12,1),IF(F157="",0,IF(F157&gt;=DATE(2027+9,4,30),G157*D157*(1+EscalatorInLease)^(9+M157),IF(F157&lt;DATE(2026+9,5,1),IF(I157="Vacate",H157*D157*(1+GrowthMarketRent)^9*IF(INT((DATE(2026+9,10,31)-F157)/365.25)=0,(12-DowntimeNew)/12,1),IF(I157="Option",G157*D157*1.025*(1+EscalatorInLease)^9,IF(I157="Market",Retention*G157*D157*(1+EscalatorInLease)^(9+M157)+(1-Retention)*H157*D157*(1+GrowthMarketRent)^9*IF(INT((DATE(2026+9,10,31)-F157)/365.25)=0,(12-DowntimeNew)/12,1),IF(I157="LeaseUp",H157*D157*(1+GrowthMarketRent)^9*IF(9=0,(12-DowntimeNew)/12,1),0)))),((F157-DATE(2026+9,5,1))/365.25)*G157*D157*(1+EscalatorInLease)^(9+M157)+((DATE(2027+9,4,30)-F157)/365.25)*IF(I157="Vacate",H157*D157*(1+GrowthMarketRent)^9*IF(INT((DATE(2026+9,10,31)-F157)/365.25)=0,(12-DowntimeNew)/12,1),IF(I157="Option",G157*D157*1.025*(1+EscalatorInLease)^9,IF(I157="Market",Retention*G157*D157*(1+EscalatorInLease)^(9+M157)+(1-Retention)*H157*D157*(1+GrowthMarketRent)^9*IF(INT((DATE(2026+9,10,31)-F157)/365.25)=0,(12-DowntimeNew)/12,1),IF(I157="LeaseUp",H157*D157*(1+GrowthMarketRent)^9*IF(9=0,(12-DowntimeNew)/12,1),0)))))))),0)</f>
        <v/>
      </c>
      <c r="X157" s="14">
        <f>IFERROR(IF(I157="LeaseUp",H157*D157*(1+GrowthMarketRent)^10*IF(10=0,(12-DowntimeNew)/12,1),IF(F157="",0,IF(F157&gt;=DATE(2027+10,4,30),G157*D157*(1+EscalatorInLease)^(10+M157),IF(F157&lt;DATE(2026+10,5,1),IF(I157="Vacate",H157*D157*(1+GrowthMarketRent)^10*IF(INT((DATE(2026+10,10,31)-F157)/365.25)=0,(12-DowntimeNew)/12,1),IF(I157="Option",G157*D157*1.025*(1+EscalatorInLease)^10,IF(I157="Market",Retention*G157*D157*(1+EscalatorInLease)^(10+M157)+(1-Retention)*H157*D157*(1+GrowthMarketRent)^10*IF(INT((DATE(2026+10,10,31)-F157)/365.25)=0,(12-DowntimeNew)/12,1),IF(I157="LeaseUp",H157*D157*(1+GrowthMarketRent)^10*IF(10=0,(12-DowntimeNew)/12,1),0)))),((F157-DATE(2026+10,5,1))/365.25)*G157*D157*(1+EscalatorInLease)^(10+M157)+((DATE(2027+10,4,30)-F157)/365.25)*IF(I157="Vacate",H157*D157*(1+GrowthMarketRent)^10*IF(INT((DATE(2026+10,10,31)-F157)/365.25)=0,(12-DowntimeNew)/12,1),IF(I157="Option",G157*D157*1.025*(1+EscalatorInLease)^10,IF(I157="Market",Retention*G157*D157*(1+EscalatorInLease)^(10+M157)+(1-Retention)*H157*D157*(1+GrowthMarketRent)^10*IF(INT((DATE(2026+10,10,31)-F157)/365.25)=0,(12-DowntimeNew)/12,1),IF(I157="LeaseUp",H157*D157*(1+GrowthMarketRent)^10*IF(10=0,(12-DowntimeNew)/12,1),0)))))))),0)</f>
        <v/>
      </c>
      <c r="Y157" s="14">
        <f>IFERROR(IF(AND(I157="LeaseUp",0=0),(IF(I157="Vacate",TINew*D157,IF(I157="Market",Retention*TIRenewal*D157+(1-Retention)*TINew*D157,IF(I157="LeaseUp",TINew*D157,IF(I157="Option",TIRenewal*D157,0)))))+(IF(I157="Vacate",LCNew*H157*D157*(1+GrowthMarketRent)^0,IF(I157="Market",Retention*LCRenewal*H157*D157*(1+GrowthMarketRent)^0+(1-Retention)*LCNew*H157*D157*(1+GrowthMarketRent)^0,IF(I157="LeaseUp",LCNew*H157*D157*(1+GrowthMarketRent)^0,IF(I157="Option",LCRenewal*H157*D157*(1+GrowthMarketRent)^0,0))))),IF(F157="",0,IF(AND(F157&gt;=DATE(2026+0,5,1),F157&lt;=DATE(2027+0,4,30)),(IF(I157="Vacate",TINew*D157,IF(I157="Market",Retention*TIRenewal*D157+(1-Retention)*TINew*D157,IF(I157="LeaseUp",TINew*D157,IF(I157="Option",TIRenewal*D157,0)))))+(IF(I157="Vacate",LCNew*H157*D157*(1+GrowthMarketRent)^0,IF(I157="Market",Retention*LCRenewal*H157*D157*(1+GrowthMarketRent)^0+(1-Retention)*LCNew*H157*D157*(1+GrowthMarketRent)^0,IF(I157="LeaseUp",LCNew*H157*D157*(1+GrowthMarketRent)^0,IF(I157="Option",LCRenewal*H157*D157*(1+GrowthMarketRent)^0,0))))),0))),0)</f>
        <v/>
      </c>
      <c r="Z157" s="14">
        <f>IFERROR(IF(AND(I157="LeaseUp",1=0),(IF(I157="Vacate",TINew*D157,IF(I157="Market",Retention*TIRenewal*D157+(1-Retention)*TINew*D157,IF(I157="LeaseUp",TINew*D157,IF(I157="Option",TIRenewal*D157,0)))))+(IF(I157="Vacate",LCNew*H157*D157*(1+GrowthMarketRent)^1,IF(I157="Market",Retention*LCRenewal*H157*D157*(1+GrowthMarketRent)^1+(1-Retention)*LCNew*H157*D157*(1+GrowthMarketRent)^1,IF(I157="LeaseUp",LCNew*H157*D157*(1+GrowthMarketRent)^1,IF(I157="Option",LCRenewal*H157*D157*(1+GrowthMarketRent)^1,0))))),IF(F157="",0,IF(AND(F157&gt;=DATE(2026+1,5,1),F157&lt;=DATE(2027+1,4,30)),(IF(I157="Vacate",TINew*D157,IF(I157="Market",Retention*TIRenewal*D157+(1-Retention)*TINew*D157,IF(I157="LeaseUp",TINew*D157,IF(I157="Option",TIRenewal*D157,0)))))+(IF(I157="Vacate",LCNew*H157*D157*(1+GrowthMarketRent)^1,IF(I157="Market",Retention*LCRenewal*H157*D157*(1+GrowthMarketRent)^1+(1-Retention)*LCNew*H157*D157*(1+GrowthMarketRent)^1,IF(I157="LeaseUp",LCNew*H157*D157*(1+GrowthMarketRent)^1,IF(I157="Option",LCRenewal*H157*D157*(1+GrowthMarketRent)^1,0))))),0))),0)</f>
        <v/>
      </c>
      <c r="AA157" s="14">
        <f>IFERROR(IF(AND(I157="LeaseUp",2=0),(IF(I157="Vacate",TINew*D157,IF(I157="Market",Retention*TIRenewal*D157+(1-Retention)*TINew*D157,IF(I157="LeaseUp",TINew*D157,IF(I157="Option",TIRenewal*D157,0)))))+(IF(I157="Vacate",LCNew*H157*D157*(1+GrowthMarketRent)^2,IF(I157="Market",Retention*LCRenewal*H157*D157*(1+GrowthMarketRent)^2+(1-Retention)*LCNew*H157*D157*(1+GrowthMarketRent)^2,IF(I157="LeaseUp",LCNew*H157*D157*(1+GrowthMarketRent)^2,IF(I157="Option",LCRenewal*H157*D157*(1+GrowthMarketRent)^2,0))))),IF(F157="",0,IF(AND(F157&gt;=DATE(2026+2,5,1),F157&lt;=DATE(2027+2,4,30)),(IF(I157="Vacate",TINew*D157,IF(I157="Market",Retention*TIRenewal*D157+(1-Retention)*TINew*D157,IF(I157="LeaseUp",TINew*D157,IF(I157="Option",TIRenewal*D157,0)))))+(IF(I157="Vacate",LCNew*H157*D157*(1+GrowthMarketRent)^2,IF(I157="Market",Retention*LCRenewal*H157*D157*(1+GrowthMarketRent)^2+(1-Retention)*LCNew*H157*D157*(1+GrowthMarketRent)^2,IF(I157="LeaseUp",LCNew*H157*D157*(1+GrowthMarketRent)^2,IF(I157="Option",LCRenewal*H157*D157*(1+GrowthMarketRent)^2,0))))),0))),0)</f>
        <v/>
      </c>
      <c r="AB157" s="14">
        <f>IFERROR(IF(AND(I157="LeaseUp",3=0),(IF(I157="Vacate",TINew*D157,IF(I157="Market",Retention*TIRenewal*D157+(1-Retention)*TINew*D157,IF(I157="LeaseUp",TINew*D157,IF(I157="Option",TIRenewal*D157,0)))))+(IF(I157="Vacate",LCNew*H157*D157*(1+GrowthMarketRent)^3,IF(I157="Market",Retention*LCRenewal*H157*D157*(1+GrowthMarketRent)^3+(1-Retention)*LCNew*H157*D157*(1+GrowthMarketRent)^3,IF(I157="LeaseUp",LCNew*H157*D157*(1+GrowthMarketRent)^3,IF(I157="Option",LCRenewal*H157*D157*(1+GrowthMarketRent)^3,0))))),IF(F157="",0,IF(AND(F157&gt;=DATE(2026+3,5,1),F157&lt;=DATE(2027+3,4,30)),(IF(I157="Vacate",TINew*D157,IF(I157="Market",Retention*TIRenewal*D157+(1-Retention)*TINew*D157,IF(I157="LeaseUp",TINew*D157,IF(I157="Option",TIRenewal*D157,0)))))+(IF(I157="Vacate",LCNew*H157*D157*(1+GrowthMarketRent)^3,IF(I157="Market",Retention*LCRenewal*H157*D157*(1+GrowthMarketRent)^3+(1-Retention)*LCNew*H157*D157*(1+GrowthMarketRent)^3,IF(I157="LeaseUp",LCNew*H157*D157*(1+GrowthMarketRent)^3,IF(I157="Option",LCRenewal*H157*D157*(1+GrowthMarketRent)^3,0))))),0))),0)</f>
        <v/>
      </c>
      <c r="AC157" s="14">
        <f>IFERROR(IF(AND(I157="LeaseUp",4=0),(IF(I157="Vacate",TINew*D157,IF(I157="Market",Retention*TIRenewal*D157+(1-Retention)*TINew*D157,IF(I157="LeaseUp",TINew*D157,IF(I157="Option",TIRenewal*D157,0)))))+(IF(I157="Vacate",LCNew*H157*D157*(1+GrowthMarketRent)^4,IF(I157="Market",Retention*LCRenewal*H157*D157*(1+GrowthMarketRent)^4+(1-Retention)*LCNew*H157*D157*(1+GrowthMarketRent)^4,IF(I157="LeaseUp",LCNew*H157*D157*(1+GrowthMarketRent)^4,IF(I157="Option",LCRenewal*H157*D157*(1+GrowthMarketRent)^4,0))))),IF(F157="",0,IF(AND(F157&gt;=DATE(2026+4,5,1),F157&lt;=DATE(2027+4,4,30)),(IF(I157="Vacate",TINew*D157,IF(I157="Market",Retention*TIRenewal*D157+(1-Retention)*TINew*D157,IF(I157="LeaseUp",TINew*D157,IF(I157="Option",TIRenewal*D157,0)))))+(IF(I157="Vacate",LCNew*H157*D157*(1+GrowthMarketRent)^4,IF(I157="Market",Retention*LCRenewal*H157*D157*(1+GrowthMarketRent)^4+(1-Retention)*LCNew*H157*D157*(1+GrowthMarketRent)^4,IF(I157="LeaseUp",LCNew*H157*D157*(1+GrowthMarketRent)^4,IF(I157="Option",LCRenewal*H157*D157*(1+GrowthMarketRent)^4,0))))),0))),0)</f>
        <v/>
      </c>
      <c r="AD157" s="14">
        <f>IFERROR(IF(AND(I157="LeaseUp",5=0),(IF(I157="Vacate",TINew*D157,IF(I157="Market",Retention*TIRenewal*D157+(1-Retention)*TINew*D157,IF(I157="LeaseUp",TINew*D157,IF(I157="Option",TIRenewal*D157,0)))))+(IF(I157="Vacate",LCNew*H157*D157*(1+GrowthMarketRent)^5,IF(I157="Market",Retention*LCRenewal*H157*D157*(1+GrowthMarketRent)^5+(1-Retention)*LCNew*H157*D157*(1+GrowthMarketRent)^5,IF(I157="LeaseUp",LCNew*H157*D157*(1+GrowthMarketRent)^5,IF(I157="Option",LCRenewal*H157*D157*(1+GrowthMarketRent)^5,0))))),IF(F157="",0,IF(AND(F157&gt;=DATE(2026+5,5,1),F157&lt;=DATE(2027+5,4,30)),(IF(I157="Vacate",TINew*D157,IF(I157="Market",Retention*TIRenewal*D157+(1-Retention)*TINew*D157,IF(I157="LeaseUp",TINew*D157,IF(I157="Option",TIRenewal*D157,0)))))+(IF(I157="Vacate",LCNew*H157*D157*(1+GrowthMarketRent)^5,IF(I157="Market",Retention*LCRenewal*H157*D157*(1+GrowthMarketRent)^5+(1-Retention)*LCNew*H157*D157*(1+GrowthMarketRent)^5,IF(I157="LeaseUp",LCNew*H157*D157*(1+GrowthMarketRent)^5,IF(I157="Option",LCRenewal*H157*D157*(1+GrowthMarketRent)^5,0))))),0))),0)</f>
        <v/>
      </c>
      <c r="AE157" s="14">
        <f>IFERROR(IF(AND(I157="LeaseUp",6=0),(IF(I157="Vacate",TINew*D157,IF(I157="Market",Retention*TIRenewal*D157+(1-Retention)*TINew*D157,IF(I157="LeaseUp",TINew*D157,IF(I157="Option",TIRenewal*D157,0)))))+(IF(I157="Vacate",LCNew*H157*D157*(1+GrowthMarketRent)^6,IF(I157="Market",Retention*LCRenewal*H157*D157*(1+GrowthMarketRent)^6+(1-Retention)*LCNew*H157*D157*(1+GrowthMarketRent)^6,IF(I157="LeaseUp",LCNew*H157*D157*(1+GrowthMarketRent)^6,IF(I157="Option",LCRenewal*H157*D157*(1+GrowthMarketRent)^6,0))))),IF(F157="",0,IF(AND(F157&gt;=DATE(2026+6,5,1),F157&lt;=DATE(2027+6,4,30)),(IF(I157="Vacate",TINew*D157,IF(I157="Market",Retention*TIRenewal*D157+(1-Retention)*TINew*D157,IF(I157="LeaseUp",TINew*D157,IF(I157="Option",TIRenewal*D157,0)))))+(IF(I157="Vacate",LCNew*H157*D157*(1+GrowthMarketRent)^6,IF(I157="Market",Retention*LCRenewal*H157*D157*(1+GrowthMarketRent)^6+(1-Retention)*LCNew*H157*D157*(1+GrowthMarketRent)^6,IF(I157="LeaseUp",LCNew*H157*D157*(1+GrowthMarketRent)^6,IF(I157="Option",LCRenewal*H157*D157*(1+GrowthMarketRent)^6,0))))),0))),0)</f>
        <v/>
      </c>
      <c r="AF157" s="14">
        <f>IFERROR(IF(AND(I157="LeaseUp",7=0),(IF(I157="Vacate",TINew*D157,IF(I157="Market",Retention*TIRenewal*D157+(1-Retention)*TINew*D157,IF(I157="LeaseUp",TINew*D157,IF(I157="Option",TIRenewal*D157,0)))))+(IF(I157="Vacate",LCNew*H157*D157*(1+GrowthMarketRent)^7,IF(I157="Market",Retention*LCRenewal*H157*D157*(1+GrowthMarketRent)^7+(1-Retention)*LCNew*H157*D157*(1+GrowthMarketRent)^7,IF(I157="LeaseUp",LCNew*H157*D157*(1+GrowthMarketRent)^7,IF(I157="Option",LCRenewal*H157*D157*(1+GrowthMarketRent)^7,0))))),IF(F157="",0,IF(AND(F157&gt;=DATE(2026+7,5,1),F157&lt;=DATE(2027+7,4,30)),(IF(I157="Vacate",TINew*D157,IF(I157="Market",Retention*TIRenewal*D157+(1-Retention)*TINew*D157,IF(I157="LeaseUp",TINew*D157,IF(I157="Option",TIRenewal*D157,0)))))+(IF(I157="Vacate",LCNew*H157*D157*(1+GrowthMarketRent)^7,IF(I157="Market",Retention*LCRenewal*H157*D157*(1+GrowthMarketRent)^7+(1-Retention)*LCNew*H157*D157*(1+GrowthMarketRent)^7,IF(I157="LeaseUp",LCNew*H157*D157*(1+GrowthMarketRent)^7,IF(I157="Option",LCRenewal*H157*D157*(1+GrowthMarketRent)^7,0))))),0))),0)</f>
        <v/>
      </c>
      <c r="AG157" s="14">
        <f>IFERROR(IF(AND(I157="LeaseUp",8=0),(IF(I157="Vacate",TINew*D157,IF(I157="Market",Retention*TIRenewal*D157+(1-Retention)*TINew*D157,IF(I157="LeaseUp",TINew*D157,IF(I157="Option",TIRenewal*D157,0)))))+(IF(I157="Vacate",LCNew*H157*D157*(1+GrowthMarketRent)^8,IF(I157="Market",Retention*LCRenewal*H157*D157*(1+GrowthMarketRent)^8+(1-Retention)*LCNew*H157*D157*(1+GrowthMarketRent)^8,IF(I157="LeaseUp",LCNew*H157*D157*(1+GrowthMarketRent)^8,IF(I157="Option",LCRenewal*H157*D157*(1+GrowthMarketRent)^8,0))))),IF(F157="",0,IF(AND(F157&gt;=DATE(2026+8,5,1),F157&lt;=DATE(2027+8,4,30)),(IF(I157="Vacate",TINew*D157,IF(I157="Market",Retention*TIRenewal*D157+(1-Retention)*TINew*D157,IF(I157="LeaseUp",TINew*D157,IF(I157="Option",TIRenewal*D157,0)))))+(IF(I157="Vacate",LCNew*H157*D157*(1+GrowthMarketRent)^8,IF(I157="Market",Retention*LCRenewal*H157*D157*(1+GrowthMarketRent)^8+(1-Retention)*LCNew*H157*D157*(1+GrowthMarketRent)^8,IF(I157="LeaseUp",LCNew*H157*D157*(1+GrowthMarketRent)^8,IF(I157="Option",LCRenewal*H157*D157*(1+GrowthMarketRent)^8,0))))),0))),0)</f>
        <v/>
      </c>
      <c r="AH157" s="14">
        <f>IFERROR(IF(AND(I157="LeaseUp",9=0),(IF(I157="Vacate",TINew*D157,IF(I157="Market",Retention*TIRenewal*D157+(1-Retention)*TINew*D157,IF(I157="LeaseUp",TINew*D157,IF(I157="Option",TIRenewal*D157,0)))))+(IF(I157="Vacate",LCNew*H157*D157*(1+GrowthMarketRent)^9,IF(I157="Market",Retention*LCRenewal*H157*D157*(1+GrowthMarketRent)^9+(1-Retention)*LCNew*H157*D157*(1+GrowthMarketRent)^9,IF(I157="LeaseUp",LCNew*H157*D157*(1+GrowthMarketRent)^9,IF(I157="Option",LCRenewal*H157*D157*(1+GrowthMarketRent)^9,0))))),IF(F157="",0,IF(AND(F157&gt;=DATE(2026+9,5,1),F157&lt;=DATE(2027+9,4,30)),(IF(I157="Vacate",TINew*D157,IF(I157="Market",Retention*TIRenewal*D157+(1-Retention)*TINew*D157,IF(I157="LeaseUp",TINew*D157,IF(I157="Option",TIRenewal*D157,0)))))+(IF(I157="Vacate",LCNew*H157*D157*(1+GrowthMarketRent)^9,IF(I157="Market",Retention*LCRenewal*H157*D157*(1+GrowthMarketRent)^9+(1-Retention)*LCNew*H157*D157*(1+GrowthMarketRent)^9,IF(I157="LeaseUp",LCNew*H157*D157*(1+GrowthMarketRent)^9,IF(I157="Option",LCRenewal*H157*D157*(1+GrowthMarketRent)^9,0))))),0))),0)</f>
        <v/>
      </c>
      <c r="AI157" s="14">
        <f>IFERROR(IF(AND(I157="LeaseUp",10=0),(IF(I157="Vacate",TINew*D157,IF(I157="Market",Retention*TIRenewal*D157+(1-Retention)*TINew*D157,IF(I157="LeaseUp",TINew*D157,IF(I157="Option",TIRenewal*D157,0)))))+(IF(I157="Vacate",LCNew*H157*D157*(1+GrowthMarketRent)^10,IF(I157="Market",Retention*LCRenewal*H157*D157*(1+GrowthMarketRent)^10+(1-Retention)*LCNew*H157*D157*(1+GrowthMarketRent)^10,IF(I157="LeaseUp",LCNew*H157*D157*(1+GrowthMarketRent)^10,IF(I157="Option",LCRenewal*H157*D157*(1+GrowthMarketRent)^10,0))))),IF(F157="",0,IF(AND(F157&gt;=DATE(2026+10,5,1),F157&lt;=DATE(2027+10,4,30)),(IF(I157="Vacate",TINew*D157,IF(I157="Market",Retention*TIRenewal*D157+(1-Retention)*TINew*D157,IF(I157="LeaseUp",TINew*D157,IF(I157="Option",TIRenewal*D157,0)))))+(IF(I157="Vacate",LCNew*H157*D157*(1+GrowthMarketRent)^10,IF(I157="Market",Retention*LCRenewal*H157*D157*(1+GrowthMarketRent)^10+(1-Retention)*LCNew*H157*D157*(1+GrowthMarketRent)^10,IF(I157="LeaseUp",LCNew*H157*D157*(1+GrowthMarketRent)^10,IF(I157="Option",LCRenewal*H157*D157*(1+GrowthMarketRent)^10,0))))),0))),0)</f>
        <v/>
      </c>
    </row>
    <row r="158">
      <c r="A158" t="inlineStr">
        <is>
          <t>Plano</t>
        </is>
      </c>
      <c r="B158" t="inlineStr">
        <is>
          <t>209</t>
        </is>
      </c>
      <c r="C158" t="inlineStr">
        <is>
          <t>Playtime Hospitality LLC</t>
        </is>
      </c>
      <c r="D158" s="32" t="n">
        <v>2600</v>
      </c>
      <c r="E158" s="33" t="n">
        <v>44958</v>
      </c>
      <c r="F158" s="33" t="n">
        <v>46204</v>
      </c>
      <c r="G158" s="34" t="n">
        <v>15.0765384615385</v>
      </c>
      <c r="H158" s="16">
        <f>VLOOKUP(A158,MLA!$A$5:$L$11,3,FALSE)</f>
        <v/>
      </c>
      <c r="I158" s="11" t="inlineStr">
        <is>
          <t>Option</t>
        </is>
      </c>
      <c r="J158" t="inlineStr">
        <is>
          <t>Shop</t>
        </is>
      </c>
      <c r="K158" t="inlineStr">
        <is>
          <t>Occupied</t>
        </is>
      </c>
      <c r="L158" t="inlineStr">
        <is>
          <t>Shop; Guarantor: Imoisi Ehiametalor; Two 3yr options @ 102.5%</t>
        </is>
      </c>
      <c r="M158" s="20">
        <f>IF(E158="",0,(AnalysisStart-E158)/365.25)</f>
        <v/>
      </c>
      <c r="N158" s="14">
        <f>IFERROR(IF(I158="LeaseUp",H158*D158*(1+GrowthMarketRent)^0*IF(0=0,(12-DowntimeNew)/12,1),IF(F158="",0,IF(F158&gt;=DATE(2027+0,4,30),G158*D158*(1+EscalatorInLease)^(0+M158),IF(F158&lt;DATE(2026+0,5,1),IF(I158="Vacate",H158*D158*(1+GrowthMarketRent)^0*IF(INT((DATE(2026+0,10,31)-F158)/365.25)=0,(12-DowntimeNew)/12,1),IF(I158="Option",G158*D158*1.025*(1+EscalatorInLease)^0,IF(I158="Market",Retention*G158*D158*(1+EscalatorInLease)^(0+M158)+(1-Retention)*H158*D158*(1+GrowthMarketRent)^0*IF(INT((DATE(2026+0,10,31)-F158)/365.25)=0,(12-DowntimeNew)/12,1),IF(I158="LeaseUp",H158*D158*(1+GrowthMarketRent)^0*IF(0=0,(12-DowntimeNew)/12,1),0)))),((F158-DATE(2026+0,5,1))/365.25)*G158*D158*(1+EscalatorInLease)^(0+M158)+((DATE(2027+0,4,30)-F158)/365.25)*IF(I158="Vacate",H158*D158*(1+GrowthMarketRent)^0*IF(INT((DATE(2026+0,10,31)-F158)/365.25)=0,(12-DowntimeNew)/12,1),IF(I158="Option",G158*D158*1.025*(1+EscalatorInLease)^0,IF(I158="Market",Retention*G158*D158*(1+EscalatorInLease)^(0+M158)+(1-Retention)*H158*D158*(1+GrowthMarketRent)^0*IF(INT((DATE(2026+0,10,31)-F158)/365.25)=0,(12-DowntimeNew)/12,1),IF(I158="LeaseUp",H158*D158*(1+GrowthMarketRent)^0*IF(0=0,(12-DowntimeNew)/12,1),0)))))))),0)</f>
        <v/>
      </c>
      <c r="O158" s="14">
        <f>IFERROR(IF(I158="LeaseUp",H158*D158*(1+GrowthMarketRent)^1*IF(1=0,(12-DowntimeNew)/12,1),IF(F158="",0,IF(F158&gt;=DATE(2027+1,4,30),G158*D158*(1+EscalatorInLease)^(1+M158),IF(F158&lt;DATE(2026+1,5,1),IF(I158="Vacate",H158*D158*(1+GrowthMarketRent)^1*IF(INT((DATE(2026+1,10,31)-F158)/365.25)=0,(12-DowntimeNew)/12,1),IF(I158="Option",G158*D158*1.025*(1+EscalatorInLease)^1,IF(I158="Market",Retention*G158*D158*(1+EscalatorInLease)^(1+M158)+(1-Retention)*H158*D158*(1+GrowthMarketRent)^1*IF(INT((DATE(2026+1,10,31)-F158)/365.25)=0,(12-DowntimeNew)/12,1),IF(I158="LeaseUp",H158*D158*(1+GrowthMarketRent)^1*IF(1=0,(12-DowntimeNew)/12,1),0)))),((F158-DATE(2026+1,5,1))/365.25)*G158*D158*(1+EscalatorInLease)^(1+M158)+((DATE(2027+1,4,30)-F158)/365.25)*IF(I158="Vacate",H158*D158*(1+GrowthMarketRent)^1*IF(INT((DATE(2026+1,10,31)-F158)/365.25)=0,(12-DowntimeNew)/12,1),IF(I158="Option",G158*D158*1.025*(1+EscalatorInLease)^1,IF(I158="Market",Retention*G158*D158*(1+EscalatorInLease)^(1+M158)+(1-Retention)*H158*D158*(1+GrowthMarketRent)^1*IF(INT((DATE(2026+1,10,31)-F158)/365.25)=0,(12-DowntimeNew)/12,1),IF(I158="LeaseUp",H158*D158*(1+GrowthMarketRent)^1*IF(1=0,(12-DowntimeNew)/12,1),0)))))))),0)</f>
        <v/>
      </c>
      <c r="P158" s="14">
        <f>IFERROR(IF(I158="LeaseUp",H158*D158*(1+GrowthMarketRent)^2*IF(2=0,(12-DowntimeNew)/12,1),IF(F158="",0,IF(F158&gt;=DATE(2027+2,4,30),G158*D158*(1+EscalatorInLease)^(2+M158),IF(F158&lt;DATE(2026+2,5,1),IF(I158="Vacate",H158*D158*(1+GrowthMarketRent)^2*IF(INT((DATE(2026+2,10,31)-F158)/365.25)=0,(12-DowntimeNew)/12,1),IF(I158="Option",G158*D158*1.025*(1+EscalatorInLease)^2,IF(I158="Market",Retention*G158*D158*(1+EscalatorInLease)^(2+M158)+(1-Retention)*H158*D158*(1+GrowthMarketRent)^2*IF(INT((DATE(2026+2,10,31)-F158)/365.25)=0,(12-DowntimeNew)/12,1),IF(I158="LeaseUp",H158*D158*(1+GrowthMarketRent)^2*IF(2=0,(12-DowntimeNew)/12,1),0)))),((F158-DATE(2026+2,5,1))/365.25)*G158*D158*(1+EscalatorInLease)^(2+M158)+((DATE(2027+2,4,30)-F158)/365.25)*IF(I158="Vacate",H158*D158*(1+GrowthMarketRent)^2*IF(INT((DATE(2026+2,10,31)-F158)/365.25)=0,(12-DowntimeNew)/12,1),IF(I158="Option",G158*D158*1.025*(1+EscalatorInLease)^2,IF(I158="Market",Retention*G158*D158*(1+EscalatorInLease)^(2+M158)+(1-Retention)*H158*D158*(1+GrowthMarketRent)^2*IF(INT((DATE(2026+2,10,31)-F158)/365.25)=0,(12-DowntimeNew)/12,1),IF(I158="LeaseUp",H158*D158*(1+GrowthMarketRent)^2*IF(2=0,(12-DowntimeNew)/12,1),0)))))))),0)</f>
        <v/>
      </c>
      <c r="Q158" s="14">
        <f>IFERROR(IF(I158="LeaseUp",H158*D158*(1+GrowthMarketRent)^3*IF(3=0,(12-DowntimeNew)/12,1),IF(F158="",0,IF(F158&gt;=DATE(2027+3,4,30),G158*D158*(1+EscalatorInLease)^(3+M158),IF(F158&lt;DATE(2026+3,5,1),IF(I158="Vacate",H158*D158*(1+GrowthMarketRent)^3*IF(INT((DATE(2026+3,10,31)-F158)/365.25)=0,(12-DowntimeNew)/12,1),IF(I158="Option",G158*D158*1.025*(1+EscalatorInLease)^3,IF(I158="Market",Retention*G158*D158*(1+EscalatorInLease)^(3+M158)+(1-Retention)*H158*D158*(1+GrowthMarketRent)^3*IF(INT((DATE(2026+3,10,31)-F158)/365.25)=0,(12-DowntimeNew)/12,1),IF(I158="LeaseUp",H158*D158*(1+GrowthMarketRent)^3*IF(3=0,(12-DowntimeNew)/12,1),0)))),((F158-DATE(2026+3,5,1))/365.25)*G158*D158*(1+EscalatorInLease)^(3+M158)+((DATE(2027+3,4,30)-F158)/365.25)*IF(I158="Vacate",H158*D158*(1+GrowthMarketRent)^3*IF(INT((DATE(2026+3,10,31)-F158)/365.25)=0,(12-DowntimeNew)/12,1),IF(I158="Option",G158*D158*1.025*(1+EscalatorInLease)^3,IF(I158="Market",Retention*G158*D158*(1+EscalatorInLease)^(3+M158)+(1-Retention)*H158*D158*(1+GrowthMarketRent)^3*IF(INT((DATE(2026+3,10,31)-F158)/365.25)=0,(12-DowntimeNew)/12,1),IF(I158="LeaseUp",H158*D158*(1+GrowthMarketRent)^3*IF(3=0,(12-DowntimeNew)/12,1),0)))))))),0)</f>
        <v/>
      </c>
      <c r="R158" s="14">
        <f>IFERROR(IF(I158="LeaseUp",H158*D158*(1+GrowthMarketRent)^4*IF(4=0,(12-DowntimeNew)/12,1),IF(F158="",0,IF(F158&gt;=DATE(2027+4,4,30),G158*D158*(1+EscalatorInLease)^(4+M158),IF(F158&lt;DATE(2026+4,5,1),IF(I158="Vacate",H158*D158*(1+GrowthMarketRent)^4*IF(INT((DATE(2026+4,10,31)-F158)/365.25)=0,(12-DowntimeNew)/12,1),IF(I158="Option",G158*D158*1.025*(1+EscalatorInLease)^4,IF(I158="Market",Retention*G158*D158*(1+EscalatorInLease)^(4+M158)+(1-Retention)*H158*D158*(1+GrowthMarketRent)^4*IF(INT((DATE(2026+4,10,31)-F158)/365.25)=0,(12-DowntimeNew)/12,1),IF(I158="LeaseUp",H158*D158*(1+GrowthMarketRent)^4*IF(4=0,(12-DowntimeNew)/12,1),0)))),((F158-DATE(2026+4,5,1))/365.25)*G158*D158*(1+EscalatorInLease)^(4+M158)+((DATE(2027+4,4,30)-F158)/365.25)*IF(I158="Vacate",H158*D158*(1+GrowthMarketRent)^4*IF(INT((DATE(2026+4,10,31)-F158)/365.25)=0,(12-DowntimeNew)/12,1),IF(I158="Option",G158*D158*1.025*(1+EscalatorInLease)^4,IF(I158="Market",Retention*G158*D158*(1+EscalatorInLease)^(4+M158)+(1-Retention)*H158*D158*(1+GrowthMarketRent)^4*IF(INT((DATE(2026+4,10,31)-F158)/365.25)=0,(12-DowntimeNew)/12,1),IF(I158="LeaseUp",H158*D158*(1+GrowthMarketRent)^4*IF(4=0,(12-DowntimeNew)/12,1),0)))))))),0)</f>
        <v/>
      </c>
      <c r="S158" s="14">
        <f>IFERROR(IF(I158="LeaseUp",H158*D158*(1+GrowthMarketRent)^5*IF(5=0,(12-DowntimeNew)/12,1),IF(F158="",0,IF(F158&gt;=DATE(2027+5,4,30),G158*D158*(1+EscalatorInLease)^(5+M158),IF(F158&lt;DATE(2026+5,5,1),IF(I158="Vacate",H158*D158*(1+GrowthMarketRent)^5*IF(INT((DATE(2026+5,10,31)-F158)/365.25)=0,(12-DowntimeNew)/12,1),IF(I158="Option",G158*D158*1.025*(1+EscalatorInLease)^5,IF(I158="Market",Retention*G158*D158*(1+EscalatorInLease)^(5+M158)+(1-Retention)*H158*D158*(1+GrowthMarketRent)^5*IF(INT((DATE(2026+5,10,31)-F158)/365.25)=0,(12-DowntimeNew)/12,1),IF(I158="LeaseUp",H158*D158*(1+GrowthMarketRent)^5*IF(5=0,(12-DowntimeNew)/12,1),0)))),((F158-DATE(2026+5,5,1))/365.25)*G158*D158*(1+EscalatorInLease)^(5+M158)+((DATE(2027+5,4,30)-F158)/365.25)*IF(I158="Vacate",H158*D158*(1+GrowthMarketRent)^5*IF(INT((DATE(2026+5,10,31)-F158)/365.25)=0,(12-DowntimeNew)/12,1),IF(I158="Option",G158*D158*1.025*(1+EscalatorInLease)^5,IF(I158="Market",Retention*G158*D158*(1+EscalatorInLease)^(5+M158)+(1-Retention)*H158*D158*(1+GrowthMarketRent)^5*IF(INT((DATE(2026+5,10,31)-F158)/365.25)=0,(12-DowntimeNew)/12,1),IF(I158="LeaseUp",H158*D158*(1+GrowthMarketRent)^5*IF(5=0,(12-DowntimeNew)/12,1),0)))))))),0)</f>
        <v/>
      </c>
      <c r="T158" s="14">
        <f>IFERROR(IF(I158="LeaseUp",H158*D158*(1+GrowthMarketRent)^6*IF(6=0,(12-DowntimeNew)/12,1),IF(F158="",0,IF(F158&gt;=DATE(2027+6,4,30),G158*D158*(1+EscalatorInLease)^(6+M158),IF(F158&lt;DATE(2026+6,5,1),IF(I158="Vacate",H158*D158*(1+GrowthMarketRent)^6*IF(INT((DATE(2026+6,10,31)-F158)/365.25)=0,(12-DowntimeNew)/12,1),IF(I158="Option",G158*D158*1.025*(1+EscalatorInLease)^6,IF(I158="Market",Retention*G158*D158*(1+EscalatorInLease)^(6+M158)+(1-Retention)*H158*D158*(1+GrowthMarketRent)^6*IF(INT((DATE(2026+6,10,31)-F158)/365.25)=0,(12-DowntimeNew)/12,1),IF(I158="LeaseUp",H158*D158*(1+GrowthMarketRent)^6*IF(6=0,(12-DowntimeNew)/12,1),0)))),((F158-DATE(2026+6,5,1))/365.25)*G158*D158*(1+EscalatorInLease)^(6+M158)+((DATE(2027+6,4,30)-F158)/365.25)*IF(I158="Vacate",H158*D158*(1+GrowthMarketRent)^6*IF(INT((DATE(2026+6,10,31)-F158)/365.25)=0,(12-DowntimeNew)/12,1),IF(I158="Option",G158*D158*1.025*(1+EscalatorInLease)^6,IF(I158="Market",Retention*G158*D158*(1+EscalatorInLease)^(6+M158)+(1-Retention)*H158*D158*(1+GrowthMarketRent)^6*IF(INT((DATE(2026+6,10,31)-F158)/365.25)=0,(12-DowntimeNew)/12,1),IF(I158="LeaseUp",H158*D158*(1+GrowthMarketRent)^6*IF(6=0,(12-DowntimeNew)/12,1),0)))))))),0)</f>
        <v/>
      </c>
      <c r="U158" s="14">
        <f>IFERROR(IF(I158="LeaseUp",H158*D158*(1+GrowthMarketRent)^7*IF(7=0,(12-DowntimeNew)/12,1),IF(F158="",0,IF(F158&gt;=DATE(2027+7,4,30),G158*D158*(1+EscalatorInLease)^(7+M158),IF(F158&lt;DATE(2026+7,5,1),IF(I158="Vacate",H158*D158*(1+GrowthMarketRent)^7*IF(INT((DATE(2026+7,10,31)-F158)/365.25)=0,(12-DowntimeNew)/12,1),IF(I158="Option",G158*D158*1.025*(1+EscalatorInLease)^7,IF(I158="Market",Retention*G158*D158*(1+EscalatorInLease)^(7+M158)+(1-Retention)*H158*D158*(1+GrowthMarketRent)^7*IF(INT((DATE(2026+7,10,31)-F158)/365.25)=0,(12-DowntimeNew)/12,1),IF(I158="LeaseUp",H158*D158*(1+GrowthMarketRent)^7*IF(7=0,(12-DowntimeNew)/12,1),0)))),((F158-DATE(2026+7,5,1))/365.25)*G158*D158*(1+EscalatorInLease)^(7+M158)+((DATE(2027+7,4,30)-F158)/365.25)*IF(I158="Vacate",H158*D158*(1+GrowthMarketRent)^7*IF(INT((DATE(2026+7,10,31)-F158)/365.25)=0,(12-DowntimeNew)/12,1),IF(I158="Option",G158*D158*1.025*(1+EscalatorInLease)^7,IF(I158="Market",Retention*G158*D158*(1+EscalatorInLease)^(7+M158)+(1-Retention)*H158*D158*(1+GrowthMarketRent)^7*IF(INT((DATE(2026+7,10,31)-F158)/365.25)=0,(12-DowntimeNew)/12,1),IF(I158="LeaseUp",H158*D158*(1+GrowthMarketRent)^7*IF(7=0,(12-DowntimeNew)/12,1),0)))))))),0)</f>
        <v/>
      </c>
      <c r="V158" s="14">
        <f>IFERROR(IF(I158="LeaseUp",H158*D158*(1+GrowthMarketRent)^8*IF(8=0,(12-DowntimeNew)/12,1),IF(F158="",0,IF(F158&gt;=DATE(2027+8,4,30),G158*D158*(1+EscalatorInLease)^(8+M158),IF(F158&lt;DATE(2026+8,5,1),IF(I158="Vacate",H158*D158*(1+GrowthMarketRent)^8*IF(INT((DATE(2026+8,10,31)-F158)/365.25)=0,(12-DowntimeNew)/12,1),IF(I158="Option",G158*D158*1.025*(1+EscalatorInLease)^8,IF(I158="Market",Retention*G158*D158*(1+EscalatorInLease)^(8+M158)+(1-Retention)*H158*D158*(1+GrowthMarketRent)^8*IF(INT((DATE(2026+8,10,31)-F158)/365.25)=0,(12-DowntimeNew)/12,1),IF(I158="LeaseUp",H158*D158*(1+GrowthMarketRent)^8*IF(8=0,(12-DowntimeNew)/12,1),0)))),((F158-DATE(2026+8,5,1))/365.25)*G158*D158*(1+EscalatorInLease)^(8+M158)+((DATE(2027+8,4,30)-F158)/365.25)*IF(I158="Vacate",H158*D158*(1+GrowthMarketRent)^8*IF(INT((DATE(2026+8,10,31)-F158)/365.25)=0,(12-DowntimeNew)/12,1),IF(I158="Option",G158*D158*1.025*(1+EscalatorInLease)^8,IF(I158="Market",Retention*G158*D158*(1+EscalatorInLease)^(8+M158)+(1-Retention)*H158*D158*(1+GrowthMarketRent)^8*IF(INT((DATE(2026+8,10,31)-F158)/365.25)=0,(12-DowntimeNew)/12,1),IF(I158="LeaseUp",H158*D158*(1+GrowthMarketRent)^8*IF(8=0,(12-DowntimeNew)/12,1),0)))))))),0)</f>
        <v/>
      </c>
      <c r="W158" s="14">
        <f>IFERROR(IF(I158="LeaseUp",H158*D158*(1+GrowthMarketRent)^9*IF(9=0,(12-DowntimeNew)/12,1),IF(F158="",0,IF(F158&gt;=DATE(2027+9,4,30),G158*D158*(1+EscalatorInLease)^(9+M158),IF(F158&lt;DATE(2026+9,5,1),IF(I158="Vacate",H158*D158*(1+GrowthMarketRent)^9*IF(INT((DATE(2026+9,10,31)-F158)/365.25)=0,(12-DowntimeNew)/12,1),IF(I158="Option",G158*D158*1.025*(1+EscalatorInLease)^9,IF(I158="Market",Retention*G158*D158*(1+EscalatorInLease)^(9+M158)+(1-Retention)*H158*D158*(1+GrowthMarketRent)^9*IF(INT((DATE(2026+9,10,31)-F158)/365.25)=0,(12-DowntimeNew)/12,1),IF(I158="LeaseUp",H158*D158*(1+GrowthMarketRent)^9*IF(9=0,(12-DowntimeNew)/12,1),0)))),((F158-DATE(2026+9,5,1))/365.25)*G158*D158*(1+EscalatorInLease)^(9+M158)+((DATE(2027+9,4,30)-F158)/365.25)*IF(I158="Vacate",H158*D158*(1+GrowthMarketRent)^9*IF(INT((DATE(2026+9,10,31)-F158)/365.25)=0,(12-DowntimeNew)/12,1),IF(I158="Option",G158*D158*1.025*(1+EscalatorInLease)^9,IF(I158="Market",Retention*G158*D158*(1+EscalatorInLease)^(9+M158)+(1-Retention)*H158*D158*(1+GrowthMarketRent)^9*IF(INT((DATE(2026+9,10,31)-F158)/365.25)=0,(12-DowntimeNew)/12,1),IF(I158="LeaseUp",H158*D158*(1+GrowthMarketRent)^9*IF(9=0,(12-DowntimeNew)/12,1),0)))))))),0)</f>
        <v/>
      </c>
      <c r="X158" s="14">
        <f>IFERROR(IF(I158="LeaseUp",H158*D158*(1+GrowthMarketRent)^10*IF(10=0,(12-DowntimeNew)/12,1),IF(F158="",0,IF(F158&gt;=DATE(2027+10,4,30),G158*D158*(1+EscalatorInLease)^(10+M158),IF(F158&lt;DATE(2026+10,5,1),IF(I158="Vacate",H158*D158*(1+GrowthMarketRent)^10*IF(INT((DATE(2026+10,10,31)-F158)/365.25)=0,(12-DowntimeNew)/12,1),IF(I158="Option",G158*D158*1.025*(1+EscalatorInLease)^10,IF(I158="Market",Retention*G158*D158*(1+EscalatorInLease)^(10+M158)+(1-Retention)*H158*D158*(1+GrowthMarketRent)^10*IF(INT((DATE(2026+10,10,31)-F158)/365.25)=0,(12-DowntimeNew)/12,1),IF(I158="LeaseUp",H158*D158*(1+GrowthMarketRent)^10*IF(10=0,(12-DowntimeNew)/12,1),0)))),((F158-DATE(2026+10,5,1))/365.25)*G158*D158*(1+EscalatorInLease)^(10+M158)+((DATE(2027+10,4,30)-F158)/365.25)*IF(I158="Vacate",H158*D158*(1+GrowthMarketRent)^10*IF(INT((DATE(2026+10,10,31)-F158)/365.25)=0,(12-DowntimeNew)/12,1),IF(I158="Option",G158*D158*1.025*(1+EscalatorInLease)^10,IF(I158="Market",Retention*G158*D158*(1+EscalatorInLease)^(10+M158)+(1-Retention)*H158*D158*(1+GrowthMarketRent)^10*IF(INT((DATE(2026+10,10,31)-F158)/365.25)=0,(12-DowntimeNew)/12,1),IF(I158="LeaseUp",H158*D158*(1+GrowthMarketRent)^10*IF(10=0,(12-DowntimeNew)/12,1),0)))))))),0)</f>
        <v/>
      </c>
      <c r="Y158" s="14">
        <f>IFERROR(IF(AND(I158="LeaseUp",0=0),(IF(I158="Vacate",TINew*D158,IF(I158="Market",Retention*TIRenewal*D158+(1-Retention)*TINew*D158,IF(I158="LeaseUp",TINew*D158,IF(I158="Option",TIRenewal*D158,0)))))+(IF(I158="Vacate",LCNew*H158*D158*(1+GrowthMarketRent)^0,IF(I158="Market",Retention*LCRenewal*H158*D158*(1+GrowthMarketRent)^0+(1-Retention)*LCNew*H158*D158*(1+GrowthMarketRent)^0,IF(I158="LeaseUp",LCNew*H158*D158*(1+GrowthMarketRent)^0,IF(I158="Option",LCRenewal*H158*D158*(1+GrowthMarketRent)^0,0))))),IF(F158="",0,IF(AND(F158&gt;=DATE(2026+0,5,1),F158&lt;=DATE(2027+0,4,30)),(IF(I158="Vacate",TINew*D158,IF(I158="Market",Retention*TIRenewal*D158+(1-Retention)*TINew*D158,IF(I158="LeaseUp",TINew*D158,IF(I158="Option",TIRenewal*D158,0)))))+(IF(I158="Vacate",LCNew*H158*D158*(1+GrowthMarketRent)^0,IF(I158="Market",Retention*LCRenewal*H158*D158*(1+GrowthMarketRent)^0+(1-Retention)*LCNew*H158*D158*(1+GrowthMarketRent)^0,IF(I158="LeaseUp",LCNew*H158*D158*(1+GrowthMarketRent)^0,IF(I158="Option",LCRenewal*H158*D158*(1+GrowthMarketRent)^0,0))))),0))),0)</f>
        <v/>
      </c>
      <c r="Z158" s="14">
        <f>IFERROR(IF(AND(I158="LeaseUp",1=0),(IF(I158="Vacate",TINew*D158,IF(I158="Market",Retention*TIRenewal*D158+(1-Retention)*TINew*D158,IF(I158="LeaseUp",TINew*D158,IF(I158="Option",TIRenewal*D158,0)))))+(IF(I158="Vacate",LCNew*H158*D158*(1+GrowthMarketRent)^1,IF(I158="Market",Retention*LCRenewal*H158*D158*(1+GrowthMarketRent)^1+(1-Retention)*LCNew*H158*D158*(1+GrowthMarketRent)^1,IF(I158="LeaseUp",LCNew*H158*D158*(1+GrowthMarketRent)^1,IF(I158="Option",LCRenewal*H158*D158*(1+GrowthMarketRent)^1,0))))),IF(F158="",0,IF(AND(F158&gt;=DATE(2026+1,5,1),F158&lt;=DATE(2027+1,4,30)),(IF(I158="Vacate",TINew*D158,IF(I158="Market",Retention*TIRenewal*D158+(1-Retention)*TINew*D158,IF(I158="LeaseUp",TINew*D158,IF(I158="Option",TIRenewal*D158,0)))))+(IF(I158="Vacate",LCNew*H158*D158*(1+GrowthMarketRent)^1,IF(I158="Market",Retention*LCRenewal*H158*D158*(1+GrowthMarketRent)^1+(1-Retention)*LCNew*H158*D158*(1+GrowthMarketRent)^1,IF(I158="LeaseUp",LCNew*H158*D158*(1+GrowthMarketRent)^1,IF(I158="Option",LCRenewal*H158*D158*(1+GrowthMarketRent)^1,0))))),0))),0)</f>
        <v/>
      </c>
      <c r="AA158" s="14">
        <f>IFERROR(IF(AND(I158="LeaseUp",2=0),(IF(I158="Vacate",TINew*D158,IF(I158="Market",Retention*TIRenewal*D158+(1-Retention)*TINew*D158,IF(I158="LeaseUp",TINew*D158,IF(I158="Option",TIRenewal*D158,0)))))+(IF(I158="Vacate",LCNew*H158*D158*(1+GrowthMarketRent)^2,IF(I158="Market",Retention*LCRenewal*H158*D158*(1+GrowthMarketRent)^2+(1-Retention)*LCNew*H158*D158*(1+GrowthMarketRent)^2,IF(I158="LeaseUp",LCNew*H158*D158*(1+GrowthMarketRent)^2,IF(I158="Option",LCRenewal*H158*D158*(1+GrowthMarketRent)^2,0))))),IF(F158="",0,IF(AND(F158&gt;=DATE(2026+2,5,1),F158&lt;=DATE(2027+2,4,30)),(IF(I158="Vacate",TINew*D158,IF(I158="Market",Retention*TIRenewal*D158+(1-Retention)*TINew*D158,IF(I158="LeaseUp",TINew*D158,IF(I158="Option",TIRenewal*D158,0)))))+(IF(I158="Vacate",LCNew*H158*D158*(1+GrowthMarketRent)^2,IF(I158="Market",Retention*LCRenewal*H158*D158*(1+GrowthMarketRent)^2+(1-Retention)*LCNew*H158*D158*(1+GrowthMarketRent)^2,IF(I158="LeaseUp",LCNew*H158*D158*(1+GrowthMarketRent)^2,IF(I158="Option",LCRenewal*H158*D158*(1+GrowthMarketRent)^2,0))))),0))),0)</f>
        <v/>
      </c>
      <c r="AB158" s="14">
        <f>IFERROR(IF(AND(I158="LeaseUp",3=0),(IF(I158="Vacate",TINew*D158,IF(I158="Market",Retention*TIRenewal*D158+(1-Retention)*TINew*D158,IF(I158="LeaseUp",TINew*D158,IF(I158="Option",TIRenewal*D158,0)))))+(IF(I158="Vacate",LCNew*H158*D158*(1+GrowthMarketRent)^3,IF(I158="Market",Retention*LCRenewal*H158*D158*(1+GrowthMarketRent)^3+(1-Retention)*LCNew*H158*D158*(1+GrowthMarketRent)^3,IF(I158="LeaseUp",LCNew*H158*D158*(1+GrowthMarketRent)^3,IF(I158="Option",LCRenewal*H158*D158*(1+GrowthMarketRent)^3,0))))),IF(F158="",0,IF(AND(F158&gt;=DATE(2026+3,5,1),F158&lt;=DATE(2027+3,4,30)),(IF(I158="Vacate",TINew*D158,IF(I158="Market",Retention*TIRenewal*D158+(1-Retention)*TINew*D158,IF(I158="LeaseUp",TINew*D158,IF(I158="Option",TIRenewal*D158,0)))))+(IF(I158="Vacate",LCNew*H158*D158*(1+GrowthMarketRent)^3,IF(I158="Market",Retention*LCRenewal*H158*D158*(1+GrowthMarketRent)^3+(1-Retention)*LCNew*H158*D158*(1+GrowthMarketRent)^3,IF(I158="LeaseUp",LCNew*H158*D158*(1+GrowthMarketRent)^3,IF(I158="Option",LCRenewal*H158*D158*(1+GrowthMarketRent)^3,0))))),0))),0)</f>
        <v/>
      </c>
      <c r="AC158" s="14">
        <f>IFERROR(IF(AND(I158="LeaseUp",4=0),(IF(I158="Vacate",TINew*D158,IF(I158="Market",Retention*TIRenewal*D158+(1-Retention)*TINew*D158,IF(I158="LeaseUp",TINew*D158,IF(I158="Option",TIRenewal*D158,0)))))+(IF(I158="Vacate",LCNew*H158*D158*(1+GrowthMarketRent)^4,IF(I158="Market",Retention*LCRenewal*H158*D158*(1+GrowthMarketRent)^4+(1-Retention)*LCNew*H158*D158*(1+GrowthMarketRent)^4,IF(I158="LeaseUp",LCNew*H158*D158*(1+GrowthMarketRent)^4,IF(I158="Option",LCRenewal*H158*D158*(1+GrowthMarketRent)^4,0))))),IF(F158="",0,IF(AND(F158&gt;=DATE(2026+4,5,1),F158&lt;=DATE(2027+4,4,30)),(IF(I158="Vacate",TINew*D158,IF(I158="Market",Retention*TIRenewal*D158+(1-Retention)*TINew*D158,IF(I158="LeaseUp",TINew*D158,IF(I158="Option",TIRenewal*D158,0)))))+(IF(I158="Vacate",LCNew*H158*D158*(1+GrowthMarketRent)^4,IF(I158="Market",Retention*LCRenewal*H158*D158*(1+GrowthMarketRent)^4+(1-Retention)*LCNew*H158*D158*(1+GrowthMarketRent)^4,IF(I158="LeaseUp",LCNew*H158*D158*(1+GrowthMarketRent)^4,IF(I158="Option",LCRenewal*H158*D158*(1+GrowthMarketRent)^4,0))))),0))),0)</f>
        <v/>
      </c>
      <c r="AD158" s="14">
        <f>IFERROR(IF(AND(I158="LeaseUp",5=0),(IF(I158="Vacate",TINew*D158,IF(I158="Market",Retention*TIRenewal*D158+(1-Retention)*TINew*D158,IF(I158="LeaseUp",TINew*D158,IF(I158="Option",TIRenewal*D158,0)))))+(IF(I158="Vacate",LCNew*H158*D158*(1+GrowthMarketRent)^5,IF(I158="Market",Retention*LCRenewal*H158*D158*(1+GrowthMarketRent)^5+(1-Retention)*LCNew*H158*D158*(1+GrowthMarketRent)^5,IF(I158="LeaseUp",LCNew*H158*D158*(1+GrowthMarketRent)^5,IF(I158="Option",LCRenewal*H158*D158*(1+GrowthMarketRent)^5,0))))),IF(F158="",0,IF(AND(F158&gt;=DATE(2026+5,5,1),F158&lt;=DATE(2027+5,4,30)),(IF(I158="Vacate",TINew*D158,IF(I158="Market",Retention*TIRenewal*D158+(1-Retention)*TINew*D158,IF(I158="LeaseUp",TINew*D158,IF(I158="Option",TIRenewal*D158,0)))))+(IF(I158="Vacate",LCNew*H158*D158*(1+GrowthMarketRent)^5,IF(I158="Market",Retention*LCRenewal*H158*D158*(1+GrowthMarketRent)^5+(1-Retention)*LCNew*H158*D158*(1+GrowthMarketRent)^5,IF(I158="LeaseUp",LCNew*H158*D158*(1+GrowthMarketRent)^5,IF(I158="Option",LCRenewal*H158*D158*(1+GrowthMarketRent)^5,0))))),0))),0)</f>
        <v/>
      </c>
      <c r="AE158" s="14">
        <f>IFERROR(IF(AND(I158="LeaseUp",6=0),(IF(I158="Vacate",TINew*D158,IF(I158="Market",Retention*TIRenewal*D158+(1-Retention)*TINew*D158,IF(I158="LeaseUp",TINew*D158,IF(I158="Option",TIRenewal*D158,0)))))+(IF(I158="Vacate",LCNew*H158*D158*(1+GrowthMarketRent)^6,IF(I158="Market",Retention*LCRenewal*H158*D158*(1+GrowthMarketRent)^6+(1-Retention)*LCNew*H158*D158*(1+GrowthMarketRent)^6,IF(I158="LeaseUp",LCNew*H158*D158*(1+GrowthMarketRent)^6,IF(I158="Option",LCRenewal*H158*D158*(1+GrowthMarketRent)^6,0))))),IF(F158="",0,IF(AND(F158&gt;=DATE(2026+6,5,1),F158&lt;=DATE(2027+6,4,30)),(IF(I158="Vacate",TINew*D158,IF(I158="Market",Retention*TIRenewal*D158+(1-Retention)*TINew*D158,IF(I158="LeaseUp",TINew*D158,IF(I158="Option",TIRenewal*D158,0)))))+(IF(I158="Vacate",LCNew*H158*D158*(1+GrowthMarketRent)^6,IF(I158="Market",Retention*LCRenewal*H158*D158*(1+GrowthMarketRent)^6+(1-Retention)*LCNew*H158*D158*(1+GrowthMarketRent)^6,IF(I158="LeaseUp",LCNew*H158*D158*(1+GrowthMarketRent)^6,IF(I158="Option",LCRenewal*H158*D158*(1+GrowthMarketRent)^6,0))))),0))),0)</f>
        <v/>
      </c>
      <c r="AF158" s="14">
        <f>IFERROR(IF(AND(I158="LeaseUp",7=0),(IF(I158="Vacate",TINew*D158,IF(I158="Market",Retention*TIRenewal*D158+(1-Retention)*TINew*D158,IF(I158="LeaseUp",TINew*D158,IF(I158="Option",TIRenewal*D158,0)))))+(IF(I158="Vacate",LCNew*H158*D158*(1+GrowthMarketRent)^7,IF(I158="Market",Retention*LCRenewal*H158*D158*(1+GrowthMarketRent)^7+(1-Retention)*LCNew*H158*D158*(1+GrowthMarketRent)^7,IF(I158="LeaseUp",LCNew*H158*D158*(1+GrowthMarketRent)^7,IF(I158="Option",LCRenewal*H158*D158*(1+GrowthMarketRent)^7,0))))),IF(F158="",0,IF(AND(F158&gt;=DATE(2026+7,5,1),F158&lt;=DATE(2027+7,4,30)),(IF(I158="Vacate",TINew*D158,IF(I158="Market",Retention*TIRenewal*D158+(1-Retention)*TINew*D158,IF(I158="LeaseUp",TINew*D158,IF(I158="Option",TIRenewal*D158,0)))))+(IF(I158="Vacate",LCNew*H158*D158*(1+GrowthMarketRent)^7,IF(I158="Market",Retention*LCRenewal*H158*D158*(1+GrowthMarketRent)^7+(1-Retention)*LCNew*H158*D158*(1+GrowthMarketRent)^7,IF(I158="LeaseUp",LCNew*H158*D158*(1+GrowthMarketRent)^7,IF(I158="Option",LCRenewal*H158*D158*(1+GrowthMarketRent)^7,0))))),0))),0)</f>
        <v/>
      </c>
      <c r="AG158" s="14">
        <f>IFERROR(IF(AND(I158="LeaseUp",8=0),(IF(I158="Vacate",TINew*D158,IF(I158="Market",Retention*TIRenewal*D158+(1-Retention)*TINew*D158,IF(I158="LeaseUp",TINew*D158,IF(I158="Option",TIRenewal*D158,0)))))+(IF(I158="Vacate",LCNew*H158*D158*(1+GrowthMarketRent)^8,IF(I158="Market",Retention*LCRenewal*H158*D158*(1+GrowthMarketRent)^8+(1-Retention)*LCNew*H158*D158*(1+GrowthMarketRent)^8,IF(I158="LeaseUp",LCNew*H158*D158*(1+GrowthMarketRent)^8,IF(I158="Option",LCRenewal*H158*D158*(1+GrowthMarketRent)^8,0))))),IF(F158="",0,IF(AND(F158&gt;=DATE(2026+8,5,1),F158&lt;=DATE(2027+8,4,30)),(IF(I158="Vacate",TINew*D158,IF(I158="Market",Retention*TIRenewal*D158+(1-Retention)*TINew*D158,IF(I158="LeaseUp",TINew*D158,IF(I158="Option",TIRenewal*D158,0)))))+(IF(I158="Vacate",LCNew*H158*D158*(1+GrowthMarketRent)^8,IF(I158="Market",Retention*LCRenewal*H158*D158*(1+GrowthMarketRent)^8+(1-Retention)*LCNew*H158*D158*(1+GrowthMarketRent)^8,IF(I158="LeaseUp",LCNew*H158*D158*(1+GrowthMarketRent)^8,IF(I158="Option",LCRenewal*H158*D158*(1+GrowthMarketRent)^8,0))))),0))),0)</f>
        <v/>
      </c>
      <c r="AH158" s="14">
        <f>IFERROR(IF(AND(I158="LeaseUp",9=0),(IF(I158="Vacate",TINew*D158,IF(I158="Market",Retention*TIRenewal*D158+(1-Retention)*TINew*D158,IF(I158="LeaseUp",TINew*D158,IF(I158="Option",TIRenewal*D158,0)))))+(IF(I158="Vacate",LCNew*H158*D158*(1+GrowthMarketRent)^9,IF(I158="Market",Retention*LCRenewal*H158*D158*(1+GrowthMarketRent)^9+(1-Retention)*LCNew*H158*D158*(1+GrowthMarketRent)^9,IF(I158="LeaseUp",LCNew*H158*D158*(1+GrowthMarketRent)^9,IF(I158="Option",LCRenewal*H158*D158*(1+GrowthMarketRent)^9,0))))),IF(F158="",0,IF(AND(F158&gt;=DATE(2026+9,5,1),F158&lt;=DATE(2027+9,4,30)),(IF(I158="Vacate",TINew*D158,IF(I158="Market",Retention*TIRenewal*D158+(1-Retention)*TINew*D158,IF(I158="LeaseUp",TINew*D158,IF(I158="Option",TIRenewal*D158,0)))))+(IF(I158="Vacate",LCNew*H158*D158*(1+GrowthMarketRent)^9,IF(I158="Market",Retention*LCRenewal*H158*D158*(1+GrowthMarketRent)^9+(1-Retention)*LCNew*H158*D158*(1+GrowthMarketRent)^9,IF(I158="LeaseUp",LCNew*H158*D158*(1+GrowthMarketRent)^9,IF(I158="Option",LCRenewal*H158*D158*(1+GrowthMarketRent)^9,0))))),0))),0)</f>
        <v/>
      </c>
      <c r="AI158" s="14">
        <f>IFERROR(IF(AND(I158="LeaseUp",10=0),(IF(I158="Vacate",TINew*D158,IF(I158="Market",Retention*TIRenewal*D158+(1-Retention)*TINew*D158,IF(I158="LeaseUp",TINew*D158,IF(I158="Option",TIRenewal*D158,0)))))+(IF(I158="Vacate",LCNew*H158*D158*(1+GrowthMarketRent)^10,IF(I158="Market",Retention*LCRenewal*H158*D158*(1+GrowthMarketRent)^10+(1-Retention)*LCNew*H158*D158*(1+GrowthMarketRent)^10,IF(I158="LeaseUp",LCNew*H158*D158*(1+GrowthMarketRent)^10,IF(I158="Option",LCRenewal*H158*D158*(1+GrowthMarketRent)^10,0))))),IF(F158="",0,IF(AND(F158&gt;=DATE(2026+10,5,1),F158&lt;=DATE(2027+10,4,30)),(IF(I158="Vacate",TINew*D158,IF(I158="Market",Retention*TIRenewal*D158+(1-Retention)*TINew*D158,IF(I158="LeaseUp",TINew*D158,IF(I158="Option",TIRenewal*D158,0)))))+(IF(I158="Vacate",LCNew*H158*D158*(1+GrowthMarketRent)^10,IF(I158="Market",Retention*LCRenewal*H158*D158*(1+GrowthMarketRent)^10+(1-Retention)*LCNew*H158*D158*(1+GrowthMarketRent)^10,IF(I158="LeaseUp",LCNew*H158*D158*(1+GrowthMarketRent)^10,IF(I158="Option",LCRenewal*H158*D158*(1+GrowthMarketRent)^10,0))))),0))),0)</f>
        <v/>
      </c>
    </row>
    <row r="159">
      <c r="A159" t="inlineStr">
        <is>
          <t>Plano</t>
        </is>
      </c>
      <c r="B159" t="inlineStr">
        <is>
          <t>210</t>
        </is>
      </c>
      <c r="C159" t="inlineStr">
        <is>
          <t>Lechanelactive llc</t>
        </is>
      </c>
      <c r="D159" s="32" t="n">
        <v>3450</v>
      </c>
      <c r="E159" s="33" t="n">
        <v>45108</v>
      </c>
      <c r="F159" s="33" t="n">
        <v>46357</v>
      </c>
      <c r="G159" s="34" t="n">
        <v>17.3353623188406</v>
      </c>
      <c r="H159" s="16">
        <f>VLOOKUP(A159,MLA!$A$5:$L$11,3,FALSE)</f>
        <v/>
      </c>
      <c r="I159" s="11" t="inlineStr">
        <is>
          <t>Vacate</t>
        </is>
      </c>
      <c r="J159" t="inlineStr">
        <is>
          <t>Shop</t>
        </is>
      </c>
      <c r="K159" t="inlineStr">
        <is>
          <t>Occupied</t>
        </is>
      </c>
      <c r="L159" t="inlineStr">
        <is>
          <t>Shop; assumed vacate 12/26; Guarantor: Thomas Bell</t>
        </is>
      </c>
      <c r="M159" s="20">
        <f>IF(E159="",0,(AnalysisStart-E159)/365.25)</f>
        <v/>
      </c>
      <c r="N159" s="14">
        <f>IFERROR(IF(I159="LeaseUp",H159*D159*(1+GrowthMarketRent)^0*IF(0=0,(12-DowntimeNew)/12,1),IF(F159="",0,IF(F159&gt;=DATE(2027+0,4,30),G159*D159*(1+EscalatorInLease)^(0+M159),IF(F159&lt;DATE(2026+0,5,1),IF(I159="Vacate",H159*D159*(1+GrowthMarketRent)^0*IF(INT((DATE(2026+0,10,31)-F159)/365.25)=0,(12-DowntimeNew)/12,1),IF(I159="Option",G159*D159*1.025*(1+EscalatorInLease)^0,IF(I159="Market",Retention*G159*D159*(1+EscalatorInLease)^(0+M159)+(1-Retention)*H159*D159*(1+GrowthMarketRent)^0*IF(INT((DATE(2026+0,10,31)-F159)/365.25)=0,(12-DowntimeNew)/12,1),IF(I159="LeaseUp",H159*D159*(1+GrowthMarketRent)^0*IF(0=0,(12-DowntimeNew)/12,1),0)))),((F159-DATE(2026+0,5,1))/365.25)*G159*D159*(1+EscalatorInLease)^(0+M159)+((DATE(2027+0,4,30)-F159)/365.25)*IF(I159="Vacate",H159*D159*(1+GrowthMarketRent)^0*IF(INT((DATE(2026+0,10,31)-F159)/365.25)=0,(12-DowntimeNew)/12,1),IF(I159="Option",G159*D159*1.025*(1+EscalatorInLease)^0,IF(I159="Market",Retention*G159*D159*(1+EscalatorInLease)^(0+M159)+(1-Retention)*H159*D159*(1+GrowthMarketRent)^0*IF(INT((DATE(2026+0,10,31)-F159)/365.25)=0,(12-DowntimeNew)/12,1),IF(I159="LeaseUp",H159*D159*(1+GrowthMarketRent)^0*IF(0=0,(12-DowntimeNew)/12,1),0)))))))),0)</f>
        <v/>
      </c>
      <c r="O159" s="14">
        <f>IFERROR(IF(I159="LeaseUp",H159*D159*(1+GrowthMarketRent)^1*IF(1=0,(12-DowntimeNew)/12,1),IF(F159="",0,IF(F159&gt;=DATE(2027+1,4,30),G159*D159*(1+EscalatorInLease)^(1+M159),IF(F159&lt;DATE(2026+1,5,1),IF(I159="Vacate",H159*D159*(1+GrowthMarketRent)^1*IF(INT((DATE(2026+1,10,31)-F159)/365.25)=0,(12-DowntimeNew)/12,1),IF(I159="Option",G159*D159*1.025*(1+EscalatorInLease)^1,IF(I159="Market",Retention*G159*D159*(1+EscalatorInLease)^(1+M159)+(1-Retention)*H159*D159*(1+GrowthMarketRent)^1*IF(INT((DATE(2026+1,10,31)-F159)/365.25)=0,(12-DowntimeNew)/12,1),IF(I159="LeaseUp",H159*D159*(1+GrowthMarketRent)^1*IF(1=0,(12-DowntimeNew)/12,1),0)))),((F159-DATE(2026+1,5,1))/365.25)*G159*D159*(1+EscalatorInLease)^(1+M159)+((DATE(2027+1,4,30)-F159)/365.25)*IF(I159="Vacate",H159*D159*(1+GrowthMarketRent)^1*IF(INT((DATE(2026+1,10,31)-F159)/365.25)=0,(12-DowntimeNew)/12,1),IF(I159="Option",G159*D159*1.025*(1+EscalatorInLease)^1,IF(I159="Market",Retention*G159*D159*(1+EscalatorInLease)^(1+M159)+(1-Retention)*H159*D159*(1+GrowthMarketRent)^1*IF(INT((DATE(2026+1,10,31)-F159)/365.25)=0,(12-DowntimeNew)/12,1),IF(I159="LeaseUp",H159*D159*(1+GrowthMarketRent)^1*IF(1=0,(12-DowntimeNew)/12,1),0)))))))),0)</f>
        <v/>
      </c>
      <c r="P159" s="14">
        <f>IFERROR(IF(I159="LeaseUp",H159*D159*(1+GrowthMarketRent)^2*IF(2=0,(12-DowntimeNew)/12,1),IF(F159="",0,IF(F159&gt;=DATE(2027+2,4,30),G159*D159*(1+EscalatorInLease)^(2+M159),IF(F159&lt;DATE(2026+2,5,1),IF(I159="Vacate",H159*D159*(1+GrowthMarketRent)^2*IF(INT((DATE(2026+2,10,31)-F159)/365.25)=0,(12-DowntimeNew)/12,1),IF(I159="Option",G159*D159*1.025*(1+EscalatorInLease)^2,IF(I159="Market",Retention*G159*D159*(1+EscalatorInLease)^(2+M159)+(1-Retention)*H159*D159*(1+GrowthMarketRent)^2*IF(INT((DATE(2026+2,10,31)-F159)/365.25)=0,(12-DowntimeNew)/12,1),IF(I159="LeaseUp",H159*D159*(1+GrowthMarketRent)^2*IF(2=0,(12-DowntimeNew)/12,1),0)))),((F159-DATE(2026+2,5,1))/365.25)*G159*D159*(1+EscalatorInLease)^(2+M159)+((DATE(2027+2,4,30)-F159)/365.25)*IF(I159="Vacate",H159*D159*(1+GrowthMarketRent)^2*IF(INT((DATE(2026+2,10,31)-F159)/365.25)=0,(12-DowntimeNew)/12,1),IF(I159="Option",G159*D159*1.025*(1+EscalatorInLease)^2,IF(I159="Market",Retention*G159*D159*(1+EscalatorInLease)^(2+M159)+(1-Retention)*H159*D159*(1+GrowthMarketRent)^2*IF(INT((DATE(2026+2,10,31)-F159)/365.25)=0,(12-DowntimeNew)/12,1),IF(I159="LeaseUp",H159*D159*(1+GrowthMarketRent)^2*IF(2=0,(12-DowntimeNew)/12,1),0)))))))),0)</f>
        <v/>
      </c>
      <c r="Q159" s="14">
        <f>IFERROR(IF(I159="LeaseUp",H159*D159*(1+GrowthMarketRent)^3*IF(3=0,(12-DowntimeNew)/12,1),IF(F159="",0,IF(F159&gt;=DATE(2027+3,4,30),G159*D159*(1+EscalatorInLease)^(3+M159),IF(F159&lt;DATE(2026+3,5,1),IF(I159="Vacate",H159*D159*(1+GrowthMarketRent)^3*IF(INT((DATE(2026+3,10,31)-F159)/365.25)=0,(12-DowntimeNew)/12,1),IF(I159="Option",G159*D159*1.025*(1+EscalatorInLease)^3,IF(I159="Market",Retention*G159*D159*(1+EscalatorInLease)^(3+M159)+(1-Retention)*H159*D159*(1+GrowthMarketRent)^3*IF(INT((DATE(2026+3,10,31)-F159)/365.25)=0,(12-DowntimeNew)/12,1),IF(I159="LeaseUp",H159*D159*(1+GrowthMarketRent)^3*IF(3=0,(12-DowntimeNew)/12,1),0)))),((F159-DATE(2026+3,5,1))/365.25)*G159*D159*(1+EscalatorInLease)^(3+M159)+((DATE(2027+3,4,30)-F159)/365.25)*IF(I159="Vacate",H159*D159*(1+GrowthMarketRent)^3*IF(INT((DATE(2026+3,10,31)-F159)/365.25)=0,(12-DowntimeNew)/12,1),IF(I159="Option",G159*D159*1.025*(1+EscalatorInLease)^3,IF(I159="Market",Retention*G159*D159*(1+EscalatorInLease)^(3+M159)+(1-Retention)*H159*D159*(1+GrowthMarketRent)^3*IF(INT((DATE(2026+3,10,31)-F159)/365.25)=0,(12-DowntimeNew)/12,1),IF(I159="LeaseUp",H159*D159*(1+GrowthMarketRent)^3*IF(3=0,(12-DowntimeNew)/12,1),0)))))))),0)</f>
        <v/>
      </c>
      <c r="R159" s="14">
        <f>IFERROR(IF(I159="LeaseUp",H159*D159*(1+GrowthMarketRent)^4*IF(4=0,(12-DowntimeNew)/12,1),IF(F159="",0,IF(F159&gt;=DATE(2027+4,4,30),G159*D159*(1+EscalatorInLease)^(4+M159),IF(F159&lt;DATE(2026+4,5,1),IF(I159="Vacate",H159*D159*(1+GrowthMarketRent)^4*IF(INT((DATE(2026+4,10,31)-F159)/365.25)=0,(12-DowntimeNew)/12,1),IF(I159="Option",G159*D159*1.025*(1+EscalatorInLease)^4,IF(I159="Market",Retention*G159*D159*(1+EscalatorInLease)^(4+M159)+(1-Retention)*H159*D159*(1+GrowthMarketRent)^4*IF(INT((DATE(2026+4,10,31)-F159)/365.25)=0,(12-DowntimeNew)/12,1),IF(I159="LeaseUp",H159*D159*(1+GrowthMarketRent)^4*IF(4=0,(12-DowntimeNew)/12,1),0)))),((F159-DATE(2026+4,5,1))/365.25)*G159*D159*(1+EscalatorInLease)^(4+M159)+((DATE(2027+4,4,30)-F159)/365.25)*IF(I159="Vacate",H159*D159*(1+GrowthMarketRent)^4*IF(INT((DATE(2026+4,10,31)-F159)/365.25)=0,(12-DowntimeNew)/12,1),IF(I159="Option",G159*D159*1.025*(1+EscalatorInLease)^4,IF(I159="Market",Retention*G159*D159*(1+EscalatorInLease)^(4+M159)+(1-Retention)*H159*D159*(1+GrowthMarketRent)^4*IF(INT((DATE(2026+4,10,31)-F159)/365.25)=0,(12-DowntimeNew)/12,1),IF(I159="LeaseUp",H159*D159*(1+GrowthMarketRent)^4*IF(4=0,(12-DowntimeNew)/12,1),0)))))))),0)</f>
        <v/>
      </c>
      <c r="S159" s="14">
        <f>IFERROR(IF(I159="LeaseUp",H159*D159*(1+GrowthMarketRent)^5*IF(5=0,(12-DowntimeNew)/12,1),IF(F159="",0,IF(F159&gt;=DATE(2027+5,4,30),G159*D159*(1+EscalatorInLease)^(5+M159),IF(F159&lt;DATE(2026+5,5,1),IF(I159="Vacate",H159*D159*(1+GrowthMarketRent)^5*IF(INT((DATE(2026+5,10,31)-F159)/365.25)=0,(12-DowntimeNew)/12,1),IF(I159="Option",G159*D159*1.025*(1+EscalatorInLease)^5,IF(I159="Market",Retention*G159*D159*(1+EscalatorInLease)^(5+M159)+(1-Retention)*H159*D159*(1+GrowthMarketRent)^5*IF(INT((DATE(2026+5,10,31)-F159)/365.25)=0,(12-DowntimeNew)/12,1),IF(I159="LeaseUp",H159*D159*(1+GrowthMarketRent)^5*IF(5=0,(12-DowntimeNew)/12,1),0)))),((F159-DATE(2026+5,5,1))/365.25)*G159*D159*(1+EscalatorInLease)^(5+M159)+((DATE(2027+5,4,30)-F159)/365.25)*IF(I159="Vacate",H159*D159*(1+GrowthMarketRent)^5*IF(INT((DATE(2026+5,10,31)-F159)/365.25)=0,(12-DowntimeNew)/12,1),IF(I159="Option",G159*D159*1.025*(1+EscalatorInLease)^5,IF(I159="Market",Retention*G159*D159*(1+EscalatorInLease)^(5+M159)+(1-Retention)*H159*D159*(1+GrowthMarketRent)^5*IF(INT((DATE(2026+5,10,31)-F159)/365.25)=0,(12-DowntimeNew)/12,1),IF(I159="LeaseUp",H159*D159*(1+GrowthMarketRent)^5*IF(5=0,(12-DowntimeNew)/12,1),0)))))))),0)</f>
        <v/>
      </c>
      <c r="T159" s="14">
        <f>IFERROR(IF(I159="LeaseUp",H159*D159*(1+GrowthMarketRent)^6*IF(6=0,(12-DowntimeNew)/12,1),IF(F159="",0,IF(F159&gt;=DATE(2027+6,4,30),G159*D159*(1+EscalatorInLease)^(6+M159),IF(F159&lt;DATE(2026+6,5,1),IF(I159="Vacate",H159*D159*(1+GrowthMarketRent)^6*IF(INT((DATE(2026+6,10,31)-F159)/365.25)=0,(12-DowntimeNew)/12,1),IF(I159="Option",G159*D159*1.025*(1+EscalatorInLease)^6,IF(I159="Market",Retention*G159*D159*(1+EscalatorInLease)^(6+M159)+(1-Retention)*H159*D159*(1+GrowthMarketRent)^6*IF(INT((DATE(2026+6,10,31)-F159)/365.25)=0,(12-DowntimeNew)/12,1),IF(I159="LeaseUp",H159*D159*(1+GrowthMarketRent)^6*IF(6=0,(12-DowntimeNew)/12,1),0)))),((F159-DATE(2026+6,5,1))/365.25)*G159*D159*(1+EscalatorInLease)^(6+M159)+((DATE(2027+6,4,30)-F159)/365.25)*IF(I159="Vacate",H159*D159*(1+GrowthMarketRent)^6*IF(INT((DATE(2026+6,10,31)-F159)/365.25)=0,(12-DowntimeNew)/12,1),IF(I159="Option",G159*D159*1.025*(1+EscalatorInLease)^6,IF(I159="Market",Retention*G159*D159*(1+EscalatorInLease)^(6+M159)+(1-Retention)*H159*D159*(1+GrowthMarketRent)^6*IF(INT((DATE(2026+6,10,31)-F159)/365.25)=0,(12-DowntimeNew)/12,1),IF(I159="LeaseUp",H159*D159*(1+GrowthMarketRent)^6*IF(6=0,(12-DowntimeNew)/12,1),0)))))))),0)</f>
        <v/>
      </c>
      <c r="U159" s="14">
        <f>IFERROR(IF(I159="LeaseUp",H159*D159*(1+GrowthMarketRent)^7*IF(7=0,(12-DowntimeNew)/12,1),IF(F159="",0,IF(F159&gt;=DATE(2027+7,4,30),G159*D159*(1+EscalatorInLease)^(7+M159),IF(F159&lt;DATE(2026+7,5,1),IF(I159="Vacate",H159*D159*(1+GrowthMarketRent)^7*IF(INT((DATE(2026+7,10,31)-F159)/365.25)=0,(12-DowntimeNew)/12,1),IF(I159="Option",G159*D159*1.025*(1+EscalatorInLease)^7,IF(I159="Market",Retention*G159*D159*(1+EscalatorInLease)^(7+M159)+(1-Retention)*H159*D159*(1+GrowthMarketRent)^7*IF(INT((DATE(2026+7,10,31)-F159)/365.25)=0,(12-DowntimeNew)/12,1),IF(I159="LeaseUp",H159*D159*(1+GrowthMarketRent)^7*IF(7=0,(12-DowntimeNew)/12,1),0)))),((F159-DATE(2026+7,5,1))/365.25)*G159*D159*(1+EscalatorInLease)^(7+M159)+((DATE(2027+7,4,30)-F159)/365.25)*IF(I159="Vacate",H159*D159*(1+GrowthMarketRent)^7*IF(INT((DATE(2026+7,10,31)-F159)/365.25)=0,(12-DowntimeNew)/12,1),IF(I159="Option",G159*D159*1.025*(1+EscalatorInLease)^7,IF(I159="Market",Retention*G159*D159*(1+EscalatorInLease)^(7+M159)+(1-Retention)*H159*D159*(1+GrowthMarketRent)^7*IF(INT((DATE(2026+7,10,31)-F159)/365.25)=0,(12-DowntimeNew)/12,1),IF(I159="LeaseUp",H159*D159*(1+GrowthMarketRent)^7*IF(7=0,(12-DowntimeNew)/12,1),0)))))))),0)</f>
        <v/>
      </c>
      <c r="V159" s="14">
        <f>IFERROR(IF(I159="LeaseUp",H159*D159*(1+GrowthMarketRent)^8*IF(8=0,(12-DowntimeNew)/12,1),IF(F159="",0,IF(F159&gt;=DATE(2027+8,4,30),G159*D159*(1+EscalatorInLease)^(8+M159),IF(F159&lt;DATE(2026+8,5,1),IF(I159="Vacate",H159*D159*(1+GrowthMarketRent)^8*IF(INT((DATE(2026+8,10,31)-F159)/365.25)=0,(12-DowntimeNew)/12,1),IF(I159="Option",G159*D159*1.025*(1+EscalatorInLease)^8,IF(I159="Market",Retention*G159*D159*(1+EscalatorInLease)^(8+M159)+(1-Retention)*H159*D159*(1+GrowthMarketRent)^8*IF(INT((DATE(2026+8,10,31)-F159)/365.25)=0,(12-DowntimeNew)/12,1),IF(I159="LeaseUp",H159*D159*(1+GrowthMarketRent)^8*IF(8=0,(12-DowntimeNew)/12,1),0)))),((F159-DATE(2026+8,5,1))/365.25)*G159*D159*(1+EscalatorInLease)^(8+M159)+((DATE(2027+8,4,30)-F159)/365.25)*IF(I159="Vacate",H159*D159*(1+GrowthMarketRent)^8*IF(INT((DATE(2026+8,10,31)-F159)/365.25)=0,(12-DowntimeNew)/12,1),IF(I159="Option",G159*D159*1.025*(1+EscalatorInLease)^8,IF(I159="Market",Retention*G159*D159*(1+EscalatorInLease)^(8+M159)+(1-Retention)*H159*D159*(1+GrowthMarketRent)^8*IF(INT((DATE(2026+8,10,31)-F159)/365.25)=0,(12-DowntimeNew)/12,1),IF(I159="LeaseUp",H159*D159*(1+GrowthMarketRent)^8*IF(8=0,(12-DowntimeNew)/12,1),0)))))))),0)</f>
        <v/>
      </c>
      <c r="W159" s="14">
        <f>IFERROR(IF(I159="LeaseUp",H159*D159*(1+GrowthMarketRent)^9*IF(9=0,(12-DowntimeNew)/12,1),IF(F159="",0,IF(F159&gt;=DATE(2027+9,4,30),G159*D159*(1+EscalatorInLease)^(9+M159),IF(F159&lt;DATE(2026+9,5,1),IF(I159="Vacate",H159*D159*(1+GrowthMarketRent)^9*IF(INT((DATE(2026+9,10,31)-F159)/365.25)=0,(12-DowntimeNew)/12,1),IF(I159="Option",G159*D159*1.025*(1+EscalatorInLease)^9,IF(I159="Market",Retention*G159*D159*(1+EscalatorInLease)^(9+M159)+(1-Retention)*H159*D159*(1+GrowthMarketRent)^9*IF(INT((DATE(2026+9,10,31)-F159)/365.25)=0,(12-DowntimeNew)/12,1),IF(I159="LeaseUp",H159*D159*(1+GrowthMarketRent)^9*IF(9=0,(12-DowntimeNew)/12,1),0)))),((F159-DATE(2026+9,5,1))/365.25)*G159*D159*(1+EscalatorInLease)^(9+M159)+((DATE(2027+9,4,30)-F159)/365.25)*IF(I159="Vacate",H159*D159*(1+GrowthMarketRent)^9*IF(INT((DATE(2026+9,10,31)-F159)/365.25)=0,(12-DowntimeNew)/12,1),IF(I159="Option",G159*D159*1.025*(1+EscalatorInLease)^9,IF(I159="Market",Retention*G159*D159*(1+EscalatorInLease)^(9+M159)+(1-Retention)*H159*D159*(1+GrowthMarketRent)^9*IF(INT((DATE(2026+9,10,31)-F159)/365.25)=0,(12-DowntimeNew)/12,1),IF(I159="LeaseUp",H159*D159*(1+GrowthMarketRent)^9*IF(9=0,(12-DowntimeNew)/12,1),0)))))))),0)</f>
        <v/>
      </c>
      <c r="X159" s="14">
        <f>IFERROR(IF(I159="LeaseUp",H159*D159*(1+GrowthMarketRent)^10*IF(10=0,(12-DowntimeNew)/12,1),IF(F159="",0,IF(F159&gt;=DATE(2027+10,4,30),G159*D159*(1+EscalatorInLease)^(10+M159),IF(F159&lt;DATE(2026+10,5,1),IF(I159="Vacate",H159*D159*(1+GrowthMarketRent)^10*IF(INT((DATE(2026+10,10,31)-F159)/365.25)=0,(12-DowntimeNew)/12,1),IF(I159="Option",G159*D159*1.025*(1+EscalatorInLease)^10,IF(I159="Market",Retention*G159*D159*(1+EscalatorInLease)^(10+M159)+(1-Retention)*H159*D159*(1+GrowthMarketRent)^10*IF(INT((DATE(2026+10,10,31)-F159)/365.25)=0,(12-DowntimeNew)/12,1),IF(I159="LeaseUp",H159*D159*(1+GrowthMarketRent)^10*IF(10=0,(12-DowntimeNew)/12,1),0)))),((F159-DATE(2026+10,5,1))/365.25)*G159*D159*(1+EscalatorInLease)^(10+M159)+((DATE(2027+10,4,30)-F159)/365.25)*IF(I159="Vacate",H159*D159*(1+GrowthMarketRent)^10*IF(INT((DATE(2026+10,10,31)-F159)/365.25)=0,(12-DowntimeNew)/12,1),IF(I159="Option",G159*D159*1.025*(1+EscalatorInLease)^10,IF(I159="Market",Retention*G159*D159*(1+EscalatorInLease)^(10+M159)+(1-Retention)*H159*D159*(1+GrowthMarketRent)^10*IF(INT((DATE(2026+10,10,31)-F159)/365.25)=0,(12-DowntimeNew)/12,1),IF(I159="LeaseUp",H159*D159*(1+GrowthMarketRent)^10*IF(10=0,(12-DowntimeNew)/12,1),0)))))))),0)</f>
        <v/>
      </c>
      <c r="Y159" s="14">
        <f>IFERROR(IF(AND(I159="LeaseUp",0=0),(IF(I159="Vacate",TINew*D159,IF(I159="Market",Retention*TIRenewal*D159+(1-Retention)*TINew*D159,IF(I159="LeaseUp",TINew*D159,IF(I159="Option",TIRenewal*D159,0)))))+(IF(I159="Vacate",LCNew*H159*D159*(1+GrowthMarketRent)^0,IF(I159="Market",Retention*LCRenewal*H159*D159*(1+GrowthMarketRent)^0+(1-Retention)*LCNew*H159*D159*(1+GrowthMarketRent)^0,IF(I159="LeaseUp",LCNew*H159*D159*(1+GrowthMarketRent)^0,IF(I159="Option",LCRenewal*H159*D159*(1+GrowthMarketRent)^0,0))))),IF(F159="",0,IF(AND(F159&gt;=DATE(2026+0,5,1),F159&lt;=DATE(2027+0,4,30)),(IF(I159="Vacate",TINew*D159,IF(I159="Market",Retention*TIRenewal*D159+(1-Retention)*TINew*D159,IF(I159="LeaseUp",TINew*D159,IF(I159="Option",TIRenewal*D159,0)))))+(IF(I159="Vacate",LCNew*H159*D159*(1+GrowthMarketRent)^0,IF(I159="Market",Retention*LCRenewal*H159*D159*(1+GrowthMarketRent)^0+(1-Retention)*LCNew*H159*D159*(1+GrowthMarketRent)^0,IF(I159="LeaseUp",LCNew*H159*D159*(1+GrowthMarketRent)^0,IF(I159="Option",LCRenewal*H159*D159*(1+GrowthMarketRent)^0,0))))),0))),0)</f>
        <v/>
      </c>
      <c r="Z159" s="14">
        <f>IFERROR(IF(AND(I159="LeaseUp",1=0),(IF(I159="Vacate",TINew*D159,IF(I159="Market",Retention*TIRenewal*D159+(1-Retention)*TINew*D159,IF(I159="LeaseUp",TINew*D159,IF(I159="Option",TIRenewal*D159,0)))))+(IF(I159="Vacate",LCNew*H159*D159*(1+GrowthMarketRent)^1,IF(I159="Market",Retention*LCRenewal*H159*D159*(1+GrowthMarketRent)^1+(1-Retention)*LCNew*H159*D159*(1+GrowthMarketRent)^1,IF(I159="LeaseUp",LCNew*H159*D159*(1+GrowthMarketRent)^1,IF(I159="Option",LCRenewal*H159*D159*(1+GrowthMarketRent)^1,0))))),IF(F159="",0,IF(AND(F159&gt;=DATE(2026+1,5,1),F159&lt;=DATE(2027+1,4,30)),(IF(I159="Vacate",TINew*D159,IF(I159="Market",Retention*TIRenewal*D159+(1-Retention)*TINew*D159,IF(I159="LeaseUp",TINew*D159,IF(I159="Option",TIRenewal*D159,0)))))+(IF(I159="Vacate",LCNew*H159*D159*(1+GrowthMarketRent)^1,IF(I159="Market",Retention*LCRenewal*H159*D159*(1+GrowthMarketRent)^1+(1-Retention)*LCNew*H159*D159*(1+GrowthMarketRent)^1,IF(I159="LeaseUp",LCNew*H159*D159*(1+GrowthMarketRent)^1,IF(I159="Option",LCRenewal*H159*D159*(1+GrowthMarketRent)^1,0))))),0))),0)</f>
        <v/>
      </c>
      <c r="AA159" s="14">
        <f>IFERROR(IF(AND(I159="LeaseUp",2=0),(IF(I159="Vacate",TINew*D159,IF(I159="Market",Retention*TIRenewal*D159+(1-Retention)*TINew*D159,IF(I159="LeaseUp",TINew*D159,IF(I159="Option",TIRenewal*D159,0)))))+(IF(I159="Vacate",LCNew*H159*D159*(1+GrowthMarketRent)^2,IF(I159="Market",Retention*LCRenewal*H159*D159*(1+GrowthMarketRent)^2+(1-Retention)*LCNew*H159*D159*(1+GrowthMarketRent)^2,IF(I159="LeaseUp",LCNew*H159*D159*(1+GrowthMarketRent)^2,IF(I159="Option",LCRenewal*H159*D159*(1+GrowthMarketRent)^2,0))))),IF(F159="",0,IF(AND(F159&gt;=DATE(2026+2,5,1),F159&lt;=DATE(2027+2,4,30)),(IF(I159="Vacate",TINew*D159,IF(I159="Market",Retention*TIRenewal*D159+(1-Retention)*TINew*D159,IF(I159="LeaseUp",TINew*D159,IF(I159="Option",TIRenewal*D159,0)))))+(IF(I159="Vacate",LCNew*H159*D159*(1+GrowthMarketRent)^2,IF(I159="Market",Retention*LCRenewal*H159*D159*(1+GrowthMarketRent)^2+(1-Retention)*LCNew*H159*D159*(1+GrowthMarketRent)^2,IF(I159="LeaseUp",LCNew*H159*D159*(1+GrowthMarketRent)^2,IF(I159="Option",LCRenewal*H159*D159*(1+GrowthMarketRent)^2,0))))),0))),0)</f>
        <v/>
      </c>
      <c r="AB159" s="14">
        <f>IFERROR(IF(AND(I159="LeaseUp",3=0),(IF(I159="Vacate",TINew*D159,IF(I159="Market",Retention*TIRenewal*D159+(1-Retention)*TINew*D159,IF(I159="LeaseUp",TINew*D159,IF(I159="Option",TIRenewal*D159,0)))))+(IF(I159="Vacate",LCNew*H159*D159*(1+GrowthMarketRent)^3,IF(I159="Market",Retention*LCRenewal*H159*D159*(1+GrowthMarketRent)^3+(1-Retention)*LCNew*H159*D159*(1+GrowthMarketRent)^3,IF(I159="LeaseUp",LCNew*H159*D159*(1+GrowthMarketRent)^3,IF(I159="Option",LCRenewal*H159*D159*(1+GrowthMarketRent)^3,0))))),IF(F159="",0,IF(AND(F159&gt;=DATE(2026+3,5,1),F159&lt;=DATE(2027+3,4,30)),(IF(I159="Vacate",TINew*D159,IF(I159="Market",Retention*TIRenewal*D159+(1-Retention)*TINew*D159,IF(I159="LeaseUp",TINew*D159,IF(I159="Option",TIRenewal*D159,0)))))+(IF(I159="Vacate",LCNew*H159*D159*(1+GrowthMarketRent)^3,IF(I159="Market",Retention*LCRenewal*H159*D159*(1+GrowthMarketRent)^3+(1-Retention)*LCNew*H159*D159*(1+GrowthMarketRent)^3,IF(I159="LeaseUp",LCNew*H159*D159*(1+GrowthMarketRent)^3,IF(I159="Option",LCRenewal*H159*D159*(1+GrowthMarketRent)^3,0))))),0))),0)</f>
        <v/>
      </c>
      <c r="AC159" s="14">
        <f>IFERROR(IF(AND(I159="LeaseUp",4=0),(IF(I159="Vacate",TINew*D159,IF(I159="Market",Retention*TIRenewal*D159+(1-Retention)*TINew*D159,IF(I159="LeaseUp",TINew*D159,IF(I159="Option",TIRenewal*D159,0)))))+(IF(I159="Vacate",LCNew*H159*D159*(1+GrowthMarketRent)^4,IF(I159="Market",Retention*LCRenewal*H159*D159*(1+GrowthMarketRent)^4+(1-Retention)*LCNew*H159*D159*(1+GrowthMarketRent)^4,IF(I159="LeaseUp",LCNew*H159*D159*(1+GrowthMarketRent)^4,IF(I159="Option",LCRenewal*H159*D159*(1+GrowthMarketRent)^4,0))))),IF(F159="",0,IF(AND(F159&gt;=DATE(2026+4,5,1),F159&lt;=DATE(2027+4,4,30)),(IF(I159="Vacate",TINew*D159,IF(I159="Market",Retention*TIRenewal*D159+(1-Retention)*TINew*D159,IF(I159="LeaseUp",TINew*D159,IF(I159="Option",TIRenewal*D159,0)))))+(IF(I159="Vacate",LCNew*H159*D159*(1+GrowthMarketRent)^4,IF(I159="Market",Retention*LCRenewal*H159*D159*(1+GrowthMarketRent)^4+(1-Retention)*LCNew*H159*D159*(1+GrowthMarketRent)^4,IF(I159="LeaseUp",LCNew*H159*D159*(1+GrowthMarketRent)^4,IF(I159="Option",LCRenewal*H159*D159*(1+GrowthMarketRent)^4,0))))),0))),0)</f>
        <v/>
      </c>
      <c r="AD159" s="14">
        <f>IFERROR(IF(AND(I159="LeaseUp",5=0),(IF(I159="Vacate",TINew*D159,IF(I159="Market",Retention*TIRenewal*D159+(1-Retention)*TINew*D159,IF(I159="LeaseUp",TINew*D159,IF(I159="Option",TIRenewal*D159,0)))))+(IF(I159="Vacate",LCNew*H159*D159*(1+GrowthMarketRent)^5,IF(I159="Market",Retention*LCRenewal*H159*D159*(1+GrowthMarketRent)^5+(1-Retention)*LCNew*H159*D159*(1+GrowthMarketRent)^5,IF(I159="LeaseUp",LCNew*H159*D159*(1+GrowthMarketRent)^5,IF(I159="Option",LCRenewal*H159*D159*(1+GrowthMarketRent)^5,0))))),IF(F159="",0,IF(AND(F159&gt;=DATE(2026+5,5,1),F159&lt;=DATE(2027+5,4,30)),(IF(I159="Vacate",TINew*D159,IF(I159="Market",Retention*TIRenewal*D159+(1-Retention)*TINew*D159,IF(I159="LeaseUp",TINew*D159,IF(I159="Option",TIRenewal*D159,0)))))+(IF(I159="Vacate",LCNew*H159*D159*(1+GrowthMarketRent)^5,IF(I159="Market",Retention*LCRenewal*H159*D159*(1+GrowthMarketRent)^5+(1-Retention)*LCNew*H159*D159*(1+GrowthMarketRent)^5,IF(I159="LeaseUp",LCNew*H159*D159*(1+GrowthMarketRent)^5,IF(I159="Option",LCRenewal*H159*D159*(1+GrowthMarketRent)^5,0))))),0))),0)</f>
        <v/>
      </c>
      <c r="AE159" s="14">
        <f>IFERROR(IF(AND(I159="LeaseUp",6=0),(IF(I159="Vacate",TINew*D159,IF(I159="Market",Retention*TIRenewal*D159+(1-Retention)*TINew*D159,IF(I159="LeaseUp",TINew*D159,IF(I159="Option",TIRenewal*D159,0)))))+(IF(I159="Vacate",LCNew*H159*D159*(1+GrowthMarketRent)^6,IF(I159="Market",Retention*LCRenewal*H159*D159*(1+GrowthMarketRent)^6+(1-Retention)*LCNew*H159*D159*(1+GrowthMarketRent)^6,IF(I159="LeaseUp",LCNew*H159*D159*(1+GrowthMarketRent)^6,IF(I159="Option",LCRenewal*H159*D159*(1+GrowthMarketRent)^6,0))))),IF(F159="",0,IF(AND(F159&gt;=DATE(2026+6,5,1),F159&lt;=DATE(2027+6,4,30)),(IF(I159="Vacate",TINew*D159,IF(I159="Market",Retention*TIRenewal*D159+(1-Retention)*TINew*D159,IF(I159="LeaseUp",TINew*D159,IF(I159="Option",TIRenewal*D159,0)))))+(IF(I159="Vacate",LCNew*H159*D159*(1+GrowthMarketRent)^6,IF(I159="Market",Retention*LCRenewal*H159*D159*(1+GrowthMarketRent)^6+(1-Retention)*LCNew*H159*D159*(1+GrowthMarketRent)^6,IF(I159="LeaseUp",LCNew*H159*D159*(1+GrowthMarketRent)^6,IF(I159="Option",LCRenewal*H159*D159*(1+GrowthMarketRent)^6,0))))),0))),0)</f>
        <v/>
      </c>
      <c r="AF159" s="14">
        <f>IFERROR(IF(AND(I159="LeaseUp",7=0),(IF(I159="Vacate",TINew*D159,IF(I159="Market",Retention*TIRenewal*D159+(1-Retention)*TINew*D159,IF(I159="LeaseUp",TINew*D159,IF(I159="Option",TIRenewal*D159,0)))))+(IF(I159="Vacate",LCNew*H159*D159*(1+GrowthMarketRent)^7,IF(I159="Market",Retention*LCRenewal*H159*D159*(1+GrowthMarketRent)^7+(1-Retention)*LCNew*H159*D159*(1+GrowthMarketRent)^7,IF(I159="LeaseUp",LCNew*H159*D159*(1+GrowthMarketRent)^7,IF(I159="Option",LCRenewal*H159*D159*(1+GrowthMarketRent)^7,0))))),IF(F159="",0,IF(AND(F159&gt;=DATE(2026+7,5,1),F159&lt;=DATE(2027+7,4,30)),(IF(I159="Vacate",TINew*D159,IF(I159="Market",Retention*TIRenewal*D159+(1-Retention)*TINew*D159,IF(I159="LeaseUp",TINew*D159,IF(I159="Option",TIRenewal*D159,0)))))+(IF(I159="Vacate",LCNew*H159*D159*(1+GrowthMarketRent)^7,IF(I159="Market",Retention*LCRenewal*H159*D159*(1+GrowthMarketRent)^7+(1-Retention)*LCNew*H159*D159*(1+GrowthMarketRent)^7,IF(I159="LeaseUp",LCNew*H159*D159*(1+GrowthMarketRent)^7,IF(I159="Option",LCRenewal*H159*D159*(1+GrowthMarketRent)^7,0))))),0))),0)</f>
        <v/>
      </c>
      <c r="AG159" s="14">
        <f>IFERROR(IF(AND(I159="LeaseUp",8=0),(IF(I159="Vacate",TINew*D159,IF(I159="Market",Retention*TIRenewal*D159+(1-Retention)*TINew*D159,IF(I159="LeaseUp",TINew*D159,IF(I159="Option",TIRenewal*D159,0)))))+(IF(I159="Vacate",LCNew*H159*D159*(1+GrowthMarketRent)^8,IF(I159="Market",Retention*LCRenewal*H159*D159*(1+GrowthMarketRent)^8+(1-Retention)*LCNew*H159*D159*(1+GrowthMarketRent)^8,IF(I159="LeaseUp",LCNew*H159*D159*(1+GrowthMarketRent)^8,IF(I159="Option",LCRenewal*H159*D159*(1+GrowthMarketRent)^8,0))))),IF(F159="",0,IF(AND(F159&gt;=DATE(2026+8,5,1),F159&lt;=DATE(2027+8,4,30)),(IF(I159="Vacate",TINew*D159,IF(I159="Market",Retention*TIRenewal*D159+(1-Retention)*TINew*D159,IF(I159="LeaseUp",TINew*D159,IF(I159="Option",TIRenewal*D159,0)))))+(IF(I159="Vacate",LCNew*H159*D159*(1+GrowthMarketRent)^8,IF(I159="Market",Retention*LCRenewal*H159*D159*(1+GrowthMarketRent)^8+(1-Retention)*LCNew*H159*D159*(1+GrowthMarketRent)^8,IF(I159="LeaseUp",LCNew*H159*D159*(1+GrowthMarketRent)^8,IF(I159="Option",LCRenewal*H159*D159*(1+GrowthMarketRent)^8,0))))),0))),0)</f>
        <v/>
      </c>
      <c r="AH159" s="14">
        <f>IFERROR(IF(AND(I159="LeaseUp",9=0),(IF(I159="Vacate",TINew*D159,IF(I159="Market",Retention*TIRenewal*D159+(1-Retention)*TINew*D159,IF(I159="LeaseUp",TINew*D159,IF(I159="Option",TIRenewal*D159,0)))))+(IF(I159="Vacate",LCNew*H159*D159*(1+GrowthMarketRent)^9,IF(I159="Market",Retention*LCRenewal*H159*D159*(1+GrowthMarketRent)^9+(1-Retention)*LCNew*H159*D159*(1+GrowthMarketRent)^9,IF(I159="LeaseUp",LCNew*H159*D159*(1+GrowthMarketRent)^9,IF(I159="Option",LCRenewal*H159*D159*(1+GrowthMarketRent)^9,0))))),IF(F159="",0,IF(AND(F159&gt;=DATE(2026+9,5,1),F159&lt;=DATE(2027+9,4,30)),(IF(I159="Vacate",TINew*D159,IF(I159="Market",Retention*TIRenewal*D159+(1-Retention)*TINew*D159,IF(I159="LeaseUp",TINew*D159,IF(I159="Option",TIRenewal*D159,0)))))+(IF(I159="Vacate",LCNew*H159*D159*(1+GrowthMarketRent)^9,IF(I159="Market",Retention*LCRenewal*H159*D159*(1+GrowthMarketRent)^9+(1-Retention)*LCNew*H159*D159*(1+GrowthMarketRent)^9,IF(I159="LeaseUp",LCNew*H159*D159*(1+GrowthMarketRent)^9,IF(I159="Option",LCRenewal*H159*D159*(1+GrowthMarketRent)^9,0))))),0))),0)</f>
        <v/>
      </c>
      <c r="AI159" s="14">
        <f>IFERROR(IF(AND(I159="LeaseUp",10=0),(IF(I159="Vacate",TINew*D159,IF(I159="Market",Retention*TIRenewal*D159+(1-Retention)*TINew*D159,IF(I159="LeaseUp",TINew*D159,IF(I159="Option",TIRenewal*D159,0)))))+(IF(I159="Vacate",LCNew*H159*D159*(1+GrowthMarketRent)^10,IF(I159="Market",Retention*LCRenewal*H159*D159*(1+GrowthMarketRent)^10+(1-Retention)*LCNew*H159*D159*(1+GrowthMarketRent)^10,IF(I159="LeaseUp",LCNew*H159*D159*(1+GrowthMarketRent)^10,IF(I159="Option",LCRenewal*H159*D159*(1+GrowthMarketRent)^10,0))))),IF(F159="",0,IF(AND(F159&gt;=DATE(2026+10,5,1),F159&lt;=DATE(2027+10,4,30)),(IF(I159="Vacate",TINew*D159,IF(I159="Market",Retention*TIRenewal*D159+(1-Retention)*TINew*D159,IF(I159="LeaseUp",TINew*D159,IF(I159="Option",TIRenewal*D159,0)))))+(IF(I159="Vacate",LCNew*H159*D159*(1+GrowthMarketRent)^10,IF(I159="Market",Retention*LCRenewal*H159*D159*(1+GrowthMarketRent)^10+(1-Retention)*LCNew*H159*D159*(1+GrowthMarketRent)^10,IF(I159="LeaseUp",LCNew*H159*D159*(1+GrowthMarketRent)^10,IF(I159="Option",LCRenewal*H159*D159*(1+GrowthMarketRent)^10,0))))),0))),0)</f>
        <v/>
      </c>
    </row>
    <row r="160">
      <c r="A160" t="inlineStr">
        <is>
          <t>Plano</t>
        </is>
      </c>
      <c r="B160" t="inlineStr">
        <is>
          <t>301</t>
        </is>
      </c>
      <c r="C160" t="inlineStr">
        <is>
          <t>Cartoli LLC</t>
        </is>
      </c>
      <c r="D160" s="32" t="n">
        <v>2600</v>
      </c>
      <c r="E160" s="33" t="n">
        <v>44958</v>
      </c>
      <c r="F160" s="33" t="n">
        <v>46204</v>
      </c>
      <c r="G160" s="34" t="n">
        <v>15.615</v>
      </c>
      <c r="H160" s="16">
        <f>VLOOKUP(A160,MLA!$A$5:$L$11,3,FALSE)</f>
        <v/>
      </c>
      <c r="I160" s="11" t="inlineStr">
        <is>
          <t>Option</t>
        </is>
      </c>
      <c r="J160" t="inlineStr">
        <is>
          <t>Shop</t>
        </is>
      </c>
      <c r="K160" t="inlineStr">
        <is>
          <t>Occupied</t>
        </is>
      </c>
      <c r="L160" t="inlineStr">
        <is>
          <t>Shop; Guarantor: Shazad Ali Abdullah; Two 3yr options @ 102.5%</t>
        </is>
      </c>
      <c r="M160" s="20">
        <f>IF(E160="",0,(AnalysisStart-E160)/365.25)</f>
        <v/>
      </c>
      <c r="N160" s="14">
        <f>IFERROR(IF(I160="LeaseUp",H160*D160*(1+GrowthMarketRent)^0*IF(0=0,(12-DowntimeNew)/12,1),IF(F160="",0,IF(F160&gt;=DATE(2027+0,4,30),G160*D160*(1+EscalatorInLease)^(0+M160),IF(F160&lt;DATE(2026+0,5,1),IF(I160="Vacate",H160*D160*(1+GrowthMarketRent)^0*IF(INT((DATE(2026+0,10,31)-F160)/365.25)=0,(12-DowntimeNew)/12,1),IF(I160="Option",G160*D160*1.025*(1+EscalatorInLease)^0,IF(I160="Market",Retention*G160*D160*(1+EscalatorInLease)^(0+M160)+(1-Retention)*H160*D160*(1+GrowthMarketRent)^0*IF(INT((DATE(2026+0,10,31)-F160)/365.25)=0,(12-DowntimeNew)/12,1),IF(I160="LeaseUp",H160*D160*(1+GrowthMarketRent)^0*IF(0=0,(12-DowntimeNew)/12,1),0)))),((F160-DATE(2026+0,5,1))/365.25)*G160*D160*(1+EscalatorInLease)^(0+M160)+((DATE(2027+0,4,30)-F160)/365.25)*IF(I160="Vacate",H160*D160*(1+GrowthMarketRent)^0*IF(INT((DATE(2026+0,10,31)-F160)/365.25)=0,(12-DowntimeNew)/12,1),IF(I160="Option",G160*D160*1.025*(1+EscalatorInLease)^0,IF(I160="Market",Retention*G160*D160*(1+EscalatorInLease)^(0+M160)+(1-Retention)*H160*D160*(1+GrowthMarketRent)^0*IF(INT((DATE(2026+0,10,31)-F160)/365.25)=0,(12-DowntimeNew)/12,1),IF(I160="LeaseUp",H160*D160*(1+GrowthMarketRent)^0*IF(0=0,(12-DowntimeNew)/12,1),0)))))))),0)</f>
        <v/>
      </c>
      <c r="O160" s="14">
        <f>IFERROR(IF(I160="LeaseUp",H160*D160*(1+GrowthMarketRent)^1*IF(1=0,(12-DowntimeNew)/12,1),IF(F160="",0,IF(F160&gt;=DATE(2027+1,4,30),G160*D160*(1+EscalatorInLease)^(1+M160),IF(F160&lt;DATE(2026+1,5,1),IF(I160="Vacate",H160*D160*(1+GrowthMarketRent)^1*IF(INT((DATE(2026+1,10,31)-F160)/365.25)=0,(12-DowntimeNew)/12,1),IF(I160="Option",G160*D160*1.025*(1+EscalatorInLease)^1,IF(I160="Market",Retention*G160*D160*(1+EscalatorInLease)^(1+M160)+(1-Retention)*H160*D160*(1+GrowthMarketRent)^1*IF(INT((DATE(2026+1,10,31)-F160)/365.25)=0,(12-DowntimeNew)/12,1),IF(I160="LeaseUp",H160*D160*(1+GrowthMarketRent)^1*IF(1=0,(12-DowntimeNew)/12,1),0)))),((F160-DATE(2026+1,5,1))/365.25)*G160*D160*(1+EscalatorInLease)^(1+M160)+((DATE(2027+1,4,30)-F160)/365.25)*IF(I160="Vacate",H160*D160*(1+GrowthMarketRent)^1*IF(INT((DATE(2026+1,10,31)-F160)/365.25)=0,(12-DowntimeNew)/12,1),IF(I160="Option",G160*D160*1.025*(1+EscalatorInLease)^1,IF(I160="Market",Retention*G160*D160*(1+EscalatorInLease)^(1+M160)+(1-Retention)*H160*D160*(1+GrowthMarketRent)^1*IF(INT((DATE(2026+1,10,31)-F160)/365.25)=0,(12-DowntimeNew)/12,1),IF(I160="LeaseUp",H160*D160*(1+GrowthMarketRent)^1*IF(1=0,(12-DowntimeNew)/12,1),0)))))))),0)</f>
        <v/>
      </c>
      <c r="P160" s="14">
        <f>IFERROR(IF(I160="LeaseUp",H160*D160*(1+GrowthMarketRent)^2*IF(2=0,(12-DowntimeNew)/12,1),IF(F160="",0,IF(F160&gt;=DATE(2027+2,4,30),G160*D160*(1+EscalatorInLease)^(2+M160),IF(F160&lt;DATE(2026+2,5,1),IF(I160="Vacate",H160*D160*(1+GrowthMarketRent)^2*IF(INT((DATE(2026+2,10,31)-F160)/365.25)=0,(12-DowntimeNew)/12,1),IF(I160="Option",G160*D160*1.025*(1+EscalatorInLease)^2,IF(I160="Market",Retention*G160*D160*(1+EscalatorInLease)^(2+M160)+(1-Retention)*H160*D160*(1+GrowthMarketRent)^2*IF(INT((DATE(2026+2,10,31)-F160)/365.25)=0,(12-DowntimeNew)/12,1),IF(I160="LeaseUp",H160*D160*(1+GrowthMarketRent)^2*IF(2=0,(12-DowntimeNew)/12,1),0)))),((F160-DATE(2026+2,5,1))/365.25)*G160*D160*(1+EscalatorInLease)^(2+M160)+((DATE(2027+2,4,30)-F160)/365.25)*IF(I160="Vacate",H160*D160*(1+GrowthMarketRent)^2*IF(INT((DATE(2026+2,10,31)-F160)/365.25)=0,(12-DowntimeNew)/12,1),IF(I160="Option",G160*D160*1.025*(1+EscalatorInLease)^2,IF(I160="Market",Retention*G160*D160*(1+EscalatorInLease)^(2+M160)+(1-Retention)*H160*D160*(1+GrowthMarketRent)^2*IF(INT((DATE(2026+2,10,31)-F160)/365.25)=0,(12-DowntimeNew)/12,1),IF(I160="LeaseUp",H160*D160*(1+GrowthMarketRent)^2*IF(2=0,(12-DowntimeNew)/12,1),0)))))))),0)</f>
        <v/>
      </c>
      <c r="Q160" s="14">
        <f>IFERROR(IF(I160="LeaseUp",H160*D160*(1+GrowthMarketRent)^3*IF(3=0,(12-DowntimeNew)/12,1),IF(F160="",0,IF(F160&gt;=DATE(2027+3,4,30),G160*D160*(1+EscalatorInLease)^(3+M160),IF(F160&lt;DATE(2026+3,5,1),IF(I160="Vacate",H160*D160*(1+GrowthMarketRent)^3*IF(INT((DATE(2026+3,10,31)-F160)/365.25)=0,(12-DowntimeNew)/12,1),IF(I160="Option",G160*D160*1.025*(1+EscalatorInLease)^3,IF(I160="Market",Retention*G160*D160*(1+EscalatorInLease)^(3+M160)+(1-Retention)*H160*D160*(1+GrowthMarketRent)^3*IF(INT((DATE(2026+3,10,31)-F160)/365.25)=0,(12-DowntimeNew)/12,1),IF(I160="LeaseUp",H160*D160*(1+GrowthMarketRent)^3*IF(3=0,(12-DowntimeNew)/12,1),0)))),((F160-DATE(2026+3,5,1))/365.25)*G160*D160*(1+EscalatorInLease)^(3+M160)+((DATE(2027+3,4,30)-F160)/365.25)*IF(I160="Vacate",H160*D160*(1+GrowthMarketRent)^3*IF(INT((DATE(2026+3,10,31)-F160)/365.25)=0,(12-DowntimeNew)/12,1),IF(I160="Option",G160*D160*1.025*(1+EscalatorInLease)^3,IF(I160="Market",Retention*G160*D160*(1+EscalatorInLease)^(3+M160)+(1-Retention)*H160*D160*(1+GrowthMarketRent)^3*IF(INT((DATE(2026+3,10,31)-F160)/365.25)=0,(12-DowntimeNew)/12,1),IF(I160="LeaseUp",H160*D160*(1+GrowthMarketRent)^3*IF(3=0,(12-DowntimeNew)/12,1),0)))))))),0)</f>
        <v/>
      </c>
      <c r="R160" s="14">
        <f>IFERROR(IF(I160="LeaseUp",H160*D160*(1+GrowthMarketRent)^4*IF(4=0,(12-DowntimeNew)/12,1),IF(F160="",0,IF(F160&gt;=DATE(2027+4,4,30),G160*D160*(1+EscalatorInLease)^(4+M160),IF(F160&lt;DATE(2026+4,5,1),IF(I160="Vacate",H160*D160*(1+GrowthMarketRent)^4*IF(INT((DATE(2026+4,10,31)-F160)/365.25)=0,(12-DowntimeNew)/12,1),IF(I160="Option",G160*D160*1.025*(1+EscalatorInLease)^4,IF(I160="Market",Retention*G160*D160*(1+EscalatorInLease)^(4+M160)+(1-Retention)*H160*D160*(1+GrowthMarketRent)^4*IF(INT((DATE(2026+4,10,31)-F160)/365.25)=0,(12-DowntimeNew)/12,1),IF(I160="LeaseUp",H160*D160*(1+GrowthMarketRent)^4*IF(4=0,(12-DowntimeNew)/12,1),0)))),((F160-DATE(2026+4,5,1))/365.25)*G160*D160*(1+EscalatorInLease)^(4+M160)+((DATE(2027+4,4,30)-F160)/365.25)*IF(I160="Vacate",H160*D160*(1+GrowthMarketRent)^4*IF(INT((DATE(2026+4,10,31)-F160)/365.25)=0,(12-DowntimeNew)/12,1),IF(I160="Option",G160*D160*1.025*(1+EscalatorInLease)^4,IF(I160="Market",Retention*G160*D160*(1+EscalatorInLease)^(4+M160)+(1-Retention)*H160*D160*(1+GrowthMarketRent)^4*IF(INT((DATE(2026+4,10,31)-F160)/365.25)=0,(12-DowntimeNew)/12,1),IF(I160="LeaseUp",H160*D160*(1+GrowthMarketRent)^4*IF(4=0,(12-DowntimeNew)/12,1),0)))))))),0)</f>
        <v/>
      </c>
      <c r="S160" s="14">
        <f>IFERROR(IF(I160="LeaseUp",H160*D160*(1+GrowthMarketRent)^5*IF(5=0,(12-DowntimeNew)/12,1),IF(F160="",0,IF(F160&gt;=DATE(2027+5,4,30),G160*D160*(1+EscalatorInLease)^(5+M160),IF(F160&lt;DATE(2026+5,5,1),IF(I160="Vacate",H160*D160*(1+GrowthMarketRent)^5*IF(INT((DATE(2026+5,10,31)-F160)/365.25)=0,(12-DowntimeNew)/12,1),IF(I160="Option",G160*D160*1.025*(1+EscalatorInLease)^5,IF(I160="Market",Retention*G160*D160*(1+EscalatorInLease)^(5+M160)+(1-Retention)*H160*D160*(1+GrowthMarketRent)^5*IF(INT((DATE(2026+5,10,31)-F160)/365.25)=0,(12-DowntimeNew)/12,1),IF(I160="LeaseUp",H160*D160*(1+GrowthMarketRent)^5*IF(5=0,(12-DowntimeNew)/12,1),0)))),((F160-DATE(2026+5,5,1))/365.25)*G160*D160*(1+EscalatorInLease)^(5+M160)+((DATE(2027+5,4,30)-F160)/365.25)*IF(I160="Vacate",H160*D160*(1+GrowthMarketRent)^5*IF(INT((DATE(2026+5,10,31)-F160)/365.25)=0,(12-DowntimeNew)/12,1),IF(I160="Option",G160*D160*1.025*(1+EscalatorInLease)^5,IF(I160="Market",Retention*G160*D160*(1+EscalatorInLease)^(5+M160)+(1-Retention)*H160*D160*(1+GrowthMarketRent)^5*IF(INT((DATE(2026+5,10,31)-F160)/365.25)=0,(12-DowntimeNew)/12,1),IF(I160="LeaseUp",H160*D160*(1+GrowthMarketRent)^5*IF(5=0,(12-DowntimeNew)/12,1),0)))))))),0)</f>
        <v/>
      </c>
      <c r="T160" s="14">
        <f>IFERROR(IF(I160="LeaseUp",H160*D160*(1+GrowthMarketRent)^6*IF(6=0,(12-DowntimeNew)/12,1),IF(F160="",0,IF(F160&gt;=DATE(2027+6,4,30),G160*D160*(1+EscalatorInLease)^(6+M160),IF(F160&lt;DATE(2026+6,5,1),IF(I160="Vacate",H160*D160*(1+GrowthMarketRent)^6*IF(INT((DATE(2026+6,10,31)-F160)/365.25)=0,(12-DowntimeNew)/12,1),IF(I160="Option",G160*D160*1.025*(1+EscalatorInLease)^6,IF(I160="Market",Retention*G160*D160*(1+EscalatorInLease)^(6+M160)+(1-Retention)*H160*D160*(1+GrowthMarketRent)^6*IF(INT((DATE(2026+6,10,31)-F160)/365.25)=0,(12-DowntimeNew)/12,1),IF(I160="LeaseUp",H160*D160*(1+GrowthMarketRent)^6*IF(6=0,(12-DowntimeNew)/12,1),0)))),((F160-DATE(2026+6,5,1))/365.25)*G160*D160*(1+EscalatorInLease)^(6+M160)+((DATE(2027+6,4,30)-F160)/365.25)*IF(I160="Vacate",H160*D160*(1+GrowthMarketRent)^6*IF(INT((DATE(2026+6,10,31)-F160)/365.25)=0,(12-DowntimeNew)/12,1),IF(I160="Option",G160*D160*1.025*(1+EscalatorInLease)^6,IF(I160="Market",Retention*G160*D160*(1+EscalatorInLease)^(6+M160)+(1-Retention)*H160*D160*(1+GrowthMarketRent)^6*IF(INT((DATE(2026+6,10,31)-F160)/365.25)=0,(12-DowntimeNew)/12,1),IF(I160="LeaseUp",H160*D160*(1+GrowthMarketRent)^6*IF(6=0,(12-DowntimeNew)/12,1),0)))))))),0)</f>
        <v/>
      </c>
      <c r="U160" s="14">
        <f>IFERROR(IF(I160="LeaseUp",H160*D160*(1+GrowthMarketRent)^7*IF(7=0,(12-DowntimeNew)/12,1),IF(F160="",0,IF(F160&gt;=DATE(2027+7,4,30),G160*D160*(1+EscalatorInLease)^(7+M160),IF(F160&lt;DATE(2026+7,5,1),IF(I160="Vacate",H160*D160*(1+GrowthMarketRent)^7*IF(INT((DATE(2026+7,10,31)-F160)/365.25)=0,(12-DowntimeNew)/12,1),IF(I160="Option",G160*D160*1.025*(1+EscalatorInLease)^7,IF(I160="Market",Retention*G160*D160*(1+EscalatorInLease)^(7+M160)+(1-Retention)*H160*D160*(1+GrowthMarketRent)^7*IF(INT((DATE(2026+7,10,31)-F160)/365.25)=0,(12-DowntimeNew)/12,1),IF(I160="LeaseUp",H160*D160*(1+GrowthMarketRent)^7*IF(7=0,(12-DowntimeNew)/12,1),0)))),((F160-DATE(2026+7,5,1))/365.25)*G160*D160*(1+EscalatorInLease)^(7+M160)+((DATE(2027+7,4,30)-F160)/365.25)*IF(I160="Vacate",H160*D160*(1+GrowthMarketRent)^7*IF(INT((DATE(2026+7,10,31)-F160)/365.25)=0,(12-DowntimeNew)/12,1),IF(I160="Option",G160*D160*1.025*(1+EscalatorInLease)^7,IF(I160="Market",Retention*G160*D160*(1+EscalatorInLease)^(7+M160)+(1-Retention)*H160*D160*(1+GrowthMarketRent)^7*IF(INT((DATE(2026+7,10,31)-F160)/365.25)=0,(12-DowntimeNew)/12,1),IF(I160="LeaseUp",H160*D160*(1+GrowthMarketRent)^7*IF(7=0,(12-DowntimeNew)/12,1),0)))))))),0)</f>
        <v/>
      </c>
      <c r="V160" s="14">
        <f>IFERROR(IF(I160="LeaseUp",H160*D160*(1+GrowthMarketRent)^8*IF(8=0,(12-DowntimeNew)/12,1),IF(F160="",0,IF(F160&gt;=DATE(2027+8,4,30),G160*D160*(1+EscalatorInLease)^(8+M160),IF(F160&lt;DATE(2026+8,5,1),IF(I160="Vacate",H160*D160*(1+GrowthMarketRent)^8*IF(INT((DATE(2026+8,10,31)-F160)/365.25)=0,(12-DowntimeNew)/12,1),IF(I160="Option",G160*D160*1.025*(1+EscalatorInLease)^8,IF(I160="Market",Retention*G160*D160*(1+EscalatorInLease)^(8+M160)+(1-Retention)*H160*D160*(1+GrowthMarketRent)^8*IF(INT((DATE(2026+8,10,31)-F160)/365.25)=0,(12-DowntimeNew)/12,1),IF(I160="LeaseUp",H160*D160*(1+GrowthMarketRent)^8*IF(8=0,(12-DowntimeNew)/12,1),0)))),((F160-DATE(2026+8,5,1))/365.25)*G160*D160*(1+EscalatorInLease)^(8+M160)+((DATE(2027+8,4,30)-F160)/365.25)*IF(I160="Vacate",H160*D160*(1+GrowthMarketRent)^8*IF(INT((DATE(2026+8,10,31)-F160)/365.25)=0,(12-DowntimeNew)/12,1),IF(I160="Option",G160*D160*1.025*(1+EscalatorInLease)^8,IF(I160="Market",Retention*G160*D160*(1+EscalatorInLease)^(8+M160)+(1-Retention)*H160*D160*(1+GrowthMarketRent)^8*IF(INT((DATE(2026+8,10,31)-F160)/365.25)=0,(12-DowntimeNew)/12,1),IF(I160="LeaseUp",H160*D160*(1+GrowthMarketRent)^8*IF(8=0,(12-DowntimeNew)/12,1),0)))))))),0)</f>
        <v/>
      </c>
      <c r="W160" s="14">
        <f>IFERROR(IF(I160="LeaseUp",H160*D160*(1+GrowthMarketRent)^9*IF(9=0,(12-DowntimeNew)/12,1),IF(F160="",0,IF(F160&gt;=DATE(2027+9,4,30),G160*D160*(1+EscalatorInLease)^(9+M160),IF(F160&lt;DATE(2026+9,5,1),IF(I160="Vacate",H160*D160*(1+GrowthMarketRent)^9*IF(INT((DATE(2026+9,10,31)-F160)/365.25)=0,(12-DowntimeNew)/12,1),IF(I160="Option",G160*D160*1.025*(1+EscalatorInLease)^9,IF(I160="Market",Retention*G160*D160*(1+EscalatorInLease)^(9+M160)+(1-Retention)*H160*D160*(1+GrowthMarketRent)^9*IF(INT((DATE(2026+9,10,31)-F160)/365.25)=0,(12-DowntimeNew)/12,1),IF(I160="LeaseUp",H160*D160*(1+GrowthMarketRent)^9*IF(9=0,(12-DowntimeNew)/12,1),0)))),((F160-DATE(2026+9,5,1))/365.25)*G160*D160*(1+EscalatorInLease)^(9+M160)+((DATE(2027+9,4,30)-F160)/365.25)*IF(I160="Vacate",H160*D160*(1+GrowthMarketRent)^9*IF(INT((DATE(2026+9,10,31)-F160)/365.25)=0,(12-DowntimeNew)/12,1),IF(I160="Option",G160*D160*1.025*(1+EscalatorInLease)^9,IF(I160="Market",Retention*G160*D160*(1+EscalatorInLease)^(9+M160)+(1-Retention)*H160*D160*(1+GrowthMarketRent)^9*IF(INT((DATE(2026+9,10,31)-F160)/365.25)=0,(12-DowntimeNew)/12,1),IF(I160="LeaseUp",H160*D160*(1+GrowthMarketRent)^9*IF(9=0,(12-DowntimeNew)/12,1),0)))))))),0)</f>
        <v/>
      </c>
      <c r="X160" s="14">
        <f>IFERROR(IF(I160="LeaseUp",H160*D160*(1+GrowthMarketRent)^10*IF(10=0,(12-DowntimeNew)/12,1),IF(F160="",0,IF(F160&gt;=DATE(2027+10,4,30),G160*D160*(1+EscalatorInLease)^(10+M160),IF(F160&lt;DATE(2026+10,5,1),IF(I160="Vacate",H160*D160*(1+GrowthMarketRent)^10*IF(INT((DATE(2026+10,10,31)-F160)/365.25)=0,(12-DowntimeNew)/12,1),IF(I160="Option",G160*D160*1.025*(1+EscalatorInLease)^10,IF(I160="Market",Retention*G160*D160*(1+EscalatorInLease)^(10+M160)+(1-Retention)*H160*D160*(1+GrowthMarketRent)^10*IF(INT((DATE(2026+10,10,31)-F160)/365.25)=0,(12-DowntimeNew)/12,1),IF(I160="LeaseUp",H160*D160*(1+GrowthMarketRent)^10*IF(10=0,(12-DowntimeNew)/12,1),0)))),((F160-DATE(2026+10,5,1))/365.25)*G160*D160*(1+EscalatorInLease)^(10+M160)+((DATE(2027+10,4,30)-F160)/365.25)*IF(I160="Vacate",H160*D160*(1+GrowthMarketRent)^10*IF(INT((DATE(2026+10,10,31)-F160)/365.25)=0,(12-DowntimeNew)/12,1),IF(I160="Option",G160*D160*1.025*(1+EscalatorInLease)^10,IF(I160="Market",Retention*G160*D160*(1+EscalatorInLease)^(10+M160)+(1-Retention)*H160*D160*(1+GrowthMarketRent)^10*IF(INT((DATE(2026+10,10,31)-F160)/365.25)=0,(12-DowntimeNew)/12,1),IF(I160="LeaseUp",H160*D160*(1+GrowthMarketRent)^10*IF(10=0,(12-DowntimeNew)/12,1),0)))))))),0)</f>
        <v/>
      </c>
      <c r="Y160" s="14">
        <f>IFERROR(IF(AND(I160="LeaseUp",0=0),(IF(I160="Vacate",TINew*D160,IF(I160="Market",Retention*TIRenewal*D160+(1-Retention)*TINew*D160,IF(I160="LeaseUp",TINew*D160,IF(I160="Option",TIRenewal*D160,0)))))+(IF(I160="Vacate",LCNew*H160*D160*(1+GrowthMarketRent)^0,IF(I160="Market",Retention*LCRenewal*H160*D160*(1+GrowthMarketRent)^0+(1-Retention)*LCNew*H160*D160*(1+GrowthMarketRent)^0,IF(I160="LeaseUp",LCNew*H160*D160*(1+GrowthMarketRent)^0,IF(I160="Option",LCRenewal*H160*D160*(1+GrowthMarketRent)^0,0))))),IF(F160="",0,IF(AND(F160&gt;=DATE(2026+0,5,1),F160&lt;=DATE(2027+0,4,30)),(IF(I160="Vacate",TINew*D160,IF(I160="Market",Retention*TIRenewal*D160+(1-Retention)*TINew*D160,IF(I160="LeaseUp",TINew*D160,IF(I160="Option",TIRenewal*D160,0)))))+(IF(I160="Vacate",LCNew*H160*D160*(1+GrowthMarketRent)^0,IF(I160="Market",Retention*LCRenewal*H160*D160*(1+GrowthMarketRent)^0+(1-Retention)*LCNew*H160*D160*(1+GrowthMarketRent)^0,IF(I160="LeaseUp",LCNew*H160*D160*(1+GrowthMarketRent)^0,IF(I160="Option",LCRenewal*H160*D160*(1+GrowthMarketRent)^0,0))))),0))),0)</f>
        <v/>
      </c>
      <c r="Z160" s="14">
        <f>IFERROR(IF(AND(I160="LeaseUp",1=0),(IF(I160="Vacate",TINew*D160,IF(I160="Market",Retention*TIRenewal*D160+(1-Retention)*TINew*D160,IF(I160="LeaseUp",TINew*D160,IF(I160="Option",TIRenewal*D160,0)))))+(IF(I160="Vacate",LCNew*H160*D160*(1+GrowthMarketRent)^1,IF(I160="Market",Retention*LCRenewal*H160*D160*(1+GrowthMarketRent)^1+(1-Retention)*LCNew*H160*D160*(1+GrowthMarketRent)^1,IF(I160="LeaseUp",LCNew*H160*D160*(1+GrowthMarketRent)^1,IF(I160="Option",LCRenewal*H160*D160*(1+GrowthMarketRent)^1,0))))),IF(F160="",0,IF(AND(F160&gt;=DATE(2026+1,5,1),F160&lt;=DATE(2027+1,4,30)),(IF(I160="Vacate",TINew*D160,IF(I160="Market",Retention*TIRenewal*D160+(1-Retention)*TINew*D160,IF(I160="LeaseUp",TINew*D160,IF(I160="Option",TIRenewal*D160,0)))))+(IF(I160="Vacate",LCNew*H160*D160*(1+GrowthMarketRent)^1,IF(I160="Market",Retention*LCRenewal*H160*D160*(1+GrowthMarketRent)^1+(1-Retention)*LCNew*H160*D160*(1+GrowthMarketRent)^1,IF(I160="LeaseUp",LCNew*H160*D160*(1+GrowthMarketRent)^1,IF(I160="Option",LCRenewal*H160*D160*(1+GrowthMarketRent)^1,0))))),0))),0)</f>
        <v/>
      </c>
      <c r="AA160" s="14">
        <f>IFERROR(IF(AND(I160="LeaseUp",2=0),(IF(I160="Vacate",TINew*D160,IF(I160="Market",Retention*TIRenewal*D160+(1-Retention)*TINew*D160,IF(I160="LeaseUp",TINew*D160,IF(I160="Option",TIRenewal*D160,0)))))+(IF(I160="Vacate",LCNew*H160*D160*(1+GrowthMarketRent)^2,IF(I160="Market",Retention*LCRenewal*H160*D160*(1+GrowthMarketRent)^2+(1-Retention)*LCNew*H160*D160*(1+GrowthMarketRent)^2,IF(I160="LeaseUp",LCNew*H160*D160*(1+GrowthMarketRent)^2,IF(I160="Option",LCRenewal*H160*D160*(1+GrowthMarketRent)^2,0))))),IF(F160="",0,IF(AND(F160&gt;=DATE(2026+2,5,1),F160&lt;=DATE(2027+2,4,30)),(IF(I160="Vacate",TINew*D160,IF(I160="Market",Retention*TIRenewal*D160+(1-Retention)*TINew*D160,IF(I160="LeaseUp",TINew*D160,IF(I160="Option",TIRenewal*D160,0)))))+(IF(I160="Vacate",LCNew*H160*D160*(1+GrowthMarketRent)^2,IF(I160="Market",Retention*LCRenewal*H160*D160*(1+GrowthMarketRent)^2+(1-Retention)*LCNew*H160*D160*(1+GrowthMarketRent)^2,IF(I160="LeaseUp",LCNew*H160*D160*(1+GrowthMarketRent)^2,IF(I160="Option",LCRenewal*H160*D160*(1+GrowthMarketRent)^2,0))))),0))),0)</f>
        <v/>
      </c>
      <c r="AB160" s="14">
        <f>IFERROR(IF(AND(I160="LeaseUp",3=0),(IF(I160="Vacate",TINew*D160,IF(I160="Market",Retention*TIRenewal*D160+(1-Retention)*TINew*D160,IF(I160="LeaseUp",TINew*D160,IF(I160="Option",TIRenewal*D160,0)))))+(IF(I160="Vacate",LCNew*H160*D160*(1+GrowthMarketRent)^3,IF(I160="Market",Retention*LCRenewal*H160*D160*(1+GrowthMarketRent)^3+(1-Retention)*LCNew*H160*D160*(1+GrowthMarketRent)^3,IF(I160="LeaseUp",LCNew*H160*D160*(1+GrowthMarketRent)^3,IF(I160="Option",LCRenewal*H160*D160*(1+GrowthMarketRent)^3,0))))),IF(F160="",0,IF(AND(F160&gt;=DATE(2026+3,5,1),F160&lt;=DATE(2027+3,4,30)),(IF(I160="Vacate",TINew*D160,IF(I160="Market",Retention*TIRenewal*D160+(1-Retention)*TINew*D160,IF(I160="LeaseUp",TINew*D160,IF(I160="Option",TIRenewal*D160,0)))))+(IF(I160="Vacate",LCNew*H160*D160*(1+GrowthMarketRent)^3,IF(I160="Market",Retention*LCRenewal*H160*D160*(1+GrowthMarketRent)^3+(1-Retention)*LCNew*H160*D160*(1+GrowthMarketRent)^3,IF(I160="LeaseUp",LCNew*H160*D160*(1+GrowthMarketRent)^3,IF(I160="Option",LCRenewal*H160*D160*(1+GrowthMarketRent)^3,0))))),0))),0)</f>
        <v/>
      </c>
      <c r="AC160" s="14">
        <f>IFERROR(IF(AND(I160="LeaseUp",4=0),(IF(I160="Vacate",TINew*D160,IF(I160="Market",Retention*TIRenewal*D160+(1-Retention)*TINew*D160,IF(I160="LeaseUp",TINew*D160,IF(I160="Option",TIRenewal*D160,0)))))+(IF(I160="Vacate",LCNew*H160*D160*(1+GrowthMarketRent)^4,IF(I160="Market",Retention*LCRenewal*H160*D160*(1+GrowthMarketRent)^4+(1-Retention)*LCNew*H160*D160*(1+GrowthMarketRent)^4,IF(I160="LeaseUp",LCNew*H160*D160*(1+GrowthMarketRent)^4,IF(I160="Option",LCRenewal*H160*D160*(1+GrowthMarketRent)^4,0))))),IF(F160="",0,IF(AND(F160&gt;=DATE(2026+4,5,1),F160&lt;=DATE(2027+4,4,30)),(IF(I160="Vacate",TINew*D160,IF(I160="Market",Retention*TIRenewal*D160+(1-Retention)*TINew*D160,IF(I160="LeaseUp",TINew*D160,IF(I160="Option",TIRenewal*D160,0)))))+(IF(I160="Vacate",LCNew*H160*D160*(1+GrowthMarketRent)^4,IF(I160="Market",Retention*LCRenewal*H160*D160*(1+GrowthMarketRent)^4+(1-Retention)*LCNew*H160*D160*(1+GrowthMarketRent)^4,IF(I160="LeaseUp",LCNew*H160*D160*(1+GrowthMarketRent)^4,IF(I160="Option",LCRenewal*H160*D160*(1+GrowthMarketRent)^4,0))))),0))),0)</f>
        <v/>
      </c>
      <c r="AD160" s="14">
        <f>IFERROR(IF(AND(I160="LeaseUp",5=0),(IF(I160="Vacate",TINew*D160,IF(I160="Market",Retention*TIRenewal*D160+(1-Retention)*TINew*D160,IF(I160="LeaseUp",TINew*D160,IF(I160="Option",TIRenewal*D160,0)))))+(IF(I160="Vacate",LCNew*H160*D160*(1+GrowthMarketRent)^5,IF(I160="Market",Retention*LCRenewal*H160*D160*(1+GrowthMarketRent)^5+(1-Retention)*LCNew*H160*D160*(1+GrowthMarketRent)^5,IF(I160="LeaseUp",LCNew*H160*D160*(1+GrowthMarketRent)^5,IF(I160="Option",LCRenewal*H160*D160*(1+GrowthMarketRent)^5,0))))),IF(F160="",0,IF(AND(F160&gt;=DATE(2026+5,5,1),F160&lt;=DATE(2027+5,4,30)),(IF(I160="Vacate",TINew*D160,IF(I160="Market",Retention*TIRenewal*D160+(1-Retention)*TINew*D160,IF(I160="LeaseUp",TINew*D160,IF(I160="Option",TIRenewal*D160,0)))))+(IF(I160="Vacate",LCNew*H160*D160*(1+GrowthMarketRent)^5,IF(I160="Market",Retention*LCRenewal*H160*D160*(1+GrowthMarketRent)^5+(1-Retention)*LCNew*H160*D160*(1+GrowthMarketRent)^5,IF(I160="LeaseUp",LCNew*H160*D160*(1+GrowthMarketRent)^5,IF(I160="Option",LCRenewal*H160*D160*(1+GrowthMarketRent)^5,0))))),0))),0)</f>
        <v/>
      </c>
      <c r="AE160" s="14">
        <f>IFERROR(IF(AND(I160="LeaseUp",6=0),(IF(I160="Vacate",TINew*D160,IF(I160="Market",Retention*TIRenewal*D160+(1-Retention)*TINew*D160,IF(I160="LeaseUp",TINew*D160,IF(I160="Option",TIRenewal*D160,0)))))+(IF(I160="Vacate",LCNew*H160*D160*(1+GrowthMarketRent)^6,IF(I160="Market",Retention*LCRenewal*H160*D160*(1+GrowthMarketRent)^6+(1-Retention)*LCNew*H160*D160*(1+GrowthMarketRent)^6,IF(I160="LeaseUp",LCNew*H160*D160*(1+GrowthMarketRent)^6,IF(I160="Option",LCRenewal*H160*D160*(1+GrowthMarketRent)^6,0))))),IF(F160="",0,IF(AND(F160&gt;=DATE(2026+6,5,1),F160&lt;=DATE(2027+6,4,30)),(IF(I160="Vacate",TINew*D160,IF(I160="Market",Retention*TIRenewal*D160+(1-Retention)*TINew*D160,IF(I160="LeaseUp",TINew*D160,IF(I160="Option",TIRenewal*D160,0)))))+(IF(I160="Vacate",LCNew*H160*D160*(1+GrowthMarketRent)^6,IF(I160="Market",Retention*LCRenewal*H160*D160*(1+GrowthMarketRent)^6+(1-Retention)*LCNew*H160*D160*(1+GrowthMarketRent)^6,IF(I160="LeaseUp",LCNew*H160*D160*(1+GrowthMarketRent)^6,IF(I160="Option",LCRenewal*H160*D160*(1+GrowthMarketRent)^6,0))))),0))),0)</f>
        <v/>
      </c>
      <c r="AF160" s="14">
        <f>IFERROR(IF(AND(I160="LeaseUp",7=0),(IF(I160="Vacate",TINew*D160,IF(I160="Market",Retention*TIRenewal*D160+(1-Retention)*TINew*D160,IF(I160="LeaseUp",TINew*D160,IF(I160="Option",TIRenewal*D160,0)))))+(IF(I160="Vacate",LCNew*H160*D160*(1+GrowthMarketRent)^7,IF(I160="Market",Retention*LCRenewal*H160*D160*(1+GrowthMarketRent)^7+(1-Retention)*LCNew*H160*D160*(1+GrowthMarketRent)^7,IF(I160="LeaseUp",LCNew*H160*D160*(1+GrowthMarketRent)^7,IF(I160="Option",LCRenewal*H160*D160*(1+GrowthMarketRent)^7,0))))),IF(F160="",0,IF(AND(F160&gt;=DATE(2026+7,5,1),F160&lt;=DATE(2027+7,4,30)),(IF(I160="Vacate",TINew*D160,IF(I160="Market",Retention*TIRenewal*D160+(1-Retention)*TINew*D160,IF(I160="LeaseUp",TINew*D160,IF(I160="Option",TIRenewal*D160,0)))))+(IF(I160="Vacate",LCNew*H160*D160*(1+GrowthMarketRent)^7,IF(I160="Market",Retention*LCRenewal*H160*D160*(1+GrowthMarketRent)^7+(1-Retention)*LCNew*H160*D160*(1+GrowthMarketRent)^7,IF(I160="LeaseUp",LCNew*H160*D160*(1+GrowthMarketRent)^7,IF(I160="Option",LCRenewal*H160*D160*(1+GrowthMarketRent)^7,0))))),0))),0)</f>
        <v/>
      </c>
      <c r="AG160" s="14">
        <f>IFERROR(IF(AND(I160="LeaseUp",8=0),(IF(I160="Vacate",TINew*D160,IF(I160="Market",Retention*TIRenewal*D160+(1-Retention)*TINew*D160,IF(I160="LeaseUp",TINew*D160,IF(I160="Option",TIRenewal*D160,0)))))+(IF(I160="Vacate",LCNew*H160*D160*(1+GrowthMarketRent)^8,IF(I160="Market",Retention*LCRenewal*H160*D160*(1+GrowthMarketRent)^8+(1-Retention)*LCNew*H160*D160*(1+GrowthMarketRent)^8,IF(I160="LeaseUp",LCNew*H160*D160*(1+GrowthMarketRent)^8,IF(I160="Option",LCRenewal*H160*D160*(1+GrowthMarketRent)^8,0))))),IF(F160="",0,IF(AND(F160&gt;=DATE(2026+8,5,1),F160&lt;=DATE(2027+8,4,30)),(IF(I160="Vacate",TINew*D160,IF(I160="Market",Retention*TIRenewal*D160+(1-Retention)*TINew*D160,IF(I160="LeaseUp",TINew*D160,IF(I160="Option",TIRenewal*D160,0)))))+(IF(I160="Vacate",LCNew*H160*D160*(1+GrowthMarketRent)^8,IF(I160="Market",Retention*LCRenewal*H160*D160*(1+GrowthMarketRent)^8+(1-Retention)*LCNew*H160*D160*(1+GrowthMarketRent)^8,IF(I160="LeaseUp",LCNew*H160*D160*(1+GrowthMarketRent)^8,IF(I160="Option",LCRenewal*H160*D160*(1+GrowthMarketRent)^8,0))))),0))),0)</f>
        <v/>
      </c>
      <c r="AH160" s="14">
        <f>IFERROR(IF(AND(I160="LeaseUp",9=0),(IF(I160="Vacate",TINew*D160,IF(I160="Market",Retention*TIRenewal*D160+(1-Retention)*TINew*D160,IF(I160="LeaseUp",TINew*D160,IF(I160="Option",TIRenewal*D160,0)))))+(IF(I160="Vacate",LCNew*H160*D160*(1+GrowthMarketRent)^9,IF(I160="Market",Retention*LCRenewal*H160*D160*(1+GrowthMarketRent)^9+(1-Retention)*LCNew*H160*D160*(1+GrowthMarketRent)^9,IF(I160="LeaseUp",LCNew*H160*D160*(1+GrowthMarketRent)^9,IF(I160="Option",LCRenewal*H160*D160*(1+GrowthMarketRent)^9,0))))),IF(F160="",0,IF(AND(F160&gt;=DATE(2026+9,5,1),F160&lt;=DATE(2027+9,4,30)),(IF(I160="Vacate",TINew*D160,IF(I160="Market",Retention*TIRenewal*D160+(1-Retention)*TINew*D160,IF(I160="LeaseUp",TINew*D160,IF(I160="Option",TIRenewal*D160,0)))))+(IF(I160="Vacate",LCNew*H160*D160*(1+GrowthMarketRent)^9,IF(I160="Market",Retention*LCRenewal*H160*D160*(1+GrowthMarketRent)^9+(1-Retention)*LCNew*H160*D160*(1+GrowthMarketRent)^9,IF(I160="LeaseUp",LCNew*H160*D160*(1+GrowthMarketRent)^9,IF(I160="Option",LCRenewal*H160*D160*(1+GrowthMarketRent)^9,0))))),0))),0)</f>
        <v/>
      </c>
      <c r="AI160" s="14">
        <f>IFERROR(IF(AND(I160="LeaseUp",10=0),(IF(I160="Vacate",TINew*D160,IF(I160="Market",Retention*TIRenewal*D160+(1-Retention)*TINew*D160,IF(I160="LeaseUp",TINew*D160,IF(I160="Option",TIRenewal*D160,0)))))+(IF(I160="Vacate",LCNew*H160*D160*(1+GrowthMarketRent)^10,IF(I160="Market",Retention*LCRenewal*H160*D160*(1+GrowthMarketRent)^10+(1-Retention)*LCNew*H160*D160*(1+GrowthMarketRent)^10,IF(I160="LeaseUp",LCNew*H160*D160*(1+GrowthMarketRent)^10,IF(I160="Option",LCRenewal*H160*D160*(1+GrowthMarketRent)^10,0))))),IF(F160="",0,IF(AND(F160&gt;=DATE(2026+10,5,1),F160&lt;=DATE(2027+10,4,30)),(IF(I160="Vacate",TINew*D160,IF(I160="Market",Retention*TIRenewal*D160+(1-Retention)*TINew*D160,IF(I160="LeaseUp",TINew*D160,IF(I160="Option",TIRenewal*D160,0)))))+(IF(I160="Vacate",LCNew*H160*D160*(1+GrowthMarketRent)^10,IF(I160="Market",Retention*LCRenewal*H160*D160*(1+GrowthMarketRent)^10+(1-Retention)*LCNew*H160*D160*(1+GrowthMarketRent)^10,IF(I160="LeaseUp",LCNew*H160*D160*(1+GrowthMarketRent)^10,IF(I160="Option",LCRenewal*H160*D160*(1+GrowthMarketRent)^10,0))))),0))),0)</f>
        <v/>
      </c>
    </row>
    <row r="161">
      <c r="A161" t="inlineStr">
        <is>
          <t>Plano</t>
        </is>
      </c>
      <c r="B161" t="inlineStr">
        <is>
          <t>302</t>
        </is>
      </c>
      <c r="C161" t="inlineStr">
        <is>
          <t>Aushill Construction LLC</t>
        </is>
      </c>
      <c r="D161" s="32" t="n">
        <v>2600</v>
      </c>
      <c r="E161" s="33" t="n">
        <v>45352</v>
      </c>
      <c r="F161" s="33" t="n">
        <v>46600</v>
      </c>
      <c r="G161" s="34" t="n">
        <v>17.3353846153846</v>
      </c>
      <c r="H161" s="16">
        <f>VLOOKUP(A161,MLA!$A$5:$L$11,3,FALSE)</f>
        <v/>
      </c>
      <c r="I161" s="11" t="inlineStr">
        <is>
          <t>Vacate</t>
        </is>
      </c>
      <c r="J161" t="inlineStr">
        <is>
          <t>Shop</t>
        </is>
      </c>
      <c r="K161" t="inlineStr">
        <is>
          <t>Occupied</t>
        </is>
      </c>
      <c r="L161" t="inlineStr">
        <is>
          <t>Shop; assumed vacate 08/27; Guarantor: Laurence Daggett</t>
        </is>
      </c>
      <c r="M161" s="20">
        <f>IF(E161="",0,(AnalysisStart-E161)/365.25)</f>
        <v/>
      </c>
      <c r="N161" s="14">
        <f>IFERROR(IF(I161="LeaseUp",H161*D161*(1+GrowthMarketRent)^0*IF(0=0,(12-DowntimeNew)/12,1),IF(F161="",0,IF(F161&gt;=DATE(2027+0,4,30),G161*D161*(1+EscalatorInLease)^(0+M161),IF(F161&lt;DATE(2026+0,5,1),IF(I161="Vacate",H161*D161*(1+GrowthMarketRent)^0*IF(INT((DATE(2026+0,10,31)-F161)/365.25)=0,(12-DowntimeNew)/12,1),IF(I161="Option",G161*D161*1.025*(1+EscalatorInLease)^0,IF(I161="Market",Retention*G161*D161*(1+EscalatorInLease)^(0+M161)+(1-Retention)*H161*D161*(1+GrowthMarketRent)^0*IF(INT((DATE(2026+0,10,31)-F161)/365.25)=0,(12-DowntimeNew)/12,1),IF(I161="LeaseUp",H161*D161*(1+GrowthMarketRent)^0*IF(0=0,(12-DowntimeNew)/12,1),0)))),((F161-DATE(2026+0,5,1))/365.25)*G161*D161*(1+EscalatorInLease)^(0+M161)+((DATE(2027+0,4,30)-F161)/365.25)*IF(I161="Vacate",H161*D161*(1+GrowthMarketRent)^0*IF(INT((DATE(2026+0,10,31)-F161)/365.25)=0,(12-DowntimeNew)/12,1),IF(I161="Option",G161*D161*1.025*(1+EscalatorInLease)^0,IF(I161="Market",Retention*G161*D161*(1+EscalatorInLease)^(0+M161)+(1-Retention)*H161*D161*(1+GrowthMarketRent)^0*IF(INT((DATE(2026+0,10,31)-F161)/365.25)=0,(12-DowntimeNew)/12,1),IF(I161="LeaseUp",H161*D161*(1+GrowthMarketRent)^0*IF(0=0,(12-DowntimeNew)/12,1),0)))))))),0)</f>
        <v/>
      </c>
      <c r="O161" s="14">
        <f>IFERROR(IF(I161="LeaseUp",H161*D161*(1+GrowthMarketRent)^1*IF(1=0,(12-DowntimeNew)/12,1),IF(F161="",0,IF(F161&gt;=DATE(2027+1,4,30),G161*D161*(1+EscalatorInLease)^(1+M161),IF(F161&lt;DATE(2026+1,5,1),IF(I161="Vacate",H161*D161*(1+GrowthMarketRent)^1*IF(INT((DATE(2026+1,10,31)-F161)/365.25)=0,(12-DowntimeNew)/12,1),IF(I161="Option",G161*D161*1.025*(1+EscalatorInLease)^1,IF(I161="Market",Retention*G161*D161*(1+EscalatorInLease)^(1+M161)+(1-Retention)*H161*D161*(1+GrowthMarketRent)^1*IF(INT((DATE(2026+1,10,31)-F161)/365.25)=0,(12-DowntimeNew)/12,1),IF(I161="LeaseUp",H161*D161*(1+GrowthMarketRent)^1*IF(1=0,(12-DowntimeNew)/12,1),0)))),((F161-DATE(2026+1,5,1))/365.25)*G161*D161*(1+EscalatorInLease)^(1+M161)+((DATE(2027+1,4,30)-F161)/365.25)*IF(I161="Vacate",H161*D161*(1+GrowthMarketRent)^1*IF(INT((DATE(2026+1,10,31)-F161)/365.25)=0,(12-DowntimeNew)/12,1),IF(I161="Option",G161*D161*1.025*(1+EscalatorInLease)^1,IF(I161="Market",Retention*G161*D161*(1+EscalatorInLease)^(1+M161)+(1-Retention)*H161*D161*(1+GrowthMarketRent)^1*IF(INT((DATE(2026+1,10,31)-F161)/365.25)=0,(12-DowntimeNew)/12,1),IF(I161="LeaseUp",H161*D161*(1+GrowthMarketRent)^1*IF(1=0,(12-DowntimeNew)/12,1),0)))))))),0)</f>
        <v/>
      </c>
      <c r="P161" s="14">
        <f>IFERROR(IF(I161="LeaseUp",H161*D161*(1+GrowthMarketRent)^2*IF(2=0,(12-DowntimeNew)/12,1),IF(F161="",0,IF(F161&gt;=DATE(2027+2,4,30),G161*D161*(1+EscalatorInLease)^(2+M161),IF(F161&lt;DATE(2026+2,5,1),IF(I161="Vacate",H161*D161*(1+GrowthMarketRent)^2*IF(INT((DATE(2026+2,10,31)-F161)/365.25)=0,(12-DowntimeNew)/12,1),IF(I161="Option",G161*D161*1.025*(1+EscalatorInLease)^2,IF(I161="Market",Retention*G161*D161*(1+EscalatorInLease)^(2+M161)+(1-Retention)*H161*D161*(1+GrowthMarketRent)^2*IF(INT((DATE(2026+2,10,31)-F161)/365.25)=0,(12-DowntimeNew)/12,1),IF(I161="LeaseUp",H161*D161*(1+GrowthMarketRent)^2*IF(2=0,(12-DowntimeNew)/12,1),0)))),((F161-DATE(2026+2,5,1))/365.25)*G161*D161*(1+EscalatorInLease)^(2+M161)+((DATE(2027+2,4,30)-F161)/365.25)*IF(I161="Vacate",H161*D161*(1+GrowthMarketRent)^2*IF(INT((DATE(2026+2,10,31)-F161)/365.25)=0,(12-DowntimeNew)/12,1),IF(I161="Option",G161*D161*1.025*(1+EscalatorInLease)^2,IF(I161="Market",Retention*G161*D161*(1+EscalatorInLease)^(2+M161)+(1-Retention)*H161*D161*(1+GrowthMarketRent)^2*IF(INT((DATE(2026+2,10,31)-F161)/365.25)=0,(12-DowntimeNew)/12,1),IF(I161="LeaseUp",H161*D161*(1+GrowthMarketRent)^2*IF(2=0,(12-DowntimeNew)/12,1),0)))))))),0)</f>
        <v/>
      </c>
      <c r="Q161" s="14">
        <f>IFERROR(IF(I161="LeaseUp",H161*D161*(1+GrowthMarketRent)^3*IF(3=0,(12-DowntimeNew)/12,1),IF(F161="",0,IF(F161&gt;=DATE(2027+3,4,30),G161*D161*(1+EscalatorInLease)^(3+M161),IF(F161&lt;DATE(2026+3,5,1),IF(I161="Vacate",H161*D161*(1+GrowthMarketRent)^3*IF(INT((DATE(2026+3,10,31)-F161)/365.25)=0,(12-DowntimeNew)/12,1),IF(I161="Option",G161*D161*1.025*(1+EscalatorInLease)^3,IF(I161="Market",Retention*G161*D161*(1+EscalatorInLease)^(3+M161)+(1-Retention)*H161*D161*(1+GrowthMarketRent)^3*IF(INT((DATE(2026+3,10,31)-F161)/365.25)=0,(12-DowntimeNew)/12,1),IF(I161="LeaseUp",H161*D161*(1+GrowthMarketRent)^3*IF(3=0,(12-DowntimeNew)/12,1),0)))),((F161-DATE(2026+3,5,1))/365.25)*G161*D161*(1+EscalatorInLease)^(3+M161)+((DATE(2027+3,4,30)-F161)/365.25)*IF(I161="Vacate",H161*D161*(1+GrowthMarketRent)^3*IF(INT((DATE(2026+3,10,31)-F161)/365.25)=0,(12-DowntimeNew)/12,1),IF(I161="Option",G161*D161*1.025*(1+EscalatorInLease)^3,IF(I161="Market",Retention*G161*D161*(1+EscalatorInLease)^(3+M161)+(1-Retention)*H161*D161*(1+GrowthMarketRent)^3*IF(INT((DATE(2026+3,10,31)-F161)/365.25)=0,(12-DowntimeNew)/12,1),IF(I161="LeaseUp",H161*D161*(1+GrowthMarketRent)^3*IF(3=0,(12-DowntimeNew)/12,1),0)))))))),0)</f>
        <v/>
      </c>
      <c r="R161" s="14">
        <f>IFERROR(IF(I161="LeaseUp",H161*D161*(1+GrowthMarketRent)^4*IF(4=0,(12-DowntimeNew)/12,1),IF(F161="",0,IF(F161&gt;=DATE(2027+4,4,30),G161*D161*(1+EscalatorInLease)^(4+M161),IF(F161&lt;DATE(2026+4,5,1),IF(I161="Vacate",H161*D161*(1+GrowthMarketRent)^4*IF(INT((DATE(2026+4,10,31)-F161)/365.25)=0,(12-DowntimeNew)/12,1),IF(I161="Option",G161*D161*1.025*(1+EscalatorInLease)^4,IF(I161="Market",Retention*G161*D161*(1+EscalatorInLease)^(4+M161)+(1-Retention)*H161*D161*(1+GrowthMarketRent)^4*IF(INT((DATE(2026+4,10,31)-F161)/365.25)=0,(12-DowntimeNew)/12,1),IF(I161="LeaseUp",H161*D161*(1+GrowthMarketRent)^4*IF(4=0,(12-DowntimeNew)/12,1),0)))),((F161-DATE(2026+4,5,1))/365.25)*G161*D161*(1+EscalatorInLease)^(4+M161)+((DATE(2027+4,4,30)-F161)/365.25)*IF(I161="Vacate",H161*D161*(1+GrowthMarketRent)^4*IF(INT((DATE(2026+4,10,31)-F161)/365.25)=0,(12-DowntimeNew)/12,1),IF(I161="Option",G161*D161*1.025*(1+EscalatorInLease)^4,IF(I161="Market",Retention*G161*D161*(1+EscalatorInLease)^(4+M161)+(1-Retention)*H161*D161*(1+GrowthMarketRent)^4*IF(INT((DATE(2026+4,10,31)-F161)/365.25)=0,(12-DowntimeNew)/12,1),IF(I161="LeaseUp",H161*D161*(1+GrowthMarketRent)^4*IF(4=0,(12-DowntimeNew)/12,1),0)))))))),0)</f>
        <v/>
      </c>
      <c r="S161" s="14">
        <f>IFERROR(IF(I161="LeaseUp",H161*D161*(1+GrowthMarketRent)^5*IF(5=0,(12-DowntimeNew)/12,1),IF(F161="",0,IF(F161&gt;=DATE(2027+5,4,30),G161*D161*(1+EscalatorInLease)^(5+M161),IF(F161&lt;DATE(2026+5,5,1),IF(I161="Vacate",H161*D161*(1+GrowthMarketRent)^5*IF(INT((DATE(2026+5,10,31)-F161)/365.25)=0,(12-DowntimeNew)/12,1),IF(I161="Option",G161*D161*1.025*(1+EscalatorInLease)^5,IF(I161="Market",Retention*G161*D161*(1+EscalatorInLease)^(5+M161)+(1-Retention)*H161*D161*(1+GrowthMarketRent)^5*IF(INT((DATE(2026+5,10,31)-F161)/365.25)=0,(12-DowntimeNew)/12,1),IF(I161="LeaseUp",H161*D161*(1+GrowthMarketRent)^5*IF(5=0,(12-DowntimeNew)/12,1),0)))),((F161-DATE(2026+5,5,1))/365.25)*G161*D161*(1+EscalatorInLease)^(5+M161)+((DATE(2027+5,4,30)-F161)/365.25)*IF(I161="Vacate",H161*D161*(1+GrowthMarketRent)^5*IF(INT((DATE(2026+5,10,31)-F161)/365.25)=0,(12-DowntimeNew)/12,1),IF(I161="Option",G161*D161*1.025*(1+EscalatorInLease)^5,IF(I161="Market",Retention*G161*D161*(1+EscalatorInLease)^(5+M161)+(1-Retention)*H161*D161*(1+GrowthMarketRent)^5*IF(INT((DATE(2026+5,10,31)-F161)/365.25)=0,(12-DowntimeNew)/12,1),IF(I161="LeaseUp",H161*D161*(1+GrowthMarketRent)^5*IF(5=0,(12-DowntimeNew)/12,1),0)))))))),0)</f>
        <v/>
      </c>
      <c r="T161" s="14">
        <f>IFERROR(IF(I161="LeaseUp",H161*D161*(1+GrowthMarketRent)^6*IF(6=0,(12-DowntimeNew)/12,1),IF(F161="",0,IF(F161&gt;=DATE(2027+6,4,30),G161*D161*(1+EscalatorInLease)^(6+M161),IF(F161&lt;DATE(2026+6,5,1),IF(I161="Vacate",H161*D161*(1+GrowthMarketRent)^6*IF(INT((DATE(2026+6,10,31)-F161)/365.25)=0,(12-DowntimeNew)/12,1),IF(I161="Option",G161*D161*1.025*(1+EscalatorInLease)^6,IF(I161="Market",Retention*G161*D161*(1+EscalatorInLease)^(6+M161)+(1-Retention)*H161*D161*(1+GrowthMarketRent)^6*IF(INT((DATE(2026+6,10,31)-F161)/365.25)=0,(12-DowntimeNew)/12,1),IF(I161="LeaseUp",H161*D161*(1+GrowthMarketRent)^6*IF(6=0,(12-DowntimeNew)/12,1),0)))),((F161-DATE(2026+6,5,1))/365.25)*G161*D161*(1+EscalatorInLease)^(6+M161)+((DATE(2027+6,4,30)-F161)/365.25)*IF(I161="Vacate",H161*D161*(1+GrowthMarketRent)^6*IF(INT((DATE(2026+6,10,31)-F161)/365.25)=0,(12-DowntimeNew)/12,1),IF(I161="Option",G161*D161*1.025*(1+EscalatorInLease)^6,IF(I161="Market",Retention*G161*D161*(1+EscalatorInLease)^(6+M161)+(1-Retention)*H161*D161*(1+GrowthMarketRent)^6*IF(INT((DATE(2026+6,10,31)-F161)/365.25)=0,(12-DowntimeNew)/12,1),IF(I161="LeaseUp",H161*D161*(1+GrowthMarketRent)^6*IF(6=0,(12-DowntimeNew)/12,1),0)))))))),0)</f>
        <v/>
      </c>
      <c r="U161" s="14">
        <f>IFERROR(IF(I161="LeaseUp",H161*D161*(1+GrowthMarketRent)^7*IF(7=0,(12-DowntimeNew)/12,1),IF(F161="",0,IF(F161&gt;=DATE(2027+7,4,30),G161*D161*(1+EscalatorInLease)^(7+M161),IF(F161&lt;DATE(2026+7,5,1),IF(I161="Vacate",H161*D161*(1+GrowthMarketRent)^7*IF(INT((DATE(2026+7,10,31)-F161)/365.25)=0,(12-DowntimeNew)/12,1),IF(I161="Option",G161*D161*1.025*(1+EscalatorInLease)^7,IF(I161="Market",Retention*G161*D161*(1+EscalatorInLease)^(7+M161)+(1-Retention)*H161*D161*(1+GrowthMarketRent)^7*IF(INT((DATE(2026+7,10,31)-F161)/365.25)=0,(12-DowntimeNew)/12,1),IF(I161="LeaseUp",H161*D161*(1+GrowthMarketRent)^7*IF(7=0,(12-DowntimeNew)/12,1),0)))),((F161-DATE(2026+7,5,1))/365.25)*G161*D161*(1+EscalatorInLease)^(7+M161)+((DATE(2027+7,4,30)-F161)/365.25)*IF(I161="Vacate",H161*D161*(1+GrowthMarketRent)^7*IF(INT((DATE(2026+7,10,31)-F161)/365.25)=0,(12-DowntimeNew)/12,1),IF(I161="Option",G161*D161*1.025*(1+EscalatorInLease)^7,IF(I161="Market",Retention*G161*D161*(1+EscalatorInLease)^(7+M161)+(1-Retention)*H161*D161*(1+GrowthMarketRent)^7*IF(INT((DATE(2026+7,10,31)-F161)/365.25)=0,(12-DowntimeNew)/12,1),IF(I161="LeaseUp",H161*D161*(1+GrowthMarketRent)^7*IF(7=0,(12-DowntimeNew)/12,1),0)))))))),0)</f>
        <v/>
      </c>
      <c r="V161" s="14">
        <f>IFERROR(IF(I161="LeaseUp",H161*D161*(1+GrowthMarketRent)^8*IF(8=0,(12-DowntimeNew)/12,1),IF(F161="",0,IF(F161&gt;=DATE(2027+8,4,30),G161*D161*(1+EscalatorInLease)^(8+M161),IF(F161&lt;DATE(2026+8,5,1),IF(I161="Vacate",H161*D161*(1+GrowthMarketRent)^8*IF(INT((DATE(2026+8,10,31)-F161)/365.25)=0,(12-DowntimeNew)/12,1),IF(I161="Option",G161*D161*1.025*(1+EscalatorInLease)^8,IF(I161="Market",Retention*G161*D161*(1+EscalatorInLease)^(8+M161)+(1-Retention)*H161*D161*(1+GrowthMarketRent)^8*IF(INT((DATE(2026+8,10,31)-F161)/365.25)=0,(12-DowntimeNew)/12,1),IF(I161="LeaseUp",H161*D161*(1+GrowthMarketRent)^8*IF(8=0,(12-DowntimeNew)/12,1),0)))),((F161-DATE(2026+8,5,1))/365.25)*G161*D161*(1+EscalatorInLease)^(8+M161)+((DATE(2027+8,4,30)-F161)/365.25)*IF(I161="Vacate",H161*D161*(1+GrowthMarketRent)^8*IF(INT((DATE(2026+8,10,31)-F161)/365.25)=0,(12-DowntimeNew)/12,1),IF(I161="Option",G161*D161*1.025*(1+EscalatorInLease)^8,IF(I161="Market",Retention*G161*D161*(1+EscalatorInLease)^(8+M161)+(1-Retention)*H161*D161*(1+GrowthMarketRent)^8*IF(INT((DATE(2026+8,10,31)-F161)/365.25)=0,(12-DowntimeNew)/12,1),IF(I161="LeaseUp",H161*D161*(1+GrowthMarketRent)^8*IF(8=0,(12-DowntimeNew)/12,1),0)))))))),0)</f>
        <v/>
      </c>
      <c r="W161" s="14">
        <f>IFERROR(IF(I161="LeaseUp",H161*D161*(1+GrowthMarketRent)^9*IF(9=0,(12-DowntimeNew)/12,1),IF(F161="",0,IF(F161&gt;=DATE(2027+9,4,30),G161*D161*(1+EscalatorInLease)^(9+M161),IF(F161&lt;DATE(2026+9,5,1),IF(I161="Vacate",H161*D161*(1+GrowthMarketRent)^9*IF(INT((DATE(2026+9,10,31)-F161)/365.25)=0,(12-DowntimeNew)/12,1),IF(I161="Option",G161*D161*1.025*(1+EscalatorInLease)^9,IF(I161="Market",Retention*G161*D161*(1+EscalatorInLease)^(9+M161)+(1-Retention)*H161*D161*(1+GrowthMarketRent)^9*IF(INT((DATE(2026+9,10,31)-F161)/365.25)=0,(12-DowntimeNew)/12,1),IF(I161="LeaseUp",H161*D161*(1+GrowthMarketRent)^9*IF(9=0,(12-DowntimeNew)/12,1),0)))),((F161-DATE(2026+9,5,1))/365.25)*G161*D161*(1+EscalatorInLease)^(9+M161)+((DATE(2027+9,4,30)-F161)/365.25)*IF(I161="Vacate",H161*D161*(1+GrowthMarketRent)^9*IF(INT((DATE(2026+9,10,31)-F161)/365.25)=0,(12-DowntimeNew)/12,1),IF(I161="Option",G161*D161*1.025*(1+EscalatorInLease)^9,IF(I161="Market",Retention*G161*D161*(1+EscalatorInLease)^(9+M161)+(1-Retention)*H161*D161*(1+GrowthMarketRent)^9*IF(INT((DATE(2026+9,10,31)-F161)/365.25)=0,(12-DowntimeNew)/12,1),IF(I161="LeaseUp",H161*D161*(1+GrowthMarketRent)^9*IF(9=0,(12-DowntimeNew)/12,1),0)))))))),0)</f>
        <v/>
      </c>
      <c r="X161" s="14">
        <f>IFERROR(IF(I161="LeaseUp",H161*D161*(1+GrowthMarketRent)^10*IF(10=0,(12-DowntimeNew)/12,1),IF(F161="",0,IF(F161&gt;=DATE(2027+10,4,30),G161*D161*(1+EscalatorInLease)^(10+M161),IF(F161&lt;DATE(2026+10,5,1),IF(I161="Vacate",H161*D161*(1+GrowthMarketRent)^10*IF(INT((DATE(2026+10,10,31)-F161)/365.25)=0,(12-DowntimeNew)/12,1),IF(I161="Option",G161*D161*1.025*(1+EscalatorInLease)^10,IF(I161="Market",Retention*G161*D161*(1+EscalatorInLease)^(10+M161)+(1-Retention)*H161*D161*(1+GrowthMarketRent)^10*IF(INT((DATE(2026+10,10,31)-F161)/365.25)=0,(12-DowntimeNew)/12,1),IF(I161="LeaseUp",H161*D161*(1+GrowthMarketRent)^10*IF(10=0,(12-DowntimeNew)/12,1),0)))),((F161-DATE(2026+10,5,1))/365.25)*G161*D161*(1+EscalatorInLease)^(10+M161)+((DATE(2027+10,4,30)-F161)/365.25)*IF(I161="Vacate",H161*D161*(1+GrowthMarketRent)^10*IF(INT((DATE(2026+10,10,31)-F161)/365.25)=0,(12-DowntimeNew)/12,1),IF(I161="Option",G161*D161*1.025*(1+EscalatorInLease)^10,IF(I161="Market",Retention*G161*D161*(1+EscalatorInLease)^(10+M161)+(1-Retention)*H161*D161*(1+GrowthMarketRent)^10*IF(INT((DATE(2026+10,10,31)-F161)/365.25)=0,(12-DowntimeNew)/12,1),IF(I161="LeaseUp",H161*D161*(1+GrowthMarketRent)^10*IF(10=0,(12-DowntimeNew)/12,1),0)))))))),0)</f>
        <v/>
      </c>
      <c r="Y161" s="14">
        <f>IFERROR(IF(AND(I161="LeaseUp",0=0),(IF(I161="Vacate",TINew*D161,IF(I161="Market",Retention*TIRenewal*D161+(1-Retention)*TINew*D161,IF(I161="LeaseUp",TINew*D161,IF(I161="Option",TIRenewal*D161,0)))))+(IF(I161="Vacate",LCNew*H161*D161*(1+GrowthMarketRent)^0,IF(I161="Market",Retention*LCRenewal*H161*D161*(1+GrowthMarketRent)^0+(1-Retention)*LCNew*H161*D161*(1+GrowthMarketRent)^0,IF(I161="LeaseUp",LCNew*H161*D161*(1+GrowthMarketRent)^0,IF(I161="Option",LCRenewal*H161*D161*(1+GrowthMarketRent)^0,0))))),IF(F161="",0,IF(AND(F161&gt;=DATE(2026+0,5,1),F161&lt;=DATE(2027+0,4,30)),(IF(I161="Vacate",TINew*D161,IF(I161="Market",Retention*TIRenewal*D161+(1-Retention)*TINew*D161,IF(I161="LeaseUp",TINew*D161,IF(I161="Option",TIRenewal*D161,0)))))+(IF(I161="Vacate",LCNew*H161*D161*(1+GrowthMarketRent)^0,IF(I161="Market",Retention*LCRenewal*H161*D161*(1+GrowthMarketRent)^0+(1-Retention)*LCNew*H161*D161*(1+GrowthMarketRent)^0,IF(I161="LeaseUp",LCNew*H161*D161*(1+GrowthMarketRent)^0,IF(I161="Option",LCRenewal*H161*D161*(1+GrowthMarketRent)^0,0))))),0))),0)</f>
        <v/>
      </c>
      <c r="Z161" s="14">
        <f>IFERROR(IF(AND(I161="LeaseUp",1=0),(IF(I161="Vacate",TINew*D161,IF(I161="Market",Retention*TIRenewal*D161+(1-Retention)*TINew*D161,IF(I161="LeaseUp",TINew*D161,IF(I161="Option",TIRenewal*D161,0)))))+(IF(I161="Vacate",LCNew*H161*D161*(1+GrowthMarketRent)^1,IF(I161="Market",Retention*LCRenewal*H161*D161*(1+GrowthMarketRent)^1+(1-Retention)*LCNew*H161*D161*(1+GrowthMarketRent)^1,IF(I161="LeaseUp",LCNew*H161*D161*(1+GrowthMarketRent)^1,IF(I161="Option",LCRenewal*H161*D161*(1+GrowthMarketRent)^1,0))))),IF(F161="",0,IF(AND(F161&gt;=DATE(2026+1,5,1),F161&lt;=DATE(2027+1,4,30)),(IF(I161="Vacate",TINew*D161,IF(I161="Market",Retention*TIRenewal*D161+(1-Retention)*TINew*D161,IF(I161="LeaseUp",TINew*D161,IF(I161="Option",TIRenewal*D161,0)))))+(IF(I161="Vacate",LCNew*H161*D161*(1+GrowthMarketRent)^1,IF(I161="Market",Retention*LCRenewal*H161*D161*(1+GrowthMarketRent)^1+(1-Retention)*LCNew*H161*D161*(1+GrowthMarketRent)^1,IF(I161="LeaseUp",LCNew*H161*D161*(1+GrowthMarketRent)^1,IF(I161="Option",LCRenewal*H161*D161*(1+GrowthMarketRent)^1,0))))),0))),0)</f>
        <v/>
      </c>
      <c r="AA161" s="14">
        <f>IFERROR(IF(AND(I161="LeaseUp",2=0),(IF(I161="Vacate",TINew*D161,IF(I161="Market",Retention*TIRenewal*D161+(1-Retention)*TINew*D161,IF(I161="LeaseUp",TINew*D161,IF(I161="Option",TIRenewal*D161,0)))))+(IF(I161="Vacate",LCNew*H161*D161*(1+GrowthMarketRent)^2,IF(I161="Market",Retention*LCRenewal*H161*D161*(1+GrowthMarketRent)^2+(1-Retention)*LCNew*H161*D161*(1+GrowthMarketRent)^2,IF(I161="LeaseUp",LCNew*H161*D161*(1+GrowthMarketRent)^2,IF(I161="Option",LCRenewal*H161*D161*(1+GrowthMarketRent)^2,0))))),IF(F161="",0,IF(AND(F161&gt;=DATE(2026+2,5,1),F161&lt;=DATE(2027+2,4,30)),(IF(I161="Vacate",TINew*D161,IF(I161="Market",Retention*TIRenewal*D161+(1-Retention)*TINew*D161,IF(I161="LeaseUp",TINew*D161,IF(I161="Option",TIRenewal*D161,0)))))+(IF(I161="Vacate",LCNew*H161*D161*(1+GrowthMarketRent)^2,IF(I161="Market",Retention*LCRenewal*H161*D161*(1+GrowthMarketRent)^2+(1-Retention)*LCNew*H161*D161*(1+GrowthMarketRent)^2,IF(I161="LeaseUp",LCNew*H161*D161*(1+GrowthMarketRent)^2,IF(I161="Option",LCRenewal*H161*D161*(1+GrowthMarketRent)^2,0))))),0))),0)</f>
        <v/>
      </c>
      <c r="AB161" s="14">
        <f>IFERROR(IF(AND(I161="LeaseUp",3=0),(IF(I161="Vacate",TINew*D161,IF(I161="Market",Retention*TIRenewal*D161+(1-Retention)*TINew*D161,IF(I161="LeaseUp",TINew*D161,IF(I161="Option",TIRenewal*D161,0)))))+(IF(I161="Vacate",LCNew*H161*D161*(1+GrowthMarketRent)^3,IF(I161="Market",Retention*LCRenewal*H161*D161*(1+GrowthMarketRent)^3+(1-Retention)*LCNew*H161*D161*(1+GrowthMarketRent)^3,IF(I161="LeaseUp",LCNew*H161*D161*(1+GrowthMarketRent)^3,IF(I161="Option",LCRenewal*H161*D161*(1+GrowthMarketRent)^3,0))))),IF(F161="",0,IF(AND(F161&gt;=DATE(2026+3,5,1),F161&lt;=DATE(2027+3,4,30)),(IF(I161="Vacate",TINew*D161,IF(I161="Market",Retention*TIRenewal*D161+(1-Retention)*TINew*D161,IF(I161="LeaseUp",TINew*D161,IF(I161="Option",TIRenewal*D161,0)))))+(IF(I161="Vacate",LCNew*H161*D161*(1+GrowthMarketRent)^3,IF(I161="Market",Retention*LCRenewal*H161*D161*(1+GrowthMarketRent)^3+(1-Retention)*LCNew*H161*D161*(1+GrowthMarketRent)^3,IF(I161="LeaseUp",LCNew*H161*D161*(1+GrowthMarketRent)^3,IF(I161="Option",LCRenewal*H161*D161*(1+GrowthMarketRent)^3,0))))),0))),0)</f>
        <v/>
      </c>
      <c r="AC161" s="14">
        <f>IFERROR(IF(AND(I161="LeaseUp",4=0),(IF(I161="Vacate",TINew*D161,IF(I161="Market",Retention*TIRenewal*D161+(1-Retention)*TINew*D161,IF(I161="LeaseUp",TINew*D161,IF(I161="Option",TIRenewal*D161,0)))))+(IF(I161="Vacate",LCNew*H161*D161*(1+GrowthMarketRent)^4,IF(I161="Market",Retention*LCRenewal*H161*D161*(1+GrowthMarketRent)^4+(1-Retention)*LCNew*H161*D161*(1+GrowthMarketRent)^4,IF(I161="LeaseUp",LCNew*H161*D161*(1+GrowthMarketRent)^4,IF(I161="Option",LCRenewal*H161*D161*(1+GrowthMarketRent)^4,0))))),IF(F161="",0,IF(AND(F161&gt;=DATE(2026+4,5,1),F161&lt;=DATE(2027+4,4,30)),(IF(I161="Vacate",TINew*D161,IF(I161="Market",Retention*TIRenewal*D161+(1-Retention)*TINew*D161,IF(I161="LeaseUp",TINew*D161,IF(I161="Option",TIRenewal*D161,0)))))+(IF(I161="Vacate",LCNew*H161*D161*(1+GrowthMarketRent)^4,IF(I161="Market",Retention*LCRenewal*H161*D161*(1+GrowthMarketRent)^4+(1-Retention)*LCNew*H161*D161*(1+GrowthMarketRent)^4,IF(I161="LeaseUp",LCNew*H161*D161*(1+GrowthMarketRent)^4,IF(I161="Option",LCRenewal*H161*D161*(1+GrowthMarketRent)^4,0))))),0))),0)</f>
        <v/>
      </c>
      <c r="AD161" s="14">
        <f>IFERROR(IF(AND(I161="LeaseUp",5=0),(IF(I161="Vacate",TINew*D161,IF(I161="Market",Retention*TIRenewal*D161+(1-Retention)*TINew*D161,IF(I161="LeaseUp",TINew*D161,IF(I161="Option",TIRenewal*D161,0)))))+(IF(I161="Vacate",LCNew*H161*D161*(1+GrowthMarketRent)^5,IF(I161="Market",Retention*LCRenewal*H161*D161*(1+GrowthMarketRent)^5+(1-Retention)*LCNew*H161*D161*(1+GrowthMarketRent)^5,IF(I161="LeaseUp",LCNew*H161*D161*(1+GrowthMarketRent)^5,IF(I161="Option",LCRenewal*H161*D161*(1+GrowthMarketRent)^5,0))))),IF(F161="",0,IF(AND(F161&gt;=DATE(2026+5,5,1),F161&lt;=DATE(2027+5,4,30)),(IF(I161="Vacate",TINew*D161,IF(I161="Market",Retention*TIRenewal*D161+(1-Retention)*TINew*D161,IF(I161="LeaseUp",TINew*D161,IF(I161="Option",TIRenewal*D161,0)))))+(IF(I161="Vacate",LCNew*H161*D161*(1+GrowthMarketRent)^5,IF(I161="Market",Retention*LCRenewal*H161*D161*(1+GrowthMarketRent)^5+(1-Retention)*LCNew*H161*D161*(1+GrowthMarketRent)^5,IF(I161="LeaseUp",LCNew*H161*D161*(1+GrowthMarketRent)^5,IF(I161="Option",LCRenewal*H161*D161*(1+GrowthMarketRent)^5,0))))),0))),0)</f>
        <v/>
      </c>
      <c r="AE161" s="14">
        <f>IFERROR(IF(AND(I161="LeaseUp",6=0),(IF(I161="Vacate",TINew*D161,IF(I161="Market",Retention*TIRenewal*D161+(1-Retention)*TINew*D161,IF(I161="LeaseUp",TINew*D161,IF(I161="Option",TIRenewal*D161,0)))))+(IF(I161="Vacate",LCNew*H161*D161*(1+GrowthMarketRent)^6,IF(I161="Market",Retention*LCRenewal*H161*D161*(1+GrowthMarketRent)^6+(1-Retention)*LCNew*H161*D161*(1+GrowthMarketRent)^6,IF(I161="LeaseUp",LCNew*H161*D161*(1+GrowthMarketRent)^6,IF(I161="Option",LCRenewal*H161*D161*(1+GrowthMarketRent)^6,0))))),IF(F161="",0,IF(AND(F161&gt;=DATE(2026+6,5,1),F161&lt;=DATE(2027+6,4,30)),(IF(I161="Vacate",TINew*D161,IF(I161="Market",Retention*TIRenewal*D161+(1-Retention)*TINew*D161,IF(I161="LeaseUp",TINew*D161,IF(I161="Option",TIRenewal*D161,0)))))+(IF(I161="Vacate",LCNew*H161*D161*(1+GrowthMarketRent)^6,IF(I161="Market",Retention*LCRenewal*H161*D161*(1+GrowthMarketRent)^6+(1-Retention)*LCNew*H161*D161*(1+GrowthMarketRent)^6,IF(I161="LeaseUp",LCNew*H161*D161*(1+GrowthMarketRent)^6,IF(I161="Option",LCRenewal*H161*D161*(1+GrowthMarketRent)^6,0))))),0))),0)</f>
        <v/>
      </c>
      <c r="AF161" s="14">
        <f>IFERROR(IF(AND(I161="LeaseUp",7=0),(IF(I161="Vacate",TINew*D161,IF(I161="Market",Retention*TIRenewal*D161+(1-Retention)*TINew*D161,IF(I161="LeaseUp",TINew*D161,IF(I161="Option",TIRenewal*D161,0)))))+(IF(I161="Vacate",LCNew*H161*D161*(1+GrowthMarketRent)^7,IF(I161="Market",Retention*LCRenewal*H161*D161*(1+GrowthMarketRent)^7+(1-Retention)*LCNew*H161*D161*(1+GrowthMarketRent)^7,IF(I161="LeaseUp",LCNew*H161*D161*(1+GrowthMarketRent)^7,IF(I161="Option",LCRenewal*H161*D161*(1+GrowthMarketRent)^7,0))))),IF(F161="",0,IF(AND(F161&gt;=DATE(2026+7,5,1),F161&lt;=DATE(2027+7,4,30)),(IF(I161="Vacate",TINew*D161,IF(I161="Market",Retention*TIRenewal*D161+(1-Retention)*TINew*D161,IF(I161="LeaseUp",TINew*D161,IF(I161="Option",TIRenewal*D161,0)))))+(IF(I161="Vacate",LCNew*H161*D161*(1+GrowthMarketRent)^7,IF(I161="Market",Retention*LCRenewal*H161*D161*(1+GrowthMarketRent)^7+(1-Retention)*LCNew*H161*D161*(1+GrowthMarketRent)^7,IF(I161="LeaseUp",LCNew*H161*D161*(1+GrowthMarketRent)^7,IF(I161="Option",LCRenewal*H161*D161*(1+GrowthMarketRent)^7,0))))),0))),0)</f>
        <v/>
      </c>
      <c r="AG161" s="14">
        <f>IFERROR(IF(AND(I161="LeaseUp",8=0),(IF(I161="Vacate",TINew*D161,IF(I161="Market",Retention*TIRenewal*D161+(1-Retention)*TINew*D161,IF(I161="LeaseUp",TINew*D161,IF(I161="Option",TIRenewal*D161,0)))))+(IF(I161="Vacate",LCNew*H161*D161*(1+GrowthMarketRent)^8,IF(I161="Market",Retention*LCRenewal*H161*D161*(1+GrowthMarketRent)^8+(1-Retention)*LCNew*H161*D161*(1+GrowthMarketRent)^8,IF(I161="LeaseUp",LCNew*H161*D161*(1+GrowthMarketRent)^8,IF(I161="Option",LCRenewal*H161*D161*(1+GrowthMarketRent)^8,0))))),IF(F161="",0,IF(AND(F161&gt;=DATE(2026+8,5,1),F161&lt;=DATE(2027+8,4,30)),(IF(I161="Vacate",TINew*D161,IF(I161="Market",Retention*TIRenewal*D161+(1-Retention)*TINew*D161,IF(I161="LeaseUp",TINew*D161,IF(I161="Option",TIRenewal*D161,0)))))+(IF(I161="Vacate",LCNew*H161*D161*(1+GrowthMarketRent)^8,IF(I161="Market",Retention*LCRenewal*H161*D161*(1+GrowthMarketRent)^8+(1-Retention)*LCNew*H161*D161*(1+GrowthMarketRent)^8,IF(I161="LeaseUp",LCNew*H161*D161*(1+GrowthMarketRent)^8,IF(I161="Option",LCRenewal*H161*D161*(1+GrowthMarketRent)^8,0))))),0))),0)</f>
        <v/>
      </c>
      <c r="AH161" s="14">
        <f>IFERROR(IF(AND(I161="LeaseUp",9=0),(IF(I161="Vacate",TINew*D161,IF(I161="Market",Retention*TIRenewal*D161+(1-Retention)*TINew*D161,IF(I161="LeaseUp",TINew*D161,IF(I161="Option",TIRenewal*D161,0)))))+(IF(I161="Vacate",LCNew*H161*D161*(1+GrowthMarketRent)^9,IF(I161="Market",Retention*LCRenewal*H161*D161*(1+GrowthMarketRent)^9+(1-Retention)*LCNew*H161*D161*(1+GrowthMarketRent)^9,IF(I161="LeaseUp",LCNew*H161*D161*(1+GrowthMarketRent)^9,IF(I161="Option",LCRenewal*H161*D161*(1+GrowthMarketRent)^9,0))))),IF(F161="",0,IF(AND(F161&gt;=DATE(2026+9,5,1),F161&lt;=DATE(2027+9,4,30)),(IF(I161="Vacate",TINew*D161,IF(I161="Market",Retention*TIRenewal*D161+(1-Retention)*TINew*D161,IF(I161="LeaseUp",TINew*D161,IF(I161="Option",TIRenewal*D161,0)))))+(IF(I161="Vacate",LCNew*H161*D161*(1+GrowthMarketRent)^9,IF(I161="Market",Retention*LCRenewal*H161*D161*(1+GrowthMarketRent)^9+(1-Retention)*LCNew*H161*D161*(1+GrowthMarketRent)^9,IF(I161="LeaseUp",LCNew*H161*D161*(1+GrowthMarketRent)^9,IF(I161="Option",LCRenewal*H161*D161*(1+GrowthMarketRent)^9,0))))),0))),0)</f>
        <v/>
      </c>
      <c r="AI161" s="14">
        <f>IFERROR(IF(AND(I161="LeaseUp",10=0),(IF(I161="Vacate",TINew*D161,IF(I161="Market",Retention*TIRenewal*D161+(1-Retention)*TINew*D161,IF(I161="LeaseUp",TINew*D161,IF(I161="Option",TIRenewal*D161,0)))))+(IF(I161="Vacate",LCNew*H161*D161*(1+GrowthMarketRent)^10,IF(I161="Market",Retention*LCRenewal*H161*D161*(1+GrowthMarketRent)^10+(1-Retention)*LCNew*H161*D161*(1+GrowthMarketRent)^10,IF(I161="LeaseUp",LCNew*H161*D161*(1+GrowthMarketRent)^10,IF(I161="Option",LCRenewal*H161*D161*(1+GrowthMarketRent)^10,0))))),IF(F161="",0,IF(AND(F161&gt;=DATE(2026+10,5,1),F161&lt;=DATE(2027+10,4,30)),(IF(I161="Vacate",TINew*D161,IF(I161="Market",Retention*TIRenewal*D161+(1-Retention)*TINew*D161,IF(I161="LeaseUp",TINew*D161,IF(I161="Option",TIRenewal*D161,0)))))+(IF(I161="Vacate",LCNew*H161*D161*(1+GrowthMarketRent)^10,IF(I161="Market",Retention*LCRenewal*H161*D161*(1+GrowthMarketRent)^10+(1-Retention)*LCNew*H161*D161*(1+GrowthMarketRent)^10,IF(I161="LeaseUp",LCNew*H161*D161*(1+GrowthMarketRent)^10,IF(I161="Option",LCRenewal*H161*D161*(1+GrowthMarketRent)^10,0))))),0))),0)</f>
        <v/>
      </c>
    </row>
    <row r="162">
      <c r="A162" t="inlineStr">
        <is>
          <t>Plano</t>
        </is>
      </c>
      <c r="B162" t="inlineStr">
        <is>
          <t>303</t>
        </is>
      </c>
      <c r="C162" t="inlineStr">
        <is>
          <t>Cantecc Construction LLC</t>
        </is>
      </c>
      <c r="D162" s="32" t="n">
        <v>2600</v>
      </c>
      <c r="E162" s="33" t="n">
        <v>44986</v>
      </c>
      <c r="F162" s="33" t="n">
        <v>46235</v>
      </c>
      <c r="G162" s="34" t="n">
        <v>16.1534615384615</v>
      </c>
      <c r="H162" s="16">
        <f>VLOOKUP(A162,MLA!$A$5:$L$11,3,FALSE)</f>
        <v/>
      </c>
      <c r="I162" s="11" t="inlineStr">
        <is>
          <t>Option</t>
        </is>
      </c>
      <c r="J162" t="inlineStr">
        <is>
          <t>Shop</t>
        </is>
      </c>
      <c r="K162" t="inlineStr">
        <is>
          <t>Occupied</t>
        </is>
      </c>
      <c r="L162" t="inlineStr">
        <is>
          <t>Shop; Guarantor: Jared Whitehead / Brian Edwards; Two 3yr options @ 102.5%</t>
        </is>
      </c>
      <c r="M162" s="20">
        <f>IF(E162="",0,(AnalysisStart-E162)/365.25)</f>
        <v/>
      </c>
      <c r="N162" s="14">
        <f>IFERROR(IF(I162="LeaseUp",H162*D162*(1+GrowthMarketRent)^0*IF(0=0,(12-DowntimeNew)/12,1),IF(F162="",0,IF(F162&gt;=DATE(2027+0,4,30),G162*D162*(1+EscalatorInLease)^(0+M162),IF(F162&lt;DATE(2026+0,5,1),IF(I162="Vacate",H162*D162*(1+GrowthMarketRent)^0*IF(INT((DATE(2026+0,10,31)-F162)/365.25)=0,(12-DowntimeNew)/12,1),IF(I162="Option",G162*D162*1.025*(1+EscalatorInLease)^0,IF(I162="Market",Retention*G162*D162*(1+EscalatorInLease)^(0+M162)+(1-Retention)*H162*D162*(1+GrowthMarketRent)^0*IF(INT((DATE(2026+0,10,31)-F162)/365.25)=0,(12-DowntimeNew)/12,1),IF(I162="LeaseUp",H162*D162*(1+GrowthMarketRent)^0*IF(0=0,(12-DowntimeNew)/12,1),0)))),((F162-DATE(2026+0,5,1))/365.25)*G162*D162*(1+EscalatorInLease)^(0+M162)+((DATE(2027+0,4,30)-F162)/365.25)*IF(I162="Vacate",H162*D162*(1+GrowthMarketRent)^0*IF(INT((DATE(2026+0,10,31)-F162)/365.25)=0,(12-DowntimeNew)/12,1),IF(I162="Option",G162*D162*1.025*(1+EscalatorInLease)^0,IF(I162="Market",Retention*G162*D162*(1+EscalatorInLease)^(0+M162)+(1-Retention)*H162*D162*(1+GrowthMarketRent)^0*IF(INT((DATE(2026+0,10,31)-F162)/365.25)=0,(12-DowntimeNew)/12,1),IF(I162="LeaseUp",H162*D162*(1+GrowthMarketRent)^0*IF(0=0,(12-DowntimeNew)/12,1),0)))))))),0)</f>
        <v/>
      </c>
      <c r="O162" s="14">
        <f>IFERROR(IF(I162="LeaseUp",H162*D162*(1+GrowthMarketRent)^1*IF(1=0,(12-DowntimeNew)/12,1),IF(F162="",0,IF(F162&gt;=DATE(2027+1,4,30),G162*D162*(1+EscalatorInLease)^(1+M162),IF(F162&lt;DATE(2026+1,5,1),IF(I162="Vacate",H162*D162*(1+GrowthMarketRent)^1*IF(INT((DATE(2026+1,10,31)-F162)/365.25)=0,(12-DowntimeNew)/12,1),IF(I162="Option",G162*D162*1.025*(1+EscalatorInLease)^1,IF(I162="Market",Retention*G162*D162*(1+EscalatorInLease)^(1+M162)+(1-Retention)*H162*D162*(1+GrowthMarketRent)^1*IF(INT((DATE(2026+1,10,31)-F162)/365.25)=0,(12-DowntimeNew)/12,1),IF(I162="LeaseUp",H162*D162*(1+GrowthMarketRent)^1*IF(1=0,(12-DowntimeNew)/12,1),0)))),((F162-DATE(2026+1,5,1))/365.25)*G162*D162*(1+EscalatorInLease)^(1+M162)+((DATE(2027+1,4,30)-F162)/365.25)*IF(I162="Vacate",H162*D162*(1+GrowthMarketRent)^1*IF(INT((DATE(2026+1,10,31)-F162)/365.25)=0,(12-DowntimeNew)/12,1),IF(I162="Option",G162*D162*1.025*(1+EscalatorInLease)^1,IF(I162="Market",Retention*G162*D162*(1+EscalatorInLease)^(1+M162)+(1-Retention)*H162*D162*(1+GrowthMarketRent)^1*IF(INT((DATE(2026+1,10,31)-F162)/365.25)=0,(12-DowntimeNew)/12,1),IF(I162="LeaseUp",H162*D162*(1+GrowthMarketRent)^1*IF(1=0,(12-DowntimeNew)/12,1),0)))))))),0)</f>
        <v/>
      </c>
      <c r="P162" s="14">
        <f>IFERROR(IF(I162="LeaseUp",H162*D162*(1+GrowthMarketRent)^2*IF(2=0,(12-DowntimeNew)/12,1),IF(F162="",0,IF(F162&gt;=DATE(2027+2,4,30),G162*D162*(1+EscalatorInLease)^(2+M162),IF(F162&lt;DATE(2026+2,5,1),IF(I162="Vacate",H162*D162*(1+GrowthMarketRent)^2*IF(INT((DATE(2026+2,10,31)-F162)/365.25)=0,(12-DowntimeNew)/12,1),IF(I162="Option",G162*D162*1.025*(1+EscalatorInLease)^2,IF(I162="Market",Retention*G162*D162*(1+EscalatorInLease)^(2+M162)+(1-Retention)*H162*D162*(1+GrowthMarketRent)^2*IF(INT((DATE(2026+2,10,31)-F162)/365.25)=0,(12-DowntimeNew)/12,1),IF(I162="LeaseUp",H162*D162*(1+GrowthMarketRent)^2*IF(2=0,(12-DowntimeNew)/12,1),0)))),((F162-DATE(2026+2,5,1))/365.25)*G162*D162*(1+EscalatorInLease)^(2+M162)+((DATE(2027+2,4,30)-F162)/365.25)*IF(I162="Vacate",H162*D162*(1+GrowthMarketRent)^2*IF(INT((DATE(2026+2,10,31)-F162)/365.25)=0,(12-DowntimeNew)/12,1),IF(I162="Option",G162*D162*1.025*(1+EscalatorInLease)^2,IF(I162="Market",Retention*G162*D162*(1+EscalatorInLease)^(2+M162)+(1-Retention)*H162*D162*(1+GrowthMarketRent)^2*IF(INT((DATE(2026+2,10,31)-F162)/365.25)=0,(12-DowntimeNew)/12,1),IF(I162="LeaseUp",H162*D162*(1+GrowthMarketRent)^2*IF(2=0,(12-DowntimeNew)/12,1),0)))))))),0)</f>
        <v/>
      </c>
      <c r="Q162" s="14">
        <f>IFERROR(IF(I162="LeaseUp",H162*D162*(1+GrowthMarketRent)^3*IF(3=0,(12-DowntimeNew)/12,1),IF(F162="",0,IF(F162&gt;=DATE(2027+3,4,30),G162*D162*(1+EscalatorInLease)^(3+M162),IF(F162&lt;DATE(2026+3,5,1),IF(I162="Vacate",H162*D162*(1+GrowthMarketRent)^3*IF(INT((DATE(2026+3,10,31)-F162)/365.25)=0,(12-DowntimeNew)/12,1),IF(I162="Option",G162*D162*1.025*(1+EscalatorInLease)^3,IF(I162="Market",Retention*G162*D162*(1+EscalatorInLease)^(3+M162)+(1-Retention)*H162*D162*(1+GrowthMarketRent)^3*IF(INT((DATE(2026+3,10,31)-F162)/365.25)=0,(12-DowntimeNew)/12,1),IF(I162="LeaseUp",H162*D162*(1+GrowthMarketRent)^3*IF(3=0,(12-DowntimeNew)/12,1),0)))),((F162-DATE(2026+3,5,1))/365.25)*G162*D162*(1+EscalatorInLease)^(3+M162)+((DATE(2027+3,4,30)-F162)/365.25)*IF(I162="Vacate",H162*D162*(1+GrowthMarketRent)^3*IF(INT((DATE(2026+3,10,31)-F162)/365.25)=0,(12-DowntimeNew)/12,1),IF(I162="Option",G162*D162*1.025*(1+EscalatorInLease)^3,IF(I162="Market",Retention*G162*D162*(1+EscalatorInLease)^(3+M162)+(1-Retention)*H162*D162*(1+GrowthMarketRent)^3*IF(INT((DATE(2026+3,10,31)-F162)/365.25)=0,(12-DowntimeNew)/12,1),IF(I162="LeaseUp",H162*D162*(1+GrowthMarketRent)^3*IF(3=0,(12-DowntimeNew)/12,1),0)))))))),0)</f>
        <v/>
      </c>
      <c r="R162" s="14">
        <f>IFERROR(IF(I162="LeaseUp",H162*D162*(1+GrowthMarketRent)^4*IF(4=0,(12-DowntimeNew)/12,1),IF(F162="",0,IF(F162&gt;=DATE(2027+4,4,30),G162*D162*(1+EscalatorInLease)^(4+M162),IF(F162&lt;DATE(2026+4,5,1),IF(I162="Vacate",H162*D162*(1+GrowthMarketRent)^4*IF(INT((DATE(2026+4,10,31)-F162)/365.25)=0,(12-DowntimeNew)/12,1),IF(I162="Option",G162*D162*1.025*(1+EscalatorInLease)^4,IF(I162="Market",Retention*G162*D162*(1+EscalatorInLease)^(4+M162)+(1-Retention)*H162*D162*(1+GrowthMarketRent)^4*IF(INT((DATE(2026+4,10,31)-F162)/365.25)=0,(12-DowntimeNew)/12,1),IF(I162="LeaseUp",H162*D162*(1+GrowthMarketRent)^4*IF(4=0,(12-DowntimeNew)/12,1),0)))),((F162-DATE(2026+4,5,1))/365.25)*G162*D162*(1+EscalatorInLease)^(4+M162)+((DATE(2027+4,4,30)-F162)/365.25)*IF(I162="Vacate",H162*D162*(1+GrowthMarketRent)^4*IF(INT((DATE(2026+4,10,31)-F162)/365.25)=0,(12-DowntimeNew)/12,1),IF(I162="Option",G162*D162*1.025*(1+EscalatorInLease)^4,IF(I162="Market",Retention*G162*D162*(1+EscalatorInLease)^(4+M162)+(1-Retention)*H162*D162*(1+GrowthMarketRent)^4*IF(INT((DATE(2026+4,10,31)-F162)/365.25)=0,(12-DowntimeNew)/12,1),IF(I162="LeaseUp",H162*D162*(1+GrowthMarketRent)^4*IF(4=0,(12-DowntimeNew)/12,1),0)))))))),0)</f>
        <v/>
      </c>
      <c r="S162" s="14">
        <f>IFERROR(IF(I162="LeaseUp",H162*D162*(1+GrowthMarketRent)^5*IF(5=0,(12-DowntimeNew)/12,1),IF(F162="",0,IF(F162&gt;=DATE(2027+5,4,30),G162*D162*(1+EscalatorInLease)^(5+M162),IF(F162&lt;DATE(2026+5,5,1),IF(I162="Vacate",H162*D162*(1+GrowthMarketRent)^5*IF(INT((DATE(2026+5,10,31)-F162)/365.25)=0,(12-DowntimeNew)/12,1),IF(I162="Option",G162*D162*1.025*(1+EscalatorInLease)^5,IF(I162="Market",Retention*G162*D162*(1+EscalatorInLease)^(5+M162)+(1-Retention)*H162*D162*(1+GrowthMarketRent)^5*IF(INT((DATE(2026+5,10,31)-F162)/365.25)=0,(12-DowntimeNew)/12,1),IF(I162="LeaseUp",H162*D162*(1+GrowthMarketRent)^5*IF(5=0,(12-DowntimeNew)/12,1),0)))),((F162-DATE(2026+5,5,1))/365.25)*G162*D162*(1+EscalatorInLease)^(5+M162)+((DATE(2027+5,4,30)-F162)/365.25)*IF(I162="Vacate",H162*D162*(1+GrowthMarketRent)^5*IF(INT((DATE(2026+5,10,31)-F162)/365.25)=0,(12-DowntimeNew)/12,1),IF(I162="Option",G162*D162*1.025*(1+EscalatorInLease)^5,IF(I162="Market",Retention*G162*D162*(1+EscalatorInLease)^(5+M162)+(1-Retention)*H162*D162*(1+GrowthMarketRent)^5*IF(INT((DATE(2026+5,10,31)-F162)/365.25)=0,(12-DowntimeNew)/12,1),IF(I162="LeaseUp",H162*D162*(1+GrowthMarketRent)^5*IF(5=0,(12-DowntimeNew)/12,1),0)))))))),0)</f>
        <v/>
      </c>
      <c r="T162" s="14">
        <f>IFERROR(IF(I162="LeaseUp",H162*D162*(1+GrowthMarketRent)^6*IF(6=0,(12-DowntimeNew)/12,1),IF(F162="",0,IF(F162&gt;=DATE(2027+6,4,30),G162*D162*(1+EscalatorInLease)^(6+M162),IF(F162&lt;DATE(2026+6,5,1),IF(I162="Vacate",H162*D162*(1+GrowthMarketRent)^6*IF(INT((DATE(2026+6,10,31)-F162)/365.25)=0,(12-DowntimeNew)/12,1),IF(I162="Option",G162*D162*1.025*(1+EscalatorInLease)^6,IF(I162="Market",Retention*G162*D162*(1+EscalatorInLease)^(6+M162)+(1-Retention)*H162*D162*(1+GrowthMarketRent)^6*IF(INT((DATE(2026+6,10,31)-F162)/365.25)=0,(12-DowntimeNew)/12,1),IF(I162="LeaseUp",H162*D162*(1+GrowthMarketRent)^6*IF(6=0,(12-DowntimeNew)/12,1),0)))),((F162-DATE(2026+6,5,1))/365.25)*G162*D162*(1+EscalatorInLease)^(6+M162)+((DATE(2027+6,4,30)-F162)/365.25)*IF(I162="Vacate",H162*D162*(1+GrowthMarketRent)^6*IF(INT((DATE(2026+6,10,31)-F162)/365.25)=0,(12-DowntimeNew)/12,1),IF(I162="Option",G162*D162*1.025*(1+EscalatorInLease)^6,IF(I162="Market",Retention*G162*D162*(1+EscalatorInLease)^(6+M162)+(1-Retention)*H162*D162*(1+GrowthMarketRent)^6*IF(INT((DATE(2026+6,10,31)-F162)/365.25)=0,(12-DowntimeNew)/12,1),IF(I162="LeaseUp",H162*D162*(1+GrowthMarketRent)^6*IF(6=0,(12-DowntimeNew)/12,1),0)))))))),0)</f>
        <v/>
      </c>
      <c r="U162" s="14">
        <f>IFERROR(IF(I162="LeaseUp",H162*D162*(1+GrowthMarketRent)^7*IF(7=0,(12-DowntimeNew)/12,1),IF(F162="",0,IF(F162&gt;=DATE(2027+7,4,30),G162*D162*(1+EscalatorInLease)^(7+M162),IF(F162&lt;DATE(2026+7,5,1),IF(I162="Vacate",H162*D162*(1+GrowthMarketRent)^7*IF(INT((DATE(2026+7,10,31)-F162)/365.25)=0,(12-DowntimeNew)/12,1),IF(I162="Option",G162*D162*1.025*(1+EscalatorInLease)^7,IF(I162="Market",Retention*G162*D162*(1+EscalatorInLease)^(7+M162)+(1-Retention)*H162*D162*(1+GrowthMarketRent)^7*IF(INT((DATE(2026+7,10,31)-F162)/365.25)=0,(12-DowntimeNew)/12,1),IF(I162="LeaseUp",H162*D162*(1+GrowthMarketRent)^7*IF(7=0,(12-DowntimeNew)/12,1),0)))),((F162-DATE(2026+7,5,1))/365.25)*G162*D162*(1+EscalatorInLease)^(7+M162)+((DATE(2027+7,4,30)-F162)/365.25)*IF(I162="Vacate",H162*D162*(1+GrowthMarketRent)^7*IF(INT((DATE(2026+7,10,31)-F162)/365.25)=0,(12-DowntimeNew)/12,1),IF(I162="Option",G162*D162*1.025*(1+EscalatorInLease)^7,IF(I162="Market",Retention*G162*D162*(1+EscalatorInLease)^(7+M162)+(1-Retention)*H162*D162*(1+GrowthMarketRent)^7*IF(INT((DATE(2026+7,10,31)-F162)/365.25)=0,(12-DowntimeNew)/12,1),IF(I162="LeaseUp",H162*D162*(1+GrowthMarketRent)^7*IF(7=0,(12-DowntimeNew)/12,1),0)))))))),0)</f>
        <v/>
      </c>
      <c r="V162" s="14">
        <f>IFERROR(IF(I162="LeaseUp",H162*D162*(1+GrowthMarketRent)^8*IF(8=0,(12-DowntimeNew)/12,1),IF(F162="",0,IF(F162&gt;=DATE(2027+8,4,30),G162*D162*(1+EscalatorInLease)^(8+M162),IF(F162&lt;DATE(2026+8,5,1),IF(I162="Vacate",H162*D162*(1+GrowthMarketRent)^8*IF(INT((DATE(2026+8,10,31)-F162)/365.25)=0,(12-DowntimeNew)/12,1),IF(I162="Option",G162*D162*1.025*(1+EscalatorInLease)^8,IF(I162="Market",Retention*G162*D162*(1+EscalatorInLease)^(8+M162)+(1-Retention)*H162*D162*(1+GrowthMarketRent)^8*IF(INT((DATE(2026+8,10,31)-F162)/365.25)=0,(12-DowntimeNew)/12,1),IF(I162="LeaseUp",H162*D162*(1+GrowthMarketRent)^8*IF(8=0,(12-DowntimeNew)/12,1),0)))),((F162-DATE(2026+8,5,1))/365.25)*G162*D162*(1+EscalatorInLease)^(8+M162)+((DATE(2027+8,4,30)-F162)/365.25)*IF(I162="Vacate",H162*D162*(1+GrowthMarketRent)^8*IF(INT((DATE(2026+8,10,31)-F162)/365.25)=0,(12-DowntimeNew)/12,1),IF(I162="Option",G162*D162*1.025*(1+EscalatorInLease)^8,IF(I162="Market",Retention*G162*D162*(1+EscalatorInLease)^(8+M162)+(1-Retention)*H162*D162*(1+GrowthMarketRent)^8*IF(INT((DATE(2026+8,10,31)-F162)/365.25)=0,(12-DowntimeNew)/12,1),IF(I162="LeaseUp",H162*D162*(1+GrowthMarketRent)^8*IF(8=0,(12-DowntimeNew)/12,1),0)))))))),0)</f>
        <v/>
      </c>
      <c r="W162" s="14">
        <f>IFERROR(IF(I162="LeaseUp",H162*D162*(1+GrowthMarketRent)^9*IF(9=0,(12-DowntimeNew)/12,1),IF(F162="",0,IF(F162&gt;=DATE(2027+9,4,30),G162*D162*(1+EscalatorInLease)^(9+M162),IF(F162&lt;DATE(2026+9,5,1),IF(I162="Vacate",H162*D162*(1+GrowthMarketRent)^9*IF(INT((DATE(2026+9,10,31)-F162)/365.25)=0,(12-DowntimeNew)/12,1),IF(I162="Option",G162*D162*1.025*(1+EscalatorInLease)^9,IF(I162="Market",Retention*G162*D162*(1+EscalatorInLease)^(9+M162)+(1-Retention)*H162*D162*(1+GrowthMarketRent)^9*IF(INT((DATE(2026+9,10,31)-F162)/365.25)=0,(12-DowntimeNew)/12,1),IF(I162="LeaseUp",H162*D162*(1+GrowthMarketRent)^9*IF(9=0,(12-DowntimeNew)/12,1),0)))),((F162-DATE(2026+9,5,1))/365.25)*G162*D162*(1+EscalatorInLease)^(9+M162)+((DATE(2027+9,4,30)-F162)/365.25)*IF(I162="Vacate",H162*D162*(1+GrowthMarketRent)^9*IF(INT((DATE(2026+9,10,31)-F162)/365.25)=0,(12-DowntimeNew)/12,1),IF(I162="Option",G162*D162*1.025*(1+EscalatorInLease)^9,IF(I162="Market",Retention*G162*D162*(1+EscalatorInLease)^(9+M162)+(1-Retention)*H162*D162*(1+GrowthMarketRent)^9*IF(INT((DATE(2026+9,10,31)-F162)/365.25)=0,(12-DowntimeNew)/12,1),IF(I162="LeaseUp",H162*D162*(1+GrowthMarketRent)^9*IF(9=0,(12-DowntimeNew)/12,1),0)))))))),0)</f>
        <v/>
      </c>
      <c r="X162" s="14">
        <f>IFERROR(IF(I162="LeaseUp",H162*D162*(1+GrowthMarketRent)^10*IF(10=0,(12-DowntimeNew)/12,1),IF(F162="",0,IF(F162&gt;=DATE(2027+10,4,30),G162*D162*(1+EscalatorInLease)^(10+M162),IF(F162&lt;DATE(2026+10,5,1),IF(I162="Vacate",H162*D162*(1+GrowthMarketRent)^10*IF(INT((DATE(2026+10,10,31)-F162)/365.25)=0,(12-DowntimeNew)/12,1),IF(I162="Option",G162*D162*1.025*(1+EscalatorInLease)^10,IF(I162="Market",Retention*G162*D162*(1+EscalatorInLease)^(10+M162)+(1-Retention)*H162*D162*(1+GrowthMarketRent)^10*IF(INT((DATE(2026+10,10,31)-F162)/365.25)=0,(12-DowntimeNew)/12,1),IF(I162="LeaseUp",H162*D162*(1+GrowthMarketRent)^10*IF(10=0,(12-DowntimeNew)/12,1),0)))),((F162-DATE(2026+10,5,1))/365.25)*G162*D162*(1+EscalatorInLease)^(10+M162)+((DATE(2027+10,4,30)-F162)/365.25)*IF(I162="Vacate",H162*D162*(1+GrowthMarketRent)^10*IF(INT((DATE(2026+10,10,31)-F162)/365.25)=0,(12-DowntimeNew)/12,1),IF(I162="Option",G162*D162*1.025*(1+EscalatorInLease)^10,IF(I162="Market",Retention*G162*D162*(1+EscalatorInLease)^(10+M162)+(1-Retention)*H162*D162*(1+GrowthMarketRent)^10*IF(INT((DATE(2026+10,10,31)-F162)/365.25)=0,(12-DowntimeNew)/12,1),IF(I162="LeaseUp",H162*D162*(1+GrowthMarketRent)^10*IF(10=0,(12-DowntimeNew)/12,1),0)))))))),0)</f>
        <v/>
      </c>
      <c r="Y162" s="14">
        <f>IFERROR(IF(AND(I162="LeaseUp",0=0),(IF(I162="Vacate",TINew*D162,IF(I162="Market",Retention*TIRenewal*D162+(1-Retention)*TINew*D162,IF(I162="LeaseUp",TINew*D162,IF(I162="Option",TIRenewal*D162,0)))))+(IF(I162="Vacate",LCNew*H162*D162*(1+GrowthMarketRent)^0,IF(I162="Market",Retention*LCRenewal*H162*D162*(1+GrowthMarketRent)^0+(1-Retention)*LCNew*H162*D162*(1+GrowthMarketRent)^0,IF(I162="LeaseUp",LCNew*H162*D162*(1+GrowthMarketRent)^0,IF(I162="Option",LCRenewal*H162*D162*(1+GrowthMarketRent)^0,0))))),IF(F162="",0,IF(AND(F162&gt;=DATE(2026+0,5,1),F162&lt;=DATE(2027+0,4,30)),(IF(I162="Vacate",TINew*D162,IF(I162="Market",Retention*TIRenewal*D162+(1-Retention)*TINew*D162,IF(I162="LeaseUp",TINew*D162,IF(I162="Option",TIRenewal*D162,0)))))+(IF(I162="Vacate",LCNew*H162*D162*(1+GrowthMarketRent)^0,IF(I162="Market",Retention*LCRenewal*H162*D162*(1+GrowthMarketRent)^0+(1-Retention)*LCNew*H162*D162*(1+GrowthMarketRent)^0,IF(I162="LeaseUp",LCNew*H162*D162*(1+GrowthMarketRent)^0,IF(I162="Option",LCRenewal*H162*D162*(1+GrowthMarketRent)^0,0))))),0))),0)</f>
        <v/>
      </c>
      <c r="Z162" s="14">
        <f>IFERROR(IF(AND(I162="LeaseUp",1=0),(IF(I162="Vacate",TINew*D162,IF(I162="Market",Retention*TIRenewal*D162+(1-Retention)*TINew*D162,IF(I162="LeaseUp",TINew*D162,IF(I162="Option",TIRenewal*D162,0)))))+(IF(I162="Vacate",LCNew*H162*D162*(1+GrowthMarketRent)^1,IF(I162="Market",Retention*LCRenewal*H162*D162*(1+GrowthMarketRent)^1+(1-Retention)*LCNew*H162*D162*(1+GrowthMarketRent)^1,IF(I162="LeaseUp",LCNew*H162*D162*(1+GrowthMarketRent)^1,IF(I162="Option",LCRenewal*H162*D162*(1+GrowthMarketRent)^1,0))))),IF(F162="",0,IF(AND(F162&gt;=DATE(2026+1,5,1),F162&lt;=DATE(2027+1,4,30)),(IF(I162="Vacate",TINew*D162,IF(I162="Market",Retention*TIRenewal*D162+(1-Retention)*TINew*D162,IF(I162="LeaseUp",TINew*D162,IF(I162="Option",TIRenewal*D162,0)))))+(IF(I162="Vacate",LCNew*H162*D162*(1+GrowthMarketRent)^1,IF(I162="Market",Retention*LCRenewal*H162*D162*(1+GrowthMarketRent)^1+(1-Retention)*LCNew*H162*D162*(1+GrowthMarketRent)^1,IF(I162="LeaseUp",LCNew*H162*D162*(1+GrowthMarketRent)^1,IF(I162="Option",LCRenewal*H162*D162*(1+GrowthMarketRent)^1,0))))),0))),0)</f>
        <v/>
      </c>
      <c r="AA162" s="14">
        <f>IFERROR(IF(AND(I162="LeaseUp",2=0),(IF(I162="Vacate",TINew*D162,IF(I162="Market",Retention*TIRenewal*D162+(1-Retention)*TINew*D162,IF(I162="LeaseUp",TINew*D162,IF(I162="Option",TIRenewal*D162,0)))))+(IF(I162="Vacate",LCNew*H162*D162*(1+GrowthMarketRent)^2,IF(I162="Market",Retention*LCRenewal*H162*D162*(1+GrowthMarketRent)^2+(1-Retention)*LCNew*H162*D162*(1+GrowthMarketRent)^2,IF(I162="LeaseUp",LCNew*H162*D162*(1+GrowthMarketRent)^2,IF(I162="Option",LCRenewal*H162*D162*(1+GrowthMarketRent)^2,0))))),IF(F162="",0,IF(AND(F162&gt;=DATE(2026+2,5,1),F162&lt;=DATE(2027+2,4,30)),(IF(I162="Vacate",TINew*D162,IF(I162="Market",Retention*TIRenewal*D162+(1-Retention)*TINew*D162,IF(I162="LeaseUp",TINew*D162,IF(I162="Option",TIRenewal*D162,0)))))+(IF(I162="Vacate",LCNew*H162*D162*(1+GrowthMarketRent)^2,IF(I162="Market",Retention*LCRenewal*H162*D162*(1+GrowthMarketRent)^2+(1-Retention)*LCNew*H162*D162*(1+GrowthMarketRent)^2,IF(I162="LeaseUp",LCNew*H162*D162*(1+GrowthMarketRent)^2,IF(I162="Option",LCRenewal*H162*D162*(1+GrowthMarketRent)^2,0))))),0))),0)</f>
        <v/>
      </c>
      <c r="AB162" s="14">
        <f>IFERROR(IF(AND(I162="LeaseUp",3=0),(IF(I162="Vacate",TINew*D162,IF(I162="Market",Retention*TIRenewal*D162+(1-Retention)*TINew*D162,IF(I162="LeaseUp",TINew*D162,IF(I162="Option",TIRenewal*D162,0)))))+(IF(I162="Vacate",LCNew*H162*D162*(1+GrowthMarketRent)^3,IF(I162="Market",Retention*LCRenewal*H162*D162*(1+GrowthMarketRent)^3+(1-Retention)*LCNew*H162*D162*(1+GrowthMarketRent)^3,IF(I162="LeaseUp",LCNew*H162*D162*(1+GrowthMarketRent)^3,IF(I162="Option",LCRenewal*H162*D162*(1+GrowthMarketRent)^3,0))))),IF(F162="",0,IF(AND(F162&gt;=DATE(2026+3,5,1),F162&lt;=DATE(2027+3,4,30)),(IF(I162="Vacate",TINew*D162,IF(I162="Market",Retention*TIRenewal*D162+(1-Retention)*TINew*D162,IF(I162="LeaseUp",TINew*D162,IF(I162="Option",TIRenewal*D162,0)))))+(IF(I162="Vacate",LCNew*H162*D162*(1+GrowthMarketRent)^3,IF(I162="Market",Retention*LCRenewal*H162*D162*(1+GrowthMarketRent)^3+(1-Retention)*LCNew*H162*D162*(1+GrowthMarketRent)^3,IF(I162="LeaseUp",LCNew*H162*D162*(1+GrowthMarketRent)^3,IF(I162="Option",LCRenewal*H162*D162*(1+GrowthMarketRent)^3,0))))),0))),0)</f>
        <v/>
      </c>
      <c r="AC162" s="14">
        <f>IFERROR(IF(AND(I162="LeaseUp",4=0),(IF(I162="Vacate",TINew*D162,IF(I162="Market",Retention*TIRenewal*D162+(1-Retention)*TINew*D162,IF(I162="LeaseUp",TINew*D162,IF(I162="Option",TIRenewal*D162,0)))))+(IF(I162="Vacate",LCNew*H162*D162*(1+GrowthMarketRent)^4,IF(I162="Market",Retention*LCRenewal*H162*D162*(1+GrowthMarketRent)^4+(1-Retention)*LCNew*H162*D162*(1+GrowthMarketRent)^4,IF(I162="LeaseUp",LCNew*H162*D162*(1+GrowthMarketRent)^4,IF(I162="Option",LCRenewal*H162*D162*(1+GrowthMarketRent)^4,0))))),IF(F162="",0,IF(AND(F162&gt;=DATE(2026+4,5,1),F162&lt;=DATE(2027+4,4,30)),(IF(I162="Vacate",TINew*D162,IF(I162="Market",Retention*TIRenewal*D162+(1-Retention)*TINew*D162,IF(I162="LeaseUp",TINew*D162,IF(I162="Option",TIRenewal*D162,0)))))+(IF(I162="Vacate",LCNew*H162*D162*(1+GrowthMarketRent)^4,IF(I162="Market",Retention*LCRenewal*H162*D162*(1+GrowthMarketRent)^4+(1-Retention)*LCNew*H162*D162*(1+GrowthMarketRent)^4,IF(I162="LeaseUp",LCNew*H162*D162*(1+GrowthMarketRent)^4,IF(I162="Option",LCRenewal*H162*D162*(1+GrowthMarketRent)^4,0))))),0))),0)</f>
        <v/>
      </c>
      <c r="AD162" s="14">
        <f>IFERROR(IF(AND(I162="LeaseUp",5=0),(IF(I162="Vacate",TINew*D162,IF(I162="Market",Retention*TIRenewal*D162+(1-Retention)*TINew*D162,IF(I162="LeaseUp",TINew*D162,IF(I162="Option",TIRenewal*D162,0)))))+(IF(I162="Vacate",LCNew*H162*D162*(1+GrowthMarketRent)^5,IF(I162="Market",Retention*LCRenewal*H162*D162*(1+GrowthMarketRent)^5+(1-Retention)*LCNew*H162*D162*(1+GrowthMarketRent)^5,IF(I162="LeaseUp",LCNew*H162*D162*(1+GrowthMarketRent)^5,IF(I162="Option",LCRenewal*H162*D162*(1+GrowthMarketRent)^5,0))))),IF(F162="",0,IF(AND(F162&gt;=DATE(2026+5,5,1),F162&lt;=DATE(2027+5,4,30)),(IF(I162="Vacate",TINew*D162,IF(I162="Market",Retention*TIRenewal*D162+(1-Retention)*TINew*D162,IF(I162="LeaseUp",TINew*D162,IF(I162="Option",TIRenewal*D162,0)))))+(IF(I162="Vacate",LCNew*H162*D162*(1+GrowthMarketRent)^5,IF(I162="Market",Retention*LCRenewal*H162*D162*(1+GrowthMarketRent)^5+(1-Retention)*LCNew*H162*D162*(1+GrowthMarketRent)^5,IF(I162="LeaseUp",LCNew*H162*D162*(1+GrowthMarketRent)^5,IF(I162="Option",LCRenewal*H162*D162*(1+GrowthMarketRent)^5,0))))),0))),0)</f>
        <v/>
      </c>
      <c r="AE162" s="14">
        <f>IFERROR(IF(AND(I162="LeaseUp",6=0),(IF(I162="Vacate",TINew*D162,IF(I162="Market",Retention*TIRenewal*D162+(1-Retention)*TINew*D162,IF(I162="LeaseUp",TINew*D162,IF(I162="Option",TIRenewal*D162,0)))))+(IF(I162="Vacate",LCNew*H162*D162*(1+GrowthMarketRent)^6,IF(I162="Market",Retention*LCRenewal*H162*D162*(1+GrowthMarketRent)^6+(1-Retention)*LCNew*H162*D162*(1+GrowthMarketRent)^6,IF(I162="LeaseUp",LCNew*H162*D162*(1+GrowthMarketRent)^6,IF(I162="Option",LCRenewal*H162*D162*(1+GrowthMarketRent)^6,0))))),IF(F162="",0,IF(AND(F162&gt;=DATE(2026+6,5,1),F162&lt;=DATE(2027+6,4,30)),(IF(I162="Vacate",TINew*D162,IF(I162="Market",Retention*TIRenewal*D162+(1-Retention)*TINew*D162,IF(I162="LeaseUp",TINew*D162,IF(I162="Option",TIRenewal*D162,0)))))+(IF(I162="Vacate",LCNew*H162*D162*(1+GrowthMarketRent)^6,IF(I162="Market",Retention*LCRenewal*H162*D162*(1+GrowthMarketRent)^6+(1-Retention)*LCNew*H162*D162*(1+GrowthMarketRent)^6,IF(I162="LeaseUp",LCNew*H162*D162*(1+GrowthMarketRent)^6,IF(I162="Option",LCRenewal*H162*D162*(1+GrowthMarketRent)^6,0))))),0))),0)</f>
        <v/>
      </c>
      <c r="AF162" s="14">
        <f>IFERROR(IF(AND(I162="LeaseUp",7=0),(IF(I162="Vacate",TINew*D162,IF(I162="Market",Retention*TIRenewal*D162+(1-Retention)*TINew*D162,IF(I162="LeaseUp",TINew*D162,IF(I162="Option",TIRenewal*D162,0)))))+(IF(I162="Vacate",LCNew*H162*D162*(1+GrowthMarketRent)^7,IF(I162="Market",Retention*LCRenewal*H162*D162*(1+GrowthMarketRent)^7+(1-Retention)*LCNew*H162*D162*(1+GrowthMarketRent)^7,IF(I162="LeaseUp",LCNew*H162*D162*(1+GrowthMarketRent)^7,IF(I162="Option",LCRenewal*H162*D162*(1+GrowthMarketRent)^7,0))))),IF(F162="",0,IF(AND(F162&gt;=DATE(2026+7,5,1),F162&lt;=DATE(2027+7,4,30)),(IF(I162="Vacate",TINew*D162,IF(I162="Market",Retention*TIRenewal*D162+(1-Retention)*TINew*D162,IF(I162="LeaseUp",TINew*D162,IF(I162="Option",TIRenewal*D162,0)))))+(IF(I162="Vacate",LCNew*H162*D162*(1+GrowthMarketRent)^7,IF(I162="Market",Retention*LCRenewal*H162*D162*(1+GrowthMarketRent)^7+(1-Retention)*LCNew*H162*D162*(1+GrowthMarketRent)^7,IF(I162="LeaseUp",LCNew*H162*D162*(1+GrowthMarketRent)^7,IF(I162="Option",LCRenewal*H162*D162*(1+GrowthMarketRent)^7,0))))),0))),0)</f>
        <v/>
      </c>
      <c r="AG162" s="14">
        <f>IFERROR(IF(AND(I162="LeaseUp",8=0),(IF(I162="Vacate",TINew*D162,IF(I162="Market",Retention*TIRenewal*D162+(1-Retention)*TINew*D162,IF(I162="LeaseUp",TINew*D162,IF(I162="Option",TIRenewal*D162,0)))))+(IF(I162="Vacate",LCNew*H162*D162*(1+GrowthMarketRent)^8,IF(I162="Market",Retention*LCRenewal*H162*D162*(1+GrowthMarketRent)^8+(1-Retention)*LCNew*H162*D162*(1+GrowthMarketRent)^8,IF(I162="LeaseUp",LCNew*H162*D162*(1+GrowthMarketRent)^8,IF(I162="Option",LCRenewal*H162*D162*(1+GrowthMarketRent)^8,0))))),IF(F162="",0,IF(AND(F162&gt;=DATE(2026+8,5,1),F162&lt;=DATE(2027+8,4,30)),(IF(I162="Vacate",TINew*D162,IF(I162="Market",Retention*TIRenewal*D162+(1-Retention)*TINew*D162,IF(I162="LeaseUp",TINew*D162,IF(I162="Option",TIRenewal*D162,0)))))+(IF(I162="Vacate",LCNew*H162*D162*(1+GrowthMarketRent)^8,IF(I162="Market",Retention*LCRenewal*H162*D162*(1+GrowthMarketRent)^8+(1-Retention)*LCNew*H162*D162*(1+GrowthMarketRent)^8,IF(I162="LeaseUp",LCNew*H162*D162*(1+GrowthMarketRent)^8,IF(I162="Option",LCRenewal*H162*D162*(1+GrowthMarketRent)^8,0))))),0))),0)</f>
        <v/>
      </c>
      <c r="AH162" s="14">
        <f>IFERROR(IF(AND(I162="LeaseUp",9=0),(IF(I162="Vacate",TINew*D162,IF(I162="Market",Retention*TIRenewal*D162+(1-Retention)*TINew*D162,IF(I162="LeaseUp",TINew*D162,IF(I162="Option",TIRenewal*D162,0)))))+(IF(I162="Vacate",LCNew*H162*D162*(1+GrowthMarketRent)^9,IF(I162="Market",Retention*LCRenewal*H162*D162*(1+GrowthMarketRent)^9+(1-Retention)*LCNew*H162*D162*(1+GrowthMarketRent)^9,IF(I162="LeaseUp",LCNew*H162*D162*(1+GrowthMarketRent)^9,IF(I162="Option",LCRenewal*H162*D162*(1+GrowthMarketRent)^9,0))))),IF(F162="",0,IF(AND(F162&gt;=DATE(2026+9,5,1),F162&lt;=DATE(2027+9,4,30)),(IF(I162="Vacate",TINew*D162,IF(I162="Market",Retention*TIRenewal*D162+(1-Retention)*TINew*D162,IF(I162="LeaseUp",TINew*D162,IF(I162="Option",TIRenewal*D162,0)))))+(IF(I162="Vacate",LCNew*H162*D162*(1+GrowthMarketRent)^9,IF(I162="Market",Retention*LCRenewal*H162*D162*(1+GrowthMarketRent)^9+(1-Retention)*LCNew*H162*D162*(1+GrowthMarketRent)^9,IF(I162="LeaseUp",LCNew*H162*D162*(1+GrowthMarketRent)^9,IF(I162="Option",LCRenewal*H162*D162*(1+GrowthMarketRent)^9,0))))),0))),0)</f>
        <v/>
      </c>
      <c r="AI162" s="14">
        <f>IFERROR(IF(AND(I162="LeaseUp",10=0),(IF(I162="Vacate",TINew*D162,IF(I162="Market",Retention*TIRenewal*D162+(1-Retention)*TINew*D162,IF(I162="LeaseUp",TINew*D162,IF(I162="Option",TIRenewal*D162,0)))))+(IF(I162="Vacate",LCNew*H162*D162*(1+GrowthMarketRent)^10,IF(I162="Market",Retention*LCRenewal*H162*D162*(1+GrowthMarketRent)^10+(1-Retention)*LCNew*H162*D162*(1+GrowthMarketRent)^10,IF(I162="LeaseUp",LCNew*H162*D162*(1+GrowthMarketRent)^10,IF(I162="Option",LCRenewal*H162*D162*(1+GrowthMarketRent)^10,0))))),IF(F162="",0,IF(AND(F162&gt;=DATE(2026+10,5,1),F162&lt;=DATE(2027+10,4,30)),(IF(I162="Vacate",TINew*D162,IF(I162="Market",Retention*TIRenewal*D162+(1-Retention)*TINew*D162,IF(I162="LeaseUp",TINew*D162,IF(I162="Option",TIRenewal*D162,0)))))+(IF(I162="Vacate",LCNew*H162*D162*(1+GrowthMarketRent)^10,IF(I162="Market",Retention*LCRenewal*H162*D162*(1+GrowthMarketRent)^10+(1-Retention)*LCNew*H162*D162*(1+GrowthMarketRent)^10,IF(I162="LeaseUp",LCNew*H162*D162*(1+GrowthMarketRent)^10,IF(I162="Option",LCRenewal*H162*D162*(1+GrowthMarketRent)^10,0))))),0))),0)</f>
        <v/>
      </c>
    </row>
    <row r="163">
      <c r="A163" t="inlineStr">
        <is>
          <t>Plano</t>
        </is>
      </c>
      <c r="B163" t="inlineStr">
        <is>
          <t>304</t>
        </is>
      </c>
      <c r="C163" t="inlineStr">
        <is>
          <t>High Point Access LLC</t>
        </is>
      </c>
      <c r="D163" s="32" t="n">
        <v>2600</v>
      </c>
      <c r="E163" s="33" t="n">
        <v>44958</v>
      </c>
      <c r="F163" s="33" t="n">
        <v>46204</v>
      </c>
      <c r="G163" s="34" t="n">
        <v>15.0765384615385</v>
      </c>
      <c r="H163" s="16">
        <f>VLOOKUP(A163,MLA!$A$5:$L$11,3,FALSE)</f>
        <v/>
      </c>
      <c r="I163" s="11" t="inlineStr">
        <is>
          <t>Option</t>
        </is>
      </c>
      <c r="J163" t="inlineStr">
        <is>
          <t>Shop</t>
        </is>
      </c>
      <c r="K163" t="inlineStr">
        <is>
          <t>Occupied</t>
        </is>
      </c>
      <c r="L163" t="inlineStr">
        <is>
          <t>Shop; Guarantor: Matt Tehrani; Two 3yr options @ 102.5%</t>
        </is>
      </c>
      <c r="M163" s="20">
        <f>IF(E163="",0,(AnalysisStart-E163)/365.25)</f>
        <v/>
      </c>
      <c r="N163" s="14">
        <f>IFERROR(IF(I163="LeaseUp",H163*D163*(1+GrowthMarketRent)^0*IF(0=0,(12-DowntimeNew)/12,1),IF(F163="",0,IF(F163&gt;=DATE(2027+0,4,30),G163*D163*(1+EscalatorInLease)^(0+M163),IF(F163&lt;DATE(2026+0,5,1),IF(I163="Vacate",H163*D163*(1+GrowthMarketRent)^0*IF(INT((DATE(2026+0,10,31)-F163)/365.25)=0,(12-DowntimeNew)/12,1),IF(I163="Option",G163*D163*1.025*(1+EscalatorInLease)^0,IF(I163="Market",Retention*G163*D163*(1+EscalatorInLease)^(0+M163)+(1-Retention)*H163*D163*(1+GrowthMarketRent)^0*IF(INT((DATE(2026+0,10,31)-F163)/365.25)=0,(12-DowntimeNew)/12,1),IF(I163="LeaseUp",H163*D163*(1+GrowthMarketRent)^0*IF(0=0,(12-DowntimeNew)/12,1),0)))),((F163-DATE(2026+0,5,1))/365.25)*G163*D163*(1+EscalatorInLease)^(0+M163)+((DATE(2027+0,4,30)-F163)/365.25)*IF(I163="Vacate",H163*D163*(1+GrowthMarketRent)^0*IF(INT((DATE(2026+0,10,31)-F163)/365.25)=0,(12-DowntimeNew)/12,1),IF(I163="Option",G163*D163*1.025*(1+EscalatorInLease)^0,IF(I163="Market",Retention*G163*D163*(1+EscalatorInLease)^(0+M163)+(1-Retention)*H163*D163*(1+GrowthMarketRent)^0*IF(INT((DATE(2026+0,10,31)-F163)/365.25)=0,(12-DowntimeNew)/12,1),IF(I163="LeaseUp",H163*D163*(1+GrowthMarketRent)^0*IF(0=0,(12-DowntimeNew)/12,1),0)))))))),0)</f>
        <v/>
      </c>
      <c r="O163" s="14">
        <f>IFERROR(IF(I163="LeaseUp",H163*D163*(1+GrowthMarketRent)^1*IF(1=0,(12-DowntimeNew)/12,1),IF(F163="",0,IF(F163&gt;=DATE(2027+1,4,30),G163*D163*(1+EscalatorInLease)^(1+M163),IF(F163&lt;DATE(2026+1,5,1),IF(I163="Vacate",H163*D163*(1+GrowthMarketRent)^1*IF(INT((DATE(2026+1,10,31)-F163)/365.25)=0,(12-DowntimeNew)/12,1),IF(I163="Option",G163*D163*1.025*(1+EscalatorInLease)^1,IF(I163="Market",Retention*G163*D163*(1+EscalatorInLease)^(1+M163)+(1-Retention)*H163*D163*(1+GrowthMarketRent)^1*IF(INT((DATE(2026+1,10,31)-F163)/365.25)=0,(12-DowntimeNew)/12,1),IF(I163="LeaseUp",H163*D163*(1+GrowthMarketRent)^1*IF(1=0,(12-DowntimeNew)/12,1),0)))),((F163-DATE(2026+1,5,1))/365.25)*G163*D163*(1+EscalatorInLease)^(1+M163)+((DATE(2027+1,4,30)-F163)/365.25)*IF(I163="Vacate",H163*D163*(1+GrowthMarketRent)^1*IF(INT((DATE(2026+1,10,31)-F163)/365.25)=0,(12-DowntimeNew)/12,1),IF(I163="Option",G163*D163*1.025*(1+EscalatorInLease)^1,IF(I163="Market",Retention*G163*D163*(1+EscalatorInLease)^(1+M163)+(1-Retention)*H163*D163*(1+GrowthMarketRent)^1*IF(INT((DATE(2026+1,10,31)-F163)/365.25)=0,(12-DowntimeNew)/12,1),IF(I163="LeaseUp",H163*D163*(1+GrowthMarketRent)^1*IF(1=0,(12-DowntimeNew)/12,1),0)))))))),0)</f>
        <v/>
      </c>
      <c r="P163" s="14">
        <f>IFERROR(IF(I163="LeaseUp",H163*D163*(1+GrowthMarketRent)^2*IF(2=0,(12-DowntimeNew)/12,1),IF(F163="",0,IF(F163&gt;=DATE(2027+2,4,30),G163*D163*(1+EscalatorInLease)^(2+M163),IF(F163&lt;DATE(2026+2,5,1),IF(I163="Vacate",H163*D163*(1+GrowthMarketRent)^2*IF(INT((DATE(2026+2,10,31)-F163)/365.25)=0,(12-DowntimeNew)/12,1),IF(I163="Option",G163*D163*1.025*(1+EscalatorInLease)^2,IF(I163="Market",Retention*G163*D163*(1+EscalatorInLease)^(2+M163)+(1-Retention)*H163*D163*(1+GrowthMarketRent)^2*IF(INT((DATE(2026+2,10,31)-F163)/365.25)=0,(12-DowntimeNew)/12,1),IF(I163="LeaseUp",H163*D163*(1+GrowthMarketRent)^2*IF(2=0,(12-DowntimeNew)/12,1),0)))),((F163-DATE(2026+2,5,1))/365.25)*G163*D163*(1+EscalatorInLease)^(2+M163)+((DATE(2027+2,4,30)-F163)/365.25)*IF(I163="Vacate",H163*D163*(1+GrowthMarketRent)^2*IF(INT((DATE(2026+2,10,31)-F163)/365.25)=0,(12-DowntimeNew)/12,1),IF(I163="Option",G163*D163*1.025*(1+EscalatorInLease)^2,IF(I163="Market",Retention*G163*D163*(1+EscalatorInLease)^(2+M163)+(1-Retention)*H163*D163*(1+GrowthMarketRent)^2*IF(INT((DATE(2026+2,10,31)-F163)/365.25)=0,(12-DowntimeNew)/12,1),IF(I163="LeaseUp",H163*D163*(1+GrowthMarketRent)^2*IF(2=0,(12-DowntimeNew)/12,1),0)))))))),0)</f>
        <v/>
      </c>
      <c r="Q163" s="14">
        <f>IFERROR(IF(I163="LeaseUp",H163*D163*(1+GrowthMarketRent)^3*IF(3=0,(12-DowntimeNew)/12,1),IF(F163="",0,IF(F163&gt;=DATE(2027+3,4,30),G163*D163*(1+EscalatorInLease)^(3+M163),IF(F163&lt;DATE(2026+3,5,1),IF(I163="Vacate",H163*D163*(1+GrowthMarketRent)^3*IF(INT((DATE(2026+3,10,31)-F163)/365.25)=0,(12-DowntimeNew)/12,1),IF(I163="Option",G163*D163*1.025*(1+EscalatorInLease)^3,IF(I163="Market",Retention*G163*D163*(1+EscalatorInLease)^(3+M163)+(1-Retention)*H163*D163*(1+GrowthMarketRent)^3*IF(INT((DATE(2026+3,10,31)-F163)/365.25)=0,(12-DowntimeNew)/12,1),IF(I163="LeaseUp",H163*D163*(1+GrowthMarketRent)^3*IF(3=0,(12-DowntimeNew)/12,1),0)))),((F163-DATE(2026+3,5,1))/365.25)*G163*D163*(1+EscalatorInLease)^(3+M163)+((DATE(2027+3,4,30)-F163)/365.25)*IF(I163="Vacate",H163*D163*(1+GrowthMarketRent)^3*IF(INT((DATE(2026+3,10,31)-F163)/365.25)=0,(12-DowntimeNew)/12,1),IF(I163="Option",G163*D163*1.025*(1+EscalatorInLease)^3,IF(I163="Market",Retention*G163*D163*(1+EscalatorInLease)^(3+M163)+(1-Retention)*H163*D163*(1+GrowthMarketRent)^3*IF(INT((DATE(2026+3,10,31)-F163)/365.25)=0,(12-DowntimeNew)/12,1),IF(I163="LeaseUp",H163*D163*(1+GrowthMarketRent)^3*IF(3=0,(12-DowntimeNew)/12,1),0)))))))),0)</f>
        <v/>
      </c>
      <c r="R163" s="14">
        <f>IFERROR(IF(I163="LeaseUp",H163*D163*(1+GrowthMarketRent)^4*IF(4=0,(12-DowntimeNew)/12,1),IF(F163="",0,IF(F163&gt;=DATE(2027+4,4,30),G163*D163*(1+EscalatorInLease)^(4+M163),IF(F163&lt;DATE(2026+4,5,1),IF(I163="Vacate",H163*D163*(1+GrowthMarketRent)^4*IF(INT((DATE(2026+4,10,31)-F163)/365.25)=0,(12-DowntimeNew)/12,1),IF(I163="Option",G163*D163*1.025*(1+EscalatorInLease)^4,IF(I163="Market",Retention*G163*D163*(1+EscalatorInLease)^(4+M163)+(1-Retention)*H163*D163*(1+GrowthMarketRent)^4*IF(INT((DATE(2026+4,10,31)-F163)/365.25)=0,(12-DowntimeNew)/12,1),IF(I163="LeaseUp",H163*D163*(1+GrowthMarketRent)^4*IF(4=0,(12-DowntimeNew)/12,1),0)))),((F163-DATE(2026+4,5,1))/365.25)*G163*D163*(1+EscalatorInLease)^(4+M163)+((DATE(2027+4,4,30)-F163)/365.25)*IF(I163="Vacate",H163*D163*(1+GrowthMarketRent)^4*IF(INT((DATE(2026+4,10,31)-F163)/365.25)=0,(12-DowntimeNew)/12,1),IF(I163="Option",G163*D163*1.025*(1+EscalatorInLease)^4,IF(I163="Market",Retention*G163*D163*(1+EscalatorInLease)^(4+M163)+(1-Retention)*H163*D163*(1+GrowthMarketRent)^4*IF(INT((DATE(2026+4,10,31)-F163)/365.25)=0,(12-DowntimeNew)/12,1),IF(I163="LeaseUp",H163*D163*(1+GrowthMarketRent)^4*IF(4=0,(12-DowntimeNew)/12,1),0)))))))),0)</f>
        <v/>
      </c>
      <c r="S163" s="14">
        <f>IFERROR(IF(I163="LeaseUp",H163*D163*(1+GrowthMarketRent)^5*IF(5=0,(12-DowntimeNew)/12,1),IF(F163="",0,IF(F163&gt;=DATE(2027+5,4,30),G163*D163*(1+EscalatorInLease)^(5+M163),IF(F163&lt;DATE(2026+5,5,1),IF(I163="Vacate",H163*D163*(1+GrowthMarketRent)^5*IF(INT((DATE(2026+5,10,31)-F163)/365.25)=0,(12-DowntimeNew)/12,1),IF(I163="Option",G163*D163*1.025*(1+EscalatorInLease)^5,IF(I163="Market",Retention*G163*D163*(1+EscalatorInLease)^(5+M163)+(1-Retention)*H163*D163*(1+GrowthMarketRent)^5*IF(INT((DATE(2026+5,10,31)-F163)/365.25)=0,(12-DowntimeNew)/12,1),IF(I163="LeaseUp",H163*D163*(1+GrowthMarketRent)^5*IF(5=0,(12-DowntimeNew)/12,1),0)))),((F163-DATE(2026+5,5,1))/365.25)*G163*D163*(1+EscalatorInLease)^(5+M163)+((DATE(2027+5,4,30)-F163)/365.25)*IF(I163="Vacate",H163*D163*(1+GrowthMarketRent)^5*IF(INT((DATE(2026+5,10,31)-F163)/365.25)=0,(12-DowntimeNew)/12,1),IF(I163="Option",G163*D163*1.025*(1+EscalatorInLease)^5,IF(I163="Market",Retention*G163*D163*(1+EscalatorInLease)^(5+M163)+(1-Retention)*H163*D163*(1+GrowthMarketRent)^5*IF(INT((DATE(2026+5,10,31)-F163)/365.25)=0,(12-DowntimeNew)/12,1),IF(I163="LeaseUp",H163*D163*(1+GrowthMarketRent)^5*IF(5=0,(12-DowntimeNew)/12,1),0)))))))),0)</f>
        <v/>
      </c>
      <c r="T163" s="14">
        <f>IFERROR(IF(I163="LeaseUp",H163*D163*(1+GrowthMarketRent)^6*IF(6=0,(12-DowntimeNew)/12,1),IF(F163="",0,IF(F163&gt;=DATE(2027+6,4,30),G163*D163*(1+EscalatorInLease)^(6+M163),IF(F163&lt;DATE(2026+6,5,1),IF(I163="Vacate",H163*D163*(1+GrowthMarketRent)^6*IF(INT((DATE(2026+6,10,31)-F163)/365.25)=0,(12-DowntimeNew)/12,1),IF(I163="Option",G163*D163*1.025*(1+EscalatorInLease)^6,IF(I163="Market",Retention*G163*D163*(1+EscalatorInLease)^(6+M163)+(1-Retention)*H163*D163*(1+GrowthMarketRent)^6*IF(INT((DATE(2026+6,10,31)-F163)/365.25)=0,(12-DowntimeNew)/12,1),IF(I163="LeaseUp",H163*D163*(1+GrowthMarketRent)^6*IF(6=0,(12-DowntimeNew)/12,1),0)))),((F163-DATE(2026+6,5,1))/365.25)*G163*D163*(1+EscalatorInLease)^(6+M163)+((DATE(2027+6,4,30)-F163)/365.25)*IF(I163="Vacate",H163*D163*(1+GrowthMarketRent)^6*IF(INT((DATE(2026+6,10,31)-F163)/365.25)=0,(12-DowntimeNew)/12,1),IF(I163="Option",G163*D163*1.025*(1+EscalatorInLease)^6,IF(I163="Market",Retention*G163*D163*(1+EscalatorInLease)^(6+M163)+(1-Retention)*H163*D163*(1+GrowthMarketRent)^6*IF(INT((DATE(2026+6,10,31)-F163)/365.25)=0,(12-DowntimeNew)/12,1),IF(I163="LeaseUp",H163*D163*(1+GrowthMarketRent)^6*IF(6=0,(12-DowntimeNew)/12,1),0)))))))),0)</f>
        <v/>
      </c>
      <c r="U163" s="14">
        <f>IFERROR(IF(I163="LeaseUp",H163*D163*(1+GrowthMarketRent)^7*IF(7=0,(12-DowntimeNew)/12,1),IF(F163="",0,IF(F163&gt;=DATE(2027+7,4,30),G163*D163*(1+EscalatorInLease)^(7+M163),IF(F163&lt;DATE(2026+7,5,1),IF(I163="Vacate",H163*D163*(1+GrowthMarketRent)^7*IF(INT((DATE(2026+7,10,31)-F163)/365.25)=0,(12-DowntimeNew)/12,1),IF(I163="Option",G163*D163*1.025*(1+EscalatorInLease)^7,IF(I163="Market",Retention*G163*D163*(1+EscalatorInLease)^(7+M163)+(1-Retention)*H163*D163*(1+GrowthMarketRent)^7*IF(INT((DATE(2026+7,10,31)-F163)/365.25)=0,(12-DowntimeNew)/12,1),IF(I163="LeaseUp",H163*D163*(1+GrowthMarketRent)^7*IF(7=0,(12-DowntimeNew)/12,1),0)))),((F163-DATE(2026+7,5,1))/365.25)*G163*D163*(1+EscalatorInLease)^(7+M163)+((DATE(2027+7,4,30)-F163)/365.25)*IF(I163="Vacate",H163*D163*(1+GrowthMarketRent)^7*IF(INT((DATE(2026+7,10,31)-F163)/365.25)=0,(12-DowntimeNew)/12,1),IF(I163="Option",G163*D163*1.025*(1+EscalatorInLease)^7,IF(I163="Market",Retention*G163*D163*(1+EscalatorInLease)^(7+M163)+(1-Retention)*H163*D163*(1+GrowthMarketRent)^7*IF(INT((DATE(2026+7,10,31)-F163)/365.25)=0,(12-DowntimeNew)/12,1),IF(I163="LeaseUp",H163*D163*(1+GrowthMarketRent)^7*IF(7=0,(12-DowntimeNew)/12,1),0)))))))),0)</f>
        <v/>
      </c>
      <c r="V163" s="14">
        <f>IFERROR(IF(I163="LeaseUp",H163*D163*(1+GrowthMarketRent)^8*IF(8=0,(12-DowntimeNew)/12,1),IF(F163="",0,IF(F163&gt;=DATE(2027+8,4,30),G163*D163*(1+EscalatorInLease)^(8+M163),IF(F163&lt;DATE(2026+8,5,1),IF(I163="Vacate",H163*D163*(1+GrowthMarketRent)^8*IF(INT((DATE(2026+8,10,31)-F163)/365.25)=0,(12-DowntimeNew)/12,1),IF(I163="Option",G163*D163*1.025*(1+EscalatorInLease)^8,IF(I163="Market",Retention*G163*D163*(1+EscalatorInLease)^(8+M163)+(1-Retention)*H163*D163*(1+GrowthMarketRent)^8*IF(INT((DATE(2026+8,10,31)-F163)/365.25)=0,(12-DowntimeNew)/12,1),IF(I163="LeaseUp",H163*D163*(1+GrowthMarketRent)^8*IF(8=0,(12-DowntimeNew)/12,1),0)))),((F163-DATE(2026+8,5,1))/365.25)*G163*D163*(1+EscalatorInLease)^(8+M163)+((DATE(2027+8,4,30)-F163)/365.25)*IF(I163="Vacate",H163*D163*(1+GrowthMarketRent)^8*IF(INT((DATE(2026+8,10,31)-F163)/365.25)=0,(12-DowntimeNew)/12,1),IF(I163="Option",G163*D163*1.025*(1+EscalatorInLease)^8,IF(I163="Market",Retention*G163*D163*(1+EscalatorInLease)^(8+M163)+(1-Retention)*H163*D163*(1+GrowthMarketRent)^8*IF(INT((DATE(2026+8,10,31)-F163)/365.25)=0,(12-DowntimeNew)/12,1),IF(I163="LeaseUp",H163*D163*(1+GrowthMarketRent)^8*IF(8=0,(12-DowntimeNew)/12,1),0)))))))),0)</f>
        <v/>
      </c>
      <c r="W163" s="14">
        <f>IFERROR(IF(I163="LeaseUp",H163*D163*(1+GrowthMarketRent)^9*IF(9=0,(12-DowntimeNew)/12,1),IF(F163="",0,IF(F163&gt;=DATE(2027+9,4,30),G163*D163*(1+EscalatorInLease)^(9+M163),IF(F163&lt;DATE(2026+9,5,1),IF(I163="Vacate",H163*D163*(1+GrowthMarketRent)^9*IF(INT((DATE(2026+9,10,31)-F163)/365.25)=0,(12-DowntimeNew)/12,1),IF(I163="Option",G163*D163*1.025*(1+EscalatorInLease)^9,IF(I163="Market",Retention*G163*D163*(1+EscalatorInLease)^(9+M163)+(1-Retention)*H163*D163*(1+GrowthMarketRent)^9*IF(INT((DATE(2026+9,10,31)-F163)/365.25)=0,(12-DowntimeNew)/12,1),IF(I163="LeaseUp",H163*D163*(1+GrowthMarketRent)^9*IF(9=0,(12-DowntimeNew)/12,1),0)))),((F163-DATE(2026+9,5,1))/365.25)*G163*D163*(1+EscalatorInLease)^(9+M163)+((DATE(2027+9,4,30)-F163)/365.25)*IF(I163="Vacate",H163*D163*(1+GrowthMarketRent)^9*IF(INT((DATE(2026+9,10,31)-F163)/365.25)=0,(12-DowntimeNew)/12,1),IF(I163="Option",G163*D163*1.025*(1+EscalatorInLease)^9,IF(I163="Market",Retention*G163*D163*(1+EscalatorInLease)^(9+M163)+(1-Retention)*H163*D163*(1+GrowthMarketRent)^9*IF(INT((DATE(2026+9,10,31)-F163)/365.25)=0,(12-DowntimeNew)/12,1),IF(I163="LeaseUp",H163*D163*(1+GrowthMarketRent)^9*IF(9=0,(12-DowntimeNew)/12,1),0)))))))),0)</f>
        <v/>
      </c>
      <c r="X163" s="14">
        <f>IFERROR(IF(I163="LeaseUp",H163*D163*(1+GrowthMarketRent)^10*IF(10=0,(12-DowntimeNew)/12,1),IF(F163="",0,IF(F163&gt;=DATE(2027+10,4,30),G163*D163*(1+EscalatorInLease)^(10+M163),IF(F163&lt;DATE(2026+10,5,1),IF(I163="Vacate",H163*D163*(1+GrowthMarketRent)^10*IF(INT((DATE(2026+10,10,31)-F163)/365.25)=0,(12-DowntimeNew)/12,1),IF(I163="Option",G163*D163*1.025*(1+EscalatorInLease)^10,IF(I163="Market",Retention*G163*D163*(1+EscalatorInLease)^(10+M163)+(1-Retention)*H163*D163*(1+GrowthMarketRent)^10*IF(INT((DATE(2026+10,10,31)-F163)/365.25)=0,(12-DowntimeNew)/12,1),IF(I163="LeaseUp",H163*D163*(1+GrowthMarketRent)^10*IF(10=0,(12-DowntimeNew)/12,1),0)))),((F163-DATE(2026+10,5,1))/365.25)*G163*D163*(1+EscalatorInLease)^(10+M163)+((DATE(2027+10,4,30)-F163)/365.25)*IF(I163="Vacate",H163*D163*(1+GrowthMarketRent)^10*IF(INT((DATE(2026+10,10,31)-F163)/365.25)=0,(12-DowntimeNew)/12,1),IF(I163="Option",G163*D163*1.025*(1+EscalatorInLease)^10,IF(I163="Market",Retention*G163*D163*(1+EscalatorInLease)^(10+M163)+(1-Retention)*H163*D163*(1+GrowthMarketRent)^10*IF(INT((DATE(2026+10,10,31)-F163)/365.25)=0,(12-DowntimeNew)/12,1),IF(I163="LeaseUp",H163*D163*(1+GrowthMarketRent)^10*IF(10=0,(12-DowntimeNew)/12,1),0)))))))),0)</f>
        <v/>
      </c>
      <c r="Y163" s="14">
        <f>IFERROR(IF(AND(I163="LeaseUp",0=0),(IF(I163="Vacate",TINew*D163,IF(I163="Market",Retention*TIRenewal*D163+(1-Retention)*TINew*D163,IF(I163="LeaseUp",TINew*D163,IF(I163="Option",TIRenewal*D163,0)))))+(IF(I163="Vacate",LCNew*H163*D163*(1+GrowthMarketRent)^0,IF(I163="Market",Retention*LCRenewal*H163*D163*(1+GrowthMarketRent)^0+(1-Retention)*LCNew*H163*D163*(1+GrowthMarketRent)^0,IF(I163="LeaseUp",LCNew*H163*D163*(1+GrowthMarketRent)^0,IF(I163="Option",LCRenewal*H163*D163*(1+GrowthMarketRent)^0,0))))),IF(F163="",0,IF(AND(F163&gt;=DATE(2026+0,5,1),F163&lt;=DATE(2027+0,4,30)),(IF(I163="Vacate",TINew*D163,IF(I163="Market",Retention*TIRenewal*D163+(1-Retention)*TINew*D163,IF(I163="LeaseUp",TINew*D163,IF(I163="Option",TIRenewal*D163,0)))))+(IF(I163="Vacate",LCNew*H163*D163*(1+GrowthMarketRent)^0,IF(I163="Market",Retention*LCRenewal*H163*D163*(1+GrowthMarketRent)^0+(1-Retention)*LCNew*H163*D163*(1+GrowthMarketRent)^0,IF(I163="LeaseUp",LCNew*H163*D163*(1+GrowthMarketRent)^0,IF(I163="Option",LCRenewal*H163*D163*(1+GrowthMarketRent)^0,0))))),0))),0)</f>
        <v/>
      </c>
      <c r="Z163" s="14">
        <f>IFERROR(IF(AND(I163="LeaseUp",1=0),(IF(I163="Vacate",TINew*D163,IF(I163="Market",Retention*TIRenewal*D163+(1-Retention)*TINew*D163,IF(I163="LeaseUp",TINew*D163,IF(I163="Option",TIRenewal*D163,0)))))+(IF(I163="Vacate",LCNew*H163*D163*(1+GrowthMarketRent)^1,IF(I163="Market",Retention*LCRenewal*H163*D163*(1+GrowthMarketRent)^1+(1-Retention)*LCNew*H163*D163*(1+GrowthMarketRent)^1,IF(I163="LeaseUp",LCNew*H163*D163*(1+GrowthMarketRent)^1,IF(I163="Option",LCRenewal*H163*D163*(1+GrowthMarketRent)^1,0))))),IF(F163="",0,IF(AND(F163&gt;=DATE(2026+1,5,1),F163&lt;=DATE(2027+1,4,30)),(IF(I163="Vacate",TINew*D163,IF(I163="Market",Retention*TIRenewal*D163+(1-Retention)*TINew*D163,IF(I163="LeaseUp",TINew*D163,IF(I163="Option",TIRenewal*D163,0)))))+(IF(I163="Vacate",LCNew*H163*D163*(1+GrowthMarketRent)^1,IF(I163="Market",Retention*LCRenewal*H163*D163*(1+GrowthMarketRent)^1+(1-Retention)*LCNew*H163*D163*(1+GrowthMarketRent)^1,IF(I163="LeaseUp",LCNew*H163*D163*(1+GrowthMarketRent)^1,IF(I163="Option",LCRenewal*H163*D163*(1+GrowthMarketRent)^1,0))))),0))),0)</f>
        <v/>
      </c>
      <c r="AA163" s="14">
        <f>IFERROR(IF(AND(I163="LeaseUp",2=0),(IF(I163="Vacate",TINew*D163,IF(I163="Market",Retention*TIRenewal*D163+(1-Retention)*TINew*D163,IF(I163="LeaseUp",TINew*D163,IF(I163="Option",TIRenewal*D163,0)))))+(IF(I163="Vacate",LCNew*H163*D163*(1+GrowthMarketRent)^2,IF(I163="Market",Retention*LCRenewal*H163*D163*(1+GrowthMarketRent)^2+(1-Retention)*LCNew*H163*D163*(1+GrowthMarketRent)^2,IF(I163="LeaseUp",LCNew*H163*D163*(1+GrowthMarketRent)^2,IF(I163="Option",LCRenewal*H163*D163*(1+GrowthMarketRent)^2,0))))),IF(F163="",0,IF(AND(F163&gt;=DATE(2026+2,5,1),F163&lt;=DATE(2027+2,4,30)),(IF(I163="Vacate",TINew*D163,IF(I163="Market",Retention*TIRenewal*D163+(1-Retention)*TINew*D163,IF(I163="LeaseUp",TINew*D163,IF(I163="Option",TIRenewal*D163,0)))))+(IF(I163="Vacate",LCNew*H163*D163*(1+GrowthMarketRent)^2,IF(I163="Market",Retention*LCRenewal*H163*D163*(1+GrowthMarketRent)^2+(1-Retention)*LCNew*H163*D163*(1+GrowthMarketRent)^2,IF(I163="LeaseUp",LCNew*H163*D163*(1+GrowthMarketRent)^2,IF(I163="Option",LCRenewal*H163*D163*(1+GrowthMarketRent)^2,0))))),0))),0)</f>
        <v/>
      </c>
      <c r="AB163" s="14">
        <f>IFERROR(IF(AND(I163="LeaseUp",3=0),(IF(I163="Vacate",TINew*D163,IF(I163="Market",Retention*TIRenewal*D163+(1-Retention)*TINew*D163,IF(I163="LeaseUp",TINew*D163,IF(I163="Option",TIRenewal*D163,0)))))+(IF(I163="Vacate",LCNew*H163*D163*(1+GrowthMarketRent)^3,IF(I163="Market",Retention*LCRenewal*H163*D163*(1+GrowthMarketRent)^3+(1-Retention)*LCNew*H163*D163*(1+GrowthMarketRent)^3,IF(I163="LeaseUp",LCNew*H163*D163*(1+GrowthMarketRent)^3,IF(I163="Option",LCRenewal*H163*D163*(1+GrowthMarketRent)^3,0))))),IF(F163="",0,IF(AND(F163&gt;=DATE(2026+3,5,1),F163&lt;=DATE(2027+3,4,30)),(IF(I163="Vacate",TINew*D163,IF(I163="Market",Retention*TIRenewal*D163+(1-Retention)*TINew*D163,IF(I163="LeaseUp",TINew*D163,IF(I163="Option",TIRenewal*D163,0)))))+(IF(I163="Vacate",LCNew*H163*D163*(1+GrowthMarketRent)^3,IF(I163="Market",Retention*LCRenewal*H163*D163*(1+GrowthMarketRent)^3+(1-Retention)*LCNew*H163*D163*(1+GrowthMarketRent)^3,IF(I163="LeaseUp",LCNew*H163*D163*(1+GrowthMarketRent)^3,IF(I163="Option",LCRenewal*H163*D163*(1+GrowthMarketRent)^3,0))))),0))),0)</f>
        <v/>
      </c>
      <c r="AC163" s="14">
        <f>IFERROR(IF(AND(I163="LeaseUp",4=0),(IF(I163="Vacate",TINew*D163,IF(I163="Market",Retention*TIRenewal*D163+(1-Retention)*TINew*D163,IF(I163="LeaseUp",TINew*D163,IF(I163="Option",TIRenewal*D163,0)))))+(IF(I163="Vacate",LCNew*H163*D163*(1+GrowthMarketRent)^4,IF(I163="Market",Retention*LCRenewal*H163*D163*(1+GrowthMarketRent)^4+(1-Retention)*LCNew*H163*D163*(1+GrowthMarketRent)^4,IF(I163="LeaseUp",LCNew*H163*D163*(1+GrowthMarketRent)^4,IF(I163="Option",LCRenewal*H163*D163*(1+GrowthMarketRent)^4,0))))),IF(F163="",0,IF(AND(F163&gt;=DATE(2026+4,5,1),F163&lt;=DATE(2027+4,4,30)),(IF(I163="Vacate",TINew*D163,IF(I163="Market",Retention*TIRenewal*D163+(1-Retention)*TINew*D163,IF(I163="LeaseUp",TINew*D163,IF(I163="Option",TIRenewal*D163,0)))))+(IF(I163="Vacate",LCNew*H163*D163*(1+GrowthMarketRent)^4,IF(I163="Market",Retention*LCRenewal*H163*D163*(1+GrowthMarketRent)^4+(1-Retention)*LCNew*H163*D163*(1+GrowthMarketRent)^4,IF(I163="LeaseUp",LCNew*H163*D163*(1+GrowthMarketRent)^4,IF(I163="Option",LCRenewal*H163*D163*(1+GrowthMarketRent)^4,0))))),0))),0)</f>
        <v/>
      </c>
      <c r="AD163" s="14">
        <f>IFERROR(IF(AND(I163="LeaseUp",5=0),(IF(I163="Vacate",TINew*D163,IF(I163="Market",Retention*TIRenewal*D163+(1-Retention)*TINew*D163,IF(I163="LeaseUp",TINew*D163,IF(I163="Option",TIRenewal*D163,0)))))+(IF(I163="Vacate",LCNew*H163*D163*(1+GrowthMarketRent)^5,IF(I163="Market",Retention*LCRenewal*H163*D163*(1+GrowthMarketRent)^5+(1-Retention)*LCNew*H163*D163*(1+GrowthMarketRent)^5,IF(I163="LeaseUp",LCNew*H163*D163*(1+GrowthMarketRent)^5,IF(I163="Option",LCRenewal*H163*D163*(1+GrowthMarketRent)^5,0))))),IF(F163="",0,IF(AND(F163&gt;=DATE(2026+5,5,1),F163&lt;=DATE(2027+5,4,30)),(IF(I163="Vacate",TINew*D163,IF(I163="Market",Retention*TIRenewal*D163+(1-Retention)*TINew*D163,IF(I163="LeaseUp",TINew*D163,IF(I163="Option",TIRenewal*D163,0)))))+(IF(I163="Vacate",LCNew*H163*D163*(1+GrowthMarketRent)^5,IF(I163="Market",Retention*LCRenewal*H163*D163*(1+GrowthMarketRent)^5+(1-Retention)*LCNew*H163*D163*(1+GrowthMarketRent)^5,IF(I163="LeaseUp",LCNew*H163*D163*(1+GrowthMarketRent)^5,IF(I163="Option",LCRenewal*H163*D163*(1+GrowthMarketRent)^5,0))))),0))),0)</f>
        <v/>
      </c>
      <c r="AE163" s="14">
        <f>IFERROR(IF(AND(I163="LeaseUp",6=0),(IF(I163="Vacate",TINew*D163,IF(I163="Market",Retention*TIRenewal*D163+(1-Retention)*TINew*D163,IF(I163="LeaseUp",TINew*D163,IF(I163="Option",TIRenewal*D163,0)))))+(IF(I163="Vacate",LCNew*H163*D163*(1+GrowthMarketRent)^6,IF(I163="Market",Retention*LCRenewal*H163*D163*(1+GrowthMarketRent)^6+(1-Retention)*LCNew*H163*D163*(1+GrowthMarketRent)^6,IF(I163="LeaseUp",LCNew*H163*D163*(1+GrowthMarketRent)^6,IF(I163="Option",LCRenewal*H163*D163*(1+GrowthMarketRent)^6,0))))),IF(F163="",0,IF(AND(F163&gt;=DATE(2026+6,5,1),F163&lt;=DATE(2027+6,4,30)),(IF(I163="Vacate",TINew*D163,IF(I163="Market",Retention*TIRenewal*D163+(1-Retention)*TINew*D163,IF(I163="LeaseUp",TINew*D163,IF(I163="Option",TIRenewal*D163,0)))))+(IF(I163="Vacate",LCNew*H163*D163*(1+GrowthMarketRent)^6,IF(I163="Market",Retention*LCRenewal*H163*D163*(1+GrowthMarketRent)^6+(1-Retention)*LCNew*H163*D163*(1+GrowthMarketRent)^6,IF(I163="LeaseUp",LCNew*H163*D163*(1+GrowthMarketRent)^6,IF(I163="Option",LCRenewal*H163*D163*(1+GrowthMarketRent)^6,0))))),0))),0)</f>
        <v/>
      </c>
      <c r="AF163" s="14">
        <f>IFERROR(IF(AND(I163="LeaseUp",7=0),(IF(I163="Vacate",TINew*D163,IF(I163="Market",Retention*TIRenewal*D163+(1-Retention)*TINew*D163,IF(I163="LeaseUp",TINew*D163,IF(I163="Option",TIRenewal*D163,0)))))+(IF(I163="Vacate",LCNew*H163*D163*(1+GrowthMarketRent)^7,IF(I163="Market",Retention*LCRenewal*H163*D163*(1+GrowthMarketRent)^7+(1-Retention)*LCNew*H163*D163*(1+GrowthMarketRent)^7,IF(I163="LeaseUp",LCNew*H163*D163*(1+GrowthMarketRent)^7,IF(I163="Option",LCRenewal*H163*D163*(1+GrowthMarketRent)^7,0))))),IF(F163="",0,IF(AND(F163&gt;=DATE(2026+7,5,1),F163&lt;=DATE(2027+7,4,30)),(IF(I163="Vacate",TINew*D163,IF(I163="Market",Retention*TIRenewal*D163+(1-Retention)*TINew*D163,IF(I163="LeaseUp",TINew*D163,IF(I163="Option",TIRenewal*D163,0)))))+(IF(I163="Vacate",LCNew*H163*D163*(1+GrowthMarketRent)^7,IF(I163="Market",Retention*LCRenewal*H163*D163*(1+GrowthMarketRent)^7+(1-Retention)*LCNew*H163*D163*(1+GrowthMarketRent)^7,IF(I163="LeaseUp",LCNew*H163*D163*(1+GrowthMarketRent)^7,IF(I163="Option",LCRenewal*H163*D163*(1+GrowthMarketRent)^7,0))))),0))),0)</f>
        <v/>
      </c>
      <c r="AG163" s="14">
        <f>IFERROR(IF(AND(I163="LeaseUp",8=0),(IF(I163="Vacate",TINew*D163,IF(I163="Market",Retention*TIRenewal*D163+(1-Retention)*TINew*D163,IF(I163="LeaseUp",TINew*D163,IF(I163="Option",TIRenewal*D163,0)))))+(IF(I163="Vacate",LCNew*H163*D163*(1+GrowthMarketRent)^8,IF(I163="Market",Retention*LCRenewal*H163*D163*(1+GrowthMarketRent)^8+(1-Retention)*LCNew*H163*D163*(1+GrowthMarketRent)^8,IF(I163="LeaseUp",LCNew*H163*D163*(1+GrowthMarketRent)^8,IF(I163="Option",LCRenewal*H163*D163*(1+GrowthMarketRent)^8,0))))),IF(F163="",0,IF(AND(F163&gt;=DATE(2026+8,5,1),F163&lt;=DATE(2027+8,4,30)),(IF(I163="Vacate",TINew*D163,IF(I163="Market",Retention*TIRenewal*D163+(1-Retention)*TINew*D163,IF(I163="LeaseUp",TINew*D163,IF(I163="Option",TIRenewal*D163,0)))))+(IF(I163="Vacate",LCNew*H163*D163*(1+GrowthMarketRent)^8,IF(I163="Market",Retention*LCRenewal*H163*D163*(1+GrowthMarketRent)^8+(1-Retention)*LCNew*H163*D163*(1+GrowthMarketRent)^8,IF(I163="LeaseUp",LCNew*H163*D163*(1+GrowthMarketRent)^8,IF(I163="Option",LCRenewal*H163*D163*(1+GrowthMarketRent)^8,0))))),0))),0)</f>
        <v/>
      </c>
      <c r="AH163" s="14">
        <f>IFERROR(IF(AND(I163="LeaseUp",9=0),(IF(I163="Vacate",TINew*D163,IF(I163="Market",Retention*TIRenewal*D163+(1-Retention)*TINew*D163,IF(I163="LeaseUp",TINew*D163,IF(I163="Option",TIRenewal*D163,0)))))+(IF(I163="Vacate",LCNew*H163*D163*(1+GrowthMarketRent)^9,IF(I163="Market",Retention*LCRenewal*H163*D163*(1+GrowthMarketRent)^9+(1-Retention)*LCNew*H163*D163*(1+GrowthMarketRent)^9,IF(I163="LeaseUp",LCNew*H163*D163*(1+GrowthMarketRent)^9,IF(I163="Option",LCRenewal*H163*D163*(1+GrowthMarketRent)^9,0))))),IF(F163="",0,IF(AND(F163&gt;=DATE(2026+9,5,1),F163&lt;=DATE(2027+9,4,30)),(IF(I163="Vacate",TINew*D163,IF(I163="Market",Retention*TIRenewal*D163+(1-Retention)*TINew*D163,IF(I163="LeaseUp",TINew*D163,IF(I163="Option",TIRenewal*D163,0)))))+(IF(I163="Vacate",LCNew*H163*D163*(1+GrowthMarketRent)^9,IF(I163="Market",Retention*LCRenewal*H163*D163*(1+GrowthMarketRent)^9+(1-Retention)*LCNew*H163*D163*(1+GrowthMarketRent)^9,IF(I163="LeaseUp",LCNew*H163*D163*(1+GrowthMarketRent)^9,IF(I163="Option",LCRenewal*H163*D163*(1+GrowthMarketRent)^9,0))))),0))),0)</f>
        <v/>
      </c>
      <c r="AI163" s="14">
        <f>IFERROR(IF(AND(I163="LeaseUp",10=0),(IF(I163="Vacate",TINew*D163,IF(I163="Market",Retention*TIRenewal*D163+(1-Retention)*TINew*D163,IF(I163="LeaseUp",TINew*D163,IF(I163="Option",TIRenewal*D163,0)))))+(IF(I163="Vacate",LCNew*H163*D163*(1+GrowthMarketRent)^10,IF(I163="Market",Retention*LCRenewal*H163*D163*(1+GrowthMarketRent)^10+(1-Retention)*LCNew*H163*D163*(1+GrowthMarketRent)^10,IF(I163="LeaseUp",LCNew*H163*D163*(1+GrowthMarketRent)^10,IF(I163="Option",LCRenewal*H163*D163*(1+GrowthMarketRent)^10,0))))),IF(F163="",0,IF(AND(F163&gt;=DATE(2026+10,5,1),F163&lt;=DATE(2027+10,4,30)),(IF(I163="Vacate",TINew*D163,IF(I163="Market",Retention*TIRenewal*D163+(1-Retention)*TINew*D163,IF(I163="LeaseUp",TINew*D163,IF(I163="Option",TIRenewal*D163,0)))))+(IF(I163="Vacate",LCNew*H163*D163*(1+GrowthMarketRent)^10,IF(I163="Market",Retention*LCRenewal*H163*D163*(1+GrowthMarketRent)^10+(1-Retention)*LCNew*H163*D163*(1+GrowthMarketRent)^10,IF(I163="LeaseUp",LCNew*H163*D163*(1+GrowthMarketRent)^10,IF(I163="Option",LCRenewal*H163*D163*(1+GrowthMarketRent)^10,0))))),0))),0)</f>
        <v/>
      </c>
    </row>
    <row r="164">
      <c r="A164" t="inlineStr">
        <is>
          <t>Plano</t>
        </is>
      </c>
      <c r="B164" t="inlineStr">
        <is>
          <t>305</t>
        </is>
      </c>
      <c r="C164" t="inlineStr">
        <is>
          <t>Capture Creative Studios LLC</t>
        </is>
      </c>
      <c r="D164" s="32" t="n">
        <v>2600</v>
      </c>
      <c r="E164" s="33" t="n">
        <v>45200</v>
      </c>
      <c r="F164" s="33" t="n">
        <v>46753</v>
      </c>
      <c r="G164" s="34" t="n">
        <v>16.81</v>
      </c>
      <c r="H164" s="16">
        <f>VLOOKUP(A164,MLA!$A$5:$L$11,3,FALSE)</f>
        <v/>
      </c>
      <c r="I164" s="11" t="inlineStr">
        <is>
          <t>Vacate</t>
        </is>
      </c>
      <c r="J164" t="inlineStr">
        <is>
          <t>Shop</t>
        </is>
      </c>
      <c r="K164" t="inlineStr">
        <is>
          <t>Occupied</t>
        </is>
      </c>
      <c r="L164" t="inlineStr">
        <is>
          <t>Shop; actual expiration 02/14/28; assumed vacate; Guarantor: Jonny Phi Ngo</t>
        </is>
      </c>
      <c r="M164" s="20">
        <f>IF(E164="",0,(AnalysisStart-E164)/365.25)</f>
        <v/>
      </c>
      <c r="N164" s="14">
        <f>IFERROR(IF(I164="LeaseUp",H164*D164*(1+GrowthMarketRent)^0*IF(0=0,(12-DowntimeNew)/12,1),IF(F164="",0,IF(F164&gt;=DATE(2027+0,4,30),G164*D164*(1+EscalatorInLease)^(0+M164),IF(F164&lt;DATE(2026+0,5,1),IF(I164="Vacate",H164*D164*(1+GrowthMarketRent)^0*IF(INT((DATE(2026+0,10,31)-F164)/365.25)=0,(12-DowntimeNew)/12,1),IF(I164="Option",G164*D164*1.025*(1+EscalatorInLease)^0,IF(I164="Market",Retention*G164*D164*(1+EscalatorInLease)^(0+M164)+(1-Retention)*H164*D164*(1+GrowthMarketRent)^0*IF(INT((DATE(2026+0,10,31)-F164)/365.25)=0,(12-DowntimeNew)/12,1),IF(I164="LeaseUp",H164*D164*(1+GrowthMarketRent)^0*IF(0=0,(12-DowntimeNew)/12,1),0)))),((F164-DATE(2026+0,5,1))/365.25)*G164*D164*(1+EscalatorInLease)^(0+M164)+((DATE(2027+0,4,30)-F164)/365.25)*IF(I164="Vacate",H164*D164*(1+GrowthMarketRent)^0*IF(INT((DATE(2026+0,10,31)-F164)/365.25)=0,(12-DowntimeNew)/12,1),IF(I164="Option",G164*D164*1.025*(1+EscalatorInLease)^0,IF(I164="Market",Retention*G164*D164*(1+EscalatorInLease)^(0+M164)+(1-Retention)*H164*D164*(1+GrowthMarketRent)^0*IF(INT((DATE(2026+0,10,31)-F164)/365.25)=0,(12-DowntimeNew)/12,1),IF(I164="LeaseUp",H164*D164*(1+GrowthMarketRent)^0*IF(0=0,(12-DowntimeNew)/12,1),0)))))))),0)</f>
        <v/>
      </c>
      <c r="O164" s="14">
        <f>IFERROR(IF(I164="LeaseUp",H164*D164*(1+GrowthMarketRent)^1*IF(1=0,(12-DowntimeNew)/12,1),IF(F164="",0,IF(F164&gt;=DATE(2027+1,4,30),G164*D164*(1+EscalatorInLease)^(1+M164),IF(F164&lt;DATE(2026+1,5,1),IF(I164="Vacate",H164*D164*(1+GrowthMarketRent)^1*IF(INT((DATE(2026+1,10,31)-F164)/365.25)=0,(12-DowntimeNew)/12,1),IF(I164="Option",G164*D164*1.025*(1+EscalatorInLease)^1,IF(I164="Market",Retention*G164*D164*(1+EscalatorInLease)^(1+M164)+(1-Retention)*H164*D164*(1+GrowthMarketRent)^1*IF(INT((DATE(2026+1,10,31)-F164)/365.25)=0,(12-DowntimeNew)/12,1),IF(I164="LeaseUp",H164*D164*(1+GrowthMarketRent)^1*IF(1=0,(12-DowntimeNew)/12,1),0)))),((F164-DATE(2026+1,5,1))/365.25)*G164*D164*(1+EscalatorInLease)^(1+M164)+((DATE(2027+1,4,30)-F164)/365.25)*IF(I164="Vacate",H164*D164*(1+GrowthMarketRent)^1*IF(INT((DATE(2026+1,10,31)-F164)/365.25)=0,(12-DowntimeNew)/12,1),IF(I164="Option",G164*D164*1.025*(1+EscalatorInLease)^1,IF(I164="Market",Retention*G164*D164*(1+EscalatorInLease)^(1+M164)+(1-Retention)*H164*D164*(1+GrowthMarketRent)^1*IF(INT((DATE(2026+1,10,31)-F164)/365.25)=0,(12-DowntimeNew)/12,1),IF(I164="LeaseUp",H164*D164*(1+GrowthMarketRent)^1*IF(1=0,(12-DowntimeNew)/12,1),0)))))))),0)</f>
        <v/>
      </c>
      <c r="P164" s="14">
        <f>IFERROR(IF(I164="LeaseUp",H164*D164*(1+GrowthMarketRent)^2*IF(2=0,(12-DowntimeNew)/12,1),IF(F164="",0,IF(F164&gt;=DATE(2027+2,4,30),G164*D164*(1+EscalatorInLease)^(2+M164),IF(F164&lt;DATE(2026+2,5,1),IF(I164="Vacate",H164*D164*(1+GrowthMarketRent)^2*IF(INT((DATE(2026+2,10,31)-F164)/365.25)=0,(12-DowntimeNew)/12,1),IF(I164="Option",G164*D164*1.025*(1+EscalatorInLease)^2,IF(I164="Market",Retention*G164*D164*(1+EscalatorInLease)^(2+M164)+(1-Retention)*H164*D164*(1+GrowthMarketRent)^2*IF(INT((DATE(2026+2,10,31)-F164)/365.25)=0,(12-DowntimeNew)/12,1),IF(I164="LeaseUp",H164*D164*(1+GrowthMarketRent)^2*IF(2=0,(12-DowntimeNew)/12,1),0)))),((F164-DATE(2026+2,5,1))/365.25)*G164*D164*(1+EscalatorInLease)^(2+M164)+((DATE(2027+2,4,30)-F164)/365.25)*IF(I164="Vacate",H164*D164*(1+GrowthMarketRent)^2*IF(INT((DATE(2026+2,10,31)-F164)/365.25)=0,(12-DowntimeNew)/12,1),IF(I164="Option",G164*D164*1.025*(1+EscalatorInLease)^2,IF(I164="Market",Retention*G164*D164*(1+EscalatorInLease)^(2+M164)+(1-Retention)*H164*D164*(1+GrowthMarketRent)^2*IF(INT((DATE(2026+2,10,31)-F164)/365.25)=0,(12-DowntimeNew)/12,1),IF(I164="LeaseUp",H164*D164*(1+GrowthMarketRent)^2*IF(2=0,(12-DowntimeNew)/12,1),0)))))))),0)</f>
        <v/>
      </c>
      <c r="Q164" s="14">
        <f>IFERROR(IF(I164="LeaseUp",H164*D164*(1+GrowthMarketRent)^3*IF(3=0,(12-DowntimeNew)/12,1),IF(F164="",0,IF(F164&gt;=DATE(2027+3,4,30),G164*D164*(1+EscalatorInLease)^(3+M164),IF(F164&lt;DATE(2026+3,5,1),IF(I164="Vacate",H164*D164*(1+GrowthMarketRent)^3*IF(INT((DATE(2026+3,10,31)-F164)/365.25)=0,(12-DowntimeNew)/12,1),IF(I164="Option",G164*D164*1.025*(1+EscalatorInLease)^3,IF(I164="Market",Retention*G164*D164*(1+EscalatorInLease)^(3+M164)+(1-Retention)*H164*D164*(1+GrowthMarketRent)^3*IF(INT((DATE(2026+3,10,31)-F164)/365.25)=0,(12-DowntimeNew)/12,1),IF(I164="LeaseUp",H164*D164*(1+GrowthMarketRent)^3*IF(3=0,(12-DowntimeNew)/12,1),0)))),((F164-DATE(2026+3,5,1))/365.25)*G164*D164*(1+EscalatorInLease)^(3+M164)+((DATE(2027+3,4,30)-F164)/365.25)*IF(I164="Vacate",H164*D164*(1+GrowthMarketRent)^3*IF(INT((DATE(2026+3,10,31)-F164)/365.25)=0,(12-DowntimeNew)/12,1),IF(I164="Option",G164*D164*1.025*(1+EscalatorInLease)^3,IF(I164="Market",Retention*G164*D164*(1+EscalatorInLease)^(3+M164)+(1-Retention)*H164*D164*(1+GrowthMarketRent)^3*IF(INT((DATE(2026+3,10,31)-F164)/365.25)=0,(12-DowntimeNew)/12,1),IF(I164="LeaseUp",H164*D164*(1+GrowthMarketRent)^3*IF(3=0,(12-DowntimeNew)/12,1),0)))))))),0)</f>
        <v/>
      </c>
      <c r="R164" s="14">
        <f>IFERROR(IF(I164="LeaseUp",H164*D164*(1+GrowthMarketRent)^4*IF(4=0,(12-DowntimeNew)/12,1),IF(F164="",0,IF(F164&gt;=DATE(2027+4,4,30),G164*D164*(1+EscalatorInLease)^(4+M164),IF(F164&lt;DATE(2026+4,5,1),IF(I164="Vacate",H164*D164*(1+GrowthMarketRent)^4*IF(INT((DATE(2026+4,10,31)-F164)/365.25)=0,(12-DowntimeNew)/12,1),IF(I164="Option",G164*D164*1.025*(1+EscalatorInLease)^4,IF(I164="Market",Retention*G164*D164*(1+EscalatorInLease)^(4+M164)+(1-Retention)*H164*D164*(1+GrowthMarketRent)^4*IF(INT((DATE(2026+4,10,31)-F164)/365.25)=0,(12-DowntimeNew)/12,1),IF(I164="LeaseUp",H164*D164*(1+GrowthMarketRent)^4*IF(4=0,(12-DowntimeNew)/12,1),0)))),((F164-DATE(2026+4,5,1))/365.25)*G164*D164*(1+EscalatorInLease)^(4+M164)+((DATE(2027+4,4,30)-F164)/365.25)*IF(I164="Vacate",H164*D164*(1+GrowthMarketRent)^4*IF(INT((DATE(2026+4,10,31)-F164)/365.25)=0,(12-DowntimeNew)/12,1),IF(I164="Option",G164*D164*1.025*(1+EscalatorInLease)^4,IF(I164="Market",Retention*G164*D164*(1+EscalatorInLease)^(4+M164)+(1-Retention)*H164*D164*(1+GrowthMarketRent)^4*IF(INT((DATE(2026+4,10,31)-F164)/365.25)=0,(12-DowntimeNew)/12,1),IF(I164="LeaseUp",H164*D164*(1+GrowthMarketRent)^4*IF(4=0,(12-DowntimeNew)/12,1),0)))))))),0)</f>
        <v/>
      </c>
      <c r="S164" s="14">
        <f>IFERROR(IF(I164="LeaseUp",H164*D164*(1+GrowthMarketRent)^5*IF(5=0,(12-DowntimeNew)/12,1),IF(F164="",0,IF(F164&gt;=DATE(2027+5,4,30),G164*D164*(1+EscalatorInLease)^(5+M164),IF(F164&lt;DATE(2026+5,5,1),IF(I164="Vacate",H164*D164*(1+GrowthMarketRent)^5*IF(INT((DATE(2026+5,10,31)-F164)/365.25)=0,(12-DowntimeNew)/12,1),IF(I164="Option",G164*D164*1.025*(1+EscalatorInLease)^5,IF(I164="Market",Retention*G164*D164*(1+EscalatorInLease)^(5+M164)+(1-Retention)*H164*D164*(1+GrowthMarketRent)^5*IF(INT((DATE(2026+5,10,31)-F164)/365.25)=0,(12-DowntimeNew)/12,1),IF(I164="LeaseUp",H164*D164*(1+GrowthMarketRent)^5*IF(5=0,(12-DowntimeNew)/12,1),0)))),((F164-DATE(2026+5,5,1))/365.25)*G164*D164*(1+EscalatorInLease)^(5+M164)+((DATE(2027+5,4,30)-F164)/365.25)*IF(I164="Vacate",H164*D164*(1+GrowthMarketRent)^5*IF(INT((DATE(2026+5,10,31)-F164)/365.25)=0,(12-DowntimeNew)/12,1),IF(I164="Option",G164*D164*1.025*(1+EscalatorInLease)^5,IF(I164="Market",Retention*G164*D164*(1+EscalatorInLease)^(5+M164)+(1-Retention)*H164*D164*(1+GrowthMarketRent)^5*IF(INT((DATE(2026+5,10,31)-F164)/365.25)=0,(12-DowntimeNew)/12,1),IF(I164="LeaseUp",H164*D164*(1+GrowthMarketRent)^5*IF(5=0,(12-DowntimeNew)/12,1),0)))))))),0)</f>
        <v/>
      </c>
      <c r="T164" s="14">
        <f>IFERROR(IF(I164="LeaseUp",H164*D164*(1+GrowthMarketRent)^6*IF(6=0,(12-DowntimeNew)/12,1),IF(F164="",0,IF(F164&gt;=DATE(2027+6,4,30),G164*D164*(1+EscalatorInLease)^(6+M164),IF(F164&lt;DATE(2026+6,5,1),IF(I164="Vacate",H164*D164*(1+GrowthMarketRent)^6*IF(INT((DATE(2026+6,10,31)-F164)/365.25)=0,(12-DowntimeNew)/12,1),IF(I164="Option",G164*D164*1.025*(1+EscalatorInLease)^6,IF(I164="Market",Retention*G164*D164*(1+EscalatorInLease)^(6+M164)+(1-Retention)*H164*D164*(1+GrowthMarketRent)^6*IF(INT((DATE(2026+6,10,31)-F164)/365.25)=0,(12-DowntimeNew)/12,1),IF(I164="LeaseUp",H164*D164*(1+GrowthMarketRent)^6*IF(6=0,(12-DowntimeNew)/12,1),0)))),((F164-DATE(2026+6,5,1))/365.25)*G164*D164*(1+EscalatorInLease)^(6+M164)+((DATE(2027+6,4,30)-F164)/365.25)*IF(I164="Vacate",H164*D164*(1+GrowthMarketRent)^6*IF(INT((DATE(2026+6,10,31)-F164)/365.25)=0,(12-DowntimeNew)/12,1),IF(I164="Option",G164*D164*1.025*(1+EscalatorInLease)^6,IF(I164="Market",Retention*G164*D164*(1+EscalatorInLease)^(6+M164)+(1-Retention)*H164*D164*(1+GrowthMarketRent)^6*IF(INT((DATE(2026+6,10,31)-F164)/365.25)=0,(12-DowntimeNew)/12,1),IF(I164="LeaseUp",H164*D164*(1+GrowthMarketRent)^6*IF(6=0,(12-DowntimeNew)/12,1),0)))))))),0)</f>
        <v/>
      </c>
      <c r="U164" s="14">
        <f>IFERROR(IF(I164="LeaseUp",H164*D164*(1+GrowthMarketRent)^7*IF(7=0,(12-DowntimeNew)/12,1),IF(F164="",0,IF(F164&gt;=DATE(2027+7,4,30),G164*D164*(1+EscalatorInLease)^(7+M164),IF(F164&lt;DATE(2026+7,5,1),IF(I164="Vacate",H164*D164*(1+GrowthMarketRent)^7*IF(INT((DATE(2026+7,10,31)-F164)/365.25)=0,(12-DowntimeNew)/12,1),IF(I164="Option",G164*D164*1.025*(1+EscalatorInLease)^7,IF(I164="Market",Retention*G164*D164*(1+EscalatorInLease)^(7+M164)+(1-Retention)*H164*D164*(1+GrowthMarketRent)^7*IF(INT((DATE(2026+7,10,31)-F164)/365.25)=0,(12-DowntimeNew)/12,1),IF(I164="LeaseUp",H164*D164*(1+GrowthMarketRent)^7*IF(7=0,(12-DowntimeNew)/12,1),0)))),((F164-DATE(2026+7,5,1))/365.25)*G164*D164*(1+EscalatorInLease)^(7+M164)+((DATE(2027+7,4,30)-F164)/365.25)*IF(I164="Vacate",H164*D164*(1+GrowthMarketRent)^7*IF(INT((DATE(2026+7,10,31)-F164)/365.25)=0,(12-DowntimeNew)/12,1),IF(I164="Option",G164*D164*1.025*(1+EscalatorInLease)^7,IF(I164="Market",Retention*G164*D164*(1+EscalatorInLease)^(7+M164)+(1-Retention)*H164*D164*(1+GrowthMarketRent)^7*IF(INT((DATE(2026+7,10,31)-F164)/365.25)=0,(12-DowntimeNew)/12,1),IF(I164="LeaseUp",H164*D164*(1+GrowthMarketRent)^7*IF(7=0,(12-DowntimeNew)/12,1),0)))))))),0)</f>
        <v/>
      </c>
      <c r="V164" s="14">
        <f>IFERROR(IF(I164="LeaseUp",H164*D164*(1+GrowthMarketRent)^8*IF(8=0,(12-DowntimeNew)/12,1),IF(F164="",0,IF(F164&gt;=DATE(2027+8,4,30),G164*D164*(1+EscalatorInLease)^(8+M164),IF(F164&lt;DATE(2026+8,5,1),IF(I164="Vacate",H164*D164*(1+GrowthMarketRent)^8*IF(INT((DATE(2026+8,10,31)-F164)/365.25)=0,(12-DowntimeNew)/12,1),IF(I164="Option",G164*D164*1.025*(1+EscalatorInLease)^8,IF(I164="Market",Retention*G164*D164*(1+EscalatorInLease)^(8+M164)+(1-Retention)*H164*D164*(1+GrowthMarketRent)^8*IF(INT((DATE(2026+8,10,31)-F164)/365.25)=0,(12-DowntimeNew)/12,1),IF(I164="LeaseUp",H164*D164*(1+GrowthMarketRent)^8*IF(8=0,(12-DowntimeNew)/12,1),0)))),((F164-DATE(2026+8,5,1))/365.25)*G164*D164*(1+EscalatorInLease)^(8+M164)+((DATE(2027+8,4,30)-F164)/365.25)*IF(I164="Vacate",H164*D164*(1+GrowthMarketRent)^8*IF(INT((DATE(2026+8,10,31)-F164)/365.25)=0,(12-DowntimeNew)/12,1),IF(I164="Option",G164*D164*1.025*(1+EscalatorInLease)^8,IF(I164="Market",Retention*G164*D164*(1+EscalatorInLease)^(8+M164)+(1-Retention)*H164*D164*(1+GrowthMarketRent)^8*IF(INT((DATE(2026+8,10,31)-F164)/365.25)=0,(12-DowntimeNew)/12,1),IF(I164="LeaseUp",H164*D164*(1+GrowthMarketRent)^8*IF(8=0,(12-DowntimeNew)/12,1),0)))))))),0)</f>
        <v/>
      </c>
      <c r="W164" s="14">
        <f>IFERROR(IF(I164="LeaseUp",H164*D164*(1+GrowthMarketRent)^9*IF(9=0,(12-DowntimeNew)/12,1),IF(F164="",0,IF(F164&gt;=DATE(2027+9,4,30),G164*D164*(1+EscalatorInLease)^(9+M164),IF(F164&lt;DATE(2026+9,5,1),IF(I164="Vacate",H164*D164*(1+GrowthMarketRent)^9*IF(INT((DATE(2026+9,10,31)-F164)/365.25)=0,(12-DowntimeNew)/12,1),IF(I164="Option",G164*D164*1.025*(1+EscalatorInLease)^9,IF(I164="Market",Retention*G164*D164*(1+EscalatorInLease)^(9+M164)+(1-Retention)*H164*D164*(1+GrowthMarketRent)^9*IF(INT((DATE(2026+9,10,31)-F164)/365.25)=0,(12-DowntimeNew)/12,1),IF(I164="LeaseUp",H164*D164*(1+GrowthMarketRent)^9*IF(9=0,(12-DowntimeNew)/12,1),0)))),((F164-DATE(2026+9,5,1))/365.25)*G164*D164*(1+EscalatorInLease)^(9+M164)+((DATE(2027+9,4,30)-F164)/365.25)*IF(I164="Vacate",H164*D164*(1+GrowthMarketRent)^9*IF(INT((DATE(2026+9,10,31)-F164)/365.25)=0,(12-DowntimeNew)/12,1),IF(I164="Option",G164*D164*1.025*(1+EscalatorInLease)^9,IF(I164="Market",Retention*G164*D164*(1+EscalatorInLease)^(9+M164)+(1-Retention)*H164*D164*(1+GrowthMarketRent)^9*IF(INT((DATE(2026+9,10,31)-F164)/365.25)=0,(12-DowntimeNew)/12,1),IF(I164="LeaseUp",H164*D164*(1+GrowthMarketRent)^9*IF(9=0,(12-DowntimeNew)/12,1),0)))))))),0)</f>
        <v/>
      </c>
      <c r="X164" s="14">
        <f>IFERROR(IF(I164="LeaseUp",H164*D164*(1+GrowthMarketRent)^10*IF(10=0,(12-DowntimeNew)/12,1),IF(F164="",0,IF(F164&gt;=DATE(2027+10,4,30),G164*D164*(1+EscalatorInLease)^(10+M164),IF(F164&lt;DATE(2026+10,5,1),IF(I164="Vacate",H164*D164*(1+GrowthMarketRent)^10*IF(INT((DATE(2026+10,10,31)-F164)/365.25)=0,(12-DowntimeNew)/12,1),IF(I164="Option",G164*D164*1.025*(1+EscalatorInLease)^10,IF(I164="Market",Retention*G164*D164*(1+EscalatorInLease)^(10+M164)+(1-Retention)*H164*D164*(1+GrowthMarketRent)^10*IF(INT((DATE(2026+10,10,31)-F164)/365.25)=0,(12-DowntimeNew)/12,1),IF(I164="LeaseUp",H164*D164*(1+GrowthMarketRent)^10*IF(10=0,(12-DowntimeNew)/12,1),0)))),((F164-DATE(2026+10,5,1))/365.25)*G164*D164*(1+EscalatorInLease)^(10+M164)+((DATE(2027+10,4,30)-F164)/365.25)*IF(I164="Vacate",H164*D164*(1+GrowthMarketRent)^10*IF(INT((DATE(2026+10,10,31)-F164)/365.25)=0,(12-DowntimeNew)/12,1),IF(I164="Option",G164*D164*1.025*(1+EscalatorInLease)^10,IF(I164="Market",Retention*G164*D164*(1+EscalatorInLease)^(10+M164)+(1-Retention)*H164*D164*(1+GrowthMarketRent)^10*IF(INT((DATE(2026+10,10,31)-F164)/365.25)=0,(12-DowntimeNew)/12,1),IF(I164="LeaseUp",H164*D164*(1+GrowthMarketRent)^10*IF(10=0,(12-DowntimeNew)/12,1),0)))))))),0)</f>
        <v/>
      </c>
      <c r="Y164" s="14">
        <f>IFERROR(IF(AND(I164="LeaseUp",0=0),(IF(I164="Vacate",TINew*D164,IF(I164="Market",Retention*TIRenewal*D164+(1-Retention)*TINew*D164,IF(I164="LeaseUp",TINew*D164,IF(I164="Option",TIRenewal*D164,0)))))+(IF(I164="Vacate",LCNew*H164*D164*(1+GrowthMarketRent)^0,IF(I164="Market",Retention*LCRenewal*H164*D164*(1+GrowthMarketRent)^0+(1-Retention)*LCNew*H164*D164*(1+GrowthMarketRent)^0,IF(I164="LeaseUp",LCNew*H164*D164*(1+GrowthMarketRent)^0,IF(I164="Option",LCRenewal*H164*D164*(1+GrowthMarketRent)^0,0))))),IF(F164="",0,IF(AND(F164&gt;=DATE(2026+0,5,1),F164&lt;=DATE(2027+0,4,30)),(IF(I164="Vacate",TINew*D164,IF(I164="Market",Retention*TIRenewal*D164+(1-Retention)*TINew*D164,IF(I164="LeaseUp",TINew*D164,IF(I164="Option",TIRenewal*D164,0)))))+(IF(I164="Vacate",LCNew*H164*D164*(1+GrowthMarketRent)^0,IF(I164="Market",Retention*LCRenewal*H164*D164*(1+GrowthMarketRent)^0+(1-Retention)*LCNew*H164*D164*(1+GrowthMarketRent)^0,IF(I164="LeaseUp",LCNew*H164*D164*(1+GrowthMarketRent)^0,IF(I164="Option",LCRenewal*H164*D164*(1+GrowthMarketRent)^0,0))))),0))),0)</f>
        <v/>
      </c>
      <c r="Z164" s="14">
        <f>IFERROR(IF(AND(I164="LeaseUp",1=0),(IF(I164="Vacate",TINew*D164,IF(I164="Market",Retention*TIRenewal*D164+(1-Retention)*TINew*D164,IF(I164="LeaseUp",TINew*D164,IF(I164="Option",TIRenewal*D164,0)))))+(IF(I164="Vacate",LCNew*H164*D164*(1+GrowthMarketRent)^1,IF(I164="Market",Retention*LCRenewal*H164*D164*(1+GrowthMarketRent)^1+(1-Retention)*LCNew*H164*D164*(1+GrowthMarketRent)^1,IF(I164="LeaseUp",LCNew*H164*D164*(1+GrowthMarketRent)^1,IF(I164="Option",LCRenewal*H164*D164*(1+GrowthMarketRent)^1,0))))),IF(F164="",0,IF(AND(F164&gt;=DATE(2026+1,5,1),F164&lt;=DATE(2027+1,4,30)),(IF(I164="Vacate",TINew*D164,IF(I164="Market",Retention*TIRenewal*D164+(1-Retention)*TINew*D164,IF(I164="LeaseUp",TINew*D164,IF(I164="Option",TIRenewal*D164,0)))))+(IF(I164="Vacate",LCNew*H164*D164*(1+GrowthMarketRent)^1,IF(I164="Market",Retention*LCRenewal*H164*D164*(1+GrowthMarketRent)^1+(1-Retention)*LCNew*H164*D164*(1+GrowthMarketRent)^1,IF(I164="LeaseUp",LCNew*H164*D164*(1+GrowthMarketRent)^1,IF(I164="Option",LCRenewal*H164*D164*(1+GrowthMarketRent)^1,0))))),0))),0)</f>
        <v/>
      </c>
      <c r="AA164" s="14">
        <f>IFERROR(IF(AND(I164="LeaseUp",2=0),(IF(I164="Vacate",TINew*D164,IF(I164="Market",Retention*TIRenewal*D164+(1-Retention)*TINew*D164,IF(I164="LeaseUp",TINew*D164,IF(I164="Option",TIRenewal*D164,0)))))+(IF(I164="Vacate",LCNew*H164*D164*(1+GrowthMarketRent)^2,IF(I164="Market",Retention*LCRenewal*H164*D164*(1+GrowthMarketRent)^2+(1-Retention)*LCNew*H164*D164*(1+GrowthMarketRent)^2,IF(I164="LeaseUp",LCNew*H164*D164*(1+GrowthMarketRent)^2,IF(I164="Option",LCRenewal*H164*D164*(1+GrowthMarketRent)^2,0))))),IF(F164="",0,IF(AND(F164&gt;=DATE(2026+2,5,1),F164&lt;=DATE(2027+2,4,30)),(IF(I164="Vacate",TINew*D164,IF(I164="Market",Retention*TIRenewal*D164+(1-Retention)*TINew*D164,IF(I164="LeaseUp",TINew*D164,IF(I164="Option",TIRenewal*D164,0)))))+(IF(I164="Vacate",LCNew*H164*D164*(1+GrowthMarketRent)^2,IF(I164="Market",Retention*LCRenewal*H164*D164*(1+GrowthMarketRent)^2+(1-Retention)*LCNew*H164*D164*(1+GrowthMarketRent)^2,IF(I164="LeaseUp",LCNew*H164*D164*(1+GrowthMarketRent)^2,IF(I164="Option",LCRenewal*H164*D164*(1+GrowthMarketRent)^2,0))))),0))),0)</f>
        <v/>
      </c>
      <c r="AB164" s="14">
        <f>IFERROR(IF(AND(I164="LeaseUp",3=0),(IF(I164="Vacate",TINew*D164,IF(I164="Market",Retention*TIRenewal*D164+(1-Retention)*TINew*D164,IF(I164="LeaseUp",TINew*D164,IF(I164="Option",TIRenewal*D164,0)))))+(IF(I164="Vacate",LCNew*H164*D164*(1+GrowthMarketRent)^3,IF(I164="Market",Retention*LCRenewal*H164*D164*(1+GrowthMarketRent)^3+(1-Retention)*LCNew*H164*D164*(1+GrowthMarketRent)^3,IF(I164="LeaseUp",LCNew*H164*D164*(1+GrowthMarketRent)^3,IF(I164="Option",LCRenewal*H164*D164*(1+GrowthMarketRent)^3,0))))),IF(F164="",0,IF(AND(F164&gt;=DATE(2026+3,5,1),F164&lt;=DATE(2027+3,4,30)),(IF(I164="Vacate",TINew*D164,IF(I164="Market",Retention*TIRenewal*D164+(1-Retention)*TINew*D164,IF(I164="LeaseUp",TINew*D164,IF(I164="Option",TIRenewal*D164,0)))))+(IF(I164="Vacate",LCNew*H164*D164*(1+GrowthMarketRent)^3,IF(I164="Market",Retention*LCRenewal*H164*D164*(1+GrowthMarketRent)^3+(1-Retention)*LCNew*H164*D164*(1+GrowthMarketRent)^3,IF(I164="LeaseUp",LCNew*H164*D164*(1+GrowthMarketRent)^3,IF(I164="Option",LCRenewal*H164*D164*(1+GrowthMarketRent)^3,0))))),0))),0)</f>
        <v/>
      </c>
      <c r="AC164" s="14">
        <f>IFERROR(IF(AND(I164="LeaseUp",4=0),(IF(I164="Vacate",TINew*D164,IF(I164="Market",Retention*TIRenewal*D164+(1-Retention)*TINew*D164,IF(I164="LeaseUp",TINew*D164,IF(I164="Option",TIRenewal*D164,0)))))+(IF(I164="Vacate",LCNew*H164*D164*(1+GrowthMarketRent)^4,IF(I164="Market",Retention*LCRenewal*H164*D164*(1+GrowthMarketRent)^4+(1-Retention)*LCNew*H164*D164*(1+GrowthMarketRent)^4,IF(I164="LeaseUp",LCNew*H164*D164*(1+GrowthMarketRent)^4,IF(I164="Option",LCRenewal*H164*D164*(1+GrowthMarketRent)^4,0))))),IF(F164="",0,IF(AND(F164&gt;=DATE(2026+4,5,1),F164&lt;=DATE(2027+4,4,30)),(IF(I164="Vacate",TINew*D164,IF(I164="Market",Retention*TIRenewal*D164+(1-Retention)*TINew*D164,IF(I164="LeaseUp",TINew*D164,IF(I164="Option",TIRenewal*D164,0)))))+(IF(I164="Vacate",LCNew*H164*D164*(1+GrowthMarketRent)^4,IF(I164="Market",Retention*LCRenewal*H164*D164*(1+GrowthMarketRent)^4+(1-Retention)*LCNew*H164*D164*(1+GrowthMarketRent)^4,IF(I164="LeaseUp",LCNew*H164*D164*(1+GrowthMarketRent)^4,IF(I164="Option",LCRenewal*H164*D164*(1+GrowthMarketRent)^4,0))))),0))),0)</f>
        <v/>
      </c>
      <c r="AD164" s="14">
        <f>IFERROR(IF(AND(I164="LeaseUp",5=0),(IF(I164="Vacate",TINew*D164,IF(I164="Market",Retention*TIRenewal*D164+(1-Retention)*TINew*D164,IF(I164="LeaseUp",TINew*D164,IF(I164="Option",TIRenewal*D164,0)))))+(IF(I164="Vacate",LCNew*H164*D164*(1+GrowthMarketRent)^5,IF(I164="Market",Retention*LCRenewal*H164*D164*(1+GrowthMarketRent)^5+(1-Retention)*LCNew*H164*D164*(1+GrowthMarketRent)^5,IF(I164="LeaseUp",LCNew*H164*D164*(1+GrowthMarketRent)^5,IF(I164="Option",LCRenewal*H164*D164*(1+GrowthMarketRent)^5,0))))),IF(F164="",0,IF(AND(F164&gt;=DATE(2026+5,5,1),F164&lt;=DATE(2027+5,4,30)),(IF(I164="Vacate",TINew*D164,IF(I164="Market",Retention*TIRenewal*D164+(1-Retention)*TINew*D164,IF(I164="LeaseUp",TINew*D164,IF(I164="Option",TIRenewal*D164,0)))))+(IF(I164="Vacate",LCNew*H164*D164*(1+GrowthMarketRent)^5,IF(I164="Market",Retention*LCRenewal*H164*D164*(1+GrowthMarketRent)^5+(1-Retention)*LCNew*H164*D164*(1+GrowthMarketRent)^5,IF(I164="LeaseUp",LCNew*H164*D164*(1+GrowthMarketRent)^5,IF(I164="Option",LCRenewal*H164*D164*(1+GrowthMarketRent)^5,0))))),0))),0)</f>
        <v/>
      </c>
      <c r="AE164" s="14">
        <f>IFERROR(IF(AND(I164="LeaseUp",6=0),(IF(I164="Vacate",TINew*D164,IF(I164="Market",Retention*TIRenewal*D164+(1-Retention)*TINew*D164,IF(I164="LeaseUp",TINew*D164,IF(I164="Option",TIRenewal*D164,0)))))+(IF(I164="Vacate",LCNew*H164*D164*(1+GrowthMarketRent)^6,IF(I164="Market",Retention*LCRenewal*H164*D164*(1+GrowthMarketRent)^6+(1-Retention)*LCNew*H164*D164*(1+GrowthMarketRent)^6,IF(I164="LeaseUp",LCNew*H164*D164*(1+GrowthMarketRent)^6,IF(I164="Option",LCRenewal*H164*D164*(1+GrowthMarketRent)^6,0))))),IF(F164="",0,IF(AND(F164&gt;=DATE(2026+6,5,1),F164&lt;=DATE(2027+6,4,30)),(IF(I164="Vacate",TINew*D164,IF(I164="Market",Retention*TIRenewal*D164+(1-Retention)*TINew*D164,IF(I164="LeaseUp",TINew*D164,IF(I164="Option",TIRenewal*D164,0)))))+(IF(I164="Vacate",LCNew*H164*D164*(1+GrowthMarketRent)^6,IF(I164="Market",Retention*LCRenewal*H164*D164*(1+GrowthMarketRent)^6+(1-Retention)*LCNew*H164*D164*(1+GrowthMarketRent)^6,IF(I164="LeaseUp",LCNew*H164*D164*(1+GrowthMarketRent)^6,IF(I164="Option",LCRenewal*H164*D164*(1+GrowthMarketRent)^6,0))))),0))),0)</f>
        <v/>
      </c>
      <c r="AF164" s="14">
        <f>IFERROR(IF(AND(I164="LeaseUp",7=0),(IF(I164="Vacate",TINew*D164,IF(I164="Market",Retention*TIRenewal*D164+(1-Retention)*TINew*D164,IF(I164="LeaseUp",TINew*D164,IF(I164="Option",TIRenewal*D164,0)))))+(IF(I164="Vacate",LCNew*H164*D164*(1+GrowthMarketRent)^7,IF(I164="Market",Retention*LCRenewal*H164*D164*(1+GrowthMarketRent)^7+(1-Retention)*LCNew*H164*D164*(1+GrowthMarketRent)^7,IF(I164="LeaseUp",LCNew*H164*D164*(1+GrowthMarketRent)^7,IF(I164="Option",LCRenewal*H164*D164*(1+GrowthMarketRent)^7,0))))),IF(F164="",0,IF(AND(F164&gt;=DATE(2026+7,5,1),F164&lt;=DATE(2027+7,4,30)),(IF(I164="Vacate",TINew*D164,IF(I164="Market",Retention*TIRenewal*D164+(1-Retention)*TINew*D164,IF(I164="LeaseUp",TINew*D164,IF(I164="Option",TIRenewal*D164,0)))))+(IF(I164="Vacate",LCNew*H164*D164*(1+GrowthMarketRent)^7,IF(I164="Market",Retention*LCRenewal*H164*D164*(1+GrowthMarketRent)^7+(1-Retention)*LCNew*H164*D164*(1+GrowthMarketRent)^7,IF(I164="LeaseUp",LCNew*H164*D164*(1+GrowthMarketRent)^7,IF(I164="Option",LCRenewal*H164*D164*(1+GrowthMarketRent)^7,0))))),0))),0)</f>
        <v/>
      </c>
      <c r="AG164" s="14">
        <f>IFERROR(IF(AND(I164="LeaseUp",8=0),(IF(I164="Vacate",TINew*D164,IF(I164="Market",Retention*TIRenewal*D164+(1-Retention)*TINew*D164,IF(I164="LeaseUp",TINew*D164,IF(I164="Option",TIRenewal*D164,0)))))+(IF(I164="Vacate",LCNew*H164*D164*(1+GrowthMarketRent)^8,IF(I164="Market",Retention*LCRenewal*H164*D164*(1+GrowthMarketRent)^8+(1-Retention)*LCNew*H164*D164*(1+GrowthMarketRent)^8,IF(I164="LeaseUp",LCNew*H164*D164*(1+GrowthMarketRent)^8,IF(I164="Option",LCRenewal*H164*D164*(1+GrowthMarketRent)^8,0))))),IF(F164="",0,IF(AND(F164&gt;=DATE(2026+8,5,1),F164&lt;=DATE(2027+8,4,30)),(IF(I164="Vacate",TINew*D164,IF(I164="Market",Retention*TIRenewal*D164+(1-Retention)*TINew*D164,IF(I164="LeaseUp",TINew*D164,IF(I164="Option",TIRenewal*D164,0)))))+(IF(I164="Vacate",LCNew*H164*D164*(1+GrowthMarketRent)^8,IF(I164="Market",Retention*LCRenewal*H164*D164*(1+GrowthMarketRent)^8+(1-Retention)*LCNew*H164*D164*(1+GrowthMarketRent)^8,IF(I164="LeaseUp",LCNew*H164*D164*(1+GrowthMarketRent)^8,IF(I164="Option",LCRenewal*H164*D164*(1+GrowthMarketRent)^8,0))))),0))),0)</f>
        <v/>
      </c>
      <c r="AH164" s="14">
        <f>IFERROR(IF(AND(I164="LeaseUp",9=0),(IF(I164="Vacate",TINew*D164,IF(I164="Market",Retention*TIRenewal*D164+(1-Retention)*TINew*D164,IF(I164="LeaseUp",TINew*D164,IF(I164="Option",TIRenewal*D164,0)))))+(IF(I164="Vacate",LCNew*H164*D164*(1+GrowthMarketRent)^9,IF(I164="Market",Retention*LCRenewal*H164*D164*(1+GrowthMarketRent)^9+(1-Retention)*LCNew*H164*D164*(1+GrowthMarketRent)^9,IF(I164="LeaseUp",LCNew*H164*D164*(1+GrowthMarketRent)^9,IF(I164="Option",LCRenewal*H164*D164*(1+GrowthMarketRent)^9,0))))),IF(F164="",0,IF(AND(F164&gt;=DATE(2026+9,5,1),F164&lt;=DATE(2027+9,4,30)),(IF(I164="Vacate",TINew*D164,IF(I164="Market",Retention*TIRenewal*D164+(1-Retention)*TINew*D164,IF(I164="LeaseUp",TINew*D164,IF(I164="Option",TIRenewal*D164,0)))))+(IF(I164="Vacate",LCNew*H164*D164*(1+GrowthMarketRent)^9,IF(I164="Market",Retention*LCRenewal*H164*D164*(1+GrowthMarketRent)^9+(1-Retention)*LCNew*H164*D164*(1+GrowthMarketRent)^9,IF(I164="LeaseUp",LCNew*H164*D164*(1+GrowthMarketRent)^9,IF(I164="Option",LCRenewal*H164*D164*(1+GrowthMarketRent)^9,0))))),0))),0)</f>
        <v/>
      </c>
      <c r="AI164" s="14">
        <f>IFERROR(IF(AND(I164="LeaseUp",10=0),(IF(I164="Vacate",TINew*D164,IF(I164="Market",Retention*TIRenewal*D164+(1-Retention)*TINew*D164,IF(I164="LeaseUp",TINew*D164,IF(I164="Option",TIRenewal*D164,0)))))+(IF(I164="Vacate",LCNew*H164*D164*(1+GrowthMarketRent)^10,IF(I164="Market",Retention*LCRenewal*H164*D164*(1+GrowthMarketRent)^10+(1-Retention)*LCNew*H164*D164*(1+GrowthMarketRent)^10,IF(I164="LeaseUp",LCNew*H164*D164*(1+GrowthMarketRent)^10,IF(I164="Option",LCRenewal*H164*D164*(1+GrowthMarketRent)^10,0))))),IF(F164="",0,IF(AND(F164&gt;=DATE(2026+10,5,1),F164&lt;=DATE(2027+10,4,30)),(IF(I164="Vacate",TINew*D164,IF(I164="Market",Retention*TIRenewal*D164+(1-Retention)*TINew*D164,IF(I164="LeaseUp",TINew*D164,IF(I164="Option",TIRenewal*D164,0)))))+(IF(I164="Vacate",LCNew*H164*D164*(1+GrowthMarketRent)^10,IF(I164="Market",Retention*LCRenewal*H164*D164*(1+GrowthMarketRent)^10+(1-Retention)*LCNew*H164*D164*(1+GrowthMarketRent)^10,IF(I164="LeaseUp",LCNew*H164*D164*(1+GrowthMarketRent)^10,IF(I164="Option",LCRenewal*H164*D164*(1+GrowthMarketRent)^10,0))))),0))),0)</f>
        <v/>
      </c>
    </row>
    <row r="165">
      <c r="A165" t="inlineStr">
        <is>
          <t>Plano</t>
        </is>
      </c>
      <c r="B165" t="inlineStr">
        <is>
          <t>306</t>
        </is>
      </c>
      <c r="C165" t="inlineStr">
        <is>
          <t>Big D Mechanical LLC</t>
        </is>
      </c>
      <c r="D165" s="32" t="n">
        <v>2600</v>
      </c>
      <c r="E165" s="33" t="n">
        <v>44958</v>
      </c>
      <c r="F165" s="33" t="n">
        <v>46388</v>
      </c>
      <c r="G165" s="34" t="n">
        <v>15.0765384615385</v>
      </c>
      <c r="H165" s="16">
        <f>VLOOKUP(A165,MLA!$A$5:$L$11,3,FALSE)</f>
        <v/>
      </c>
      <c r="I165" s="11" t="inlineStr">
        <is>
          <t>Option</t>
        </is>
      </c>
      <c r="J165" t="inlineStr">
        <is>
          <t>Shop</t>
        </is>
      </c>
      <c r="K165" t="inlineStr">
        <is>
          <t>Occupied</t>
        </is>
      </c>
      <c r="L165" t="inlineStr">
        <is>
          <t>Shop; Guarantor: Zach Dallman; Two 3yr options @ 102.5%</t>
        </is>
      </c>
      <c r="M165" s="20">
        <f>IF(E165="",0,(AnalysisStart-E165)/365.25)</f>
        <v/>
      </c>
      <c r="N165" s="14">
        <f>IFERROR(IF(I165="LeaseUp",H165*D165*(1+GrowthMarketRent)^0*IF(0=0,(12-DowntimeNew)/12,1),IF(F165="",0,IF(F165&gt;=DATE(2027+0,4,30),G165*D165*(1+EscalatorInLease)^(0+M165),IF(F165&lt;DATE(2026+0,5,1),IF(I165="Vacate",H165*D165*(1+GrowthMarketRent)^0*IF(INT((DATE(2026+0,10,31)-F165)/365.25)=0,(12-DowntimeNew)/12,1),IF(I165="Option",G165*D165*1.025*(1+EscalatorInLease)^0,IF(I165="Market",Retention*G165*D165*(1+EscalatorInLease)^(0+M165)+(1-Retention)*H165*D165*(1+GrowthMarketRent)^0*IF(INT((DATE(2026+0,10,31)-F165)/365.25)=0,(12-DowntimeNew)/12,1),IF(I165="LeaseUp",H165*D165*(1+GrowthMarketRent)^0*IF(0=0,(12-DowntimeNew)/12,1),0)))),((F165-DATE(2026+0,5,1))/365.25)*G165*D165*(1+EscalatorInLease)^(0+M165)+((DATE(2027+0,4,30)-F165)/365.25)*IF(I165="Vacate",H165*D165*(1+GrowthMarketRent)^0*IF(INT((DATE(2026+0,10,31)-F165)/365.25)=0,(12-DowntimeNew)/12,1),IF(I165="Option",G165*D165*1.025*(1+EscalatorInLease)^0,IF(I165="Market",Retention*G165*D165*(1+EscalatorInLease)^(0+M165)+(1-Retention)*H165*D165*(1+GrowthMarketRent)^0*IF(INT((DATE(2026+0,10,31)-F165)/365.25)=0,(12-DowntimeNew)/12,1),IF(I165="LeaseUp",H165*D165*(1+GrowthMarketRent)^0*IF(0=0,(12-DowntimeNew)/12,1),0)))))))),0)</f>
        <v/>
      </c>
      <c r="O165" s="14">
        <f>IFERROR(IF(I165="LeaseUp",H165*D165*(1+GrowthMarketRent)^1*IF(1=0,(12-DowntimeNew)/12,1),IF(F165="",0,IF(F165&gt;=DATE(2027+1,4,30),G165*D165*(1+EscalatorInLease)^(1+M165),IF(F165&lt;DATE(2026+1,5,1),IF(I165="Vacate",H165*D165*(1+GrowthMarketRent)^1*IF(INT((DATE(2026+1,10,31)-F165)/365.25)=0,(12-DowntimeNew)/12,1),IF(I165="Option",G165*D165*1.025*(1+EscalatorInLease)^1,IF(I165="Market",Retention*G165*D165*(1+EscalatorInLease)^(1+M165)+(1-Retention)*H165*D165*(1+GrowthMarketRent)^1*IF(INT((DATE(2026+1,10,31)-F165)/365.25)=0,(12-DowntimeNew)/12,1),IF(I165="LeaseUp",H165*D165*(1+GrowthMarketRent)^1*IF(1=0,(12-DowntimeNew)/12,1),0)))),((F165-DATE(2026+1,5,1))/365.25)*G165*D165*(1+EscalatorInLease)^(1+M165)+((DATE(2027+1,4,30)-F165)/365.25)*IF(I165="Vacate",H165*D165*(1+GrowthMarketRent)^1*IF(INT((DATE(2026+1,10,31)-F165)/365.25)=0,(12-DowntimeNew)/12,1),IF(I165="Option",G165*D165*1.025*(1+EscalatorInLease)^1,IF(I165="Market",Retention*G165*D165*(1+EscalatorInLease)^(1+M165)+(1-Retention)*H165*D165*(1+GrowthMarketRent)^1*IF(INT((DATE(2026+1,10,31)-F165)/365.25)=0,(12-DowntimeNew)/12,1),IF(I165="LeaseUp",H165*D165*(1+GrowthMarketRent)^1*IF(1=0,(12-DowntimeNew)/12,1),0)))))))),0)</f>
        <v/>
      </c>
      <c r="P165" s="14">
        <f>IFERROR(IF(I165="LeaseUp",H165*D165*(1+GrowthMarketRent)^2*IF(2=0,(12-DowntimeNew)/12,1),IF(F165="",0,IF(F165&gt;=DATE(2027+2,4,30),G165*D165*(1+EscalatorInLease)^(2+M165),IF(F165&lt;DATE(2026+2,5,1),IF(I165="Vacate",H165*D165*(1+GrowthMarketRent)^2*IF(INT((DATE(2026+2,10,31)-F165)/365.25)=0,(12-DowntimeNew)/12,1),IF(I165="Option",G165*D165*1.025*(1+EscalatorInLease)^2,IF(I165="Market",Retention*G165*D165*(1+EscalatorInLease)^(2+M165)+(1-Retention)*H165*D165*(1+GrowthMarketRent)^2*IF(INT((DATE(2026+2,10,31)-F165)/365.25)=0,(12-DowntimeNew)/12,1),IF(I165="LeaseUp",H165*D165*(1+GrowthMarketRent)^2*IF(2=0,(12-DowntimeNew)/12,1),0)))),((F165-DATE(2026+2,5,1))/365.25)*G165*D165*(1+EscalatorInLease)^(2+M165)+((DATE(2027+2,4,30)-F165)/365.25)*IF(I165="Vacate",H165*D165*(1+GrowthMarketRent)^2*IF(INT((DATE(2026+2,10,31)-F165)/365.25)=0,(12-DowntimeNew)/12,1),IF(I165="Option",G165*D165*1.025*(1+EscalatorInLease)^2,IF(I165="Market",Retention*G165*D165*(1+EscalatorInLease)^(2+M165)+(1-Retention)*H165*D165*(1+GrowthMarketRent)^2*IF(INT((DATE(2026+2,10,31)-F165)/365.25)=0,(12-DowntimeNew)/12,1),IF(I165="LeaseUp",H165*D165*(1+GrowthMarketRent)^2*IF(2=0,(12-DowntimeNew)/12,1),0)))))))),0)</f>
        <v/>
      </c>
      <c r="Q165" s="14">
        <f>IFERROR(IF(I165="LeaseUp",H165*D165*(1+GrowthMarketRent)^3*IF(3=0,(12-DowntimeNew)/12,1),IF(F165="",0,IF(F165&gt;=DATE(2027+3,4,30),G165*D165*(1+EscalatorInLease)^(3+M165),IF(F165&lt;DATE(2026+3,5,1),IF(I165="Vacate",H165*D165*(1+GrowthMarketRent)^3*IF(INT((DATE(2026+3,10,31)-F165)/365.25)=0,(12-DowntimeNew)/12,1),IF(I165="Option",G165*D165*1.025*(1+EscalatorInLease)^3,IF(I165="Market",Retention*G165*D165*(1+EscalatorInLease)^(3+M165)+(1-Retention)*H165*D165*(1+GrowthMarketRent)^3*IF(INT((DATE(2026+3,10,31)-F165)/365.25)=0,(12-DowntimeNew)/12,1),IF(I165="LeaseUp",H165*D165*(1+GrowthMarketRent)^3*IF(3=0,(12-DowntimeNew)/12,1),0)))),((F165-DATE(2026+3,5,1))/365.25)*G165*D165*(1+EscalatorInLease)^(3+M165)+((DATE(2027+3,4,30)-F165)/365.25)*IF(I165="Vacate",H165*D165*(1+GrowthMarketRent)^3*IF(INT((DATE(2026+3,10,31)-F165)/365.25)=0,(12-DowntimeNew)/12,1),IF(I165="Option",G165*D165*1.025*(1+EscalatorInLease)^3,IF(I165="Market",Retention*G165*D165*(1+EscalatorInLease)^(3+M165)+(1-Retention)*H165*D165*(1+GrowthMarketRent)^3*IF(INT((DATE(2026+3,10,31)-F165)/365.25)=0,(12-DowntimeNew)/12,1),IF(I165="LeaseUp",H165*D165*(1+GrowthMarketRent)^3*IF(3=0,(12-DowntimeNew)/12,1),0)))))))),0)</f>
        <v/>
      </c>
      <c r="R165" s="14">
        <f>IFERROR(IF(I165="LeaseUp",H165*D165*(1+GrowthMarketRent)^4*IF(4=0,(12-DowntimeNew)/12,1),IF(F165="",0,IF(F165&gt;=DATE(2027+4,4,30),G165*D165*(1+EscalatorInLease)^(4+M165),IF(F165&lt;DATE(2026+4,5,1),IF(I165="Vacate",H165*D165*(1+GrowthMarketRent)^4*IF(INT((DATE(2026+4,10,31)-F165)/365.25)=0,(12-DowntimeNew)/12,1),IF(I165="Option",G165*D165*1.025*(1+EscalatorInLease)^4,IF(I165="Market",Retention*G165*D165*(1+EscalatorInLease)^(4+M165)+(1-Retention)*H165*D165*(1+GrowthMarketRent)^4*IF(INT((DATE(2026+4,10,31)-F165)/365.25)=0,(12-DowntimeNew)/12,1),IF(I165="LeaseUp",H165*D165*(1+GrowthMarketRent)^4*IF(4=0,(12-DowntimeNew)/12,1),0)))),((F165-DATE(2026+4,5,1))/365.25)*G165*D165*(1+EscalatorInLease)^(4+M165)+((DATE(2027+4,4,30)-F165)/365.25)*IF(I165="Vacate",H165*D165*(1+GrowthMarketRent)^4*IF(INT((DATE(2026+4,10,31)-F165)/365.25)=0,(12-DowntimeNew)/12,1),IF(I165="Option",G165*D165*1.025*(1+EscalatorInLease)^4,IF(I165="Market",Retention*G165*D165*(1+EscalatorInLease)^(4+M165)+(1-Retention)*H165*D165*(1+GrowthMarketRent)^4*IF(INT((DATE(2026+4,10,31)-F165)/365.25)=0,(12-DowntimeNew)/12,1),IF(I165="LeaseUp",H165*D165*(1+GrowthMarketRent)^4*IF(4=0,(12-DowntimeNew)/12,1),0)))))))),0)</f>
        <v/>
      </c>
      <c r="S165" s="14">
        <f>IFERROR(IF(I165="LeaseUp",H165*D165*(1+GrowthMarketRent)^5*IF(5=0,(12-DowntimeNew)/12,1),IF(F165="",0,IF(F165&gt;=DATE(2027+5,4,30),G165*D165*(1+EscalatorInLease)^(5+M165),IF(F165&lt;DATE(2026+5,5,1),IF(I165="Vacate",H165*D165*(1+GrowthMarketRent)^5*IF(INT((DATE(2026+5,10,31)-F165)/365.25)=0,(12-DowntimeNew)/12,1),IF(I165="Option",G165*D165*1.025*(1+EscalatorInLease)^5,IF(I165="Market",Retention*G165*D165*(1+EscalatorInLease)^(5+M165)+(1-Retention)*H165*D165*(1+GrowthMarketRent)^5*IF(INT((DATE(2026+5,10,31)-F165)/365.25)=0,(12-DowntimeNew)/12,1),IF(I165="LeaseUp",H165*D165*(1+GrowthMarketRent)^5*IF(5=0,(12-DowntimeNew)/12,1),0)))),((F165-DATE(2026+5,5,1))/365.25)*G165*D165*(1+EscalatorInLease)^(5+M165)+((DATE(2027+5,4,30)-F165)/365.25)*IF(I165="Vacate",H165*D165*(1+GrowthMarketRent)^5*IF(INT((DATE(2026+5,10,31)-F165)/365.25)=0,(12-DowntimeNew)/12,1),IF(I165="Option",G165*D165*1.025*(1+EscalatorInLease)^5,IF(I165="Market",Retention*G165*D165*(1+EscalatorInLease)^(5+M165)+(1-Retention)*H165*D165*(1+GrowthMarketRent)^5*IF(INT((DATE(2026+5,10,31)-F165)/365.25)=0,(12-DowntimeNew)/12,1),IF(I165="LeaseUp",H165*D165*(1+GrowthMarketRent)^5*IF(5=0,(12-DowntimeNew)/12,1),0)))))))),0)</f>
        <v/>
      </c>
      <c r="T165" s="14">
        <f>IFERROR(IF(I165="LeaseUp",H165*D165*(1+GrowthMarketRent)^6*IF(6=0,(12-DowntimeNew)/12,1),IF(F165="",0,IF(F165&gt;=DATE(2027+6,4,30),G165*D165*(1+EscalatorInLease)^(6+M165),IF(F165&lt;DATE(2026+6,5,1),IF(I165="Vacate",H165*D165*(1+GrowthMarketRent)^6*IF(INT((DATE(2026+6,10,31)-F165)/365.25)=0,(12-DowntimeNew)/12,1),IF(I165="Option",G165*D165*1.025*(1+EscalatorInLease)^6,IF(I165="Market",Retention*G165*D165*(1+EscalatorInLease)^(6+M165)+(1-Retention)*H165*D165*(1+GrowthMarketRent)^6*IF(INT((DATE(2026+6,10,31)-F165)/365.25)=0,(12-DowntimeNew)/12,1),IF(I165="LeaseUp",H165*D165*(1+GrowthMarketRent)^6*IF(6=0,(12-DowntimeNew)/12,1),0)))),((F165-DATE(2026+6,5,1))/365.25)*G165*D165*(1+EscalatorInLease)^(6+M165)+((DATE(2027+6,4,30)-F165)/365.25)*IF(I165="Vacate",H165*D165*(1+GrowthMarketRent)^6*IF(INT((DATE(2026+6,10,31)-F165)/365.25)=0,(12-DowntimeNew)/12,1),IF(I165="Option",G165*D165*1.025*(1+EscalatorInLease)^6,IF(I165="Market",Retention*G165*D165*(1+EscalatorInLease)^(6+M165)+(1-Retention)*H165*D165*(1+GrowthMarketRent)^6*IF(INT((DATE(2026+6,10,31)-F165)/365.25)=0,(12-DowntimeNew)/12,1),IF(I165="LeaseUp",H165*D165*(1+GrowthMarketRent)^6*IF(6=0,(12-DowntimeNew)/12,1),0)))))))),0)</f>
        <v/>
      </c>
      <c r="U165" s="14">
        <f>IFERROR(IF(I165="LeaseUp",H165*D165*(1+GrowthMarketRent)^7*IF(7=0,(12-DowntimeNew)/12,1),IF(F165="",0,IF(F165&gt;=DATE(2027+7,4,30),G165*D165*(1+EscalatorInLease)^(7+M165),IF(F165&lt;DATE(2026+7,5,1),IF(I165="Vacate",H165*D165*(1+GrowthMarketRent)^7*IF(INT((DATE(2026+7,10,31)-F165)/365.25)=0,(12-DowntimeNew)/12,1),IF(I165="Option",G165*D165*1.025*(1+EscalatorInLease)^7,IF(I165="Market",Retention*G165*D165*(1+EscalatorInLease)^(7+M165)+(1-Retention)*H165*D165*(1+GrowthMarketRent)^7*IF(INT((DATE(2026+7,10,31)-F165)/365.25)=0,(12-DowntimeNew)/12,1),IF(I165="LeaseUp",H165*D165*(1+GrowthMarketRent)^7*IF(7=0,(12-DowntimeNew)/12,1),0)))),((F165-DATE(2026+7,5,1))/365.25)*G165*D165*(1+EscalatorInLease)^(7+M165)+((DATE(2027+7,4,30)-F165)/365.25)*IF(I165="Vacate",H165*D165*(1+GrowthMarketRent)^7*IF(INT((DATE(2026+7,10,31)-F165)/365.25)=0,(12-DowntimeNew)/12,1),IF(I165="Option",G165*D165*1.025*(1+EscalatorInLease)^7,IF(I165="Market",Retention*G165*D165*(1+EscalatorInLease)^(7+M165)+(1-Retention)*H165*D165*(1+GrowthMarketRent)^7*IF(INT((DATE(2026+7,10,31)-F165)/365.25)=0,(12-DowntimeNew)/12,1),IF(I165="LeaseUp",H165*D165*(1+GrowthMarketRent)^7*IF(7=0,(12-DowntimeNew)/12,1),0)))))))),0)</f>
        <v/>
      </c>
      <c r="V165" s="14">
        <f>IFERROR(IF(I165="LeaseUp",H165*D165*(1+GrowthMarketRent)^8*IF(8=0,(12-DowntimeNew)/12,1),IF(F165="",0,IF(F165&gt;=DATE(2027+8,4,30),G165*D165*(1+EscalatorInLease)^(8+M165),IF(F165&lt;DATE(2026+8,5,1),IF(I165="Vacate",H165*D165*(1+GrowthMarketRent)^8*IF(INT((DATE(2026+8,10,31)-F165)/365.25)=0,(12-DowntimeNew)/12,1),IF(I165="Option",G165*D165*1.025*(1+EscalatorInLease)^8,IF(I165="Market",Retention*G165*D165*(1+EscalatorInLease)^(8+M165)+(1-Retention)*H165*D165*(1+GrowthMarketRent)^8*IF(INT((DATE(2026+8,10,31)-F165)/365.25)=0,(12-DowntimeNew)/12,1),IF(I165="LeaseUp",H165*D165*(1+GrowthMarketRent)^8*IF(8=0,(12-DowntimeNew)/12,1),0)))),((F165-DATE(2026+8,5,1))/365.25)*G165*D165*(1+EscalatorInLease)^(8+M165)+((DATE(2027+8,4,30)-F165)/365.25)*IF(I165="Vacate",H165*D165*(1+GrowthMarketRent)^8*IF(INT((DATE(2026+8,10,31)-F165)/365.25)=0,(12-DowntimeNew)/12,1),IF(I165="Option",G165*D165*1.025*(1+EscalatorInLease)^8,IF(I165="Market",Retention*G165*D165*(1+EscalatorInLease)^(8+M165)+(1-Retention)*H165*D165*(1+GrowthMarketRent)^8*IF(INT((DATE(2026+8,10,31)-F165)/365.25)=0,(12-DowntimeNew)/12,1),IF(I165="LeaseUp",H165*D165*(1+GrowthMarketRent)^8*IF(8=0,(12-DowntimeNew)/12,1),0)))))))),0)</f>
        <v/>
      </c>
      <c r="W165" s="14">
        <f>IFERROR(IF(I165="LeaseUp",H165*D165*(1+GrowthMarketRent)^9*IF(9=0,(12-DowntimeNew)/12,1),IF(F165="",0,IF(F165&gt;=DATE(2027+9,4,30),G165*D165*(1+EscalatorInLease)^(9+M165),IF(F165&lt;DATE(2026+9,5,1),IF(I165="Vacate",H165*D165*(1+GrowthMarketRent)^9*IF(INT((DATE(2026+9,10,31)-F165)/365.25)=0,(12-DowntimeNew)/12,1),IF(I165="Option",G165*D165*1.025*(1+EscalatorInLease)^9,IF(I165="Market",Retention*G165*D165*(1+EscalatorInLease)^(9+M165)+(1-Retention)*H165*D165*(1+GrowthMarketRent)^9*IF(INT((DATE(2026+9,10,31)-F165)/365.25)=0,(12-DowntimeNew)/12,1),IF(I165="LeaseUp",H165*D165*(1+GrowthMarketRent)^9*IF(9=0,(12-DowntimeNew)/12,1),0)))),((F165-DATE(2026+9,5,1))/365.25)*G165*D165*(1+EscalatorInLease)^(9+M165)+((DATE(2027+9,4,30)-F165)/365.25)*IF(I165="Vacate",H165*D165*(1+GrowthMarketRent)^9*IF(INT((DATE(2026+9,10,31)-F165)/365.25)=0,(12-DowntimeNew)/12,1),IF(I165="Option",G165*D165*1.025*(1+EscalatorInLease)^9,IF(I165="Market",Retention*G165*D165*(1+EscalatorInLease)^(9+M165)+(1-Retention)*H165*D165*(1+GrowthMarketRent)^9*IF(INT((DATE(2026+9,10,31)-F165)/365.25)=0,(12-DowntimeNew)/12,1),IF(I165="LeaseUp",H165*D165*(1+GrowthMarketRent)^9*IF(9=0,(12-DowntimeNew)/12,1),0)))))))),0)</f>
        <v/>
      </c>
      <c r="X165" s="14">
        <f>IFERROR(IF(I165="LeaseUp",H165*D165*(1+GrowthMarketRent)^10*IF(10=0,(12-DowntimeNew)/12,1),IF(F165="",0,IF(F165&gt;=DATE(2027+10,4,30),G165*D165*(1+EscalatorInLease)^(10+M165),IF(F165&lt;DATE(2026+10,5,1),IF(I165="Vacate",H165*D165*(1+GrowthMarketRent)^10*IF(INT((DATE(2026+10,10,31)-F165)/365.25)=0,(12-DowntimeNew)/12,1),IF(I165="Option",G165*D165*1.025*(1+EscalatorInLease)^10,IF(I165="Market",Retention*G165*D165*(1+EscalatorInLease)^(10+M165)+(1-Retention)*H165*D165*(1+GrowthMarketRent)^10*IF(INT((DATE(2026+10,10,31)-F165)/365.25)=0,(12-DowntimeNew)/12,1),IF(I165="LeaseUp",H165*D165*(1+GrowthMarketRent)^10*IF(10=0,(12-DowntimeNew)/12,1),0)))),((F165-DATE(2026+10,5,1))/365.25)*G165*D165*(1+EscalatorInLease)^(10+M165)+((DATE(2027+10,4,30)-F165)/365.25)*IF(I165="Vacate",H165*D165*(1+GrowthMarketRent)^10*IF(INT((DATE(2026+10,10,31)-F165)/365.25)=0,(12-DowntimeNew)/12,1),IF(I165="Option",G165*D165*1.025*(1+EscalatorInLease)^10,IF(I165="Market",Retention*G165*D165*(1+EscalatorInLease)^(10+M165)+(1-Retention)*H165*D165*(1+GrowthMarketRent)^10*IF(INT((DATE(2026+10,10,31)-F165)/365.25)=0,(12-DowntimeNew)/12,1),IF(I165="LeaseUp",H165*D165*(1+GrowthMarketRent)^10*IF(10=0,(12-DowntimeNew)/12,1),0)))))))),0)</f>
        <v/>
      </c>
      <c r="Y165" s="14">
        <f>IFERROR(IF(AND(I165="LeaseUp",0=0),(IF(I165="Vacate",TINew*D165,IF(I165="Market",Retention*TIRenewal*D165+(1-Retention)*TINew*D165,IF(I165="LeaseUp",TINew*D165,IF(I165="Option",TIRenewal*D165,0)))))+(IF(I165="Vacate",LCNew*H165*D165*(1+GrowthMarketRent)^0,IF(I165="Market",Retention*LCRenewal*H165*D165*(1+GrowthMarketRent)^0+(1-Retention)*LCNew*H165*D165*(1+GrowthMarketRent)^0,IF(I165="LeaseUp",LCNew*H165*D165*(1+GrowthMarketRent)^0,IF(I165="Option",LCRenewal*H165*D165*(1+GrowthMarketRent)^0,0))))),IF(F165="",0,IF(AND(F165&gt;=DATE(2026+0,5,1),F165&lt;=DATE(2027+0,4,30)),(IF(I165="Vacate",TINew*D165,IF(I165="Market",Retention*TIRenewal*D165+(1-Retention)*TINew*D165,IF(I165="LeaseUp",TINew*D165,IF(I165="Option",TIRenewal*D165,0)))))+(IF(I165="Vacate",LCNew*H165*D165*(1+GrowthMarketRent)^0,IF(I165="Market",Retention*LCRenewal*H165*D165*(1+GrowthMarketRent)^0+(1-Retention)*LCNew*H165*D165*(1+GrowthMarketRent)^0,IF(I165="LeaseUp",LCNew*H165*D165*(1+GrowthMarketRent)^0,IF(I165="Option",LCRenewal*H165*D165*(1+GrowthMarketRent)^0,0))))),0))),0)</f>
        <v/>
      </c>
      <c r="Z165" s="14">
        <f>IFERROR(IF(AND(I165="LeaseUp",1=0),(IF(I165="Vacate",TINew*D165,IF(I165="Market",Retention*TIRenewal*D165+(1-Retention)*TINew*D165,IF(I165="LeaseUp",TINew*D165,IF(I165="Option",TIRenewal*D165,0)))))+(IF(I165="Vacate",LCNew*H165*D165*(1+GrowthMarketRent)^1,IF(I165="Market",Retention*LCRenewal*H165*D165*(1+GrowthMarketRent)^1+(1-Retention)*LCNew*H165*D165*(1+GrowthMarketRent)^1,IF(I165="LeaseUp",LCNew*H165*D165*(1+GrowthMarketRent)^1,IF(I165="Option",LCRenewal*H165*D165*(1+GrowthMarketRent)^1,0))))),IF(F165="",0,IF(AND(F165&gt;=DATE(2026+1,5,1),F165&lt;=DATE(2027+1,4,30)),(IF(I165="Vacate",TINew*D165,IF(I165="Market",Retention*TIRenewal*D165+(1-Retention)*TINew*D165,IF(I165="LeaseUp",TINew*D165,IF(I165="Option",TIRenewal*D165,0)))))+(IF(I165="Vacate",LCNew*H165*D165*(1+GrowthMarketRent)^1,IF(I165="Market",Retention*LCRenewal*H165*D165*(1+GrowthMarketRent)^1+(1-Retention)*LCNew*H165*D165*(1+GrowthMarketRent)^1,IF(I165="LeaseUp",LCNew*H165*D165*(1+GrowthMarketRent)^1,IF(I165="Option",LCRenewal*H165*D165*(1+GrowthMarketRent)^1,0))))),0))),0)</f>
        <v/>
      </c>
      <c r="AA165" s="14">
        <f>IFERROR(IF(AND(I165="LeaseUp",2=0),(IF(I165="Vacate",TINew*D165,IF(I165="Market",Retention*TIRenewal*D165+(1-Retention)*TINew*D165,IF(I165="LeaseUp",TINew*D165,IF(I165="Option",TIRenewal*D165,0)))))+(IF(I165="Vacate",LCNew*H165*D165*(1+GrowthMarketRent)^2,IF(I165="Market",Retention*LCRenewal*H165*D165*(1+GrowthMarketRent)^2+(1-Retention)*LCNew*H165*D165*(1+GrowthMarketRent)^2,IF(I165="LeaseUp",LCNew*H165*D165*(1+GrowthMarketRent)^2,IF(I165="Option",LCRenewal*H165*D165*(1+GrowthMarketRent)^2,0))))),IF(F165="",0,IF(AND(F165&gt;=DATE(2026+2,5,1),F165&lt;=DATE(2027+2,4,30)),(IF(I165="Vacate",TINew*D165,IF(I165="Market",Retention*TIRenewal*D165+(1-Retention)*TINew*D165,IF(I165="LeaseUp",TINew*D165,IF(I165="Option",TIRenewal*D165,0)))))+(IF(I165="Vacate",LCNew*H165*D165*(1+GrowthMarketRent)^2,IF(I165="Market",Retention*LCRenewal*H165*D165*(1+GrowthMarketRent)^2+(1-Retention)*LCNew*H165*D165*(1+GrowthMarketRent)^2,IF(I165="LeaseUp",LCNew*H165*D165*(1+GrowthMarketRent)^2,IF(I165="Option",LCRenewal*H165*D165*(1+GrowthMarketRent)^2,0))))),0))),0)</f>
        <v/>
      </c>
      <c r="AB165" s="14">
        <f>IFERROR(IF(AND(I165="LeaseUp",3=0),(IF(I165="Vacate",TINew*D165,IF(I165="Market",Retention*TIRenewal*D165+(1-Retention)*TINew*D165,IF(I165="LeaseUp",TINew*D165,IF(I165="Option",TIRenewal*D165,0)))))+(IF(I165="Vacate",LCNew*H165*D165*(1+GrowthMarketRent)^3,IF(I165="Market",Retention*LCRenewal*H165*D165*(1+GrowthMarketRent)^3+(1-Retention)*LCNew*H165*D165*(1+GrowthMarketRent)^3,IF(I165="LeaseUp",LCNew*H165*D165*(1+GrowthMarketRent)^3,IF(I165="Option",LCRenewal*H165*D165*(1+GrowthMarketRent)^3,0))))),IF(F165="",0,IF(AND(F165&gt;=DATE(2026+3,5,1),F165&lt;=DATE(2027+3,4,30)),(IF(I165="Vacate",TINew*D165,IF(I165="Market",Retention*TIRenewal*D165+(1-Retention)*TINew*D165,IF(I165="LeaseUp",TINew*D165,IF(I165="Option",TIRenewal*D165,0)))))+(IF(I165="Vacate",LCNew*H165*D165*(1+GrowthMarketRent)^3,IF(I165="Market",Retention*LCRenewal*H165*D165*(1+GrowthMarketRent)^3+(1-Retention)*LCNew*H165*D165*(1+GrowthMarketRent)^3,IF(I165="LeaseUp",LCNew*H165*D165*(1+GrowthMarketRent)^3,IF(I165="Option",LCRenewal*H165*D165*(1+GrowthMarketRent)^3,0))))),0))),0)</f>
        <v/>
      </c>
      <c r="AC165" s="14">
        <f>IFERROR(IF(AND(I165="LeaseUp",4=0),(IF(I165="Vacate",TINew*D165,IF(I165="Market",Retention*TIRenewal*D165+(1-Retention)*TINew*D165,IF(I165="LeaseUp",TINew*D165,IF(I165="Option",TIRenewal*D165,0)))))+(IF(I165="Vacate",LCNew*H165*D165*(1+GrowthMarketRent)^4,IF(I165="Market",Retention*LCRenewal*H165*D165*(1+GrowthMarketRent)^4+(1-Retention)*LCNew*H165*D165*(1+GrowthMarketRent)^4,IF(I165="LeaseUp",LCNew*H165*D165*(1+GrowthMarketRent)^4,IF(I165="Option",LCRenewal*H165*D165*(1+GrowthMarketRent)^4,0))))),IF(F165="",0,IF(AND(F165&gt;=DATE(2026+4,5,1),F165&lt;=DATE(2027+4,4,30)),(IF(I165="Vacate",TINew*D165,IF(I165="Market",Retention*TIRenewal*D165+(1-Retention)*TINew*D165,IF(I165="LeaseUp",TINew*D165,IF(I165="Option",TIRenewal*D165,0)))))+(IF(I165="Vacate",LCNew*H165*D165*(1+GrowthMarketRent)^4,IF(I165="Market",Retention*LCRenewal*H165*D165*(1+GrowthMarketRent)^4+(1-Retention)*LCNew*H165*D165*(1+GrowthMarketRent)^4,IF(I165="LeaseUp",LCNew*H165*D165*(1+GrowthMarketRent)^4,IF(I165="Option",LCRenewal*H165*D165*(1+GrowthMarketRent)^4,0))))),0))),0)</f>
        <v/>
      </c>
      <c r="AD165" s="14">
        <f>IFERROR(IF(AND(I165="LeaseUp",5=0),(IF(I165="Vacate",TINew*D165,IF(I165="Market",Retention*TIRenewal*D165+(1-Retention)*TINew*D165,IF(I165="LeaseUp",TINew*D165,IF(I165="Option",TIRenewal*D165,0)))))+(IF(I165="Vacate",LCNew*H165*D165*(1+GrowthMarketRent)^5,IF(I165="Market",Retention*LCRenewal*H165*D165*(1+GrowthMarketRent)^5+(1-Retention)*LCNew*H165*D165*(1+GrowthMarketRent)^5,IF(I165="LeaseUp",LCNew*H165*D165*(1+GrowthMarketRent)^5,IF(I165="Option",LCRenewal*H165*D165*(1+GrowthMarketRent)^5,0))))),IF(F165="",0,IF(AND(F165&gt;=DATE(2026+5,5,1),F165&lt;=DATE(2027+5,4,30)),(IF(I165="Vacate",TINew*D165,IF(I165="Market",Retention*TIRenewal*D165+(1-Retention)*TINew*D165,IF(I165="LeaseUp",TINew*D165,IF(I165="Option",TIRenewal*D165,0)))))+(IF(I165="Vacate",LCNew*H165*D165*(1+GrowthMarketRent)^5,IF(I165="Market",Retention*LCRenewal*H165*D165*(1+GrowthMarketRent)^5+(1-Retention)*LCNew*H165*D165*(1+GrowthMarketRent)^5,IF(I165="LeaseUp",LCNew*H165*D165*(1+GrowthMarketRent)^5,IF(I165="Option",LCRenewal*H165*D165*(1+GrowthMarketRent)^5,0))))),0))),0)</f>
        <v/>
      </c>
      <c r="AE165" s="14">
        <f>IFERROR(IF(AND(I165="LeaseUp",6=0),(IF(I165="Vacate",TINew*D165,IF(I165="Market",Retention*TIRenewal*D165+(1-Retention)*TINew*D165,IF(I165="LeaseUp",TINew*D165,IF(I165="Option",TIRenewal*D165,0)))))+(IF(I165="Vacate",LCNew*H165*D165*(1+GrowthMarketRent)^6,IF(I165="Market",Retention*LCRenewal*H165*D165*(1+GrowthMarketRent)^6+(1-Retention)*LCNew*H165*D165*(1+GrowthMarketRent)^6,IF(I165="LeaseUp",LCNew*H165*D165*(1+GrowthMarketRent)^6,IF(I165="Option",LCRenewal*H165*D165*(1+GrowthMarketRent)^6,0))))),IF(F165="",0,IF(AND(F165&gt;=DATE(2026+6,5,1),F165&lt;=DATE(2027+6,4,30)),(IF(I165="Vacate",TINew*D165,IF(I165="Market",Retention*TIRenewal*D165+(1-Retention)*TINew*D165,IF(I165="LeaseUp",TINew*D165,IF(I165="Option",TIRenewal*D165,0)))))+(IF(I165="Vacate",LCNew*H165*D165*(1+GrowthMarketRent)^6,IF(I165="Market",Retention*LCRenewal*H165*D165*(1+GrowthMarketRent)^6+(1-Retention)*LCNew*H165*D165*(1+GrowthMarketRent)^6,IF(I165="LeaseUp",LCNew*H165*D165*(1+GrowthMarketRent)^6,IF(I165="Option",LCRenewal*H165*D165*(1+GrowthMarketRent)^6,0))))),0))),0)</f>
        <v/>
      </c>
      <c r="AF165" s="14">
        <f>IFERROR(IF(AND(I165="LeaseUp",7=0),(IF(I165="Vacate",TINew*D165,IF(I165="Market",Retention*TIRenewal*D165+(1-Retention)*TINew*D165,IF(I165="LeaseUp",TINew*D165,IF(I165="Option",TIRenewal*D165,0)))))+(IF(I165="Vacate",LCNew*H165*D165*(1+GrowthMarketRent)^7,IF(I165="Market",Retention*LCRenewal*H165*D165*(1+GrowthMarketRent)^7+(1-Retention)*LCNew*H165*D165*(1+GrowthMarketRent)^7,IF(I165="LeaseUp",LCNew*H165*D165*(1+GrowthMarketRent)^7,IF(I165="Option",LCRenewal*H165*D165*(1+GrowthMarketRent)^7,0))))),IF(F165="",0,IF(AND(F165&gt;=DATE(2026+7,5,1),F165&lt;=DATE(2027+7,4,30)),(IF(I165="Vacate",TINew*D165,IF(I165="Market",Retention*TIRenewal*D165+(1-Retention)*TINew*D165,IF(I165="LeaseUp",TINew*D165,IF(I165="Option",TIRenewal*D165,0)))))+(IF(I165="Vacate",LCNew*H165*D165*(1+GrowthMarketRent)^7,IF(I165="Market",Retention*LCRenewal*H165*D165*(1+GrowthMarketRent)^7+(1-Retention)*LCNew*H165*D165*(1+GrowthMarketRent)^7,IF(I165="LeaseUp",LCNew*H165*D165*(1+GrowthMarketRent)^7,IF(I165="Option",LCRenewal*H165*D165*(1+GrowthMarketRent)^7,0))))),0))),0)</f>
        <v/>
      </c>
      <c r="AG165" s="14">
        <f>IFERROR(IF(AND(I165="LeaseUp",8=0),(IF(I165="Vacate",TINew*D165,IF(I165="Market",Retention*TIRenewal*D165+(1-Retention)*TINew*D165,IF(I165="LeaseUp",TINew*D165,IF(I165="Option",TIRenewal*D165,0)))))+(IF(I165="Vacate",LCNew*H165*D165*(1+GrowthMarketRent)^8,IF(I165="Market",Retention*LCRenewal*H165*D165*(1+GrowthMarketRent)^8+(1-Retention)*LCNew*H165*D165*(1+GrowthMarketRent)^8,IF(I165="LeaseUp",LCNew*H165*D165*(1+GrowthMarketRent)^8,IF(I165="Option",LCRenewal*H165*D165*(1+GrowthMarketRent)^8,0))))),IF(F165="",0,IF(AND(F165&gt;=DATE(2026+8,5,1),F165&lt;=DATE(2027+8,4,30)),(IF(I165="Vacate",TINew*D165,IF(I165="Market",Retention*TIRenewal*D165+(1-Retention)*TINew*D165,IF(I165="LeaseUp",TINew*D165,IF(I165="Option",TIRenewal*D165,0)))))+(IF(I165="Vacate",LCNew*H165*D165*(1+GrowthMarketRent)^8,IF(I165="Market",Retention*LCRenewal*H165*D165*(1+GrowthMarketRent)^8+(1-Retention)*LCNew*H165*D165*(1+GrowthMarketRent)^8,IF(I165="LeaseUp",LCNew*H165*D165*(1+GrowthMarketRent)^8,IF(I165="Option",LCRenewal*H165*D165*(1+GrowthMarketRent)^8,0))))),0))),0)</f>
        <v/>
      </c>
      <c r="AH165" s="14">
        <f>IFERROR(IF(AND(I165="LeaseUp",9=0),(IF(I165="Vacate",TINew*D165,IF(I165="Market",Retention*TIRenewal*D165+(1-Retention)*TINew*D165,IF(I165="LeaseUp",TINew*D165,IF(I165="Option",TIRenewal*D165,0)))))+(IF(I165="Vacate",LCNew*H165*D165*(1+GrowthMarketRent)^9,IF(I165="Market",Retention*LCRenewal*H165*D165*(1+GrowthMarketRent)^9+(1-Retention)*LCNew*H165*D165*(1+GrowthMarketRent)^9,IF(I165="LeaseUp",LCNew*H165*D165*(1+GrowthMarketRent)^9,IF(I165="Option",LCRenewal*H165*D165*(1+GrowthMarketRent)^9,0))))),IF(F165="",0,IF(AND(F165&gt;=DATE(2026+9,5,1),F165&lt;=DATE(2027+9,4,30)),(IF(I165="Vacate",TINew*D165,IF(I165="Market",Retention*TIRenewal*D165+(1-Retention)*TINew*D165,IF(I165="LeaseUp",TINew*D165,IF(I165="Option",TIRenewal*D165,0)))))+(IF(I165="Vacate",LCNew*H165*D165*(1+GrowthMarketRent)^9,IF(I165="Market",Retention*LCRenewal*H165*D165*(1+GrowthMarketRent)^9+(1-Retention)*LCNew*H165*D165*(1+GrowthMarketRent)^9,IF(I165="LeaseUp",LCNew*H165*D165*(1+GrowthMarketRent)^9,IF(I165="Option",LCRenewal*H165*D165*(1+GrowthMarketRent)^9,0))))),0))),0)</f>
        <v/>
      </c>
      <c r="AI165" s="14">
        <f>IFERROR(IF(AND(I165="LeaseUp",10=0),(IF(I165="Vacate",TINew*D165,IF(I165="Market",Retention*TIRenewal*D165+(1-Retention)*TINew*D165,IF(I165="LeaseUp",TINew*D165,IF(I165="Option",TIRenewal*D165,0)))))+(IF(I165="Vacate",LCNew*H165*D165*(1+GrowthMarketRent)^10,IF(I165="Market",Retention*LCRenewal*H165*D165*(1+GrowthMarketRent)^10+(1-Retention)*LCNew*H165*D165*(1+GrowthMarketRent)^10,IF(I165="LeaseUp",LCNew*H165*D165*(1+GrowthMarketRent)^10,IF(I165="Option",LCRenewal*H165*D165*(1+GrowthMarketRent)^10,0))))),IF(F165="",0,IF(AND(F165&gt;=DATE(2026+10,5,1),F165&lt;=DATE(2027+10,4,30)),(IF(I165="Vacate",TINew*D165,IF(I165="Market",Retention*TIRenewal*D165+(1-Retention)*TINew*D165,IF(I165="LeaseUp",TINew*D165,IF(I165="Option",TIRenewal*D165,0)))))+(IF(I165="Vacate",LCNew*H165*D165*(1+GrowthMarketRent)^10,IF(I165="Market",Retention*LCRenewal*H165*D165*(1+GrowthMarketRent)^10+(1-Retention)*LCNew*H165*D165*(1+GrowthMarketRent)^10,IF(I165="LeaseUp",LCNew*H165*D165*(1+GrowthMarketRent)^10,IF(I165="Option",LCRenewal*H165*D165*(1+GrowthMarketRent)^10,0))))),0))),0)</f>
        <v/>
      </c>
    </row>
    <row r="166">
      <c r="A166" t="inlineStr">
        <is>
          <t>Plano</t>
        </is>
      </c>
      <c r="B166" t="inlineStr">
        <is>
          <t>307</t>
        </is>
      </c>
      <c r="C166" t="inlineStr">
        <is>
          <t>Dallas Wax LLC</t>
        </is>
      </c>
      <c r="D166" s="32" t="n">
        <v>3450</v>
      </c>
      <c r="E166" s="33" t="n">
        <v>44958</v>
      </c>
      <c r="F166" s="33" t="n">
        <v>46204</v>
      </c>
      <c r="G166" s="34" t="n">
        <v>15.0765217391304</v>
      </c>
      <c r="H166" s="16">
        <f>VLOOKUP(A166,MLA!$A$5:$L$11,3,FALSE)</f>
        <v/>
      </c>
      <c r="I166" s="11" t="inlineStr">
        <is>
          <t>Option</t>
        </is>
      </c>
      <c r="J166" t="inlineStr">
        <is>
          <t>Shop</t>
        </is>
      </c>
      <c r="K166" t="inlineStr">
        <is>
          <t>Occupied</t>
        </is>
      </c>
      <c r="L166" t="inlineStr">
        <is>
          <t>Shop; Guarantor: Laurence Daggett; Two 3yr options @ 102.5%</t>
        </is>
      </c>
      <c r="M166" s="20">
        <f>IF(E166="",0,(AnalysisStart-E166)/365.25)</f>
        <v/>
      </c>
      <c r="N166" s="14">
        <f>IFERROR(IF(I166="LeaseUp",H166*D166*(1+GrowthMarketRent)^0*IF(0=0,(12-DowntimeNew)/12,1),IF(F166="",0,IF(F166&gt;=DATE(2027+0,4,30),G166*D166*(1+EscalatorInLease)^(0+M166),IF(F166&lt;DATE(2026+0,5,1),IF(I166="Vacate",H166*D166*(1+GrowthMarketRent)^0*IF(INT((DATE(2026+0,10,31)-F166)/365.25)=0,(12-DowntimeNew)/12,1),IF(I166="Option",G166*D166*1.025*(1+EscalatorInLease)^0,IF(I166="Market",Retention*G166*D166*(1+EscalatorInLease)^(0+M166)+(1-Retention)*H166*D166*(1+GrowthMarketRent)^0*IF(INT((DATE(2026+0,10,31)-F166)/365.25)=0,(12-DowntimeNew)/12,1),IF(I166="LeaseUp",H166*D166*(1+GrowthMarketRent)^0*IF(0=0,(12-DowntimeNew)/12,1),0)))),((F166-DATE(2026+0,5,1))/365.25)*G166*D166*(1+EscalatorInLease)^(0+M166)+((DATE(2027+0,4,30)-F166)/365.25)*IF(I166="Vacate",H166*D166*(1+GrowthMarketRent)^0*IF(INT((DATE(2026+0,10,31)-F166)/365.25)=0,(12-DowntimeNew)/12,1),IF(I166="Option",G166*D166*1.025*(1+EscalatorInLease)^0,IF(I166="Market",Retention*G166*D166*(1+EscalatorInLease)^(0+M166)+(1-Retention)*H166*D166*(1+GrowthMarketRent)^0*IF(INT((DATE(2026+0,10,31)-F166)/365.25)=0,(12-DowntimeNew)/12,1),IF(I166="LeaseUp",H166*D166*(1+GrowthMarketRent)^0*IF(0=0,(12-DowntimeNew)/12,1),0)))))))),0)</f>
        <v/>
      </c>
      <c r="O166" s="14">
        <f>IFERROR(IF(I166="LeaseUp",H166*D166*(1+GrowthMarketRent)^1*IF(1=0,(12-DowntimeNew)/12,1),IF(F166="",0,IF(F166&gt;=DATE(2027+1,4,30),G166*D166*(1+EscalatorInLease)^(1+M166),IF(F166&lt;DATE(2026+1,5,1),IF(I166="Vacate",H166*D166*(1+GrowthMarketRent)^1*IF(INT((DATE(2026+1,10,31)-F166)/365.25)=0,(12-DowntimeNew)/12,1),IF(I166="Option",G166*D166*1.025*(1+EscalatorInLease)^1,IF(I166="Market",Retention*G166*D166*(1+EscalatorInLease)^(1+M166)+(1-Retention)*H166*D166*(1+GrowthMarketRent)^1*IF(INT((DATE(2026+1,10,31)-F166)/365.25)=0,(12-DowntimeNew)/12,1),IF(I166="LeaseUp",H166*D166*(1+GrowthMarketRent)^1*IF(1=0,(12-DowntimeNew)/12,1),0)))),((F166-DATE(2026+1,5,1))/365.25)*G166*D166*(1+EscalatorInLease)^(1+M166)+((DATE(2027+1,4,30)-F166)/365.25)*IF(I166="Vacate",H166*D166*(1+GrowthMarketRent)^1*IF(INT((DATE(2026+1,10,31)-F166)/365.25)=0,(12-DowntimeNew)/12,1),IF(I166="Option",G166*D166*1.025*(1+EscalatorInLease)^1,IF(I166="Market",Retention*G166*D166*(1+EscalatorInLease)^(1+M166)+(1-Retention)*H166*D166*(1+GrowthMarketRent)^1*IF(INT((DATE(2026+1,10,31)-F166)/365.25)=0,(12-DowntimeNew)/12,1),IF(I166="LeaseUp",H166*D166*(1+GrowthMarketRent)^1*IF(1=0,(12-DowntimeNew)/12,1),0)))))))),0)</f>
        <v/>
      </c>
      <c r="P166" s="14">
        <f>IFERROR(IF(I166="LeaseUp",H166*D166*(1+GrowthMarketRent)^2*IF(2=0,(12-DowntimeNew)/12,1),IF(F166="",0,IF(F166&gt;=DATE(2027+2,4,30),G166*D166*(1+EscalatorInLease)^(2+M166),IF(F166&lt;DATE(2026+2,5,1),IF(I166="Vacate",H166*D166*(1+GrowthMarketRent)^2*IF(INT((DATE(2026+2,10,31)-F166)/365.25)=0,(12-DowntimeNew)/12,1),IF(I166="Option",G166*D166*1.025*(1+EscalatorInLease)^2,IF(I166="Market",Retention*G166*D166*(1+EscalatorInLease)^(2+M166)+(1-Retention)*H166*D166*(1+GrowthMarketRent)^2*IF(INT((DATE(2026+2,10,31)-F166)/365.25)=0,(12-DowntimeNew)/12,1),IF(I166="LeaseUp",H166*D166*(1+GrowthMarketRent)^2*IF(2=0,(12-DowntimeNew)/12,1),0)))),((F166-DATE(2026+2,5,1))/365.25)*G166*D166*(1+EscalatorInLease)^(2+M166)+((DATE(2027+2,4,30)-F166)/365.25)*IF(I166="Vacate",H166*D166*(1+GrowthMarketRent)^2*IF(INT((DATE(2026+2,10,31)-F166)/365.25)=0,(12-DowntimeNew)/12,1),IF(I166="Option",G166*D166*1.025*(1+EscalatorInLease)^2,IF(I166="Market",Retention*G166*D166*(1+EscalatorInLease)^(2+M166)+(1-Retention)*H166*D166*(1+GrowthMarketRent)^2*IF(INT((DATE(2026+2,10,31)-F166)/365.25)=0,(12-DowntimeNew)/12,1),IF(I166="LeaseUp",H166*D166*(1+GrowthMarketRent)^2*IF(2=0,(12-DowntimeNew)/12,1),0)))))))),0)</f>
        <v/>
      </c>
      <c r="Q166" s="14">
        <f>IFERROR(IF(I166="LeaseUp",H166*D166*(1+GrowthMarketRent)^3*IF(3=0,(12-DowntimeNew)/12,1),IF(F166="",0,IF(F166&gt;=DATE(2027+3,4,30),G166*D166*(1+EscalatorInLease)^(3+M166),IF(F166&lt;DATE(2026+3,5,1),IF(I166="Vacate",H166*D166*(1+GrowthMarketRent)^3*IF(INT((DATE(2026+3,10,31)-F166)/365.25)=0,(12-DowntimeNew)/12,1),IF(I166="Option",G166*D166*1.025*(1+EscalatorInLease)^3,IF(I166="Market",Retention*G166*D166*(1+EscalatorInLease)^(3+M166)+(1-Retention)*H166*D166*(1+GrowthMarketRent)^3*IF(INT((DATE(2026+3,10,31)-F166)/365.25)=0,(12-DowntimeNew)/12,1),IF(I166="LeaseUp",H166*D166*(1+GrowthMarketRent)^3*IF(3=0,(12-DowntimeNew)/12,1),0)))),((F166-DATE(2026+3,5,1))/365.25)*G166*D166*(1+EscalatorInLease)^(3+M166)+((DATE(2027+3,4,30)-F166)/365.25)*IF(I166="Vacate",H166*D166*(1+GrowthMarketRent)^3*IF(INT((DATE(2026+3,10,31)-F166)/365.25)=0,(12-DowntimeNew)/12,1),IF(I166="Option",G166*D166*1.025*(1+EscalatorInLease)^3,IF(I166="Market",Retention*G166*D166*(1+EscalatorInLease)^(3+M166)+(1-Retention)*H166*D166*(1+GrowthMarketRent)^3*IF(INT((DATE(2026+3,10,31)-F166)/365.25)=0,(12-DowntimeNew)/12,1),IF(I166="LeaseUp",H166*D166*(1+GrowthMarketRent)^3*IF(3=0,(12-DowntimeNew)/12,1),0)))))))),0)</f>
        <v/>
      </c>
      <c r="R166" s="14">
        <f>IFERROR(IF(I166="LeaseUp",H166*D166*(1+GrowthMarketRent)^4*IF(4=0,(12-DowntimeNew)/12,1),IF(F166="",0,IF(F166&gt;=DATE(2027+4,4,30),G166*D166*(1+EscalatorInLease)^(4+M166),IF(F166&lt;DATE(2026+4,5,1),IF(I166="Vacate",H166*D166*(1+GrowthMarketRent)^4*IF(INT((DATE(2026+4,10,31)-F166)/365.25)=0,(12-DowntimeNew)/12,1),IF(I166="Option",G166*D166*1.025*(1+EscalatorInLease)^4,IF(I166="Market",Retention*G166*D166*(1+EscalatorInLease)^(4+M166)+(1-Retention)*H166*D166*(1+GrowthMarketRent)^4*IF(INT((DATE(2026+4,10,31)-F166)/365.25)=0,(12-DowntimeNew)/12,1),IF(I166="LeaseUp",H166*D166*(1+GrowthMarketRent)^4*IF(4=0,(12-DowntimeNew)/12,1),0)))),((F166-DATE(2026+4,5,1))/365.25)*G166*D166*(1+EscalatorInLease)^(4+M166)+((DATE(2027+4,4,30)-F166)/365.25)*IF(I166="Vacate",H166*D166*(1+GrowthMarketRent)^4*IF(INT((DATE(2026+4,10,31)-F166)/365.25)=0,(12-DowntimeNew)/12,1),IF(I166="Option",G166*D166*1.025*(1+EscalatorInLease)^4,IF(I166="Market",Retention*G166*D166*(1+EscalatorInLease)^(4+M166)+(1-Retention)*H166*D166*(1+GrowthMarketRent)^4*IF(INT((DATE(2026+4,10,31)-F166)/365.25)=0,(12-DowntimeNew)/12,1),IF(I166="LeaseUp",H166*D166*(1+GrowthMarketRent)^4*IF(4=0,(12-DowntimeNew)/12,1),0)))))))),0)</f>
        <v/>
      </c>
      <c r="S166" s="14">
        <f>IFERROR(IF(I166="LeaseUp",H166*D166*(1+GrowthMarketRent)^5*IF(5=0,(12-DowntimeNew)/12,1),IF(F166="",0,IF(F166&gt;=DATE(2027+5,4,30),G166*D166*(1+EscalatorInLease)^(5+M166),IF(F166&lt;DATE(2026+5,5,1),IF(I166="Vacate",H166*D166*(1+GrowthMarketRent)^5*IF(INT((DATE(2026+5,10,31)-F166)/365.25)=0,(12-DowntimeNew)/12,1),IF(I166="Option",G166*D166*1.025*(1+EscalatorInLease)^5,IF(I166="Market",Retention*G166*D166*(1+EscalatorInLease)^(5+M166)+(1-Retention)*H166*D166*(1+GrowthMarketRent)^5*IF(INT((DATE(2026+5,10,31)-F166)/365.25)=0,(12-DowntimeNew)/12,1),IF(I166="LeaseUp",H166*D166*(1+GrowthMarketRent)^5*IF(5=0,(12-DowntimeNew)/12,1),0)))),((F166-DATE(2026+5,5,1))/365.25)*G166*D166*(1+EscalatorInLease)^(5+M166)+((DATE(2027+5,4,30)-F166)/365.25)*IF(I166="Vacate",H166*D166*(1+GrowthMarketRent)^5*IF(INT((DATE(2026+5,10,31)-F166)/365.25)=0,(12-DowntimeNew)/12,1),IF(I166="Option",G166*D166*1.025*(1+EscalatorInLease)^5,IF(I166="Market",Retention*G166*D166*(1+EscalatorInLease)^(5+M166)+(1-Retention)*H166*D166*(1+GrowthMarketRent)^5*IF(INT((DATE(2026+5,10,31)-F166)/365.25)=0,(12-DowntimeNew)/12,1),IF(I166="LeaseUp",H166*D166*(1+GrowthMarketRent)^5*IF(5=0,(12-DowntimeNew)/12,1),0)))))))),0)</f>
        <v/>
      </c>
      <c r="T166" s="14">
        <f>IFERROR(IF(I166="LeaseUp",H166*D166*(1+GrowthMarketRent)^6*IF(6=0,(12-DowntimeNew)/12,1),IF(F166="",0,IF(F166&gt;=DATE(2027+6,4,30),G166*D166*(1+EscalatorInLease)^(6+M166),IF(F166&lt;DATE(2026+6,5,1),IF(I166="Vacate",H166*D166*(1+GrowthMarketRent)^6*IF(INT((DATE(2026+6,10,31)-F166)/365.25)=0,(12-DowntimeNew)/12,1),IF(I166="Option",G166*D166*1.025*(1+EscalatorInLease)^6,IF(I166="Market",Retention*G166*D166*(1+EscalatorInLease)^(6+M166)+(1-Retention)*H166*D166*(1+GrowthMarketRent)^6*IF(INT((DATE(2026+6,10,31)-F166)/365.25)=0,(12-DowntimeNew)/12,1),IF(I166="LeaseUp",H166*D166*(1+GrowthMarketRent)^6*IF(6=0,(12-DowntimeNew)/12,1),0)))),((F166-DATE(2026+6,5,1))/365.25)*G166*D166*(1+EscalatorInLease)^(6+M166)+((DATE(2027+6,4,30)-F166)/365.25)*IF(I166="Vacate",H166*D166*(1+GrowthMarketRent)^6*IF(INT((DATE(2026+6,10,31)-F166)/365.25)=0,(12-DowntimeNew)/12,1),IF(I166="Option",G166*D166*1.025*(1+EscalatorInLease)^6,IF(I166="Market",Retention*G166*D166*(1+EscalatorInLease)^(6+M166)+(1-Retention)*H166*D166*(1+GrowthMarketRent)^6*IF(INT((DATE(2026+6,10,31)-F166)/365.25)=0,(12-DowntimeNew)/12,1),IF(I166="LeaseUp",H166*D166*(1+GrowthMarketRent)^6*IF(6=0,(12-DowntimeNew)/12,1),0)))))))),0)</f>
        <v/>
      </c>
      <c r="U166" s="14">
        <f>IFERROR(IF(I166="LeaseUp",H166*D166*(1+GrowthMarketRent)^7*IF(7=0,(12-DowntimeNew)/12,1),IF(F166="",0,IF(F166&gt;=DATE(2027+7,4,30),G166*D166*(1+EscalatorInLease)^(7+M166),IF(F166&lt;DATE(2026+7,5,1),IF(I166="Vacate",H166*D166*(1+GrowthMarketRent)^7*IF(INT((DATE(2026+7,10,31)-F166)/365.25)=0,(12-DowntimeNew)/12,1),IF(I166="Option",G166*D166*1.025*(1+EscalatorInLease)^7,IF(I166="Market",Retention*G166*D166*(1+EscalatorInLease)^(7+M166)+(1-Retention)*H166*D166*(1+GrowthMarketRent)^7*IF(INT((DATE(2026+7,10,31)-F166)/365.25)=0,(12-DowntimeNew)/12,1),IF(I166="LeaseUp",H166*D166*(1+GrowthMarketRent)^7*IF(7=0,(12-DowntimeNew)/12,1),0)))),((F166-DATE(2026+7,5,1))/365.25)*G166*D166*(1+EscalatorInLease)^(7+M166)+((DATE(2027+7,4,30)-F166)/365.25)*IF(I166="Vacate",H166*D166*(1+GrowthMarketRent)^7*IF(INT((DATE(2026+7,10,31)-F166)/365.25)=0,(12-DowntimeNew)/12,1),IF(I166="Option",G166*D166*1.025*(1+EscalatorInLease)^7,IF(I166="Market",Retention*G166*D166*(1+EscalatorInLease)^(7+M166)+(1-Retention)*H166*D166*(1+GrowthMarketRent)^7*IF(INT((DATE(2026+7,10,31)-F166)/365.25)=0,(12-DowntimeNew)/12,1),IF(I166="LeaseUp",H166*D166*(1+GrowthMarketRent)^7*IF(7=0,(12-DowntimeNew)/12,1),0)))))))),0)</f>
        <v/>
      </c>
      <c r="V166" s="14">
        <f>IFERROR(IF(I166="LeaseUp",H166*D166*(1+GrowthMarketRent)^8*IF(8=0,(12-DowntimeNew)/12,1),IF(F166="",0,IF(F166&gt;=DATE(2027+8,4,30),G166*D166*(1+EscalatorInLease)^(8+M166),IF(F166&lt;DATE(2026+8,5,1),IF(I166="Vacate",H166*D166*(1+GrowthMarketRent)^8*IF(INT((DATE(2026+8,10,31)-F166)/365.25)=0,(12-DowntimeNew)/12,1),IF(I166="Option",G166*D166*1.025*(1+EscalatorInLease)^8,IF(I166="Market",Retention*G166*D166*(1+EscalatorInLease)^(8+M166)+(1-Retention)*H166*D166*(1+GrowthMarketRent)^8*IF(INT((DATE(2026+8,10,31)-F166)/365.25)=0,(12-DowntimeNew)/12,1),IF(I166="LeaseUp",H166*D166*(1+GrowthMarketRent)^8*IF(8=0,(12-DowntimeNew)/12,1),0)))),((F166-DATE(2026+8,5,1))/365.25)*G166*D166*(1+EscalatorInLease)^(8+M166)+((DATE(2027+8,4,30)-F166)/365.25)*IF(I166="Vacate",H166*D166*(1+GrowthMarketRent)^8*IF(INT((DATE(2026+8,10,31)-F166)/365.25)=0,(12-DowntimeNew)/12,1),IF(I166="Option",G166*D166*1.025*(1+EscalatorInLease)^8,IF(I166="Market",Retention*G166*D166*(1+EscalatorInLease)^(8+M166)+(1-Retention)*H166*D166*(1+GrowthMarketRent)^8*IF(INT((DATE(2026+8,10,31)-F166)/365.25)=0,(12-DowntimeNew)/12,1),IF(I166="LeaseUp",H166*D166*(1+GrowthMarketRent)^8*IF(8=0,(12-DowntimeNew)/12,1),0)))))))),0)</f>
        <v/>
      </c>
      <c r="W166" s="14">
        <f>IFERROR(IF(I166="LeaseUp",H166*D166*(1+GrowthMarketRent)^9*IF(9=0,(12-DowntimeNew)/12,1),IF(F166="",0,IF(F166&gt;=DATE(2027+9,4,30),G166*D166*(1+EscalatorInLease)^(9+M166),IF(F166&lt;DATE(2026+9,5,1),IF(I166="Vacate",H166*D166*(1+GrowthMarketRent)^9*IF(INT((DATE(2026+9,10,31)-F166)/365.25)=0,(12-DowntimeNew)/12,1),IF(I166="Option",G166*D166*1.025*(1+EscalatorInLease)^9,IF(I166="Market",Retention*G166*D166*(1+EscalatorInLease)^(9+M166)+(1-Retention)*H166*D166*(1+GrowthMarketRent)^9*IF(INT((DATE(2026+9,10,31)-F166)/365.25)=0,(12-DowntimeNew)/12,1),IF(I166="LeaseUp",H166*D166*(1+GrowthMarketRent)^9*IF(9=0,(12-DowntimeNew)/12,1),0)))),((F166-DATE(2026+9,5,1))/365.25)*G166*D166*(1+EscalatorInLease)^(9+M166)+((DATE(2027+9,4,30)-F166)/365.25)*IF(I166="Vacate",H166*D166*(1+GrowthMarketRent)^9*IF(INT((DATE(2026+9,10,31)-F166)/365.25)=0,(12-DowntimeNew)/12,1),IF(I166="Option",G166*D166*1.025*(1+EscalatorInLease)^9,IF(I166="Market",Retention*G166*D166*(1+EscalatorInLease)^(9+M166)+(1-Retention)*H166*D166*(1+GrowthMarketRent)^9*IF(INT((DATE(2026+9,10,31)-F166)/365.25)=0,(12-DowntimeNew)/12,1),IF(I166="LeaseUp",H166*D166*(1+GrowthMarketRent)^9*IF(9=0,(12-DowntimeNew)/12,1),0)))))))),0)</f>
        <v/>
      </c>
      <c r="X166" s="14">
        <f>IFERROR(IF(I166="LeaseUp",H166*D166*(1+GrowthMarketRent)^10*IF(10=0,(12-DowntimeNew)/12,1),IF(F166="",0,IF(F166&gt;=DATE(2027+10,4,30),G166*D166*(1+EscalatorInLease)^(10+M166),IF(F166&lt;DATE(2026+10,5,1),IF(I166="Vacate",H166*D166*(1+GrowthMarketRent)^10*IF(INT((DATE(2026+10,10,31)-F166)/365.25)=0,(12-DowntimeNew)/12,1),IF(I166="Option",G166*D166*1.025*(1+EscalatorInLease)^10,IF(I166="Market",Retention*G166*D166*(1+EscalatorInLease)^(10+M166)+(1-Retention)*H166*D166*(1+GrowthMarketRent)^10*IF(INT((DATE(2026+10,10,31)-F166)/365.25)=0,(12-DowntimeNew)/12,1),IF(I166="LeaseUp",H166*D166*(1+GrowthMarketRent)^10*IF(10=0,(12-DowntimeNew)/12,1),0)))),((F166-DATE(2026+10,5,1))/365.25)*G166*D166*(1+EscalatorInLease)^(10+M166)+((DATE(2027+10,4,30)-F166)/365.25)*IF(I166="Vacate",H166*D166*(1+GrowthMarketRent)^10*IF(INT((DATE(2026+10,10,31)-F166)/365.25)=0,(12-DowntimeNew)/12,1),IF(I166="Option",G166*D166*1.025*(1+EscalatorInLease)^10,IF(I166="Market",Retention*G166*D166*(1+EscalatorInLease)^(10+M166)+(1-Retention)*H166*D166*(1+GrowthMarketRent)^10*IF(INT((DATE(2026+10,10,31)-F166)/365.25)=0,(12-DowntimeNew)/12,1),IF(I166="LeaseUp",H166*D166*(1+GrowthMarketRent)^10*IF(10=0,(12-DowntimeNew)/12,1),0)))))))),0)</f>
        <v/>
      </c>
      <c r="Y166" s="14">
        <f>IFERROR(IF(AND(I166="LeaseUp",0=0),(IF(I166="Vacate",TINew*D166,IF(I166="Market",Retention*TIRenewal*D166+(1-Retention)*TINew*D166,IF(I166="LeaseUp",TINew*D166,IF(I166="Option",TIRenewal*D166,0)))))+(IF(I166="Vacate",LCNew*H166*D166*(1+GrowthMarketRent)^0,IF(I166="Market",Retention*LCRenewal*H166*D166*(1+GrowthMarketRent)^0+(1-Retention)*LCNew*H166*D166*(1+GrowthMarketRent)^0,IF(I166="LeaseUp",LCNew*H166*D166*(1+GrowthMarketRent)^0,IF(I166="Option",LCRenewal*H166*D166*(1+GrowthMarketRent)^0,0))))),IF(F166="",0,IF(AND(F166&gt;=DATE(2026+0,5,1),F166&lt;=DATE(2027+0,4,30)),(IF(I166="Vacate",TINew*D166,IF(I166="Market",Retention*TIRenewal*D166+(1-Retention)*TINew*D166,IF(I166="LeaseUp",TINew*D166,IF(I166="Option",TIRenewal*D166,0)))))+(IF(I166="Vacate",LCNew*H166*D166*(1+GrowthMarketRent)^0,IF(I166="Market",Retention*LCRenewal*H166*D166*(1+GrowthMarketRent)^0+(1-Retention)*LCNew*H166*D166*(1+GrowthMarketRent)^0,IF(I166="LeaseUp",LCNew*H166*D166*(1+GrowthMarketRent)^0,IF(I166="Option",LCRenewal*H166*D166*(1+GrowthMarketRent)^0,0))))),0))),0)</f>
        <v/>
      </c>
      <c r="Z166" s="14">
        <f>IFERROR(IF(AND(I166="LeaseUp",1=0),(IF(I166="Vacate",TINew*D166,IF(I166="Market",Retention*TIRenewal*D166+(1-Retention)*TINew*D166,IF(I166="LeaseUp",TINew*D166,IF(I166="Option",TIRenewal*D166,0)))))+(IF(I166="Vacate",LCNew*H166*D166*(1+GrowthMarketRent)^1,IF(I166="Market",Retention*LCRenewal*H166*D166*(1+GrowthMarketRent)^1+(1-Retention)*LCNew*H166*D166*(1+GrowthMarketRent)^1,IF(I166="LeaseUp",LCNew*H166*D166*(1+GrowthMarketRent)^1,IF(I166="Option",LCRenewal*H166*D166*(1+GrowthMarketRent)^1,0))))),IF(F166="",0,IF(AND(F166&gt;=DATE(2026+1,5,1),F166&lt;=DATE(2027+1,4,30)),(IF(I166="Vacate",TINew*D166,IF(I166="Market",Retention*TIRenewal*D166+(1-Retention)*TINew*D166,IF(I166="LeaseUp",TINew*D166,IF(I166="Option",TIRenewal*D166,0)))))+(IF(I166="Vacate",LCNew*H166*D166*(1+GrowthMarketRent)^1,IF(I166="Market",Retention*LCRenewal*H166*D166*(1+GrowthMarketRent)^1+(1-Retention)*LCNew*H166*D166*(1+GrowthMarketRent)^1,IF(I166="LeaseUp",LCNew*H166*D166*(1+GrowthMarketRent)^1,IF(I166="Option",LCRenewal*H166*D166*(1+GrowthMarketRent)^1,0))))),0))),0)</f>
        <v/>
      </c>
      <c r="AA166" s="14">
        <f>IFERROR(IF(AND(I166="LeaseUp",2=0),(IF(I166="Vacate",TINew*D166,IF(I166="Market",Retention*TIRenewal*D166+(1-Retention)*TINew*D166,IF(I166="LeaseUp",TINew*D166,IF(I166="Option",TIRenewal*D166,0)))))+(IF(I166="Vacate",LCNew*H166*D166*(1+GrowthMarketRent)^2,IF(I166="Market",Retention*LCRenewal*H166*D166*(1+GrowthMarketRent)^2+(1-Retention)*LCNew*H166*D166*(1+GrowthMarketRent)^2,IF(I166="LeaseUp",LCNew*H166*D166*(1+GrowthMarketRent)^2,IF(I166="Option",LCRenewal*H166*D166*(1+GrowthMarketRent)^2,0))))),IF(F166="",0,IF(AND(F166&gt;=DATE(2026+2,5,1),F166&lt;=DATE(2027+2,4,30)),(IF(I166="Vacate",TINew*D166,IF(I166="Market",Retention*TIRenewal*D166+(1-Retention)*TINew*D166,IF(I166="LeaseUp",TINew*D166,IF(I166="Option",TIRenewal*D166,0)))))+(IF(I166="Vacate",LCNew*H166*D166*(1+GrowthMarketRent)^2,IF(I166="Market",Retention*LCRenewal*H166*D166*(1+GrowthMarketRent)^2+(1-Retention)*LCNew*H166*D166*(1+GrowthMarketRent)^2,IF(I166="LeaseUp",LCNew*H166*D166*(1+GrowthMarketRent)^2,IF(I166="Option",LCRenewal*H166*D166*(1+GrowthMarketRent)^2,0))))),0))),0)</f>
        <v/>
      </c>
      <c r="AB166" s="14">
        <f>IFERROR(IF(AND(I166="LeaseUp",3=0),(IF(I166="Vacate",TINew*D166,IF(I166="Market",Retention*TIRenewal*D166+(1-Retention)*TINew*D166,IF(I166="LeaseUp",TINew*D166,IF(I166="Option",TIRenewal*D166,0)))))+(IF(I166="Vacate",LCNew*H166*D166*(1+GrowthMarketRent)^3,IF(I166="Market",Retention*LCRenewal*H166*D166*(1+GrowthMarketRent)^3+(1-Retention)*LCNew*H166*D166*(1+GrowthMarketRent)^3,IF(I166="LeaseUp",LCNew*H166*D166*(1+GrowthMarketRent)^3,IF(I166="Option",LCRenewal*H166*D166*(1+GrowthMarketRent)^3,0))))),IF(F166="",0,IF(AND(F166&gt;=DATE(2026+3,5,1),F166&lt;=DATE(2027+3,4,30)),(IF(I166="Vacate",TINew*D166,IF(I166="Market",Retention*TIRenewal*D166+(1-Retention)*TINew*D166,IF(I166="LeaseUp",TINew*D166,IF(I166="Option",TIRenewal*D166,0)))))+(IF(I166="Vacate",LCNew*H166*D166*(1+GrowthMarketRent)^3,IF(I166="Market",Retention*LCRenewal*H166*D166*(1+GrowthMarketRent)^3+(1-Retention)*LCNew*H166*D166*(1+GrowthMarketRent)^3,IF(I166="LeaseUp",LCNew*H166*D166*(1+GrowthMarketRent)^3,IF(I166="Option",LCRenewal*H166*D166*(1+GrowthMarketRent)^3,0))))),0))),0)</f>
        <v/>
      </c>
      <c r="AC166" s="14">
        <f>IFERROR(IF(AND(I166="LeaseUp",4=0),(IF(I166="Vacate",TINew*D166,IF(I166="Market",Retention*TIRenewal*D166+(1-Retention)*TINew*D166,IF(I166="LeaseUp",TINew*D166,IF(I166="Option",TIRenewal*D166,0)))))+(IF(I166="Vacate",LCNew*H166*D166*(1+GrowthMarketRent)^4,IF(I166="Market",Retention*LCRenewal*H166*D166*(1+GrowthMarketRent)^4+(1-Retention)*LCNew*H166*D166*(1+GrowthMarketRent)^4,IF(I166="LeaseUp",LCNew*H166*D166*(1+GrowthMarketRent)^4,IF(I166="Option",LCRenewal*H166*D166*(1+GrowthMarketRent)^4,0))))),IF(F166="",0,IF(AND(F166&gt;=DATE(2026+4,5,1),F166&lt;=DATE(2027+4,4,30)),(IF(I166="Vacate",TINew*D166,IF(I166="Market",Retention*TIRenewal*D166+(1-Retention)*TINew*D166,IF(I166="LeaseUp",TINew*D166,IF(I166="Option",TIRenewal*D166,0)))))+(IF(I166="Vacate",LCNew*H166*D166*(1+GrowthMarketRent)^4,IF(I166="Market",Retention*LCRenewal*H166*D166*(1+GrowthMarketRent)^4+(1-Retention)*LCNew*H166*D166*(1+GrowthMarketRent)^4,IF(I166="LeaseUp",LCNew*H166*D166*(1+GrowthMarketRent)^4,IF(I166="Option",LCRenewal*H166*D166*(1+GrowthMarketRent)^4,0))))),0))),0)</f>
        <v/>
      </c>
      <c r="AD166" s="14">
        <f>IFERROR(IF(AND(I166="LeaseUp",5=0),(IF(I166="Vacate",TINew*D166,IF(I166="Market",Retention*TIRenewal*D166+(1-Retention)*TINew*D166,IF(I166="LeaseUp",TINew*D166,IF(I166="Option",TIRenewal*D166,0)))))+(IF(I166="Vacate",LCNew*H166*D166*(1+GrowthMarketRent)^5,IF(I166="Market",Retention*LCRenewal*H166*D166*(1+GrowthMarketRent)^5+(1-Retention)*LCNew*H166*D166*(1+GrowthMarketRent)^5,IF(I166="LeaseUp",LCNew*H166*D166*(1+GrowthMarketRent)^5,IF(I166="Option",LCRenewal*H166*D166*(1+GrowthMarketRent)^5,0))))),IF(F166="",0,IF(AND(F166&gt;=DATE(2026+5,5,1),F166&lt;=DATE(2027+5,4,30)),(IF(I166="Vacate",TINew*D166,IF(I166="Market",Retention*TIRenewal*D166+(1-Retention)*TINew*D166,IF(I166="LeaseUp",TINew*D166,IF(I166="Option",TIRenewal*D166,0)))))+(IF(I166="Vacate",LCNew*H166*D166*(1+GrowthMarketRent)^5,IF(I166="Market",Retention*LCRenewal*H166*D166*(1+GrowthMarketRent)^5+(1-Retention)*LCNew*H166*D166*(1+GrowthMarketRent)^5,IF(I166="LeaseUp",LCNew*H166*D166*(1+GrowthMarketRent)^5,IF(I166="Option",LCRenewal*H166*D166*(1+GrowthMarketRent)^5,0))))),0))),0)</f>
        <v/>
      </c>
      <c r="AE166" s="14">
        <f>IFERROR(IF(AND(I166="LeaseUp",6=0),(IF(I166="Vacate",TINew*D166,IF(I166="Market",Retention*TIRenewal*D166+(1-Retention)*TINew*D166,IF(I166="LeaseUp",TINew*D166,IF(I166="Option",TIRenewal*D166,0)))))+(IF(I166="Vacate",LCNew*H166*D166*(1+GrowthMarketRent)^6,IF(I166="Market",Retention*LCRenewal*H166*D166*(1+GrowthMarketRent)^6+(1-Retention)*LCNew*H166*D166*(1+GrowthMarketRent)^6,IF(I166="LeaseUp",LCNew*H166*D166*(1+GrowthMarketRent)^6,IF(I166="Option",LCRenewal*H166*D166*(1+GrowthMarketRent)^6,0))))),IF(F166="",0,IF(AND(F166&gt;=DATE(2026+6,5,1),F166&lt;=DATE(2027+6,4,30)),(IF(I166="Vacate",TINew*D166,IF(I166="Market",Retention*TIRenewal*D166+(1-Retention)*TINew*D166,IF(I166="LeaseUp",TINew*D166,IF(I166="Option",TIRenewal*D166,0)))))+(IF(I166="Vacate",LCNew*H166*D166*(1+GrowthMarketRent)^6,IF(I166="Market",Retention*LCRenewal*H166*D166*(1+GrowthMarketRent)^6+(1-Retention)*LCNew*H166*D166*(1+GrowthMarketRent)^6,IF(I166="LeaseUp",LCNew*H166*D166*(1+GrowthMarketRent)^6,IF(I166="Option",LCRenewal*H166*D166*(1+GrowthMarketRent)^6,0))))),0))),0)</f>
        <v/>
      </c>
      <c r="AF166" s="14">
        <f>IFERROR(IF(AND(I166="LeaseUp",7=0),(IF(I166="Vacate",TINew*D166,IF(I166="Market",Retention*TIRenewal*D166+(1-Retention)*TINew*D166,IF(I166="LeaseUp",TINew*D166,IF(I166="Option",TIRenewal*D166,0)))))+(IF(I166="Vacate",LCNew*H166*D166*(1+GrowthMarketRent)^7,IF(I166="Market",Retention*LCRenewal*H166*D166*(1+GrowthMarketRent)^7+(1-Retention)*LCNew*H166*D166*(1+GrowthMarketRent)^7,IF(I166="LeaseUp",LCNew*H166*D166*(1+GrowthMarketRent)^7,IF(I166="Option",LCRenewal*H166*D166*(1+GrowthMarketRent)^7,0))))),IF(F166="",0,IF(AND(F166&gt;=DATE(2026+7,5,1),F166&lt;=DATE(2027+7,4,30)),(IF(I166="Vacate",TINew*D166,IF(I166="Market",Retention*TIRenewal*D166+(1-Retention)*TINew*D166,IF(I166="LeaseUp",TINew*D166,IF(I166="Option",TIRenewal*D166,0)))))+(IF(I166="Vacate",LCNew*H166*D166*(1+GrowthMarketRent)^7,IF(I166="Market",Retention*LCRenewal*H166*D166*(1+GrowthMarketRent)^7+(1-Retention)*LCNew*H166*D166*(1+GrowthMarketRent)^7,IF(I166="LeaseUp",LCNew*H166*D166*(1+GrowthMarketRent)^7,IF(I166="Option",LCRenewal*H166*D166*(1+GrowthMarketRent)^7,0))))),0))),0)</f>
        <v/>
      </c>
      <c r="AG166" s="14">
        <f>IFERROR(IF(AND(I166="LeaseUp",8=0),(IF(I166="Vacate",TINew*D166,IF(I166="Market",Retention*TIRenewal*D166+(1-Retention)*TINew*D166,IF(I166="LeaseUp",TINew*D166,IF(I166="Option",TIRenewal*D166,0)))))+(IF(I166="Vacate",LCNew*H166*D166*(1+GrowthMarketRent)^8,IF(I166="Market",Retention*LCRenewal*H166*D166*(1+GrowthMarketRent)^8+(1-Retention)*LCNew*H166*D166*(1+GrowthMarketRent)^8,IF(I166="LeaseUp",LCNew*H166*D166*(1+GrowthMarketRent)^8,IF(I166="Option",LCRenewal*H166*D166*(1+GrowthMarketRent)^8,0))))),IF(F166="",0,IF(AND(F166&gt;=DATE(2026+8,5,1),F166&lt;=DATE(2027+8,4,30)),(IF(I166="Vacate",TINew*D166,IF(I166="Market",Retention*TIRenewal*D166+(1-Retention)*TINew*D166,IF(I166="LeaseUp",TINew*D166,IF(I166="Option",TIRenewal*D166,0)))))+(IF(I166="Vacate",LCNew*H166*D166*(1+GrowthMarketRent)^8,IF(I166="Market",Retention*LCRenewal*H166*D166*(1+GrowthMarketRent)^8+(1-Retention)*LCNew*H166*D166*(1+GrowthMarketRent)^8,IF(I166="LeaseUp",LCNew*H166*D166*(1+GrowthMarketRent)^8,IF(I166="Option",LCRenewal*H166*D166*(1+GrowthMarketRent)^8,0))))),0))),0)</f>
        <v/>
      </c>
      <c r="AH166" s="14">
        <f>IFERROR(IF(AND(I166="LeaseUp",9=0),(IF(I166="Vacate",TINew*D166,IF(I166="Market",Retention*TIRenewal*D166+(1-Retention)*TINew*D166,IF(I166="LeaseUp",TINew*D166,IF(I166="Option",TIRenewal*D166,0)))))+(IF(I166="Vacate",LCNew*H166*D166*(1+GrowthMarketRent)^9,IF(I166="Market",Retention*LCRenewal*H166*D166*(1+GrowthMarketRent)^9+(1-Retention)*LCNew*H166*D166*(1+GrowthMarketRent)^9,IF(I166="LeaseUp",LCNew*H166*D166*(1+GrowthMarketRent)^9,IF(I166="Option",LCRenewal*H166*D166*(1+GrowthMarketRent)^9,0))))),IF(F166="",0,IF(AND(F166&gt;=DATE(2026+9,5,1),F166&lt;=DATE(2027+9,4,30)),(IF(I166="Vacate",TINew*D166,IF(I166="Market",Retention*TIRenewal*D166+(1-Retention)*TINew*D166,IF(I166="LeaseUp",TINew*D166,IF(I166="Option",TIRenewal*D166,0)))))+(IF(I166="Vacate",LCNew*H166*D166*(1+GrowthMarketRent)^9,IF(I166="Market",Retention*LCRenewal*H166*D166*(1+GrowthMarketRent)^9+(1-Retention)*LCNew*H166*D166*(1+GrowthMarketRent)^9,IF(I166="LeaseUp",LCNew*H166*D166*(1+GrowthMarketRent)^9,IF(I166="Option",LCRenewal*H166*D166*(1+GrowthMarketRent)^9,0))))),0))),0)</f>
        <v/>
      </c>
      <c r="AI166" s="14">
        <f>IFERROR(IF(AND(I166="LeaseUp",10=0),(IF(I166="Vacate",TINew*D166,IF(I166="Market",Retention*TIRenewal*D166+(1-Retention)*TINew*D166,IF(I166="LeaseUp",TINew*D166,IF(I166="Option",TIRenewal*D166,0)))))+(IF(I166="Vacate",LCNew*H166*D166*(1+GrowthMarketRent)^10,IF(I166="Market",Retention*LCRenewal*H166*D166*(1+GrowthMarketRent)^10+(1-Retention)*LCNew*H166*D166*(1+GrowthMarketRent)^10,IF(I166="LeaseUp",LCNew*H166*D166*(1+GrowthMarketRent)^10,IF(I166="Option",LCRenewal*H166*D166*(1+GrowthMarketRent)^10,0))))),IF(F166="",0,IF(AND(F166&gt;=DATE(2026+10,5,1),F166&lt;=DATE(2027+10,4,30)),(IF(I166="Vacate",TINew*D166,IF(I166="Market",Retention*TIRenewal*D166+(1-Retention)*TINew*D166,IF(I166="LeaseUp",TINew*D166,IF(I166="Option",TIRenewal*D166,0)))))+(IF(I166="Vacate",LCNew*H166*D166*(1+GrowthMarketRent)^10,IF(I166="Market",Retention*LCRenewal*H166*D166*(1+GrowthMarketRent)^10+(1-Retention)*LCNew*H166*D166*(1+GrowthMarketRent)^10,IF(I166="LeaseUp",LCNew*H166*D166*(1+GrowthMarketRent)^10,IF(I166="Option",LCRenewal*H166*D166*(1+GrowthMarketRent)^10,0))))),0))),0)</f>
        <v/>
      </c>
    </row>
    <row r="167">
      <c r="A167" s="35" t="inlineStr">
        <is>
          <t>PORTFOLIO TOTAL</t>
        </is>
      </c>
      <c r="D167" s="19">
        <f>SUM(D5:D166)</f>
        <v/>
      </c>
      <c r="N167" s="28">
        <f>SUM(N5:N166)</f>
        <v/>
      </c>
      <c r="O167" s="28">
        <f>SUM(O5:O166)</f>
        <v/>
      </c>
      <c r="P167" s="28">
        <f>SUM(P5:P166)</f>
        <v/>
      </c>
      <c r="Q167" s="28">
        <f>SUM(Q5:Q166)</f>
        <v/>
      </c>
      <c r="R167" s="28">
        <f>SUM(R5:R166)</f>
        <v/>
      </c>
      <c r="S167" s="28">
        <f>SUM(S5:S166)</f>
        <v/>
      </c>
      <c r="T167" s="28">
        <f>SUM(T5:T166)</f>
        <v/>
      </c>
      <c r="U167" s="28">
        <f>SUM(U5:U166)</f>
        <v/>
      </c>
      <c r="V167" s="28">
        <f>SUM(V5:V166)</f>
        <v/>
      </c>
      <c r="W167" s="28">
        <f>SUM(W5:W166)</f>
        <v/>
      </c>
      <c r="X167" s="28">
        <f>SUM(X5:X166)</f>
        <v/>
      </c>
      <c r="Y167" s="28">
        <f>SUM(Y5:Y166)</f>
        <v/>
      </c>
      <c r="Z167" s="28">
        <f>SUM(Z5:Z166)</f>
        <v/>
      </c>
      <c r="AA167" s="28">
        <f>SUM(AA5:AA166)</f>
        <v/>
      </c>
      <c r="AB167" s="28">
        <f>SUM(AB5:AB166)</f>
        <v/>
      </c>
      <c r="AC167" s="28">
        <f>SUM(AC5:AC166)</f>
        <v/>
      </c>
      <c r="AD167" s="28">
        <f>SUM(AD5:AD166)</f>
        <v/>
      </c>
      <c r="AE167" s="28">
        <f>SUM(AE5:AE166)</f>
        <v/>
      </c>
      <c r="AF167" s="28">
        <f>SUM(AF5:AF166)</f>
        <v/>
      </c>
      <c r="AG167" s="28">
        <f>SUM(AG5:AG166)</f>
        <v/>
      </c>
      <c r="AH167" s="28">
        <f>SUM(AH5:AH166)</f>
        <v/>
      </c>
      <c r="AI167" s="28">
        <f>SUM(AI5:AI166)</f>
        <v/>
      </c>
      <c r="AJ167" s="28">
        <f>SUM(AJ5:AJ166)</f>
        <v/>
      </c>
      <c r="AK167" s="28">
        <f>SUM(AK5:AK166)</f>
        <v/>
      </c>
      <c r="AL167" s="28">
        <f>SUM(AL5:AL166)</f>
        <v/>
      </c>
      <c r="AM167" s="28">
        <f>SUM(AM5:AM166)</f>
        <v/>
      </c>
      <c r="AN167" s="28">
        <f>SUM(AN5:AN166)</f>
        <v/>
      </c>
      <c r="AO167" s="28">
        <f>SUM(AO5:AO166)</f>
        <v/>
      </c>
      <c r="AP167" s="28">
        <f>SUM(AP5:AP166)</f>
        <v/>
      </c>
      <c r="AQ167" s="28">
        <f>SUM(AQ5:AQ166)</f>
        <v/>
      </c>
      <c r="AR167" s="28">
        <f>SUM(AR5:AR166)</f>
        <v/>
      </c>
      <c r="AS167" s="28">
        <f>SUM(AS5:AS166)</f>
        <v/>
      </c>
      <c r="AT167" s="28">
        <f>SUM(AT5:AT166)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2026-04-14T19:59:46Z</dcterms:created>
  <dcterms:modified xsi:type="dcterms:W3CDTF">2026-04-14T19:59:46Z</dcterms:modified>
</cp:coreProperties>
</file>