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Property Data" sheetId="2" state="visible" r:id="rId2"/>
    <sheet name="MLA" sheetId="3" state="visible" r:id="rId3"/>
    <sheet name="Rent Roll" sheetId="4" state="visible" r:id="rId4"/>
    <sheet name="Annual CF" sheetId="5" state="visible" r:id="rId5"/>
    <sheet name="Debt" sheetId="6" state="visible" r:id="rId6"/>
    <sheet name="Monthly CF" sheetId="7" state="visible" r:id="rId7"/>
    <sheet name="Summary" sheetId="8" state="visible" r:id="rId8"/>
  </sheets>
  <definedNames>
    <definedName name="AnalysisStart">'Assumptions'!$B5</definedName>
    <definedName name="HoldMonths">'Assumptions'!$B6</definedName>
    <definedName name="ProjMonths">'Assumptions'!$B7</definedName>
    <definedName name="FYEndMonth">'Assumptions'!$B8</definedName>
    <definedName name="GrowthMarketRent">'Assumptions'!$B10</definedName>
    <definedName name="EscalatorInLease">'Assumptions'!$B11</definedName>
    <definedName name="GrowthOpEx">'Assumptions'!$B12</definedName>
    <definedName name="GrowthRETax">'Assumptions'!$B13</definedName>
    <definedName name="CPI">'Assumptions'!$B14</definedName>
    <definedName name="GrowthOther">'Assumptions'!$B15</definedName>
    <definedName name="Retention">'Assumptions'!$B17</definedName>
    <definedName name="LeaseTermMonths">'Assumptions'!$B18</definedName>
    <definedName name="TINew">'Assumptions'!$B19</definedName>
    <definedName name="TIRenewal">'Assumptions'!$B20</definedName>
    <definedName name="LCNew">'Assumptions'!$B21</definedName>
    <definedName name="LCRenewal">'Assumptions'!$B22</definedName>
    <definedName name="DowntimeNew">'Assumptions'!$B23</definedName>
    <definedName name="DowntimeRenewal">'Assumptions'!$B24</definedName>
    <definedName name="FreeRentNew">'Assumptions'!$B25</definedName>
    <definedName name="FreeRentRenewal">'Assumptions'!$B26</definedName>
    <definedName name="GeneralVacancy">'Assumptions'!$B28</definedName>
    <definedName name="CreditLoss">'Assumptions'!$B29</definedName>
    <definedName name="RecoveryPct">'Assumptions'!$B31</definedName>
    <definedName name="MgmtFeePct">'Assumptions'!$B32</definedName>
    <definedName name="ReservesPSF">'Assumptions'!$B33</definedName>
    <definedName name="ReassessTaxes">'Assumptions'!$B35</definedName>
    <definedName name="ParkingRentMonthly">'Assumptions'!$B37</definedName>
    <definedName name="ParkingUtilStab">'Assumptions'!$B38</definedName>
    <definedName name="TURentGrowth">'Assumptions'!$B39</definedName>
    <definedName name="PricingMode">'Assumptions'!$B41</definedName>
    <definedName name="PricePerSF">'Assumptions'!$B42</definedName>
    <definedName name="TargetCap">'Assumptions'!$B43</definedName>
    <definedName name="PricePriceDirect">'Assumptions'!$B44</definedName>
    <definedName name="ExitCap">'Assumptions'!$B45</definedName>
    <definedName name="AcqCostPct">'Assumptions'!$B47</definedName>
    <definedName name="DispCostPct">'Assumptions'!$B48</definedName>
    <definedName name="LTV">'Assumptions'!$B50</definedName>
    <definedName name="SOFR">'Assumptions'!$B51</definedName>
    <definedName name="LoanSpreadBps">'Assumptions'!$B52</definedName>
    <definedName name="LoanRate">'Assumptions'!$B53</definedName>
    <definedName name="LoanTermMonths">'Assumptions'!$B54</definedName>
    <definedName name="LoanIOMonths">'Assumptions'!$B55</definedName>
    <definedName name="LoanAmortMonths">'Assumptions'!$B56</definedName>
    <definedName name="LoanOrigFeePct">'Assumptions'!$B57</definedName>
    <definedName name="WaterfallOn">'Assumptions'!$B59</definedName>
    <definedName name="PrefReturn">'Assumptions'!$B60</definedName>
    <definedName name="Tier1GPSplit">'Assumptions'!$B61</definedName>
    <definedName name="Tier1Hurdle">'Assumptions'!$B62</definedName>
    <definedName name="Tier2GPSplit">'Assumptions'!$B63</definedName>
    <definedName name="Tier2Hurdle">'Assumptions'!$B64</definedName>
    <definedName name="Tier3GPSplit">'Assumptions'!$B65</definedName>
    <definedName name="InPlaceNOI">'Assumptions'!$B67</definedName>
    <definedName name="PortfolioSF">'Assumptions'!$B68</definedName>
    <definedName name="PurchasePrice">'Assumptions'!$B69</definedName>
    <definedName name="PricePerSFImplied">'Assumptions'!$B70</definedName>
    <definedName name="CapInPlace">'Assumptions'!$B71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mmm-yyyy"/>
    <numFmt numFmtId="166" formatCode="0.00%;(0.00%);-"/>
    <numFmt numFmtId="167" formatCode="_-$* #,##0.00_-;-$* #,##0.00_-;_-$* &quot;-&quot;??_-;_-@_-"/>
    <numFmt numFmtId="168" formatCode="_-$* #,##0_-;-$* #,##0_-;_-$* &quot;-&quot;_-;_-@_-"/>
    <numFmt numFmtId="169" formatCode="#,##0;(#,##0);-"/>
    <numFmt numFmtId="170" formatCode="#,##0.00;(#,##0.00);-"/>
  </numFmts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i val="1"/>
      <color rgb="00808080"/>
      <sz val="9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70C0"/>
      <sz val="10"/>
    </font>
    <font>
      <i val="1"/>
      <color rgb="00606060"/>
      <sz val="9"/>
    </font>
    <font>
      <name val="Calibri"/>
      <b val="1"/>
      <color rgb="001F3864"/>
      <sz val="10"/>
    </font>
    <font>
      <name val="Calibri"/>
      <b val="1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4E1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FFE699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pivotButton="0" quotePrefix="0" xfId="0"/>
    <xf numFmtId="165" fontId="5" fillId="3" borderId="1" pivotButton="0" quotePrefix="0" xfId="0"/>
    <xf numFmtId="0" fontId="6" fillId="0" borderId="0" pivotButton="0" quotePrefix="0" xfId="0"/>
    <xf numFmtId="1" fontId="5" fillId="3" borderId="1" pivotButton="0" quotePrefix="0" xfId="0"/>
    <xf numFmtId="166" fontId="5" fillId="3" borderId="1" pivotButton="0" quotePrefix="0" xfId="0"/>
    <xf numFmtId="167" fontId="5" fillId="3" borderId="1" pivotButton="0" quotePrefix="0" xfId="0"/>
    <xf numFmtId="0" fontId="5" fillId="3" borderId="1" pivotButton="0" quotePrefix="0" xfId="0"/>
    <xf numFmtId="168" fontId="5" fillId="3" borderId="1" pivotButton="0" quotePrefix="0" xfId="0"/>
    <xf numFmtId="166" fontId="4" fillId="4" borderId="1" pivotButton="0" quotePrefix="0" xfId="0"/>
    <xf numFmtId="168" fontId="4" fillId="4" borderId="1" pivotButton="0" quotePrefix="0" xfId="0"/>
    <xf numFmtId="169" fontId="4" fillId="4" borderId="1" pivotButton="0" quotePrefix="0" xfId="0"/>
    <xf numFmtId="167" fontId="4" fillId="4" borderId="1" pivotButton="0" quotePrefix="0" xfId="0"/>
    <xf numFmtId="0" fontId="7" fillId="5" borderId="1" pivotButton="0" quotePrefix="0" xfId="0"/>
    <xf numFmtId="0" fontId="4" fillId="4" borderId="1" pivotButton="0" quotePrefix="0" xfId="0"/>
    <xf numFmtId="169" fontId="8" fillId="7" borderId="1" pivotButton="0" quotePrefix="0" xfId="0"/>
    <xf numFmtId="170" fontId="4" fillId="4" borderId="1" pivotButton="0" quotePrefix="0" xfId="0"/>
    <xf numFmtId="170" fontId="5" fillId="6" borderId="1" pivotButton="0" quotePrefix="0" xfId="0"/>
    <xf numFmtId="170" fontId="8" fillId="7" borderId="1" pivotButton="0" quotePrefix="0" xfId="0"/>
    <xf numFmtId="1" fontId="4" fillId="4" borderId="1" pivotButton="0" quotePrefix="0" xfId="0"/>
    <xf numFmtId="1" fontId="8" fillId="7" borderId="1" pivotButton="0" quotePrefix="0" xfId="0"/>
    <xf numFmtId="1" fontId="5" fillId="6" borderId="1" pivotButton="0" quotePrefix="0" xfId="0"/>
    <xf numFmtId="167" fontId="8" fillId="7" borderId="1" pivotButton="0" quotePrefix="0" xfId="0"/>
    <xf numFmtId="168" fontId="5" fillId="6" borderId="1" pivotButton="0" quotePrefix="0" xfId="0"/>
    <xf numFmtId="168" fontId="8" fillId="7" borderId="1" pivotButton="0" quotePrefix="0" xfId="0"/>
    <xf numFmtId="166" fontId="5" fillId="6" borderId="1" pivotButton="0" quotePrefix="0" xfId="0"/>
    <xf numFmtId="0" fontId="5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48" customWidth="1" min="3" max="3"/>
  </cols>
  <sheetData>
    <row r="1">
      <c r="A1" s="1" t="inlineStr">
        <is>
          <t>DFW MODERN MULTI-TENANT PORTFOLIO — UNDERWRITING ASSUMPTIONS</t>
        </is>
      </c>
    </row>
    <row r="2">
      <c r="A2" s="2" t="inlineStr">
        <is>
          <t>All yellow cells are user inputs. Orange = estimated (Plano OM incomplete).</t>
        </is>
      </c>
    </row>
    <row r="4">
      <c r="A4" s="3" t="inlineStr">
        <is>
          <t>MODEL TIMING</t>
        </is>
      </c>
      <c r="B4" s="4" t="n"/>
      <c r="C4" s="4" t="n"/>
    </row>
    <row r="5">
      <c r="A5" s="5" t="inlineStr">
        <is>
          <t>Analysis Start Date</t>
        </is>
      </c>
      <c r="B5" s="6" t="n">
        <v>46143</v>
      </c>
      <c r="C5" s="7" t="inlineStr">
        <is>
          <t>May 1, 2026 — matches OM</t>
        </is>
      </c>
    </row>
    <row r="6">
      <c r="A6" s="5" t="inlineStr">
        <is>
          <t>Hold Period (months)</t>
        </is>
      </c>
      <c r="B6" s="8" t="n">
        <v>60</v>
      </c>
      <c r="C6" s="7" t="inlineStr">
        <is>
          <t>5-year hold (matches loan term)</t>
        </is>
      </c>
    </row>
    <row r="7">
      <c r="A7" s="5" t="inlineStr">
        <is>
          <t>Projection Period (months)</t>
        </is>
      </c>
      <c r="B7" s="8" t="n">
        <v>120</v>
      </c>
      <c r="C7" s="7" t="inlineStr">
        <is>
          <t>Always project 10 yrs for exit cap / reversion math</t>
        </is>
      </c>
    </row>
    <row r="8">
      <c r="A8" s="5" t="inlineStr">
        <is>
          <t>Fiscal Year End Month</t>
        </is>
      </c>
      <c r="B8" s="8" t="n">
        <v>4</v>
      </c>
      <c r="C8" s="7" t="inlineStr">
        <is>
          <t>April (matches OM Argus FYE 4/30)</t>
        </is>
      </c>
    </row>
    <row r="9">
      <c r="A9" s="3" t="inlineStr">
        <is>
          <t>GROWTH RATES</t>
        </is>
      </c>
      <c r="B9" s="4" t="n"/>
      <c r="C9" s="4" t="n"/>
    </row>
    <row r="10">
      <c r="A10" s="5" t="inlineStr">
        <is>
          <t>Market Rent Growth</t>
        </is>
      </c>
      <c r="B10" s="9" t="n">
        <v>0.03</v>
      </c>
      <c r="C10" s="7" t="inlineStr">
        <is>
          <t>CBRE/Argus assumption</t>
        </is>
      </c>
    </row>
    <row r="11">
      <c r="A11" s="5" t="inlineStr">
        <is>
          <t>In-Lease Rent Escalator</t>
        </is>
      </c>
      <c r="B11" s="9" t="n">
        <v>0.025</v>
      </c>
      <c r="C11" s="7" t="inlineStr">
        <is>
          <t>Typical 2.5% annual bumps</t>
        </is>
      </c>
    </row>
    <row r="12">
      <c r="A12" s="5" t="inlineStr">
        <is>
          <t>Operating Expense Growth</t>
        </is>
      </c>
      <c r="B12" s="9" t="n">
        <v>0.03</v>
      </c>
      <c r="C12" s="7" t="inlineStr"/>
    </row>
    <row r="13">
      <c r="A13" s="5" t="inlineStr">
        <is>
          <t>RE Tax Growth</t>
        </is>
      </c>
      <c r="B13" s="9" t="n">
        <v>0.03</v>
      </c>
      <c r="C13" s="7" t="inlineStr">
        <is>
          <t>Applied to reassessed base</t>
        </is>
      </c>
    </row>
    <row r="14">
      <c r="A14" s="5" t="inlineStr">
        <is>
          <t>CPI</t>
        </is>
      </c>
      <c r="B14" s="9" t="n">
        <v>0.03</v>
      </c>
      <c r="C14" s="7" t="inlineStr"/>
    </row>
    <row r="15">
      <c r="A15" s="5" t="inlineStr">
        <is>
          <t>Other Revenue Growth</t>
        </is>
      </c>
      <c r="B15" s="9" t="n">
        <v>0.03</v>
      </c>
      <c r="C15" s="7" t="inlineStr">
        <is>
          <t>Ancillary income</t>
        </is>
      </c>
    </row>
    <row r="16">
      <c r="A16" s="3" t="inlineStr">
        <is>
          <t>LEASING ASSUMPTIONS (PORTFOLIO DEFAULTS — overrideable on MLA tab)</t>
        </is>
      </c>
      <c r="B16" s="4" t="n"/>
      <c r="C16" s="4" t="n"/>
    </row>
    <row r="17">
      <c r="A17" s="5" t="inlineStr">
        <is>
          <t>Renewal Probability (Retention)</t>
        </is>
      </c>
      <c r="B17" s="9" t="n">
        <v>0.75</v>
      </c>
      <c r="C17" s="7" t="inlineStr">
        <is>
          <t>CBRE default 75%</t>
        </is>
      </c>
    </row>
    <row r="18">
      <c r="A18" s="5" t="inlineStr">
        <is>
          <t>New Lease Term (months)</t>
        </is>
      </c>
      <c r="B18" s="8" t="n">
        <v>42</v>
      </c>
      <c r="C18" s="7" t="inlineStr">
        <is>
          <t>3 yrs 6 months</t>
        </is>
      </c>
    </row>
    <row r="19">
      <c r="A19" s="5" t="inlineStr">
        <is>
          <t>TI — New ($/SF)</t>
        </is>
      </c>
      <c r="B19" s="10" t="n">
        <v>1.5</v>
      </c>
      <c r="C19" s="7" t="inlineStr"/>
    </row>
    <row r="20">
      <c r="A20" s="5" t="inlineStr">
        <is>
          <t>TI — Renewal ($/SF)</t>
        </is>
      </c>
      <c r="B20" s="10" t="n">
        <v>0</v>
      </c>
      <c r="C20" s="7" t="inlineStr"/>
    </row>
    <row r="21">
      <c r="A21" s="5" t="inlineStr">
        <is>
          <t>LC — New (% of base rent)</t>
        </is>
      </c>
      <c r="B21" s="9" t="n">
        <v>0.0675</v>
      </c>
      <c r="C21" s="7" t="inlineStr"/>
    </row>
    <row r="22">
      <c r="A22" s="5" t="inlineStr">
        <is>
          <t>LC — Renewal (%)</t>
        </is>
      </c>
      <c r="B22" s="9" t="n">
        <v>0.0325</v>
      </c>
      <c r="C22" s="7" t="inlineStr"/>
    </row>
    <row r="23">
      <c r="A23" s="5" t="inlineStr">
        <is>
          <t>Downtime — New (months)</t>
        </is>
      </c>
      <c r="B23" s="8" t="n">
        <v>3</v>
      </c>
      <c r="C23" s="7" t="inlineStr"/>
    </row>
    <row r="24">
      <c r="A24" s="5" t="inlineStr">
        <is>
          <t>Downtime — Renewal (months)</t>
        </is>
      </c>
      <c r="B24" s="8" t="n">
        <v>0</v>
      </c>
      <c r="C24" s="7" t="inlineStr">
        <is>
          <t>Typically zero</t>
        </is>
      </c>
    </row>
    <row r="25">
      <c r="A25" s="5" t="inlineStr">
        <is>
          <t>Free Rent — New (months)</t>
        </is>
      </c>
      <c r="B25" s="8" t="n">
        <v>0</v>
      </c>
      <c r="C25" s="7" t="inlineStr"/>
    </row>
    <row r="26">
      <c r="A26" s="5" t="inlineStr">
        <is>
          <t>Free Rent — Renewal (months)</t>
        </is>
      </c>
      <c r="B26" s="8" t="n">
        <v>0</v>
      </c>
      <c r="C26" s="7" t="inlineStr"/>
    </row>
    <row r="27">
      <c r="A27" s="3" t="inlineStr">
        <is>
          <t>VACANCY &amp; CREDIT</t>
        </is>
      </c>
      <c r="B27" s="4" t="n"/>
      <c r="C27" s="4" t="n"/>
    </row>
    <row r="28">
      <c r="A28" s="5" t="inlineStr">
        <is>
          <t>General Vacancy</t>
        </is>
      </c>
      <c r="B28" s="9" t="n">
        <v>0.02</v>
      </c>
      <c r="C28" s="7" t="inlineStr">
        <is>
          <t>Beyond lease-up vacancy</t>
        </is>
      </c>
    </row>
    <row r="29">
      <c r="A29" s="5" t="inlineStr">
        <is>
          <t>Credit Loss</t>
        </is>
      </c>
      <c r="B29" s="9" t="n">
        <v>0.01</v>
      </c>
      <c r="C29" s="7" t="inlineStr"/>
    </row>
    <row r="30">
      <c r="A30" s="3" t="inlineStr">
        <is>
          <t>REIMBURSEMENTS &amp; MANAGEMENT</t>
        </is>
      </c>
      <c r="B30" s="4" t="n"/>
      <c r="C30" s="4" t="n"/>
    </row>
    <row r="31">
      <c r="A31" s="5" t="inlineStr">
        <is>
          <t>Recovery % (NNN Pass-through)</t>
        </is>
      </c>
      <c r="B31" s="9" t="n">
        <v>1</v>
      </c>
      <c r="C31" s="7" t="inlineStr">
        <is>
          <t>100% NNN all leases</t>
        </is>
      </c>
    </row>
    <row r="32">
      <c r="A32" s="5" t="inlineStr">
        <is>
          <t>Management Fee (% of EGR)</t>
        </is>
      </c>
      <c r="B32" s="9" t="n">
        <v>0.04</v>
      </c>
      <c r="C32" s="7" t="inlineStr">
        <is>
          <t>4% per OM; 5% cap per lease</t>
        </is>
      </c>
    </row>
    <row r="33">
      <c r="A33" s="5" t="inlineStr">
        <is>
          <t>Capital Reserves ($/SF)</t>
        </is>
      </c>
      <c r="B33" s="10" t="n">
        <v>0.2</v>
      </c>
      <c r="C33" s="7" t="inlineStr"/>
    </row>
    <row r="34">
      <c r="A34" s="3" t="inlineStr">
        <is>
          <t>REAL ESTATE TAXES</t>
        </is>
      </c>
      <c r="B34" s="4" t="n"/>
      <c r="C34" s="4" t="n"/>
    </row>
    <row r="35">
      <c r="A35" s="5" t="inlineStr">
        <is>
          <t>Reassess Taxes at Purchase?</t>
        </is>
      </c>
      <c r="B35" s="11" t="b">
        <v>1</v>
      </c>
      <c r="C35" s="7" t="inlineStr">
        <is>
          <t>TRUE = taxes reset to Purchase Price × millage</t>
        </is>
      </c>
    </row>
    <row r="36">
      <c r="A36" s="3" t="inlineStr">
        <is>
          <t>ANCILLARY INCOME</t>
        </is>
      </c>
      <c r="B36" s="4" t="n"/>
      <c r="C36" s="4" t="n"/>
    </row>
    <row r="37">
      <c r="A37" s="5" t="inlineStr">
        <is>
          <t>Parking Rent $/Stall/Month (new)</t>
        </is>
      </c>
      <c r="B37" s="12" t="n">
        <v>165</v>
      </c>
      <c r="C37" s="7" t="inlineStr">
        <is>
          <t>Secured parking</t>
        </is>
      </c>
    </row>
    <row r="38">
      <c r="A38" s="5" t="inlineStr">
        <is>
          <t>Parking Stabilized Utilization</t>
        </is>
      </c>
      <c r="B38" s="9" t="n">
        <v>0.9</v>
      </c>
      <c r="C38" s="7" t="inlineStr">
        <is>
          <t>Target year 3+</t>
        </is>
      </c>
    </row>
    <row r="39">
      <c r="A39" s="5" t="inlineStr">
        <is>
          <t>Tenant Upgrade Rent Growth</t>
        </is>
      </c>
      <c r="B39" s="9" t="n">
        <v>0.025</v>
      </c>
      <c r="C39" s="7" t="inlineStr"/>
    </row>
    <row r="40">
      <c r="A40" s="3" t="inlineStr">
        <is>
          <t>PRICING</t>
        </is>
      </c>
      <c r="B40" s="4" t="n"/>
      <c r="C40" s="4" t="n"/>
    </row>
    <row r="41">
      <c r="A41" s="5" t="inlineStr">
        <is>
          <t>Pricing Mode</t>
        </is>
      </c>
      <c r="B41" s="11" t="inlineStr">
        <is>
          <t>price_psf</t>
        </is>
      </c>
      <c r="C41" s="7" t="inlineStr">
        <is>
          <t>price_psf | cap_on_inplace | cap_on_y1 | price_direct</t>
        </is>
      </c>
    </row>
    <row r="42">
      <c r="A42" s="5" t="inlineStr">
        <is>
          <t>Price per SF (Mode: price_psf)</t>
        </is>
      </c>
      <c r="B42" s="10" t="n">
        <v>250</v>
      </c>
      <c r="C42" s="7" t="inlineStr">
        <is>
          <t>Broker guidance $250/SF</t>
        </is>
      </c>
    </row>
    <row r="43">
      <c r="A43" s="5" t="inlineStr">
        <is>
          <t>Going-In Cap Rate (Mode: cap_on_*)</t>
        </is>
      </c>
      <c r="B43" s="9" t="n">
        <v>0.08</v>
      </c>
      <c r="C43" s="7" t="inlineStr">
        <is>
          <t>User spec: 8% on in-place NOI</t>
        </is>
      </c>
    </row>
    <row r="44">
      <c r="A44" s="5" t="inlineStr">
        <is>
          <t>Purchase Price Direct Input</t>
        </is>
      </c>
      <c r="B44" s="12" t="n">
        <v>107637500</v>
      </c>
      <c r="C44" s="7" t="inlineStr">
        <is>
          <t>Only used if Mode = price_direct</t>
        </is>
      </c>
    </row>
    <row r="45">
      <c r="A45" s="5" t="inlineStr">
        <is>
          <t>Exit Cap Rate</t>
        </is>
      </c>
      <c r="B45" s="9" t="n">
        <v>0.065</v>
      </c>
      <c r="C45" s="7" t="inlineStr">
        <is>
          <t>User spec: 6.5%</t>
        </is>
      </c>
    </row>
    <row r="46">
      <c r="A46" s="3" t="inlineStr">
        <is>
          <t>TRANSACTION COSTS</t>
        </is>
      </c>
      <c r="B46" s="4" t="n"/>
      <c r="C46" s="4" t="n"/>
    </row>
    <row r="47">
      <c r="A47" s="5" t="inlineStr">
        <is>
          <t>Acquisition Closing Costs %</t>
        </is>
      </c>
      <c r="B47" s="9" t="n">
        <v>0.02</v>
      </c>
      <c r="C47" s="7" t="inlineStr">
        <is>
          <t>User spec: 2%</t>
        </is>
      </c>
    </row>
    <row r="48">
      <c r="A48" s="5" t="inlineStr">
        <is>
          <t>Disposition Closing Costs %</t>
        </is>
      </c>
      <c r="B48" s="9" t="n">
        <v>0.02</v>
      </c>
      <c r="C48" s="7" t="inlineStr">
        <is>
          <t>User spec: 2%</t>
        </is>
      </c>
    </row>
    <row r="49">
      <c r="A49" s="3" t="inlineStr">
        <is>
          <t>DEBT (BANK FLOATING — USER SPEC)</t>
        </is>
      </c>
      <c r="B49" s="4" t="n"/>
      <c r="C49" s="4" t="n"/>
    </row>
    <row r="50">
      <c r="A50" s="5" t="inlineStr">
        <is>
          <t>Loan-to-Value (LTV)</t>
        </is>
      </c>
      <c r="B50" s="9" t="n">
        <v>0.7</v>
      </c>
      <c r="C50" s="7" t="inlineStr">
        <is>
          <t>70% per user</t>
        </is>
      </c>
    </row>
    <row r="51">
      <c r="A51" s="5" t="inlineStr">
        <is>
          <t>SOFR Rate</t>
        </is>
      </c>
      <c r="B51" s="9" t="n">
        <v>0.043</v>
      </c>
      <c r="C51" s="7" t="inlineStr">
        <is>
          <t>Editable — current ~4.3%</t>
        </is>
      </c>
    </row>
    <row r="52">
      <c r="A52" s="5" t="inlineStr">
        <is>
          <t>Loan Spread (bps)</t>
        </is>
      </c>
      <c r="B52" s="8" t="n">
        <v>300</v>
      </c>
      <c r="C52" s="7" t="inlineStr">
        <is>
          <t>300 bps per user</t>
        </is>
      </c>
    </row>
    <row r="53">
      <c r="A53" s="5" t="inlineStr">
        <is>
          <t>All-In Loan Rate</t>
        </is>
      </c>
      <c r="B53" s="13">
        <f>SOFR+LoanSpreadBps/10000</f>
        <v/>
      </c>
      <c r="C53" s="7">
        <f> SOFR + Spread</f>
        <v/>
      </c>
    </row>
    <row r="54">
      <c r="A54" s="5" t="inlineStr">
        <is>
          <t>Loan Term (months)</t>
        </is>
      </c>
      <c r="B54" s="8" t="n">
        <v>60</v>
      </c>
      <c r="C54" s="7" t="inlineStr">
        <is>
          <t>60 months (5-yr)</t>
        </is>
      </c>
    </row>
    <row r="55">
      <c r="A55" s="5" t="inlineStr">
        <is>
          <t>Interest-Only Period (months)</t>
        </is>
      </c>
      <c r="B55" s="8" t="n">
        <v>24</v>
      </c>
      <c r="C55" s="7" t="inlineStr"/>
    </row>
    <row r="56">
      <c r="A56" s="5" t="inlineStr">
        <is>
          <t>Amortization (months)</t>
        </is>
      </c>
      <c r="B56" s="8" t="n">
        <v>360</v>
      </c>
      <c r="C56" s="7" t="inlineStr">
        <is>
          <t>30-yr amort</t>
        </is>
      </c>
    </row>
    <row r="57">
      <c r="A57" s="5" t="inlineStr">
        <is>
          <t>Origination Fee %</t>
        </is>
      </c>
      <c r="B57" s="9" t="n">
        <v>0.0075</v>
      </c>
      <c r="C57" s="7" t="inlineStr">
        <is>
          <t>75 bps typical bank</t>
        </is>
      </c>
    </row>
    <row r="58">
      <c r="A58" s="3" t="inlineStr">
        <is>
          <t>WATERFALL (RESERVED — enable later)</t>
        </is>
      </c>
      <c r="B58" s="4" t="n"/>
      <c r="C58" s="4" t="n"/>
    </row>
    <row r="59">
      <c r="A59" s="5" t="inlineStr">
        <is>
          <t>Waterfall Enabled?</t>
        </is>
      </c>
      <c r="B59" s="11" t="b">
        <v>0</v>
      </c>
      <c r="C59" s="7" t="inlineStr">
        <is>
          <t>Deal-level returns only for now</t>
        </is>
      </c>
    </row>
    <row r="60">
      <c r="A60" s="5" t="inlineStr">
        <is>
          <t>Preferred Return</t>
        </is>
      </c>
      <c r="B60" s="9" t="n">
        <v>0.08</v>
      </c>
      <c r="C60" s="7" t="inlineStr"/>
    </row>
    <row r="61">
      <c r="A61" s="5" t="inlineStr">
        <is>
          <t>Tier 1 GP Split (to 15% IRR)</t>
        </is>
      </c>
      <c r="B61" s="9" t="n">
        <v>0.2</v>
      </c>
      <c r="C61" s="7" t="inlineStr"/>
    </row>
    <row r="62">
      <c r="A62" s="5" t="inlineStr">
        <is>
          <t>Tier 1 IRR Hurdle</t>
        </is>
      </c>
      <c r="B62" s="9" t="n">
        <v>0.15</v>
      </c>
      <c r="C62" s="7" t="inlineStr"/>
    </row>
    <row r="63">
      <c r="A63" s="5" t="inlineStr">
        <is>
          <t>Tier 2 GP Split (to 20% IRR)</t>
        </is>
      </c>
      <c r="B63" s="9" t="n">
        <v>0.3</v>
      </c>
      <c r="C63" s="7" t="inlineStr"/>
    </row>
    <row r="64">
      <c r="A64" s="5" t="inlineStr">
        <is>
          <t>Tier 2 IRR Hurdle</t>
        </is>
      </c>
      <c r="B64" s="9" t="n">
        <v>0.2</v>
      </c>
      <c r="C64" s="7" t="inlineStr"/>
    </row>
    <row r="65">
      <c r="A65" s="5" t="inlineStr">
        <is>
          <t>Tier 3 GP Split (above)</t>
        </is>
      </c>
      <c r="B65" s="9" t="n">
        <v>0.4</v>
      </c>
      <c r="C65" s="7" t="inlineStr"/>
    </row>
    <row r="66">
      <c r="A66" s="3" t="inlineStr">
        <is>
          <t>DERIVED PRICING (calculated)</t>
        </is>
      </c>
      <c r="B66" s="4" t="n"/>
      <c r="C66" s="4" t="n"/>
    </row>
    <row r="67">
      <c r="A67" s="5" t="inlineStr">
        <is>
          <t>In-Place NOI (Portfolio)</t>
        </is>
      </c>
      <c r="B67" s="14">
        <f>SUM('Property Data'!B18:G18)</f>
        <v/>
      </c>
      <c r="C67" s="7" t="inlineStr">
        <is>
          <t>Sum across 6 properties</t>
        </is>
      </c>
    </row>
    <row r="68">
      <c r="A68" s="5" t="inlineStr">
        <is>
          <t>Portfolio SF</t>
        </is>
      </c>
      <c r="B68" s="15">
        <f>SUM('Property Data'!B4:G4)</f>
        <v/>
      </c>
      <c r="C68" s="7" t="inlineStr"/>
    </row>
    <row r="69">
      <c r="A69" s="5" t="inlineStr">
        <is>
          <t>Purchase Price</t>
        </is>
      </c>
      <c r="B69" s="14">
        <f>IF(PricingMode="price_psf",PricePerSF*PortfolioSF,IF(PricingMode="cap_on_inplace",InPlaceNOI/TargetCap,IF(PricingMode="cap_on_y1",'Annual CF'!C24/TargetCap,PricePriceDirect)))</f>
        <v/>
      </c>
      <c r="C69" s="7" t="inlineStr">
        <is>
          <t>Resolves based on Pricing Mode</t>
        </is>
      </c>
    </row>
    <row r="70">
      <c r="A70" s="5" t="inlineStr">
        <is>
          <t>Price per SF (implied)</t>
        </is>
      </c>
      <c r="B70" s="16">
        <f>PurchasePrice/PortfolioSF</f>
        <v/>
      </c>
      <c r="C70" s="7" t="inlineStr"/>
    </row>
    <row r="71">
      <c r="A71" s="5" t="inlineStr">
        <is>
          <t>Going-In Cap (on In-Place NOI)</t>
        </is>
      </c>
      <c r="B71" s="13">
        <f>InPlaceNOI/PurchasePrice</f>
        <v/>
      </c>
      <c r="C71" s="7" t="inlineStr"/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>
      <c r="A1" s="1" t="inlineStr">
        <is>
          <t>PROPERTY DATA</t>
        </is>
      </c>
    </row>
    <row r="2">
      <c r="B2" s="17" t="inlineStr">
        <is>
          <t>Carrollton</t>
        </is>
      </c>
      <c r="C2" s="17" t="inlineStr">
        <is>
          <t>Frisco</t>
        </is>
      </c>
      <c r="D2" s="17" t="inlineStr">
        <is>
          <t>Lewisville</t>
        </is>
      </c>
      <c r="E2" s="17" t="inlineStr">
        <is>
          <t>Mesquite</t>
        </is>
      </c>
      <c r="F2" s="17" t="inlineStr">
        <is>
          <t>Plano</t>
        </is>
      </c>
      <c r="G2" s="17" t="inlineStr">
        <is>
          <t>Roanoke</t>
        </is>
      </c>
      <c r="H2" s="17" t="inlineStr">
        <is>
          <t>Portfolio</t>
        </is>
      </c>
    </row>
    <row r="3">
      <c r="A3" s="5" t="inlineStr">
        <is>
          <t>Property ID</t>
        </is>
      </c>
      <c r="B3" s="18" t="inlineStr">
        <is>
          <t>CAR</t>
        </is>
      </c>
      <c r="C3" s="18" t="inlineStr">
        <is>
          <t>FRI</t>
        </is>
      </c>
      <c r="D3" s="18" t="inlineStr">
        <is>
          <t>LEW</t>
        </is>
      </c>
      <c r="E3" s="18" t="inlineStr">
        <is>
          <t>MES</t>
        </is>
      </c>
      <c r="F3" s="18" t="inlineStr">
        <is>
          <t>PLA</t>
        </is>
      </c>
      <c r="G3" s="18" t="inlineStr">
        <is>
          <t>ROA</t>
        </is>
      </c>
    </row>
    <row r="4">
      <c r="A4" s="5" t="inlineStr">
        <is>
          <t>Total SF</t>
        </is>
      </c>
      <c r="B4" s="15" t="n">
        <v>101855</v>
      </c>
      <c r="C4" s="15" t="n">
        <v>74600</v>
      </c>
      <c r="D4" s="15" t="n">
        <v>69500</v>
      </c>
      <c r="E4" s="15" t="n">
        <v>50750</v>
      </c>
      <c r="F4" s="15" t="n">
        <v>82250</v>
      </c>
      <c r="G4" s="15" t="n">
        <v>51595</v>
      </c>
      <c r="H4" s="19">
        <f>SUM(B4:G4)</f>
        <v/>
      </c>
    </row>
    <row r="5">
      <c r="A5" s="5" t="inlineStr">
        <is>
          <t>Office SF</t>
        </is>
      </c>
      <c r="B5" s="15" t="n">
        <v>43046</v>
      </c>
      <c r="C5" s="15" t="n">
        <v>37300</v>
      </c>
      <c r="D5" s="15" t="n">
        <v>31960</v>
      </c>
      <c r="E5" s="15" t="n">
        <v>21225</v>
      </c>
      <c r="F5" s="15" t="n">
        <v>41125</v>
      </c>
      <c r="G5" s="15" t="n">
        <v>18465</v>
      </c>
      <c r="H5" s="19">
        <f>SUM(B5:G5)</f>
        <v/>
      </c>
    </row>
    <row r="6">
      <c r="A6" s="5" t="inlineStr">
        <is>
          <t>Office %</t>
        </is>
      </c>
      <c r="B6" s="13" t="n">
        <v>0.42</v>
      </c>
      <c r="C6" s="13" t="n">
        <v>0.5</v>
      </c>
      <c r="D6" s="13" t="n">
        <v>0.46</v>
      </c>
      <c r="E6" s="13" t="n">
        <v>0.42</v>
      </c>
      <c r="F6" s="13" t="n">
        <v>0.5</v>
      </c>
      <c r="G6" s="13" t="n">
        <v>0.36</v>
      </c>
    </row>
    <row r="7">
      <c r="A7" s="5" t="inlineStr">
        <is>
          <t>Land Acres</t>
        </is>
      </c>
      <c r="B7" s="20" t="n">
        <v>7.47</v>
      </c>
      <c r="C7" s="20" t="n">
        <v>5.16</v>
      </c>
      <c r="D7" s="20" t="n">
        <v>4.5</v>
      </c>
      <c r="E7" s="20" t="n">
        <v>3.45</v>
      </c>
      <c r="F7" s="21" t="n">
        <v>5.5</v>
      </c>
      <c r="G7" s="20" t="n">
        <v>3.25</v>
      </c>
      <c r="H7" s="22">
        <f>SUM(B7:G7)</f>
        <v/>
      </c>
    </row>
    <row r="8">
      <c r="A8" s="5" t="inlineStr">
        <is>
          <t># Buildings</t>
        </is>
      </c>
      <c r="B8" s="23" t="n">
        <v>4</v>
      </c>
      <c r="C8" s="23" t="n">
        <v>3</v>
      </c>
      <c r="D8" s="23" t="n">
        <v>3</v>
      </c>
      <c r="E8" s="23" t="n">
        <v>2</v>
      </c>
      <c r="F8" s="23" t="n">
        <v>3</v>
      </c>
      <c r="G8" s="23" t="n">
        <v>2</v>
      </c>
      <c r="H8" s="24">
        <f>SUM(B8:G8)</f>
        <v/>
      </c>
    </row>
    <row r="9">
      <c r="A9" s="5" t="inlineStr">
        <is>
          <t># Units</t>
        </is>
      </c>
      <c r="B9" s="23" t="n">
        <v>36</v>
      </c>
      <c r="C9" s="23" t="n">
        <v>28</v>
      </c>
      <c r="D9" s="23" t="n">
        <v>28</v>
      </c>
      <c r="E9" s="23" t="n">
        <v>22</v>
      </c>
      <c r="F9" s="23" t="n">
        <v>30</v>
      </c>
      <c r="G9" s="23" t="n">
        <v>18</v>
      </c>
      <c r="H9" s="24">
        <f>SUM(B9:G9)</f>
        <v/>
      </c>
    </row>
    <row r="10">
      <c r="A10" s="5" t="inlineStr">
        <is>
          <t>Year Built</t>
        </is>
      </c>
      <c r="B10" s="23" t="n">
        <v>2023</v>
      </c>
      <c r="C10" s="23" t="n">
        <v>2024</v>
      </c>
      <c r="D10" s="23" t="n">
        <v>2023</v>
      </c>
      <c r="E10" s="23" t="n">
        <v>2022</v>
      </c>
      <c r="F10" s="23" t="n">
        <v>2023</v>
      </c>
      <c r="G10" s="23" t="n">
        <v>2025</v>
      </c>
      <c r="H10" s="24">
        <f>SUM(B10:G10)</f>
        <v/>
      </c>
    </row>
    <row r="11">
      <c r="A11" s="5" t="inlineStr">
        <is>
          <t>Parking Spaces</t>
        </is>
      </c>
      <c r="B11" s="23" t="n">
        <v>192</v>
      </c>
      <c r="C11" s="23" t="n">
        <v>161</v>
      </c>
      <c r="D11" s="23" t="n">
        <v>127</v>
      </c>
      <c r="E11" s="23" t="n">
        <v>138</v>
      </c>
      <c r="F11" s="25" t="n">
        <v>178</v>
      </c>
      <c r="G11" s="23" t="n">
        <v>131</v>
      </c>
      <c r="H11" s="24">
        <f>SUM(B11:G11)</f>
        <v/>
      </c>
    </row>
    <row r="12">
      <c r="A12" s="5" t="inlineStr">
        <is>
          <t>Secured Parking</t>
        </is>
      </c>
      <c r="B12" s="23" t="n">
        <v>41</v>
      </c>
      <c r="C12" s="23" t="n">
        <v>25</v>
      </c>
      <c r="D12" s="23" t="n">
        <v>25</v>
      </c>
      <c r="E12" s="23" t="n">
        <v>32</v>
      </c>
      <c r="F12" s="25" t="n">
        <v>30</v>
      </c>
      <c r="G12" s="23" t="n">
        <v>22</v>
      </c>
      <c r="H12" s="24">
        <f>SUM(B12:G12)</f>
        <v/>
      </c>
    </row>
    <row r="13">
      <c r="A13" s="5" t="inlineStr">
        <is>
          <t>Market Rent — Shop ($/SF)</t>
        </is>
      </c>
      <c r="B13" s="10" t="n">
        <v>18</v>
      </c>
      <c r="C13" s="10" t="n">
        <v>19</v>
      </c>
      <c r="D13" s="10" t="n">
        <v>18</v>
      </c>
      <c r="E13" s="10" t="n">
        <v>16</v>
      </c>
      <c r="F13" s="10" t="n">
        <v>19</v>
      </c>
      <c r="G13" s="10" t="n">
        <v>17</v>
      </c>
      <c r="H13" s="26">
        <f>SUM(B13:G13)</f>
        <v/>
      </c>
    </row>
    <row r="14">
      <c r="A14" s="5" t="inlineStr">
        <is>
          <t>Market Rent — Studio ($/SF)</t>
        </is>
      </c>
      <c r="B14" s="10" t="n">
        <v>16</v>
      </c>
      <c r="C14" s="10" t="n">
        <v>19</v>
      </c>
      <c r="D14" s="10" t="n">
        <v>18</v>
      </c>
      <c r="E14" s="10" t="n">
        <v>16</v>
      </c>
      <c r="F14" s="10" t="n">
        <v>19</v>
      </c>
      <c r="G14" s="10" t="n">
        <v>17</v>
      </c>
      <c r="H14" s="26">
        <f>SUM(B14:G14)</f>
        <v/>
      </c>
    </row>
    <row r="15">
      <c r="A15" s="5" t="inlineStr">
        <is>
          <t>2025 Assessed Value</t>
        </is>
      </c>
      <c r="B15" s="12" t="n">
        <v>17500000</v>
      </c>
      <c r="C15" s="12" t="n">
        <v>13174536</v>
      </c>
      <c r="D15" s="12" t="n">
        <v>10800000</v>
      </c>
      <c r="E15" s="12" t="n">
        <v>6168340</v>
      </c>
      <c r="F15" s="27" t="n">
        <v>14500000</v>
      </c>
      <c r="G15" s="12" t="n">
        <v>8839548</v>
      </c>
      <c r="H15" s="28">
        <f>SUM(B15:G15)</f>
        <v/>
      </c>
    </row>
    <row r="16">
      <c r="A16" s="5" t="inlineStr">
        <is>
          <t>Millage Rate</t>
        </is>
      </c>
      <c r="B16" s="9" t="n">
        <v>0.02059675</v>
      </c>
      <c r="C16" s="9" t="n">
        <v>0.0167548</v>
      </c>
      <c r="D16" s="9" t="n">
        <v>0.01722747</v>
      </c>
      <c r="E16" s="9" t="n">
        <v>0.02345667</v>
      </c>
      <c r="F16" s="29" t="n">
        <v>0.02</v>
      </c>
      <c r="G16" s="9" t="n">
        <v>0.0159622</v>
      </c>
    </row>
    <row r="17">
      <c r="A17" s="5" t="inlineStr">
        <is>
          <t>Parcel</t>
        </is>
      </c>
      <c r="B17" s="18" t="inlineStr">
        <is>
          <t>Dallas CAD #140067300A01R0000</t>
        </is>
      </c>
      <c r="C17" s="18" t="inlineStr">
        <is>
          <t>Collin CAD #2761885</t>
        </is>
      </c>
      <c r="D17" s="18" t="inlineStr">
        <is>
          <t>Denton CAD #983656</t>
        </is>
      </c>
      <c r="E17" s="18" t="inlineStr">
        <is>
          <t>Dallas CAD #380215100D0060000</t>
        </is>
      </c>
      <c r="F17" s="30" t="inlineStr">
        <is>
          <t>ESTIMATED — confirm with seller</t>
        </is>
      </c>
      <c r="G17" s="18" t="inlineStr">
        <is>
          <t>Denton CAD #742232, #742233, #742235</t>
        </is>
      </c>
    </row>
    <row r="18">
      <c r="A18" s="5" t="inlineStr">
        <is>
          <t>In-Place NOI (OM)</t>
        </is>
      </c>
      <c r="B18" s="12" t="n">
        <v>1581944</v>
      </c>
      <c r="C18" s="12" t="n">
        <v>1365615</v>
      </c>
      <c r="D18" s="12" t="n">
        <v>1189505</v>
      </c>
      <c r="E18" s="12" t="n">
        <v>455529</v>
      </c>
      <c r="F18" s="27" t="n">
        <v>1318936</v>
      </c>
      <c r="G18" s="12" t="n">
        <v>366683</v>
      </c>
      <c r="H18" s="28">
        <f>SUM(B18:G18)</f>
        <v/>
      </c>
    </row>
    <row r="19">
      <c r="A19" s="5" t="inlineStr">
        <is>
          <t>FY27 NOI (OM Proforma)</t>
        </is>
      </c>
      <c r="B19" s="14" t="n">
        <v>1723687</v>
      </c>
      <c r="C19" s="14" t="n">
        <v>1376978</v>
      </c>
      <c r="D19" s="14" t="n">
        <v>1187939</v>
      </c>
      <c r="E19" s="14" t="n">
        <v>682764</v>
      </c>
      <c r="F19" s="27" t="n">
        <v>1400000</v>
      </c>
      <c r="G19" s="14" t="n">
        <v>803301</v>
      </c>
      <c r="H19" s="28">
        <f>SUM(B19:G19)</f>
        <v/>
      </c>
    </row>
    <row r="20">
      <c r="A20" s="5" t="inlineStr">
        <is>
          <t>FY27 CAM</t>
        </is>
      </c>
      <c r="B20" s="12" t="n">
        <v>238800</v>
      </c>
      <c r="C20" s="12" t="n">
        <v>169748</v>
      </c>
      <c r="D20" s="12" t="n">
        <v>166856</v>
      </c>
      <c r="E20" s="12" t="n">
        <v>127914</v>
      </c>
      <c r="F20" s="27" t="n">
        <v>187130</v>
      </c>
      <c r="G20" s="12" t="n">
        <v>110358</v>
      </c>
      <c r="H20" s="28">
        <f>SUM(B20:G20)</f>
        <v/>
      </c>
    </row>
    <row r="21">
      <c r="A21" s="5" t="inlineStr">
        <is>
          <t>FY27 Utilities</t>
        </is>
      </c>
      <c r="B21" s="12" t="n">
        <v>118489</v>
      </c>
      <c r="C21" s="12" t="n">
        <v>81730</v>
      </c>
      <c r="D21" s="12" t="n">
        <v>91790</v>
      </c>
      <c r="E21" s="12" t="n">
        <v>46757</v>
      </c>
      <c r="F21" s="27" t="n">
        <v>90000</v>
      </c>
      <c r="G21" s="12" t="n">
        <v>103125</v>
      </c>
      <c r="H21" s="28">
        <f>SUM(B21:G21)</f>
        <v/>
      </c>
    </row>
    <row r="22">
      <c r="A22" s="5" t="inlineStr">
        <is>
          <t>FY27 Management Fee</t>
        </is>
      </c>
      <c r="B22" s="12" t="n">
        <v>105166</v>
      </c>
      <c r="C22" s="12" t="n">
        <v>80187</v>
      </c>
      <c r="D22" s="12" t="n">
        <v>70523</v>
      </c>
      <c r="E22" s="12" t="n">
        <v>43482</v>
      </c>
      <c r="F22" s="27" t="n">
        <v>88000</v>
      </c>
      <c r="G22" s="12" t="n">
        <v>50335</v>
      </c>
      <c r="H22" s="28">
        <f>SUM(B22:G22)</f>
        <v/>
      </c>
    </row>
    <row r="23">
      <c r="A23" s="5" t="inlineStr">
        <is>
          <t>FY27 Insurance</t>
        </is>
      </c>
      <c r="B23" s="12" t="n">
        <v>78963</v>
      </c>
      <c r="C23" s="12" t="n">
        <v>73087</v>
      </c>
      <c r="D23" s="12" t="n">
        <v>58043</v>
      </c>
      <c r="E23" s="12" t="n">
        <v>39986</v>
      </c>
      <c r="F23" s="27" t="n">
        <v>80650</v>
      </c>
      <c r="G23" s="12" t="n">
        <v>48744</v>
      </c>
      <c r="H23" s="28">
        <f>SUM(B23:G23)</f>
        <v/>
      </c>
    </row>
    <row r="24">
      <c r="A24" s="5" t="inlineStr">
        <is>
          <t>FY27 RE Taxes</t>
        </is>
      </c>
      <c r="B24" s="12" t="n">
        <v>364047</v>
      </c>
      <c r="C24" s="12" t="n">
        <v>222944</v>
      </c>
      <c r="D24" s="12" t="n">
        <v>187918</v>
      </c>
      <c r="E24" s="12" t="n">
        <v>146136</v>
      </c>
      <c r="F24" s="27" t="n">
        <v>290000</v>
      </c>
      <c r="G24" s="12" t="n">
        <v>142510</v>
      </c>
      <c r="H24" s="28">
        <f>SUM(B24:G24)</f>
        <v/>
      </c>
    </row>
    <row r="25">
      <c r="A25" s="5" t="inlineStr">
        <is>
          <t>FY27 Tenant Upgrade Rent</t>
        </is>
      </c>
      <c r="B25" s="12" t="n">
        <v>108444</v>
      </c>
      <c r="C25" s="12" t="n">
        <v>54160</v>
      </c>
      <c r="D25" s="12" t="n">
        <v>116942</v>
      </c>
      <c r="E25" s="12" t="n">
        <v>50992</v>
      </c>
      <c r="F25" s="27" t="n">
        <v>80000</v>
      </c>
      <c r="G25" s="12" t="n">
        <v>47411</v>
      </c>
      <c r="H25" s="28">
        <f>SUM(B25:G25)</f>
        <v/>
      </c>
    </row>
    <row r="26">
      <c r="A26" s="5" t="inlineStr">
        <is>
          <t>FY27 Parking Rent</t>
        </is>
      </c>
      <c r="B26" s="12" t="n">
        <v>89347</v>
      </c>
      <c r="C26" s="12" t="n">
        <v>32227</v>
      </c>
      <c r="D26" s="12" t="n">
        <v>26438</v>
      </c>
      <c r="E26" s="12" t="n">
        <v>5664</v>
      </c>
      <c r="F26" s="27" t="n">
        <v>35000</v>
      </c>
      <c r="G26" s="12" t="n">
        <v>15169</v>
      </c>
      <c r="H26" s="28">
        <f>SUM(B26:G26)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2026-04-14T19:56:34Z</dcterms:created>
  <dcterms:modified xsi:type="dcterms:W3CDTF">2026-04-14T19:56:34Z</dcterms:modified>
</cp:coreProperties>
</file>